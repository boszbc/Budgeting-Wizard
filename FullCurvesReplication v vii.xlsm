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trlProps/ctrlProp5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927287\Desktop\"/>
    </mc:Choice>
  </mc:AlternateContent>
  <bookViews>
    <workbookView xWindow="120" yWindow="75" windowWidth="17760" windowHeight="6570" tabRatio="723" activeTab="6"/>
  </bookViews>
  <sheets>
    <sheet name="RISK INPUT" sheetId="12" r:id="rId1"/>
    <sheet name="EUR 3m" sheetId="1" r:id="rId2"/>
    <sheet name="USD OIS" sheetId="14" r:id="rId3"/>
    <sheet name="USD 3m" sheetId="5" r:id="rId4"/>
    <sheet name="USD 1m" sheetId="17" r:id="rId5"/>
    <sheet name="CCS EUR_USD col USD" sheetId="7" r:id="rId6"/>
    <sheet name="MXN_BO_SWAP_COL MXN_BASIS_COL" sheetId="16" r:id="rId7"/>
    <sheet name="MercuryChecks" sheetId="3" r:id="rId8"/>
    <sheet name="MercuryChecks Values II" sheetId="20" r:id="rId9"/>
    <sheet name="MercuryChecks (2)" sheetId="13" r:id="rId10"/>
    <sheet name="Sheet1" sheetId="11" r:id="rId11"/>
    <sheet name="Input" sheetId="15" r:id="rId12"/>
    <sheet name="Convergence" sheetId="19" r:id="rId13"/>
    <sheet name="Curves Mapping" sheetId="2" r:id="rId14"/>
  </sheets>
  <externalReferences>
    <externalReference r:id="rId15"/>
    <externalReference r:id="rId16"/>
  </externalReferences>
  <definedNames>
    <definedName name="cfg_empty">[1]Init!$B$10:$C$10</definedName>
    <definedName name="ConvertidorMode">[1]Init!$B$30</definedName>
    <definedName name="EOD_CAD">'RISK INPUT'!$AK$6:$AK$76</definedName>
    <definedName name="EOD_EONIA" localSheetId="0">'RISK INPUT'!$V$6:$V$76</definedName>
    <definedName name="EOD_EUR_3M" localSheetId="0">'RISK INPUT'!$Y$6:$Y$76</definedName>
    <definedName name="EOD_EUR_6M" localSheetId="0">'RISK INPUT'!$AH$6:$AH$76</definedName>
    <definedName name="EOD_FX_SPOT" localSheetId="0">'RISK INPUT'!$AZ$6:$BA$6</definedName>
    <definedName name="EOD_FX_SPOT">'[1]RISK INPUT'!$AK$6:$AL$6</definedName>
    <definedName name="EOD_JPY_3M">'RISK INPUT'!$AT$6:$AT$76</definedName>
    <definedName name="EOD_JPY_6M">'RISK INPUT'!$AQ$6:$AQ$76</definedName>
    <definedName name="EOD_JPY_COL_USD">'RISK INPUT'!$AW$6:$AW$76</definedName>
    <definedName name="EOD_JPY_TONAR">'RISK INPUT'!$AN$6:$AN$76</definedName>
    <definedName name="EOD_MXN" localSheetId="0">'RISK INPUT'!$P$6:$P$76</definedName>
    <definedName name="EOD_MXN_COL_USD_FX" localSheetId="0">'RISK INPUT'!$AE$6:$AE$76</definedName>
    <definedName name="EOD_UDI" localSheetId="0">'RISK INPUT'!$S$6:$S$76</definedName>
    <definedName name="EOD_USD_1D" localSheetId="0">'RISK INPUT'!$D$6:$D$76</definedName>
    <definedName name="EOD_USD_1M" localSheetId="0">'RISK INPUT'!$G$6:$G$76</definedName>
    <definedName name="EOD_USD_3M" localSheetId="0">'RISK INPUT'!$J$6:$J$76</definedName>
    <definedName name="EOD_USD_6M" localSheetId="0">'RISK INPUT'!$M$6:$M$76</definedName>
    <definedName name="EOD_USD_COL_EUR" localSheetId="0">'RISK INPUT'!$AB$6:$AB$76</definedName>
    <definedName name="EUR_FUTSWAP2_GENERATORS">[1]Init!$H$156:$I$195</definedName>
    <definedName name="fxg_h">[1]Init!$C$6</definedName>
    <definedName name="fxg_replica_h">[1]Init!$C$20</definedName>
    <definedName name="glob_tol">[1]Init!$C$13</definedName>
    <definedName name="h" localSheetId="12">Convergence!$H$6</definedName>
    <definedName name="h">'MXN_BO_SWAP_COL MXN_BASIS_COL'!$H$6</definedName>
    <definedName name="hoy" localSheetId="12">Input!$C$13</definedName>
    <definedName name="hoy" localSheetId="6">Input!$C$13</definedName>
    <definedName name="hoy">Input!$C$13</definedName>
    <definedName name="jacobian_curves">[1]Greeks!$A$9:$B$103</definedName>
    <definedName name="jacobians">[1]Greeks!$B$9:$C$103</definedName>
    <definedName name="MKT_DATA_SOURCE">[1]Calibration!$F$2</definedName>
    <definedName name="mkt_h">[1]Init!$C$5</definedName>
    <definedName name="mkt_proj_h">[1]Init!$F$5</definedName>
    <definedName name="mkt_replica_h">[1]Init!$C$19</definedName>
    <definedName name="Nominals">OFFSET('CCS EUR_USD col USD'!$O$22,0,0,_xll.qlScheduleSize('CCS EUR_USD col USD'!$Y1)-1,1)</definedName>
    <definedName name="pillar0" localSheetId="12">Convergence!$O$24</definedName>
    <definedName name="pillar0">'MXN_BO_SWAP_COL MXN_BASIS_COL'!$O$24</definedName>
    <definedName name="pillarIndex" localSheetId="12">Convergence!$Y$41</definedName>
    <definedName name="pillarIndex">'MXN_BO_SWAP_COL MXN_BASIS_COL'!$Y$41</definedName>
    <definedName name="range0">Sheet1!$H$19,Sheet1!$L$19</definedName>
    <definedName name="RangeCurve1" localSheetId="12">Convergence!$H$24:$H$37</definedName>
    <definedName name="RangeCurve1">'MXN_BO_SWAP_COL MXN_BASIS_COL'!$H$24:$H$37</definedName>
    <definedName name="RangeCurve2" localSheetId="12">Convergence!$L$24:$L$37</definedName>
    <definedName name="RangeCurve2">'MXN_BO_SWAP_COL MXN_BASIS_COL'!$L$24:$L$37</definedName>
    <definedName name="rangeTest" localSheetId="12">Convergence!$B$49</definedName>
    <definedName name="rangeTest">'MXN_BO_SWAP_COL MXN_BASIS_COL'!$B$48</definedName>
    <definedName name="solver_adj" localSheetId="5" hidden="1">'CCS EUR_USD col USD'!$G$20:$G$39</definedName>
    <definedName name="solver_adj" localSheetId="12" hidden="1">Convergence!$H$37,Convergence!$L$37</definedName>
    <definedName name="solver_adj" localSheetId="6" hidden="1">'MXN_BO_SWAP_COL MXN_BASIS_COL'!$H$37,'MXN_BO_SWAP_COL MXN_BASIS_COL'!$L$37</definedName>
    <definedName name="solver_cvg" localSheetId="5" hidden="1">0.0001</definedName>
    <definedName name="solver_cvg" localSheetId="12" hidden="1">0.0001</definedName>
    <definedName name="solver_cvg" localSheetId="6" hidden="1">0.0001</definedName>
    <definedName name="solver_drv" localSheetId="5" hidden="1">1</definedName>
    <definedName name="solver_drv" localSheetId="12" hidden="1">1</definedName>
    <definedName name="solver_drv" localSheetId="6" hidden="1">1</definedName>
    <definedName name="solver_eng" localSheetId="5" hidden="1">1</definedName>
    <definedName name="solver_eng" localSheetId="12" hidden="1">1</definedName>
    <definedName name="solver_eng" localSheetId="1" hidden="1">1</definedName>
    <definedName name="solver_eng" localSheetId="6" hidden="1">1</definedName>
    <definedName name="solver_est" localSheetId="5" hidden="1">1</definedName>
    <definedName name="solver_est" localSheetId="12" hidden="1">1</definedName>
    <definedName name="solver_est" localSheetId="6" hidden="1">1</definedName>
    <definedName name="solver_itr" localSheetId="5" hidden="1">2147483647</definedName>
    <definedName name="solver_itr" localSheetId="12" hidden="1">2147483647</definedName>
    <definedName name="solver_itr" localSheetId="6" hidden="1">2147483647</definedName>
    <definedName name="solver_lhs1" localSheetId="12" hidden="1">Convergence!$H$24</definedName>
    <definedName name="solver_lhs1" localSheetId="6" hidden="1">'MXN_BO_SWAP_COL MXN_BASIS_COL'!$H$24</definedName>
    <definedName name="solver_lhs10" localSheetId="12" hidden="1">Convergence!$L$24</definedName>
    <definedName name="solver_lhs10" localSheetId="6" hidden="1">'MXN_BO_SWAP_COL MXN_BASIS_COL'!$L$24</definedName>
    <definedName name="solver_lhs11" localSheetId="12" hidden="1">Convergence!$H$24</definedName>
    <definedName name="solver_lhs11" localSheetId="6" hidden="1">'MXN_BO_SWAP_COL MXN_BASIS_COL'!$H$24</definedName>
    <definedName name="solver_lhs12" localSheetId="12" hidden="1">Convergence!$L$24</definedName>
    <definedName name="solver_lhs12" localSheetId="6" hidden="1">'MXN_BO_SWAP_COL MXN_BASIS_COL'!$L$24</definedName>
    <definedName name="solver_lhs13" localSheetId="12" hidden="1">Convergence!$H$24</definedName>
    <definedName name="solver_lhs13" localSheetId="6" hidden="1">'MXN_BO_SWAP_COL MXN_BASIS_COL'!$H$24</definedName>
    <definedName name="solver_lhs14" localSheetId="12" hidden="1">Convergence!$L$24</definedName>
    <definedName name="solver_lhs14" localSheetId="6" hidden="1">'MXN_BO_SWAP_COL MXN_BASIS_COL'!$L$24</definedName>
    <definedName name="solver_lhs15" localSheetId="12" hidden="1">Convergence!$H$24</definedName>
    <definedName name="solver_lhs15" localSheetId="6" hidden="1">'MXN_BO_SWAP_COL MXN_BASIS_COL'!$H$24</definedName>
    <definedName name="solver_lhs16" localSheetId="12" hidden="1">Convergence!$L$24</definedName>
    <definedName name="solver_lhs16" localSheetId="6" hidden="1">'MXN_BO_SWAP_COL MXN_BASIS_COL'!$L$24</definedName>
    <definedName name="solver_lhs2" localSheetId="12" hidden="1">Convergence!$L$24</definedName>
    <definedName name="solver_lhs2" localSheetId="6" hidden="1">'MXN_BO_SWAP_COL MXN_BASIS_COL'!$L$24</definedName>
    <definedName name="solver_lhs3" localSheetId="12" hidden="1">Convergence!$H$24</definedName>
    <definedName name="solver_lhs3" localSheetId="6" hidden="1">'MXN_BO_SWAP_COL MXN_BASIS_COL'!$H$24</definedName>
    <definedName name="solver_lhs4" localSheetId="12" hidden="1">Convergence!$L$24</definedName>
    <definedName name="solver_lhs4" localSheetId="6" hidden="1">'MXN_BO_SWAP_COL MXN_BASIS_COL'!$L$24</definedName>
    <definedName name="solver_lhs5" localSheetId="12" hidden="1">Convergence!$H$24</definedName>
    <definedName name="solver_lhs5" localSheetId="6" hidden="1">'MXN_BO_SWAP_COL MXN_BASIS_COL'!$H$24</definedName>
    <definedName name="solver_lhs6" localSheetId="12" hidden="1">Convergence!$L$24</definedName>
    <definedName name="solver_lhs6" localSheetId="6" hidden="1">'MXN_BO_SWAP_COL MXN_BASIS_COL'!$L$24</definedName>
    <definedName name="solver_lhs7" localSheetId="12" hidden="1">Convergence!$H$24</definedName>
    <definedName name="solver_lhs7" localSheetId="6" hidden="1">'MXN_BO_SWAP_COL MXN_BASIS_COL'!$H$24</definedName>
    <definedName name="solver_lhs8" localSheetId="12" hidden="1">Convergence!$L$24</definedName>
    <definedName name="solver_lhs8" localSheetId="6" hidden="1">'MXN_BO_SWAP_COL MXN_BASIS_COL'!$L$24</definedName>
    <definedName name="solver_lhs9" localSheetId="12" hidden="1">Convergence!$H$24</definedName>
    <definedName name="solver_lhs9" localSheetId="6" hidden="1">'MXN_BO_SWAP_COL MXN_BASIS_COL'!$H$24</definedName>
    <definedName name="solver_mip" localSheetId="5" hidden="1">2147483647</definedName>
    <definedName name="solver_mip" localSheetId="12" hidden="1">2147483647</definedName>
    <definedName name="solver_mip" localSheetId="6" hidden="1">2147483647</definedName>
    <definedName name="solver_mni" localSheetId="5" hidden="1">30</definedName>
    <definedName name="solver_mni" localSheetId="12" hidden="1">30</definedName>
    <definedName name="solver_mni" localSheetId="6" hidden="1">30</definedName>
    <definedName name="solver_mrt" localSheetId="5" hidden="1">0.075</definedName>
    <definedName name="solver_mrt" localSheetId="12" hidden="1">0.075</definedName>
    <definedName name="solver_mrt" localSheetId="6" hidden="1">0.075</definedName>
    <definedName name="solver_msl" localSheetId="5" hidden="1">2</definedName>
    <definedName name="solver_msl" localSheetId="12" hidden="1">2</definedName>
    <definedName name="solver_msl" localSheetId="6" hidden="1">2</definedName>
    <definedName name="solver_name">[1]Init!$C$11</definedName>
    <definedName name="solver_neg" localSheetId="5" hidden="1">1</definedName>
    <definedName name="solver_neg" localSheetId="12" hidden="1">1</definedName>
    <definedName name="solver_neg" localSheetId="1" hidden="1">1</definedName>
    <definedName name="solver_neg" localSheetId="6" hidden="1">1</definedName>
    <definedName name="solver_nod" localSheetId="5" hidden="1">2147483647</definedName>
    <definedName name="solver_nod" localSheetId="12" hidden="1">2147483647</definedName>
    <definedName name="solver_nod" localSheetId="6" hidden="1">2147483647</definedName>
    <definedName name="solver_num" localSheetId="5" hidden="1">0</definedName>
    <definedName name="solver_num" localSheetId="12" hidden="1">0</definedName>
    <definedName name="solver_num" localSheetId="1" hidden="1">0</definedName>
    <definedName name="solver_num" localSheetId="6" hidden="1">0</definedName>
    <definedName name="solver_nwt" localSheetId="5" hidden="1">1</definedName>
    <definedName name="solver_nwt" localSheetId="12" hidden="1">1</definedName>
    <definedName name="solver_nwt" localSheetId="6" hidden="1">1</definedName>
    <definedName name="solver_opt" localSheetId="5" hidden="1">'CCS EUR_USD col USD'!$AG$18</definedName>
    <definedName name="solver_opt" localSheetId="12" hidden="1">Convergence!$AW$37</definedName>
    <definedName name="solver_opt" localSheetId="1" hidden="1">'EUR 3m'!$F$13</definedName>
    <definedName name="solver_opt" localSheetId="6" hidden="1">'MXN_BO_SWAP_COL MXN_BASIS_COL'!$AW$37</definedName>
    <definedName name="solver_pre" localSheetId="5" hidden="1">0.000001</definedName>
    <definedName name="solver_pre" localSheetId="12" hidden="1">0.00000001</definedName>
    <definedName name="solver_pre" localSheetId="6" hidden="1">0.00000001</definedName>
    <definedName name="solver_rbv" localSheetId="5" hidden="1">1</definedName>
    <definedName name="solver_rbv" localSheetId="12" hidden="1">1</definedName>
    <definedName name="solver_rbv" localSheetId="6" hidden="1">1</definedName>
    <definedName name="solver_rel1" localSheetId="12" hidden="1">1</definedName>
    <definedName name="solver_rel1" localSheetId="6" hidden="1">1</definedName>
    <definedName name="solver_rel10" localSheetId="12" hidden="1">3</definedName>
    <definedName name="solver_rel10" localSheetId="6" hidden="1">3</definedName>
    <definedName name="solver_rel11" localSheetId="12" hidden="1">1</definedName>
    <definedName name="solver_rel11" localSheetId="6" hidden="1">1</definedName>
    <definedName name="solver_rel12" localSheetId="12" hidden="1">1</definedName>
    <definedName name="solver_rel12" localSheetId="6" hidden="1">1</definedName>
    <definedName name="solver_rel13" localSheetId="12" hidden="1">3</definedName>
    <definedName name="solver_rel13" localSheetId="6" hidden="1">3</definedName>
    <definedName name="solver_rel14" localSheetId="12" hidden="1">3</definedName>
    <definedName name="solver_rel14" localSheetId="6" hidden="1">3</definedName>
    <definedName name="solver_rel15" localSheetId="12" hidden="1">1</definedName>
    <definedName name="solver_rel15" localSheetId="6" hidden="1">1</definedName>
    <definedName name="solver_rel16" localSheetId="12" hidden="1">1</definedName>
    <definedName name="solver_rel16" localSheetId="6" hidden="1">1</definedName>
    <definedName name="solver_rel2" localSheetId="12" hidden="1">1</definedName>
    <definedName name="solver_rel2" localSheetId="6" hidden="1">1</definedName>
    <definedName name="solver_rel3" localSheetId="12" hidden="1">3</definedName>
    <definedName name="solver_rel3" localSheetId="6" hidden="1">3</definedName>
    <definedName name="solver_rel4" localSheetId="12" hidden="1">3</definedName>
    <definedName name="solver_rel4" localSheetId="6" hidden="1">3</definedName>
    <definedName name="solver_rel5" localSheetId="12" hidden="1">3</definedName>
    <definedName name="solver_rel5" localSheetId="6" hidden="1">3</definedName>
    <definedName name="solver_rel6" localSheetId="12" hidden="1">3</definedName>
    <definedName name="solver_rel6" localSheetId="6" hidden="1">3</definedName>
    <definedName name="solver_rel7" localSheetId="12" hidden="1">1</definedName>
    <definedName name="solver_rel7" localSheetId="6" hidden="1">1</definedName>
    <definedName name="solver_rel8" localSheetId="12" hidden="1">1</definedName>
    <definedName name="solver_rel8" localSheetId="6" hidden="1">1</definedName>
    <definedName name="solver_rel9" localSheetId="12" hidden="1">3</definedName>
    <definedName name="solver_rel9" localSheetId="6" hidden="1">3</definedName>
    <definedName name="solver_rhs1" localSheetId="12" hidden="1">1.1</definedName>
    <definedName name="solver_rhs1" localSheetId="6" hidden="1">1.1</definedName>
    <definedName name="solver_rhs10" localSheetId="12" hidden="1">0.00001</definedName>
    <definedName name="solver_rhs10" localSheetId="6" hidden="1">0.00001</definedName>
    <definedName name="solver_rhs11" localSheetId="12" hidden="1">1</definedName>
    <definedName name="solver_rhs11" localSheetId="6" hidden="1">1</definedName>
    <definedName name="solver_rhs12" localSheetId="12" hidden="1">1</definedName>
    <definedName name="solver_rhs12" localSheetId="6" hidden="1">1</definedName>
    <definedName name="solver_rhs13" localSheetId="12" hidden="1">0.00001</definedName>
    <definedName name="solver_rhs13" localSheetId="6" hidden="1">0.00001</definedName>
    <definedName name="solver_rhs14" localSheetId="12" hidden="1">0.00001</definedName>
    <definedName name="solver_rhs14" localSheetId="6" hidden="1">0.00001</definedName>
    <definedName name="solver_rhs15" localSheetId="12" hidden="1">1</definedName>
    <definedName name="solver_rhs15" localSheetId="6" hidden="1">1</definedName>
    <definedName name="solver_rhs16" localSheetId="12" hidden="1">1</definedName>
    <definedName name="solver_rhs16" localSheetId="6" hidden="1">1</definedName>
    <definedName name="solver_rhs2" localSheetId="12" hidden="1">1.1</definedName>
    <definedName name="solver_rhs2" localSheetId="6" hidden="1">1.1</definedName>
    <definedName name="solver_rhs3" localSheetId="12" hidden="1">Convergence!$H$23*0.7</definedName>
    <definedName name="solver_rhs3" localSheetId="6" hidden="1">'MXN_BO_SWAP_COL MXN_BASIS_COL'!$H$23*0.7</definedName>
    <definedName name="solver_rhs4" localSheetId="12" hidden="1">Convergence!$L$23*0.7</definedName>
    <definedName name="solver_rhs4" localSheetId="6" hidden="1">'MXN_BO_SWAP_COL MXN_BASIS_COL'!$L$23*0.7</definedName>
    <definedName name="solver_rhs5" localSheetId="12" hidden="1">0.00001</definedName>
    <definedName name="solver_rhs5" localSheetId="6" hidden="1">0.00001</definedName>
    <definedName name="solver_rhs6" localSheetId="12" hidden="1">0.00001</definedName>
    <definedName name="solver_rhs6" localSheetId="6" hidden="1">0.00001</definedName>
    <definedName name="solver_rhs7" localSheetId="12" hidden="1">1</definedName>
    <definedName name="solver_rhs7" localSheetId="6" hidden="1">1</definedName>
    <definedName name="solver_rhs8" localSheetId="12" hidden="1">1</definedName>
    <definedName name="solver_rhs8" localSheetId="6" hidden="1">1</definedName>
    <definedName name="solver_rhs9" localSheetId="12" hidden="1">0.00001</definedName>
    <definedName name="solver_rhs9" localSheetId="6" hidden="1">0.00001</definedName>
    <definedName name="solver_rlx" localSheetId="5" hidden="1">2</definedName>
    <definedName name="solver_rlx" localSheetId="12" hidden="1">2</definedName>
    <definedName name="solver_rlx" localSheetId="6" hidden="1">2</definedName>
    <definedName name="solver_rsd" localSheetId="5" hidden="1">0</definedName>
    <definedName name="solver_rsd" localSheetId="12" hidden="1">0</definedName>
    <definedName name="solver_rsd" localSheetId="6" hidden="1">0</definedName>
    <definedName name="solver_scl" localSheetId="5" hidden="1">1</definedName>
    <definedName name="solver_scl" localSheetId="12" hidden="1">1</definedName>
    <definedName name="solver_scl" localSheetId="6" hidden="1">1</definedName>
    <definedName name="solver_sho" localSheetId="5" hidden="1">2</definedName>
    <definedName name="solver_sho" localSheetId="12" hidden="1">2</definedName>
    <definedName name="solver_sho" localSheetId="6" hidden="1">2</definedName>
    <definedName name="solver_ssz" localSheetId="5" hidden="1">100</definedName>
    <definedName name="solver_ssz" localSheetId="12" hidden="1">100</definedName>
    <definedName name="solver_ssz" localSheetId="6" hidden="1">100</definedName>
    <definedName name="solver_tim" localSheetId="5" hidden="1">2147483647</definedName>
    <definedName name="solver_tim" localSheetId="12" hidden="1">2147483647</definedName>
    <definedName name="solver_tim" localSheetId="6" hidden="1">2147483647</definedName>
    <definedName name="solver_tol" localSheetId="5" hidden="1">0.01</definedName>
    <definedName name="solver_tol" localSheetId="12" hidden="1">0.01</definedName>
    <definedName name="solver_tol" localSheetId="6" hidden="1">0.01</definedName>
    <definedName name="solver_tol">[1]Init!$C$12</definedName>
    <definedName name="solver_typ" localSheetId="5" hidden="1">2</definedName>
    <definedName name="solver_typ" localSheetId="12" hidden="1">2</definedName>
    <definedName name="solver_typ" localSheetId="1" hidden="1">1</definedName>
    <definedName name="solver_typ" localSheetId="6" hidden="1">2</definedName>
    <definedName name="solver_val" localSheetId="5" hidden="1">0</definedName>
    <definedName name="solver_val" localSheetId="12" hidden="1">0</definedName>
    <definedName name="solver_val" localSheetId="1" hidden="1">0</definedName>
    <definedName name="solver_val" localSheetId="6" hidden="1">0</definedName>
    <definedName name="solver_ver" localSheetId="5" hidden="1">3</definedName>
    <definedName name="solver_ver" localSheetId="12" hidden="1">3</definedName>
    <definedName name="solver_ver" localSheetId="1" hidden="1">3</definedName>
    <definedName name="solver_ver" localSheetId="6" hidden="1">3</definedName>
    <definedName name="TODAY">[1]Init!$C$2</definedName>
    <definedName name="toy_index">[1]Init!$C$14</definedName>
    <definedName name="toy_jump">[1]Init!$C$15</definedName>
    <definedName name="toy_n">[1]Init!$C$16</definedName>
    <definedName name="USD_DEPOSWAP_3M_GENERATORS">[1]Init!$H$35:$I$70</definedName>
    <definedName name="USD_DEPOSWAP_6M_GENERATORS">[1]Init!$H$74:$I$109</definedName>
    <definedName name="zeroPillars" localSheetId="12">Convergence!$O$22:$O$37</definedName>
    <definedName name="zeroPillars">'MXN_BO_SWAP_COL MXN_BASIS_COL'!$O$22:$O$37</definedName>
  </definedNames>
  <calcPr calcId="152511" calcMode="manual" calcCompleted="0" calcOnSave="0"/>
</workbook>
</file>

<file path=xl/calcChain.xml><?xml version="1.0" encoding="utf-8"?>
<calcChain xmlns="http://schemas.openxmlformats.org/spreadsheetml/2006/main">
  <c r="Y43" i="16" l="1"/>
  <c r="L23" i="16"/>
  <c r="F22" i="16" l="1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H21" i="16"/>
  <c r="T5" i="16"/>
  <c r="I24" i="16"/>
  <c r="I23" i="16"/>
  <c r="I22" i="16"/>
  <c r="I25" i="16"/>
  <c r="M37" i="16"/>
  <c r="M36" i="16"/>
  <c r="M35" i="16"/>
  <c r="I36" i="16"/>
  <c r="I35" i="16"/>
  <c r="I34" i="16"/>
  <c r="I37" i="16"/>
  <c r="M33" i="16"/>
  <c r="M32" i="16"/>
  <c r="M19" i="16"/>
  <c r="I31" i="16"/>
  <c r="I33" i="16"/>
  <c r="M29" i="16"/>
  <c r="M28" i="16"/>
  <c r="I19" i="16"/>
  <c r="I28" i="16"/>
  <c r="I27" i="16"/>
  <c r="I26" i="16"/>
  <c r="I29" i="16"/>
  <c r="M26" i="16"/>
  <c r="M25" i="16"/>
  <c r="M24" i="16"/>
  <c r="M23" i="16"/>
  <c r="M34" i="16"/>
  <c r="M31" i="16"/>
  <c r="I32" i="16"/>
  <c r="I30" i="16"/>
  <c r="M30" i="16"/>
  <c r="M27" i="16"/>
  <c r="C11" i="17" l="1"/>
  <c r="C11" i="5"/>
  <c r="C11" i="14"/>
  <c r="C11" i="1"/>
  <c r="I45" i="16"/>
  <c r="C2" i="16"/>
  <c r="C5" i="14"/>
  <c r="C2" i="7"/>
  <c r="C74" i="19" l="1"/>
  <c r="D74" i="19"/>
  <c r="E74" i="19"/>
  <c r="F74" i="19"/>
  <c r="G74" i="19"/>
  <c r="H74" i="19"/>
  <c r="I74" i="19"/>
  <c r="J74" i="19"/>
  <c r="K74" i="19"/>
  <c r="L74" i="19"/>
  <c r="C75" i="19"/>
  <c r="D75" i="19"/>
  <c r="E75" i="19"/>
  <c r="F75" i="19"/>
  <c r="G75" i="19"/>
  <c r="H75" i="19"/>
  <c r="I75" i="19"/>
  <c r="J75" i="19"/>
  <c r="K75" i="19"/>
  <c r="L75" i="19"/>
  <c r="C76" i="19"/>
  <c r="D76" i="19"/>
  <c r="E76" i="19"/>
  <c r="F76" i="19"/>
  <c r="G76" i="19"/>
  <c r="H76" i="19"/>
  <c r="I76" i="19"/>
  <c r="J76" i="19"/>
  <c r="K76" i="19"/>
  <c r="L76" i="19"/>
  <c r="C77" i="19"/>
  <c r="D77" i="19"/>
  <c r="E77" i="19"/>
  <c r="F77" i="19"/>
  <c r="G77" i="19"/>
  <c r="H77" i="19"/>
  <c r="I77" i="19"/>
  <c r="J77" i="19"/>
  <c r="K77" i="19"/>
  <c r="L77" i="19"/>
  <c r="C78" i="19"/>
  <c r="D78" i="19"/>
  <c r="E78" i="19"/>
  <c r="F78" i="19"/>
  <c r="G78" i="19"/>
  <c r="H78" i="19"/>
  <c r="I78" i="19"/>
  <c r="J78" i="19"/>
  <c r="K78" i="19"/>
  <c r="L78" i="19"/>
  <c r="C79" i="19"/>
  <c r="D79" i="19"/>
  <c r="E79" i="19"/>
  <c r="F79" i="19"/>
  <c r="G79" i="19"/>
  <c r="H79" i="19"/>
  <c r="I79" i="19"/>
  <c r="J79" i="19"/>
  <c r="K79" i="19"/>
  <c r="L79" i="19"/>
  <c r="C80" i="19"/>
  <c r="D80" i="19"/>
  <c r="E80" i="19"/>
  <c r="F80" i="19"/>
  <c r="G80" i="19"/>
  <c r="H80" i="19"/>
  <c r="I80" i="19"/>
  <c r="J80" i="19"/>
  <c r="K80" i="19"/>
  <c r="L80" i="19"/>
  <c r="C81" i="19"/>
  <c r="D81" i="19"/>
  <c r="E81" i="19"/>
  <c r="F81" i="19"/>
  <c r="G81" i="19"/>
  <c r="H81" i="19"/>
  <c r="I81" i="19"/>
  <c r="J81" i="19"/>
  <c r="K81" i="19"/>
  <c r="L81" i="19"/>
  <c r="C82" i="19"/>
  <c r="D82" i="19"/>
  <c r="E82" i="19"/>
  <c r="F82" i="19"/>
  <c r="G82" i="19"/>
  <c r="H82" i="19"/>
  <c r="I82" i="19"/>
  <c r="J82" i="19"/>
  <c r="K82" i="19"/>
  <c r="L82" i="19"/>
  <c r="C83" i="19"/>
  <c r="D83" i="19"/>
  <c r="E83" i="19"/>
  <c r="F83" i="19"/>
  <c r="G83" i="19"/>
  <c r="H83" i="19"/>
  <c r="I83" i="19"/>
  <c r="J83" i="19"/>
  <c r="K83" i="19"/>
  <c r="L83" i="19"/>
  <c r="B60" i="19"/>
  <c r="B74" i="19"/>
  <c r="C73" i="19"/>
  <c r="C3" i="7"/>
  <c r="C59" i="19" l="1"/>
  <c r="D44" i="19"/>
  <c r="B46" i="19"/>
  <c r="AW51" i="19"/>
  <c r="AV51" i="19"/>
  <c r="AM51" i="19"/>
  <c r="AL51" i="19"/>
  <c r="Y49" i="19" a="1"/>
  <c r="Z49" i="19" s="1"/>
  <c r="Y48" i="19" a="1"/>
  <c r="Y48" i="19" s="1"/>
  <c r="Z43" i="19"/>
  <c r="Y43" i="19"/>
  <c r="AG38" i="19"/>
  <c r="U38" i="19"/>
  <c r="O37" i="19"/>
  <c r="E37" i="19"/>
  <c r="AD37" i="19" s="1"/>
  <c r="D37" i="19"/>
  <c r="C37" i="19"/>
  <c r="Q37" i="19" s="1"/>
  <c r="B37" i="19"/>
  <c r="O36" i="19"/>
  <c r="E36" i="19"/>
  <c r="D36" i="19"/>
  <c r="C36" i="19"/>
  <c r="Q36" i="19" s="1"/>
  <c r="B36" i="19"/>
  <c r="O35" i="19"/>
  <c r="E35" i="19"/>
  <c r="D35" i="19"/>
  <c r="C35" i="19"/>
  <c r="Q35" i="19" s="1"/>
  <c r="B35" i="19"/>
  <c r="O34" i="19"/>
  <c r="E34" i="19"/>
  <c r="D34" i="19"/>
  <c r="C34" i="19"/>
  <c r="Q34" i="19" s="1"/>
  <c r="B34" i="19"/>
  <c r="O33" i="19"/>
  <c r="E33" i="19"/>
  <c r="D33" i="19"/>
  <c r="C33" i="19"/>
  <c r="Q33" i="19" s="1"/>
  <c r="B33" i="19"/>
  <c r="O32" i="19"/>
  <c r="E32" i="19"/>
  <c r="D32" i="19"/>
  <c r="C32" i="19"/>
  <c r="Q32" i="19" s="1"/>
  <c r="B32" i="19"/>
  <c r="O31" i="19"/>
  <c r="E31" i="19"/>
  <c r="D31" i="19"/>
  <c r="C31" i="19"/>
  <c r="Q31" i="19" s="1"/>
  <c r="B31" i="19"/>
  <c r="O30" i="19"/>
  <c r="E30" i="19"/>
  <c r="D30" i="19"/>
  <c r="C30" i="19"/>
  <c r="Q30" i="19" s="1"/>
  <c r="B30" i="19"/>
  <c r="O29" i="19"/>
  <c r="E29" i="19"/>
  <c r="D29" i="19"/>
  <c r="C29" i="19"/>
  <c r="Q29" i="19" s="1"/>
  <c r="B29" i="19"/>
  <c r="O28" i="19"/>
  <c r="E28" i="19"/>
  <c r="D28" i="19"/>
  <c r="C28" i="19"/>
  <c r="Q28" i="19" s="1"/>
  <c r="B28" i="19"/>
  <c r="O27" i="19"/>
  <c r="E27" i="19"/>
  <c r="D27" i="19"/>
  <c r="C27" i="19"/>
  <c r="Q27" i="19" s="1"/>
  <c r="B27" i="19"/>
  <c r="O26" i="19"/>
  <c r="E26" i="19"/>
  <c r="D26" i="19"/>
  <c r="C26" i="19"/>
  <c r="Q26" i="19" s="1"/>
  <c r="B26" i="19"/>
  <c r="O25" i="19"/>
  <c r="E25" i="19"/>
  <c r="D25" i="19"/>
  <c r="C25" i="19"/>
  <c r="Q25" i="19" s="1"/>
  <c r="B25" i="19"/>
  <c r="O24" i="19"/>
  <c r="E24" i="19"/>
  <c r="D24" i="19"/>
  <c r="C24" i="19"/>
  <c r="Q24" i="19" s="1"/>
  <c r="B24" i="19"/>
  <c r="C23" i="19"/>
  <c r="Q23" i="19" s="1"/>
  <c r="B23" i="19"/>
  <c r="C22" i="19"/>
  <c r="Q22" i="19" s="1"/>
  <c r="B22" i="19"/>
  <c r="AW18" i="19"/>
  <c r="D12" i="19"/>
  <c r="C12" i="19" s="1"/>
  <c r="J55" i="5"/>
  <c r="E3" i="19"/>
  <c r="C2" i="19"/>
  <c r="C3" i="19" s="1"/>
  <c r="C246" i="3"/>
  <c r="D200" i="3"/>
  <c r="D158" i="3"/>
  <c r="C53" i="3"/>
  <c r="E91" i="3"/>
  <c r="N9" i="13"/>
  <c r="D116" i="3"/>
  <c r="D242" i="3"/>
  <c r="C11" i="3"/>
  <c r="C204" i="3"/>
  <c r="D7" i="3"/>
  <c r="F4" i="3"/>
  <c r="D49" i="3"/>
  <c r="W9" i="13"/>
  <c r="C120" i="3"/>
  <c r="B47" i="19" l="1"/>
  <c r="B75" i="19"/>
  <c r="B61" i="19"/>
  <c r="E44" i="19"/>
  <c r="E59" i="19" s="1"/>
  <c r="D73" i="19"/>
  <c r="D59" i="19"/>
  <c r="Z48" i="19"/>
  <c r="K23" i="19"/>
  <c r="L23" i="19" s="1"/>
  <c r="G21" i="19"/>
  <c r="H21" i="19" s="1"/>
  <c r="S2" i="19"/>
  <c r="R2" i="19"/>
  <c r="C8" i="19"/>
  <c r="Y49" i="19"/>
  <c r="S66" i="17"/>
  <c r="C38" i="14"/>
  <c r="I38" i="14" s="1"/>
  <c r="C39" i="14"/>
  <c r="I39" i="14" s="1"/>
  <c r="C23" i="14"/>
  <c r="I23" i="14" s="1"/>
  <c r="C24" i="14"/>
  <c r="I24" i="14" s="1"/>
  <c r="P36" i="19"/>
  <c r="P25" i="19"/>
  <c r="P24" i="19"/>
  <c r="P22" i="19"/>
  <c r="P33" i="19"/>
  <c r="P34" i="19"/>
  <c r="P37" i="19"/>
  <c r="P31" i="19"/>
  <c r="P26" i="19"/>
  <c r="P30" i="19"/>
  <c r="P32" i="19"/>
  <c r="P28" i="19"/>
  <c r="P35" i="19"/>
  <c r="S37" i="19"/>
  <c r="P29" i="19"/>
  <c r="R37" i="19"/>
  <c r="P27" i="19"/>
  <c r="P23" i="19"/>
  <c r="F44" i="19" l="1"/>
  <c r="E73" i="19"/>
  <c r="B48" i="19"/>
  <c r="B62" i="19"/>
  <c r="B76" i="19"/>
  <c r="Y51" i="19" a="1"/>
  <c r="Y51" i="19" s="1"/>
  <c r="K35" i="19"/>
  <c r="G35" i="19"/>
  <c r="K32" i="19"/>
  <c r="G32" i="19"/>
  <c r="K31" i="19"/>
  <c r="G31" i="19"/>
  <c r="G34" i="19"/>
  <c r="K34" i="19"/>
  <c r="G25" i="19"/>
  <c r="K25" i="19"/>
  <c r="K28" i="19"/>
  <c r="G28" i="19"/>
  <c r="K36" i="19"/>
  <c r="G36" i="19"/>
  <c r="K29" i="19"/>
  <c r="G29" i="19"/>
  <c r="G23" i="19"/>
  <c r="G22" i="19"/>
  <c r="G26" i="19"/>
  <c r="K26" i="19"/>
  <c r="K33" i="19"/>
  <c r="G33" i="19"/>
  <c r="K27" i="19"/>
  <c r="G27" i="19"/>
  <c r="G24" i="19"/>
  <c r="K24" i="19"/>
  <c r="G30" i="19"/>
  <c r="K30" i="19"/>
  <c r="AC37" i="19"/>
  <c r="K37" i="19"/>
  <c r="G37" i="19"/>
  <c r="S109" i="11"/>
  <c r="S113" i="11"/>
  <c r="S125" i="11"/>
  <c r="S129" i="11"/>
  <c r="S110" i="11"/>
  <c r="S126" i="11"/>
  <c r="S100" i="11"/>
  <c r="S104" i="11"/>
  <c r="S116" i="11"/>
  <c r="S120" i="11"/>
  <c r="S98" i="11"/>
  <c r="S99" i="11"/>
  <c r="S101" i="11"/>
  <c r="S102" i="11"/>
  <c r="S103" i="11"/>
  <c r="S105" i="11"/>
  <c r="S106" i="11"/>
  <c r="S107" i="11"/>
  <c r="S108" i="11"/>
  <c r="S111" i="11"/>
  <c r="S112" i="11"/>
  <c r="S114" i="11"/>
  <c r="S115" i="11"/>
  <c r="S117" i="11"/>
  <c r="S118" i="11"/>
  <c r="S119" i="11"/>
  <c r="S121" i="11"/>
  <c r="S122" i="11"/>
  <c r="S123" i="11"/>
  <c r="S124" i="11"/>
  <c r="S127" i="11"/>
  <c r="S128" i="11"/>
  <c r="S130" i="11"/>
  <c r="S131" i="11"/>
  <c r="S132" i="11"/>
  <c r="S54" i="11"/>
  <c r="S53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D12" i="16"/>
  <c r="U37" i="19"/>
  <c r="B49" i="19" l="1"/>
  <c r="B63" i="19"/>
  <c r="B77" i="19"/>
  <c r="G44" i="19"/>
  <c r="F73" i="19"/>
  <c r="F59" i="19"/>
  <c r="Z51" i="19"/>
  <c r="Y52" i="19"/>
  <c r="Z52" i="19"/>
  <c r="C22" i="16"/>
  <c r="Q22" i="16" s="1"/>
  <c r="B50" i="19" l="1"/>
  <c r="B78" i="19"/>
  <c r="B64" i="19"/>
  <c r="H44" i="19"/>
  <c r="G73" i="19"/>
  <c r="G59" i="19"/>
  <c r="O36" i="16"/>
  <c r="O37" i="16"/>
  <c r="AV51" i="16"/>
  <c r="O24" i="16"/>
  <c r="AW51" i="16"/>
  <c r="AM51" i="16"/>
  <c r="AL51" i="16"/>
  <c r="O25" i="16"/>
  <c r="O26" i="16"/>
  <c r="O27" i="16"/>
  <c r="O28" i="16"/>
  <c r="O29" i="16"/>
  <c r="O30" i="16"/>
  <c r="O31" i="16"/>
  <c r="O32" i="16"/>
  <c r="O33" i="16"/>
  <c r="O34" i="16"/>
  <c r="O35" i="16"/>
  <c r="B51" i="19" l="1"/>
  <c r="B79" i="19"/>
  <c r="B65" i="19"/>
  <c r="I44" i="19"/>
  <c r="H73" i="19"/>
  <c r="H59" i="19"/>
  <c r="K23" i="16"/>
  <c r="B5" i="13"/>
  <c r="AG38" i="16"/>
  <c r="U38" i="16"/>
  <c r="E37" i="16"/>
  <c r="AD37" i="16" s="1"/>
  <c r="D37" i="16"/>
  <c r="C37" i="16"/>
  <c r="Q37" i="16" s="1"/>
  <c r="B37" i="16"/>
  <c r="E36" i="16"/>
  <c r="AD36" i="16" s="1"/>
  <c r="D36" i="16"/>
  <c r="C36" i="16"/>
  <c r="Q36" i="16" s="1"/>
  <c r="B36" i="16"/>
  <c r="E35" i="16"/>
  <c r="AD35" i="16" s="1"/>
  <c r="D35" i="16"/>
  <c r="C35" i="16"/>
  <c r="Q35" i="16" s="1"/>
  <c r="B35" i="16"/>
  <c r="E34" i="16"/>
  <c r="AD34" i="16" s="1"/>
  <c r="D34" i="16"/>
  <c r="C34" i="16"/>
  <c r="Q34" i="16" s="1"/>
  <c r="B34" i="16"/>
  <c r="E33" i="16"/>
  <c r="AD33" i="16" s="1"/>
  <c r="D33" i="16"/>
  <c r="C33" i="16"/>
  <c r="Q33" i="16" s="1"/>
  <c r="B33" i="16"/>
  <c r="E32" i="16"/>
  <c r="AD32" i="16" s="1"/>
  <c r="D32" i="16"/>
  <c r="C32" i="16"/>
  <c r="Q32" i="16" s="1"/>
  <c r="B32" i="16"/>
  <c r="E31" i="16"/>
  <c r="AD31" i="16" s="1"/>
  <c r="D31" i="16"/>
  <c r="C31" i="16"/>
  <c r="Q31" i="16" s="1"/>
  <c r="B31" i="16"/>
  <c r="E30" i="16"/>
  <c r="AD30" i="16" s="1"/>
  <c r="D30" i="16"/>
  <c r="C30" i="16"/>
  <c r="Q30" i="16" s="1"/>
  <c r="B30" i="16"/>
  <c r="E29" i="16"/>
  <c r="AD29" i="16" s="1"/>
  <c r="D29" i="16"/>
  <c r="C29" i="16"/>
  <c r="Q29" i="16" s="1"/>
  <c r="B29" i="16"/>
  <c r="E28" i="16"/>
  <c r="AD28" i="16" s="1"/>
  <c r="D28" i="16"/>
  <c r="C28" i="16"/>
  <c r="Q28" i="16" s="1"/>
  <c r="B28" i="16"/>
  <c r="E27" i="16"/>
  <c r="AD27" i="16" s="1"/>
  <c r="D27" i="16"/>
  <c r="C27" i="16"/>
  <c r="Q27" i="16" s="1"/>
  <c r="B27" i="16"/>
  <c r="E26" i="16"/>
  <c r="AD26" i="16" s="1"/>
  <c r="D26" i="16"/>
  <c r="C26" i="16"/>
  <c r="Q26" i="16" s="1"/>
  <c r="B26" i="16"/>
  <c r="E25" i="16"/>
  <c r="AD25" i="16" s="1"/>
  <c r="D25" i="16"/>
  <c r="C25" i="16"/>
  <c r="Q25" i="16" s="1"/>
  <c r="B25" i="16"/>
  <c r="E24" i="16"/>
  <c r="AD24" i="16" s="1"/>
  <c r="D24" i="16"/>
  <c r="C24" i="16"/>
  <c r="Q24" i="16" s="1"/>
  <c r="B24" i="16"/>
  <c r="C23" i="16"/>
  <c r="Q23" i="16" s="1"/>
  <c r="B23" i="16"/>
  <c r="B22" i="16"/>
  <c r="C12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W38" i="15"/>
  <c r="I38" i="15"/>
  <c r="I37" i="15"/>
  <c r="I36" i="15"/>
  <c r="I35" i="15"/>
  <c r="I34" i="15"/>
  <c r="I33" i="15"/>
  <c r="I32" i="15"/>
  <c r="I31" i="15"/>
  <c r="C13" i="15"/>
  <c r="AN218" i="7"/>
  <c r="AQ218" i="7" s="1"/>
  <c r="AT218" i="7" s="1"/>
  <c r="AN217" i="7"/>
  <c r="AQ217" i="7" s="1"/>
  <c r="AT217" i="7" s="1"/>
  <c r="AN216" i="7"/>
  <c r="AQ216" i="7" s="1"/>
  <c r="AT216" i="7" s="1"/>
  <c r="AN215" i="7"/>
  <c r="AQ215" i="7" s="1"/>
  <c r="AT215" i="7" s="1"/>
  <c r="AN214" i="7"/>
  <c r="AQ214" i="7" s="1"/>
  <c r="AT214" i="7" s="1"/>
  <c r="AN213" i="7"/>
  <c r="AQ213" i="7" s="1"/>
  <c r="AT213" i="7" s="1"/>
  <c r="AN212" i="7"/>
  <c r="AQ212" i="7" s="1"/>
  <c r="AT212" i="7" s="1"/>
  <c r="AN211" i="7"/>
  <c r="AQ211" i="7" s="1"/>
  <c r="AT211" i="7" s="1"/>
  <c r="AN210" i="7"/>
  <c r="AQ210" i="7" s="1"/>
  <c r="AT210" i="7" s="1"/>
  <c r="AN209" i="7"/>
  <c r="AQ209" i="7" s="1"/>
  <c r="AT209" i="7" s="1"/>
  <c r="AN208" i="7"/>
  <c r="AQ208" i="7" s="1"/>
  <c r="AT208" i="7" s="1"/>
  <c r="AN207" i="7"/>
  <c r="AQ207" i="7" s="1"/>
  <c r="AT207" i="7" s="1"/>
  <c r="AN206" i="7"/>
  <c r="AQ206" i="7" s="1"/>
  <c r="AT206" i="7" s="1"/>
  <c r="AN205" i="7"/>
  <c r="AQ205" i="7" s="1"/>
  <c r="AT205" i="7" s="1"/>
  <c r="AN204" i="7"/>
  <c r="AQ204" i="7" s="1"/>
  <c r="AT204" i="7" s="1"/>
  <c r="AN203" i="7"/>
  <c r="AQ203" i="7" s="1"/>
  <c r="AT203" i="7" s="1"/>
  <c r="AN202" i="7"/>
  <c r="AQ202" i="7" s="1"/>
  <c r="AT202" i="7" s="1"/>
  <c r="AN201" i="7"/>
  <c r="AQ201" i="7" s="1"/>
  <c r="AT201" i="7" s="1"/>
  <c r="AN200" i="7"/>
  <c r="AQ200" i="7" s="1"/>
  <c r="AT200" i="7" s="1"/>
  <c r="AN199" i="7"/>
  <c r="AQ199" i="7" s="1"/>
  <c r="AT199" i="7" s="1"/>
  <c r="AN198" i="7"/>
  <c r="AQ198" i="7" s="1"/>
  <c r="AT198" i="7" s="1"/>
  <c r="AN197" i="7"/>
  <c r="AQ197" i="7" s="1"/>
  <c r="AT197" i="7" s="1"/>
  <c r="AN196" i="7"/>
  <c r="AQ196" i="7" s="1"/>
  <c r="AT196" i="7" s="1"/>
  <c r="AN195" i="7"/>
  <c r="AQ195" i="7" s="1"/>
  <c r="AT195" i="7" s="1"/>
  <c r="AN194" i="7"/>
  <c r="AQ194" i="7" s="1"/>
  <c r="AT194" i="7" s="1"/>
  <c r="AN193" i="7"/>
  <c r="AQ193" i="7" s="1"/>
  <c r="AT193" i="7" s="1"/>
  <c r="AN192" i="7"/>
  <c r="AQ192" i="7" s="1"/>
  <c r="AT192" i="7" s="1"/>
  <c r="AN191" i="7"/>
  <c r="AQ191" i="7" s="1"/>
  <c r="AT191" i="7" s="1"/>
  <c r="AN190" i="7"/>
  <c r="AQ190" i="7" s="1"/>
  <c r="AT190" i="7" s="1"/>
  <c r="AN189" i="7"/>
  <c r="AQ189" i="7" s="1"/>
  <c r="AT189" i="7" s="1"/>
  <c r="AN188" i="7"/>
  <c r="AQ188" i="7" s="1"/>
  <c r="AT188" i="7" s="1"/>
  <c r="AN187" i="7"/>
  <c r="AQ187" i="7" s="1"/>
  <c r="AT187" i="7" s="1"/>
  <c r="AN186" i="7"/>
  <c r="AQ186" i="7" s="1"/>
  <c r="AT186" i="7" s="1"/>
  <c r="AN185" i="7"/>
  <c r="AQ185" i="7" s="1"/>
  <c r="AT185" i="7" s="1"/>
  <c r="AN184" i="7"/>
  <c r="AQ184" i="7" s="1"/>
  <c r="AT184" i="7" s="1"/>
  <c r="AN183" i="7"/>
  <c r="AQ183" i="7" s="1"/>
  <c r="AT183" i="7" s="1"/>
  <c r="AN182" i="7"/>
  <c r="AQ182" i="7" s="1"/>
  <c r="AT182" i="7" s="1"/>
  <c r="AN181" i="7"/>
  <c r="AQ181" i="7" s="1"/>
  <c r="AT181" i="7" s="1"/>
  <c r="AN180" i="7"/>
  <c r="AQ180" i="7" s="1"/>
  <c r="AT180" i="7" s="1"/>
  <c r="AN179" i="7"/>
  <c r="AQ179" i="7" s="1"/>
  <c r="AT179" i="7" s="1"/>
  <c r="AN178" i="7"/>
  <c r="AQ178" i="7" s="1"/>
  <c r="AT178" i="7" s="1"/>
  <c r="AN177" i="7"/>
  <c r="AQ177" i="7" s="1"/>
  <c r="AT177" i="7" s="1"/>
  <c r="AN176" i="7"/>
  <c r="AQ176" i="7" s="1"/>
  <c r="AT176" i="7" s="1"/>
  <c r="AN175" i="7"/>
  <c r="AQ175" i="7" s="1"/>
  <c r="AT175" i="7" s="1"/>
  <c r="AN174" i="7"/>
  <c r="AQ174" i="7" s="1"/>
  <c r="AT174" i="7" s="1"/>
  <c r="AN173" i="7"/>
  <c r="AQ173" i="7" s="1"/>
  <c r="AT173" i="7" s="1"/>
  <c r="AN172" i="7"/>
  <c r="AQ172" i="7" s="1"/>
  <c r="AT172" i="7" s="1"/>
  <c r="AN171" i="7"/>
  <c r="AQ171" i="7" s="1"/>
  <c r="AT171" i="7" s="1"/>
  <c r="AN170" i="7"/>
  <c r="AQ170" i="7" s="1"/>
  <c r="AT170" i="7" s="1"/>
  <c r="AN169" i="7"/>
  <c r="AQ169" i="7" s="1"/>
  <c r="AT169" i="7" s="1"/>
  <c r="AN168" i="7"/>
  <c r="AQ168" i="7" s="1"/>
  <c r="AT168" i="7" s="1"/>
  <c r="AN167" i="7"/>
  <c r="AQ167" i="7" s="1"/>
  <c r="AT167" i="7" s="1"/>
  <c r="AN166" i="7"/>
  <c r="AQ166" i="7" s="1"/>
  <c r="AT166" i="7" s="1"/>
  <c r="AN165" i="7"/>
  <c r="AQ165" i="7" s="1"/>
  <c r="AT165" i="7" s="1"/>
  <c r="AN164" i="7"/>
  <c r="AQ164" i="7" s="1"/>
  <c r="AT164" i="7" s="1"/>
  <c r="AN163" i="7"/>
  <c r="AQ163" i="7" s="1"/>
  <c r="AT163" i="7" s="1"/>
  <c r="AN162" i="7"/>
  <c r="AQ162" i="7" s="1"/>
  <c r="AT162" i="7" s="1"/>
  <c r="AN161" i="7"/>
  <c r="AQ161" i="7" s="1"/>
  <c r="AT161" i="7" s="1"/>
  <c r="AN160" i="7"/>
  <c r="AQ160" i="7" s="1"/>
  <c r="AT160" i="7" s="1"/>
  <c r="AN159" i="7"/>
  <c r="AQ159" i="7" s="1"/>
  <c r="AT159" i="7" s="1"/>
  <c r="AN158" i="7"/>
  <c r="AQ158" i="7" s="1"/>
  <c r="AT158" i="7" s="1"/>
  <c r="AN157" i="7"/>
  <c r="AQ157" i="7" s="1"/>
  <c r="AT157" i="7" s="1"/>
  <c r="AN156" i="7"/>
  <c r="AQ156" i="7" s="1"/>
  <c r="AT156" i="7" s="1"/>
  <c r="AN155" i="7"/>
  <c r="AQ155" i="7" s="1"/>
  <c r="AT155" i="7" s="1"/>
  <c r="AN154" i="7"/>
  <c r="AQ154" i="7" s="1"/>
  <c r="AT154" i="7" s="1"/>
  <c r="AN153" i="7"/>
  <c r="AQ153" i="7" s="1"/>
  <c r="AT153" i="7" s="1"/>
  <c r="AN152" i="7"/>
  <c r="AQ152" i="7" s="1"/>
  <c r="AT152" i="7" s="1"/>
  <c r="AN151" i="7"/>
  <c r="AQ151" i="7" s="1"/>
  <c r="AT151" i="7" s="1"/>
  <c r="AN150" i="7"/>
  <c r="AQ150" i="7" s="1"/>
  <c r="AT150" i="7" s="1"/>
  <c r="AN149" i="7"/>
  <c r="AQ149" i="7" s="1"/>
  <c r="AT149" i="7" s="1"/>
  <c r="AN148" i="7"/>
  <c r="AQ148" i="7" s="1"/>
  <c r="AT148" i="7" s="1"/>
  <c r="AN147" i="7"/>
  <c r="AQ147" i="7" s="1"/>
  <c r="AT147" i="7" s="1"/>
  <c r="AN146" i="7"/>
  <c r="AQ146" i="7" s="1"/>
  <c r="AT146" i="7" s="1"/>
  <c r="AN145" i="7"/>
  <c r="AQ145" i="7" s="1"/>
  <c r="AT145" i="7" s="1"/>
  <c r="AN144" i="7"/>
  <c r="AQ144" i="7" s="1"/>
  <c r="AT144" i="7" s="1"/>
  <c r="AN143" i="7"/>
  <c r="AQ143" i="7" s="1"/>
  <c r="AT143" i="7" s="1"/>
  <c r="AN142" i="7"/>
  <c r="AQ142" i="7" s="1"/>
  <c r="AT142" i="7" s="1"/>
  <c r="AN141" i="7"/>
  <c r="AQ141" i="7" s="1"/>
  <c r="AT141" i="7" s="1"/>
  <c r="AN140" i="7"/>
  <c r="AQ140" i="7" s="1"/>
  <c r="AT140" i="7" s="1"/>
  <c r="AN139" i="7"/>
  <c r="AQ139" i="7" s="1"/>
  <c r="AT139" i="7" s="1"/>
  <c r="AN138" i="7"/>
  <c r="AQ138" i="7" s="1"/>
  <c r="AT138" i="7" s="1"/>
  <c r="AN137" i="7"/>
  <c r="AQ137" i="7" s="1"/>
  <c r="AT137" i="7" s="1"/>
  <c r="AN136" i="7"/>
  <c r="AQ136" i="7" s="1"/>
  <c r="AT136" i="7" s="1"/>
  <c r="AN135" i="7"/>
  <c r="AQ135" i="7" s="1"/>
  <c r="AT135" i="7" s="1"/>
  <c r="AN134" i="7"/>
  <c r="AQ134" i="7" s="1"/>
  <c r="AT134" i="7" s="1"/>
  <c r="AN133" i="7"/>
  <c r="AQ133" i="7" s="1"/>
  <c r="AT133" i="7" s="1"/>
  <c r="AN132" i="7"/>
  <c r="AQ132" i="7" s="1"/>
  <c r="AT132" i="7" s="1"/>
  <c r="AN131" i="7"/>
  <c r="AQ131" i="7" s="1"/>
  <c r="AT131" i="7" s="1"/>
  <c r="AN130" i="7"/>
  <c r="AQ130" i="7" s="1"/>
  <c r="AT130" i="7" s="1"/>
  <c r="AN129" i="7"/>
  <c r="AQ129" i="7" s="1"/>
  <c r="AT129" i="7" s="1"/>
  <c r="AN128" i="7"/>
  <c r="AQ128" i="7" s="1"/>
  <c r="AT128" i="7" s="1"/>
  <c r="AN127" i="7"/>
  <c r="AQ127" i="7" s="1"/>
  <c r="AT127" i="7" s="1"/>
  <c r="AN126" i="7"/>
  <c r="AQ126" i="7" s="1"/>
  <c r="AT126" i="7" s="1"/>
  <c r="AN125" i="7"/>
  <c r="AQ125" i="7" s="1"/>
  <c r="AT125" i="7" s="1"/>
  <c r="AN124" i="7"/>
  <c r="AQ124" i="7" s="1"/>
  <c r="AT124" i="7" s="1"/>
  <c r="AN123" i="7"/>
  <c r="AQ123" i="7" s="1"/>
  <c r="AT123" i="7" s="1"/>
  <c r="AN122" i="7"/>
  <c r="AQ122" i="7" s="1"/>
  <c r="AT122" i="7" s="1"/>
  <c r="AN121" i="7"/>
  <c r="AQ121" i="7" s="1"/>
  <c r="AT121" i="7" s="1"/>
  <c r="AN120" i="7"/>
  <c r="AQ120" i="7" s="1"/>
  <c r="AT120" i="7" s="1"/>
  <c r="AN119" i="7"/>
  <c r="AQ119" i="7" s="1"/>
  <c r="AT119" i="7" s="1"/>
  <c r="AN118" i="7"/>
  <c r="AQ118" i="7" s="1"/>
  <c r="AT118" i="7" s="1"/>
  <c r="AN117" i="7"/>
  <c r="AQ117" i="7" s="1"/>
  <c r="AT117" i="7" s="1"/>
  <c r="AN116" i="7"/>
  <c r="AQ116" i="7" s="1"/>
  <c r="AT116" i="7" s="1"/>
  <c r="AN115" i="7"/>
  <c r="AQ115" i="7" s="1"/>
  <c r="AT115" i="7" s="1"/>
  <c r="AN114" i="7"/>
  <c r="AQ114" i="7" s="1"/>
  <c r="AT114" i="7" s="1"/>
  <c r="AN113" i="7"/>
  <c r="AQ113" i="7" s="1"/>
  <c r="AT113" i="7" s="1"/>
  <c r="AN112" i="7"/>
  <c r="AQ112" i="7" s="1"/>
  <c r="AT112" i="7" s="1"/>
  <c r="AN111" i="7"/>
  <c r="AQ111" i="7" s="1"/>
  <c r="AT111" i="7" s="1"/>
  <c r="AN110" i="7"/>
  <c r="AQ110" i="7" s="1"/>
  <c r="AT110" i="7" s="1"/>
  <c r="AN109" i="7"/>
  <c r="AQ109" i="7" s="1"/>
  <c r="AT109" i="7" s="1"/>
  <c r="AN108" i="7"/>
  <c r="AQ108" i="7" s="1"/>
  <c r="AT108" i="7" s="1"/>
  <c r="AN107" i="7"/>
  <c r="AQ107" i="7" s="1"/>
  <c r="AT107" i="7" s="1"/>
  <c r="AN106" i="7"/>
  <c r="AQ106" i="7" s="1"/>
  <c r="AT106" i="7" s="1"/>
  <c r="AN105" i="7"/>
  <c r="AQ105" i="7" s="1"/>
  <c r="AT105" i="7" s="1"/>
  <c r="AN104" i="7"/>
  <c r="AQ104" i="7" s="1"/>
  <c r="AT104" i="7" s="1"/>
  <c r="AN103" i="7"/>
  <c r="AQ103" i="7" s="1"/>
  <c r="AT103" i="7" s="1"/>
  <c r="AN102" i="7"/>
  <c r="AQ102" i="7" s="1"/>
  <c r="AT102" i="7" s="1"/>
  <c r="AN101" i="7"/>
  <c r="AQ101" i="7" s="1"/>
  <c r="AT101" i="7" s="1"/>
  <c r="AN100" i="7"/>
  <c r="AQ100" i="7" s="1"/>
  <c r="AT100" i="7" s="1"/>
  <c r="AN99" i="7"/>
  <c r="AQ99" i="7" s="1"/>
  <c r="AT99" i="7" s="1"/>
  <c r="AN98" i="7"/>
  <c r="AQ98" i="7" s="1"/>
  <c r="AT98" i="7" s="1"/>
  <c r="AN97" i="7"/>
  <c r="AQ97" i="7" s="1"/>
  <c r="AT97" i="7" s="1"/>
  <c r="AN96" i="7"/>
  <c r="AQ96" i="7" s="1"/>
  <c r="AT96" i="7" s="1"/>
  <c r="AN95" i="7"/>
  <c r="AQ95" i="7" s="1"/>
  <c r="AT95" i="7" s="1"/>
  <c r="AN94" i="7"/>
  <c r="AQ94" i="7" s="1"/>
  <c r="AT94" i="7" s="1"/>
  <c r="AN93" i="7"/>
  <c r="AQ93" i="7" s="1"/>
  <c r="AT93" i="7" s="1"/>
  <c r="AN92" i="7"/>
  <c r="AQ92" i="7" s="1"/>
  <c r="AT92" i="7" s="1"/>
  <c r="AN91" i="7"/>
  <c r="AQ91" i="7" s="1"/>
  <c r="AT91" i="7" s="1"/>
  <c r="AN90" i="7"/>
  <c r="AQ90" i="7" s="1"/>
  <c r="AT90" i="7" s="1"/>
  <c r="AN89" i="7"/>
  <c r="AQ89" i="7" s="1"/>
  <c r="AT89" i="7" s="1"/>
  <c r="AN88" i="7"/>
  <c r="AQ88" i="7" s="1"/>
  <c r="AT88" i="7" s="1"/>
  <c r="AN87" i="7"/>
  <c r="AQ87" i="7" s="1"/>
  <c r="AT87" i="7" s="1"/>
  <c r="AN86" i="7"/>
  <c r="AQ86" i="7" s="1"/>
  <c r="AT86" i="7" s="1"/>
  <c r="AN85" i="7"/>
  <c r="AQ85" i="7" s="1"/>
  <c r="AT85" i="7" s="1"/>
  <c r="AN84" i="7"/>
  <c r="AQ84" i="7" s="1"/>
  <c r="AT84" i="7" s="1"/>
  <c r="AN83" i="7"/>
  <c r="AQ83" i="7" s="1"/>
  <c r="AT83" i="7" s="1"/>
  <c r="AN82" i="7"/>
  <c r="AQ82" i="7" s="1"/>
  <c r="AT82" i="7" s="1"/>
  <c r="AN81" i="7"/>
  <c r="AQ81" i="7" s="1"/>
  <c r="AT81" i="7" s="1"/>
  <c r="AN80" i="7"/>
  <c r="AQ80" i="7" s="1"/>
  <c r="AT80" i="7" s="1"/>
  <c r="AN79" i="7"/>
  <c r="AQ79" i="7" s="1"/>
  <c r="AT79" i="7" s="1"/>
  <c r="AN78" i="7"/>
  <c r="AQ78" i="7" s="1"/>
  <c r="AT78" i="7" s="1"/>
  <c r="AN77" i="7"/>
  <c r="AQ77" i="7" s="1"/>
  <c r="AT77" i="7" s="1"/>
  <c r="AN76" i="7"/>
  <c r="AQ76" i="7" s="1"/>
  <c r="AT76" i="7" s="1"/>
  <c r="AN75" i="7"/>
  <c r="AQ75" i="7" s="1"/>
  <c r="AT75" i="7" s="1"/>
  <c r="AN74" i="7"/>
  <c r="AQ74" i="7" s="1"/>
  <c r="AT74" i="7" s="1"/>
  <c r="AN73" i="7"/>
  <c r="AQ73" i="7" s="1"/>
  <c r="AT73" i="7" s="1"/>
  <c r="AN72" i="7"/>
  <c r="AQ72" i="7" s="1"/>
  <c r="AT72" i="7" s="1"/>
  <c r="AN71" i="7"/>
  <c r="AQ71" i="7" s="1"/>
  <c r="AT71" i="7" s="1"/>
  <c r="AN70" i="7"/>
  <c r="AQ70" i="7" s="1"/>
  <c r="AT70" i="7" s="1"/>
  <c r="AN69" i="7"/>
  <c r="AQ69" i="7" s="1"/>
  <c r="AT69" i="7" s="1"/>
  <c r="AN68" i="7"/>
  <c r="AQ68" i="7" s="1"/>
  <c r="AT68" i="7" s="1"/>
  <c r="AN67" i="7"/>
  <c r="AQ67" i="7" s="1"/>
  <c r="AT67" i="7" s="1"/>
  <c r="AN66" i="7"/>
  <c r="AQ66" i="7" s="1"/>
  <c r="AT66" i="7" s="1"/>
  <c r="AN65" i="7"/>
  <c r="AQ65" i="7" s="1"/>
  <c r="AT65" i="7" s="1"/>
  <c r="AN64" i="7"/>
  <c r="AQ64" i="7" s="1"/>
  <c r="AT64" i="7" s="1"/>
  <c r="AN63" i="7"/>
  <c r="AQ63" i="7" s="1"/>
  <c r="AT63" i="7" s="1"/>
  <c r="AN62" i="7"/>
  <c r="AQ62" i="7" s="1"/>
  <c r="AT62" i="7" s="1"/>
  <c r="AN61" i="7"/>
  <c r="AQ61" i="7" s="1"/>
  <c r="AT61" i="7" s="1"/>
  <c r="AN60" i="7"/>
  <c r="AQ60" i="7" s="1"/>
  <c r="AT60" i="7" s="1"/>
  <c r="U60" i="7"/>
  <c r="AN59" i="7"/>
  <c r="AQ59" i="7" s="1"/>
  <c r="AT59" i="7" s="1"/>
  <c r="U59" i="7"/>
  <c r="AN58" i="7"/>
  <c r="AQ58" i="7" s="1"/>
  <c r="AT58" i="7" s="1"/>
  <c r="AN57" i="7"/>
  <c r="AQ57" i="7" s="1"/>
  <c r="AT57" i="7" s="1"/>
  <c r="AN56" i="7"/>
  <c r="AQ56" i="7" s="1"/>
  <c r="AT56" i="7" s="1"/>
  <c r="AN55" i="7"/>
  <c r="AQ55" i="7" s="1"/>
  <c r="AT55" i="7" s="1"/>
  <c r="AN54" i="7"/>
  <c r="AQ54" i="7" s="1"/>
  <c r="AT54" i="7" s="1"/>
  <c r="AN53" i="7"/>
  <c r="AQ53" i="7" s="1"/>
  <c r="AT53" i="7" s="1"/>
  <c r="AN52" i="7"/>
  <c r="AQ52" i="7" s="1"/>
  <c r="AT52" i="7" s="1"/>
  <c r="AN51" i="7"/>
  <c r="AQ51" i="7" s="1"/>
  <c r="AT51" i="7" s="1"/>
  <c r="AN50" i="7"/>
  <c r="AQ50" i="7" s="1"/>
  <c r="AT50" i="7" s="1"/>
  <c r="AN49" i="7"/>
  <c r="AQ49" i="7" s="1"/>
  <c r="AT49" i="7" s="1"/>
  <c r="AN48" i="7"/>
  <c r="AQ48" i="7" s="1"/>
  <c r="AT48" i="7" s="1"/>
  <c r="AN47" i="7"/>
  <c r="AQ47" i="7" s="1"/>
  <c r="AT47" i="7" s="1"/>
  <c r="AN46" i="7"/>
  <c r="AQ46" i="7" s="1"/>
  <c r="AT46" i="7" s="1"/>
  <c r="AN45" i="7"/>
  <c r="AQ45" i="7" s="1"/>
  <c r="AT45" i="7" s="1"/>
  <c r="AN44" i="7"/>
  <c r="AQ44" i="7" s="1"/>
  <c r="AT44" i="7" s="1"/>
  <c r="AN43" i="7"/>
  <c r="AQ43" i="7" s="1"/>
  <c r="AT43" i="7" s="1"/>
  <c r="AN42" i="7"/>
  <c r="AQ42" i="7" s="1"/>
  <c r="AT42" i="7" s="1"/>
  <c r="AN41" i="7"/>
  <c r="AQ41" i="7" s="1"/>
  <c r="AT41" i="7" s="1"/>
  <c r="AN40" i="7"/>
  <c r="AQ40" i="7" s="1"/>
  <c r="AT40" i="7" s="1"/>
  <c r="AN39" i="7"/>
  <c r="AQ39" i="7" s="1"/>
  <c r="AT39" i="7" s="1"/>
  <c r="AN38" i="7"/>
  <c r="AQ38" i="7" s="1"/>
  <c r="AT38" i="7" s="1"/>
  <c r="AN37" i="7"/>
  <c r="AQ37" i="7" s="1"/>
  <c r="AT37" i="7" s="1"/>
  <c r="AN36" i="7"/>
  <c r="AQ36" i="7" s="1"/>
  <c r="AT36" i="7" s="1"/>
  <c r="AN35" i="7"/>
  <c r="AQ35" i="7" s="1"/>
  <c r="AT35" i="7" s="1"/>
  <c r="AN34" i="7"/>
  <c r="AQ34" i="7" s="1"/>
  <c r="AT34" i="7" s="1"/>
  <c r="AN33" i="7"/>
  <c r="AQ33" i="7" s="1"/>
  <c r="AT33" i="7" s="1"/>
  <c r="AN32" i="7"/>
  <c r="AQ32" i="7" s="1"/>
  <c r="AT32" i="7" s="1"/>
  <c r="AN31" i="7"/>
  <c r="AQ31" i="7" s="1"/>
  <c r="AT31" i="7" s="1"/>
  <c r="AN30" i="7"/>
  <c r="AQ30" i="7" s="1"/>
  <c r="AT30" i="7" s="1"/>
  <c r="AN29" i="7"/>
  <c r="AQ29" i="7" s="1"/>
  <c r="AT29" i="7" s="1"/>
  <c r="AN28" i="7"/>
  <c r="AQ28" i="7" s="1"/>
  <c r="AT28" i="7" s="1"/>
  <c r="AN27" i="7"/>
  <c r="AQ27" i="7" s="1"/>
  <c r="AT27" i="7" s="1"/>
  <c r="AN26" i="7"/>
  <c r="AQ26" i="7" s="1"/>
  <c r="AT26" i="7" s="1"/>
  <c r="AN25" i="7"/>
  <c r="AQ25" i="7" s="1"/>
  <c r="AT25" i="7" s="1"/>
  <c r="AN24" i="7"/>
  <c r="AQ24" i="7" s="1"/>
  <c r="AT24" i="7" s="1"/>
  <c r="AN23" i="7"/>
  <c r="AQ23" i="7" s="1"/>
  <c r="AT23" i="7" s="1"/>
  <c r="AN22" i="7"/>
  <c r="AQ22" i="7" s="1"/>
  <c r="AT22" i="7" s="1"/>
  <c r="AN21" i="7"/>
  <c r="AQ21" i="7" s="1"/>
  <c r="AT21" i="7" s="1"/>
  <c r="AN20" i="7"/>
  <c r="AQ20" i="7" s="1"/>
  <c r="AT20" i="7" s="1"/>
  <c r="B20" i="7" a="1"/>
  <c r="C86" i="7" s="1"/>
  <c r="AN19" i="7"/>
  <c r="AQ19" i="7" s="1"/>
  <c r="AT19" i="7" s="1"/>
  <c r="AN18" i="7"/>
  <c r="AQ18" i="7" s="1"/>
  <c r="AT18" i="7" s="1"/>
  <c r="AC12" i="7"/>
  <c r="W12" i="7"/>
  <c r="D12" i="7"/>
  <c r="C12" i="7" s="1"/>
  <c r="C9" i="7" s="1"/>
  <c r="AC5" i="7"/>
  <c r="W5" i="7"/>
  <c r="C91" i="17"/>
  <c r="B91" i="17"/>
  <c r="C90" i="17"/>
  <c r="B90" i="17"/>
  <c r="C89" i="17"/>
  <c r="B89" i="17"/>
  <c r="C88" i="17"/>
  <c r="B88" i="17"/>
  <c r="C87" i="17"/>
  <c r="B87" i="17"/>
  <c r="C86" i="17"/>
  <c r="B86" i="17"/>
  <c r="C85" i="17"/>
  <c r="B85" i="17"/>
  <c r="C84" i="17"/>
  <c r="B84" i="17"/>
  <c r="C83" i="17"/>
  <c r="B83" i="17"/>
  <c r="C82" i="17"/>
  <c r="B82" i="17"/>
  <c r="C81" i="17"/>
  <c r="B81" i="17"/>
  <c r="C80" i="17"/>
  <c r="B80" i="17"/>
  <c r="C79" i="17"/>
  <c r="B79" i="17"/>
  <c r="C78" i="17"/>
  <c r="B78" i="17"/>
  <c r="C77" i="17"/>
  <c r="B77" i="17"/>
  <c r="C76" i="17"/>
  <c r="B76" i="17"/>
  <c r="C75" i="17"/>
  <c r="B75" i="17"/>
  <c r="C74" i="17"/>
  <c r="B74" i="17"/>
  <c r="C73" i="17"/>
  <c r="B73" i="17"/>
  <c r="C72" i="17"/>
  <c r="B72" i="17"/>
  <c r="C71" i="17"/>
  <c r="B71" i="17"/>
  <c r="C70" i="17"/>
  <c r="B70" i="17"/>
  <c r="C69" i="17"/>
  <c r="B69" i="17"/>
  <c r="C68" i="17"/>
  <c r="B68" i="17"/>
  <c r="C67" i="17"/>
  <c r="B67" i="17"/>
  <c r="C66" i="17"/>
  <c r="B66" i="17"/>
  <c r="C65" i="17"/>
  <c r="B65" i="17"/>
  <c r="C64" i="17"/>
  <c r="B64" i="17"/>
  <c r="C63" i="17"/>
  <c r="B63" i="17"/>
  <c r="C62" i="17"/>
  <c r="B62" i="17"/>
  <c r="C61" i="17"/>
  <c r="B61" i="17"/>
  <c r="C60" i="17"/>
  <c r="B60" i="17"/>
  <c r="C59" i="17"/>
  <c r="B59" i="17"/>
  <c r="C58" i="17"/>
  <c r="B58" i="17"/>
  <c r="M57" i="17"/>
  <c r="C57" i="17"/>
  <c r="B57" i="17"/>
  <c r="M56" i="17"/>
  <c r="C56" i="17"/>
  <c r="B56" i="17"/>
  <c r="M55" i="17"/>
  <c r="C55" i="17"/>
  <c r="B55" i="17"/>
  <c r="J54" i="17"/>
  <c r="C54" i="17"/>
  <c r="I54" i="17" s="1"/>
  <c r="B54" i="17"/>
  <c r="J53" i="17"/>
  <c r="C53" i="17"/>
  <c r="I53" i="17" s="1"/>
  <c r="B53" i="17"/>
  <c r="J52" i="17"/>
  <c r="C52" i="17"/>
  <c r="I52" i="17" s="1"/>
  <c r="B52" i="17"/>
  <c r="J51" i="17"/>
  <c r="C51" i="17"/>
  <c r="I51" i="17" s="1"/>
  <c r="B51" i="17"/>
  <c r="J50" i="17"/>
  <c r="C50" i="17"/>
  <c r="I50" i="17" s="1"/>
  <c r="B50" i="17"/>
  <c r="J49" i="17"/>
  <c r="C49" i="17"/>
  <c r="I49" i="17" s="1"/>
  <c r="B49" i="17"/>
  <c r="J48" i="17"/>
  <c r="C48" i="17"/>
  <c r="I48" i="17" s="1"/>
  <c r="B48" i="17"/>
  <c r="J47" i="17"/>
  <c r="C47" i="17"/>
  <c r="I47" i="17" s="1"/>
  <c r="B47" i="17"/>
  <c r="J46" i="17"/>
  <c r="C46" i="17"/>
  <c r="I46" i="17" s="1"/>
  <c r="B46" i="17"/>
  <c r="J45" i="17"/>
  <c r="C45" i="17"/>
  <c r="I45" i="17" s="1"/>
  <c r="B45" i="17"/>
  <c r="J44" i="17"/>
  <c r="C44" i="17"/>
  <c r="I44" i="17" s="1"/>
  <c r="B44" i="17"/>
  <c r="J43" i="17"/>
  <c r="C43" i="17"/>
  <c r="I43" i="17" s="1"/>
  <c r="B43" i="17"/>
  <c r="J42" i="17"/>
  <c r="C42" i="17"/>
  <c r="I42" i="17" s="1"/>
  <c r="B42" i="17"/>
  <c r="J41" i="17"/>
  <c r="C41" i="17"/>
  <c r="I41" i="17" s="1"/>
  <c r="B41" i="17"/>
  <c r="J40" i="17"/>
  <c r="C40" i="17"/>
  <c r="I40" i="17" s="1"/>
  <c r="B40" i="17"/>
  <c r="J39" i="17"/>
  <c r="C39" i="17"/>
  <c r="I39" i="17" s="1"/>
  <c r="B39" i="17"/>
  <c r="J38" i="17"/>
  <c r="C38" i="17"/>
  <c r="I38" i="17" s="1"/>
  <c r="B38" i="17"/>
  <c r="J37" i="17"/>
  <c r="C37" i="17"/>
  <c r="I37" i="17" s="1"/>
  <c r="B37" i="17"/>
  <c r="J36" i="17"/>
  <c r="C36" i="17"/>
  <c r="I36" i="17" s="1"/>
  <c r="B36" i="17"/>
  <c r="J35" i="17"/>
  <c r="C35" i="17"/>
  <c r="I35" i="17" s="1"/>
  <c r="B35" i="17"/>
  <c r="J34" i="17"/>
  <c r="C34" i="17"/>
  <c r="I34" i="17" s="1"/>
  <c r="B34" i="17"/>
  <c r="J33" i="17"/>
  <c r="C33" i="17"/>
  <c r="I33" i="17" s="1"/>
  <c r="B33" i="17"/>
  <c r="J32" i="17"/>
  <c r="C32" i="17"/>
  <c r="I32" i="17" s="1"/>
  <c r="B32" i="17"/>
  <c r="J31" i="17"/>
  <c r="C31" i="17"/>
  <c r="I31" i="17" s="1"/>
  <c r="B31" i="17"/>
  <c r="J30" i="17"/>
  <c r="C30" i="17"/>
  <c r="I30" i="17" s="1"/>
  <c r="B30" i="17"/>
  <c r="J29" i="17"/>
  <c r="C29" i="17"/>
  <c r="I29" i="17" s="1"/>
  <c r="B29" i="17"/>
  <c r="J28" i="17"/>
  <c r="C28" i="17"/>
  <c r="I28" i="17" s="1"/>
  <c r="B28" i="17"/>
  <c r="J27" i="17"/>
  <c r="C27" i="17"/>
  <c r="I27" i="17" s="1"/>
  <c r="B27" i="17"/>
  <c r="J26" i="17"/>
  <c r="C26" i="17"/>
  <c r="I26" i="17" s="1"/>
  <c r="B26" i="17"/>
  <c r="J25" i="17"/>
  <c r="C25" i="17"/>
  <c r="I25" i="17" s="1"/>
  <c r="B25" i="17"/>
  <c r="J24" i="17"/>
  <c r="C24" i="17"/>
  <c r="I24" i="17" s="1"/>
  <c r="B24" i="17"/>
  <c r="J23" i="17"/>
  <c r="C23" i="17"/>
  <c r="I23" i="17" s="1"/>
  <c r="B23" i="17"/>
  <c r="C22" i="17"/>
  <c r="I22" i="17" s="1"/>
  <c r="B22" i="17"/>
  <c r="C21" i="17"/>
  <c r="I21" i="17" s="1"/>
  <c r="B21" i="17"/>
  <c r="C7" i="17"/>
  <c r="C91" i="5"/>
  <c r="B91" i="5"/>
  <c r="C90" i="5"/>
  <c r="B90" i="5"/>
  <c r="C89" i="5"/>
  <c r="B89" i="5"/>
  <c r="C88" i="5"/>
  <c r="B88" i="5"/>
  <c r="C87" i="5"/>
  <c r="B87" i="5"/>
  <c r="C86" i="5"/>
  <c r="B86" i="5"/>
  <c r="C85" i="5"/>
  <c r="B85" i="5"/>
  <c r="C84" i="5"/>
  <c r="B84" i="5"/>
  <c r="C83" i="5"/>
  <c r="B83" i="5"/>
  <c r="C82" i="5"/>
  <c r="B82" i="5"/>
  <c r="C81" i="5"/>
  <c r="B81" i="5"/>
  <c r="C80" i="5"/>
  <c r="B80" i="5"/>
  <c r="C79" i="5"/>
  <c r="B79" i="5"/>
  <c r="C78" i="5"/>
  <c r="B78" i="5"/>
  <c r="C77" i="5"/>
  <c r="B77" i="5"/>
  <c r="C76" i="5"/>
  <c r="B76" i="5"/>
  <c r="C75" i="5"/>
  <c r="B75" i="5"/>
  <c r="C74" i="5"/>
  <c r="B74" i="5"/>
  <c r="C73" i="5"/>
  <c r="B73" i="5"/>
  <c r="C72" i="5"/>
  <c r="B72" i="5"/>
  <c r="C71" i="5"/>
  <c r="B71" i="5"/>
  <c r="C70" i="5"/>
  <c r="B70" i="5"/>
  <c r="C69" i="5"/>
  <c r="B69" i="5"/>
  <c r="C68" i="5"/>
  <c r="B68" i="5"/>
  <c r="C67" i="5"/>
  <c r="B67" i="5"/>
  <c r="C66" i="5"/>
  <c r="B66" i="5"/>
  <c r="C65" i="5"/>
  <c r="B65" i="5"/>
  <c r="C64" i="5"/>
  <c r="B64" i="5"/>
  <c r="C63" i="5"/>
  <c r="B63" i="5"/>
  <c r="C62" i="5"/>
  <c r="B62" i="5"/>
  <c r="C61" i="5"/>
  <c r="B61" i="5"/>
  <c r="C60" i="5"/>
  <c r="B60" i="5"/>
  <c r="C59" i="5"/>
  <c r="B59" i="5"/>
  <c r="C58" i="5"/>
  <c r="B58" i="5"/>
  <c r="M57" i="5"/>
  <c r="C57" i="5"/>
  <c r="B57" i="5"/>
  <c r="M56" i="5"/>
  <c r="C56" i="5"/>
  <c r="B56" i="5"/>
  <c r="B55" i="5"/>
  <c r="J54" i="5"/>
  <c r="C54" i="5"/>
  <c r="B54" i="5"/>
  <c r="J53" i="5"/>
  <c r="C53" i="5"/>
  <c r="I53" i="5" s="1"/>
  <c r="B53" i="5"/>
  <c r="J52" i="5"/>
  <c r="C52" i="5"/>
  <c r="I52" i="5" s="1"/>
  <c r="B52" i="5"/>
  <c r="J51" i="5"/>
  <c r="C51" i="5"/>
  <c r="I51" i="5" s="1"/>
  <c r="B51" i="5"/>
  <c r="J50" i="5"/>
  <c r="C50" i="5"/>
  <c r="I50" i="5" s="1"/>
  <c r="B50" i="5"/>
  <c r="J49" i="5"/>
  <c r="C49" i="5"/>
  <c r="I49" i="5" s="1"/>
  <c r="B49" i="5"/>
  <c r="J48" i="5"/>
  <c r="C48" i="5"/>
  <c r="I48" i="5" s="1"/>
  <c r="B48" i="5"/>
  <c r="J47" i="5"/>
  <c r="C47" i="5"/>
  <c r="I47" i="5" s="1"/>
  <c r="B47" i="5"/>
  <c r="J46" i="5"/>
  <c r="C46" i="5"/>
  <c r="I46" i="5" s="1"/>
  <c r="B46" i="5"/>
  <c r="J45" i="5"/>
  <c r="C45" i="5"/>
  <c r="I45" i="5" s="1"/>
  <c r="B45" i="5"/>
  <c r="J44" i="5"/>
  <c r="C44" i="5"/>
  <c r="I44" i="5" s="1"/>
  <c r="B44" i="5"/>
  <c r="J43" i="5"/>
  <c r="C43" i="5"/>
  <c r="I43" i="5" s="1"/>
  <c r="B43" i="5"/>
  <c r="J42" i="5"/>
  <c r="C42" i="5"/>
  <c r="I42" i="5" s="1"/>
  <c r="B42" i="5"/>
  <c r="J41" i="5"/>
  <c r="C41" i="5"/>
  <c r="I41" i="5" s="1"/>
  <c r="B41" i="5"/>
  <c r="J40" i="5"/>
  <c r="C40" i="5"/>
  <c r="I40" i="5" s="1"/>
  <c r="B40" i="5"/>
  <c r="J39" i="5"/>
  <c r="C39" i="5"/>
  <c r="I39" i="5" s="1"/>
  <c r="B39" i="5"/>
  <c r="J38" i="5"/>
  <c r="C38" i="5"/>
  <c r="I38" i="5" s="1"/>
  <c r="B38" i="5"/>
  <c r="J37" i="5"/>
  <c r="C37" i="5"/>
  <c r="I37" i="5" s="1"/>
  <c r="B37" i="5"/>
  <c r="J36" i="5"/>
  <c r="C36" i="5"/>
  <c r="I36" i="5" s="1"/>
  <c r="B36" i="5"/>
  <c r="J35" i="5"/>
  <c r="C35" i="5"/>
  <c r="I35" i="5" s="1"/>
  <c r="B35" i="5"/>
  <c r="J34" i="5"/>
  <c r="C34" i="5"/>
  <c r="I34" i="5" s="1"/>
  <c r="B34" i="5"/>
  <c r="J33" i="5"/>
  <c r="C33" i="5"/>
  <c r="I33" i="5" s="1"/>
  <c r="B33" i="5"/>
  <c r="J32" i="5"/>
  <c r="C32" i="5"/>
  <c r="I32" i="5" s="1"/>
  <c r="B32" i="5"/>
  <c r="J31" i="5"/>
  <c r="C31" i="5"/>
  <c r="I31" i="5" s="1"/>
  <c r="B31" i="5"/>
  <c r="J30" i="5"/>
  <c r="C30" i="5"/>
  <c r="I30" i="5" s="1"/>
  <c r="B30" i="5"/>
  <c r="J29" i="5"/>
  <c r="C29" i="5"/>
  <c r="I29" i="5" s="1"/>
  <c r="B29" i="5"/>
  <c r="J28" i="5"/>
  <c r="C28" i="5"/>
  <c r="I28" i="5" s="1"/>
  <c r="B28" i="5"/>
  <c r="J27" i="5"/>
  <c r="C27" i="5"/>
  <c r="I27" i="5" s="1"/>
  <c r="B27" i="5"/>
  <c r="J26" i="5"/>
  <c r="C26" i="5"/>
  <c r="I26" i="5" s="1"/>
  <c r="B26" i="5"/>
  <c r="J25" i="5"/>
  <c r="C25" i="5"/>
  <c r="I25" i="5" s="1"/>
  <c r="B25" i="5"/>
  <c r="J24" i="5"/>
  <c r="C24" i="5"/>
  <c r="I24" i="5" s="1"/>
  <c r="B24" i="5"/>
  <c r="J23" i="5"/>
  <c r="C23" i="5"/>
  <c r="I23" i="5" s="1"/>
  <c r="B23" i="5"/>
  <c r="C22" i="5"/>
  <c r="I22" i="5" s="1"/>
  <c r="B22" i="5"/>
  <c r="C21" i="5"/>
  <c r="I21" i="5" s="1"/>
  <c r="B21" i="5"/>
  <c r="C7" i="5"/>
  <c r="C90" i="14"/>
  <c r="B90" i="14"/>
  <c r="C89" i="14"/>
  <c r="B89" i="14"/>
  <c r="C88" i="14"/>
  <c r="B88" i="14"/>
  <c r="C87" i="14"/>
  <c r="B87" i="14"/>
  <c r="C86" i="14"/>
  <c r="B86" i="14"/>
  <c r="C85" i="14"/>
  <c r="B85" i="14"/>
  <c r="C84" i="14"/>
  <c r="B84" i="14"/>
  <c r="C83" i="14"/>
  <c r="B83" i="14"/>
  <c r="C82" i="14"/>
  <c r="B82" i="14"/>
  <c r="C81" i="14"/>
  <c r="B81" i="14"/>
  <c r="C80" i="14"/>
  <c r="B80" i="14"/>
  <c r="C79" i="14"/>
  <c r="B79" i="14"/>
  <c r="C78" i="14"/>
  <c r="B78" i="14"/>
  <c r="C77" i="14"/>
  <c r="B77" i="14"/>
  <c r="C76" i="14"/>
  <c r="B76" i="14"/>
  <c r="C75" i="14"/>
  <c r="B75" i="14"/>
  <c r="C74" i="14"/>
  <c r="B74" i="14"/>
  <c r="C73" i="14"/>
  <c r="B73" i="14"/>
  <c r="C72" i="14"/>
  <c r="B72" i="14"/>
  <c r="C71" i="14"/>
  <c r="B71" i="14"/>
  <c r="C70" i="14"/>
  <c r="B70" i="14"/>
  <c r="C69" i="14"/>
  <c r="B69" i="14"/>
  <c r="C68" i="14"/>
  <c r="B68" i="14"/>
  <c r="C67" i="14"/>
  <c r="B67" i="14"/>
  <c r="C66" i="14"/>
  <c r="B66" i="14"/>
  <c r="C65" i="14"/>
  <c r="B65" i="14"/>
  <c r="C64" i="14"/>
  <c r="B64" i="14"/>
  <c r="C63" i="14"/>
  <c r="B63" i="14"/>
  <c r="C62" i="14"/>
  <c r="B62" i="14"/>
  <c r="C61" i="14"/>
  <c r="B61" i="14"/>
  <c r="C60" i="14"/>
  <c r="B60" i="14"/>
  <c r="C59" i="14"/>
  <c r="B59" i="14"/>
  <c r="C58" i="14"/>
  <c r="B58" i="14"/>
  <c r="C57" i="14"/>
  <c r="B57" i="14"/>
  <c r="C56" i="14"/>
  <c r="B56" i="14"/>
  <c r="J55" i="14"/>
  <c r="B55" i="14"/>
  <c r="J54" i="14"/>
  <c r="C54" i="14"/>
  <c r="I54" i="14" s="1"/>
  <c r="I57" i="14" s="1"/>
  <c r="B54" i="14"/>
  <c r="J53" i="14"/>
  <c r="C53" i="14"/>
  <c r="I53" i="14" s="1"/>
  <c r="B53" i="14"/>
  <c r="J52" i="14"/>
  <c r="C52" i="14"/>
  <c r="I52" i="14" s="1"/>
  <c r="B52" i="14"/>
  <c r="J51" i="14"/>
  <c r="C51" i="14"/>
  <c r="I51" i="14" s="1"/>
  <c r="B51" i="14"/>
  <c r="J50" i="14"/>
  <c r="C50" i="14"/>
  <c r="I50" i="14" s="1"/>
  <c r="B50" i="14"/>
  <c r="J49" i="14"/>
  <c r="C49" i="14"/>
  <c r="I49" i="14" s="1"/>
  <c r="B49" i="14"/>
  <c r="J48" i="14"/>
  <c r="C48" i="14"/>
  <c r="I48" i="14" s="1"/>
  <c r="B48" i="14"/>
  <c r="J47" i="14"/>
  <c r="C47" i="14"/>
  <c r="I47" i="14" s="1"/>
  <c r="B47" i="14"/>
  <c r="J46" i="14"/>
  <c r="C46" i="14"/>
  <c r="I46" i="14" s="1"/>
  <c r="B46" i="14"/>
  <c r="J45" i="14"/>
  <c r="C45" i="14"/>
  <c r="I45" i="14" s="1"/>
  <c r="B45" i="14"/>
  <c r="J44" i="14"/>
  <c r="C44" i="14"/>
  <c r="I44" i="14" s="1"/>
  <c r="B44" i="14"/>
  <c r="J43" i="14"/>
  <c r="C43" i="14"/>
  <c r="I43" i="14" s="1"/>
  <c r="B43" i="14"/>
  <c r="J42" i="14"/>
  <c r="C42" i="14"/>
  <c r="I42" i="14" s="1"/>
  <c r="B42" i="14"/>
  <c r="J41" i="14"/>
  <c r="C41" i="14"/>
  <c r="I41" i="14" s="1"/>
  <c r="B41" i="14"/>
  <c r="J40" i="14"/>
  <c r="C40" i="14"/>
  <c r="I40" i="14" s="1"/>
  <c r="B40" i="14"/>
  <c r="J39" i="14"/>
  <c r="B39" i="14"/>
  <c r="J38" i="14"/>
  <c r="B38" i="14"/>
  <c r="J37" i="14"/>
  <c r="C37" i="14"/>
  <c r="I37" i="14" s="1"/>
  <c r="B37" i="14"/>
  <c r="J36" i="14"/>
  <c r="C36" i="14"/>
  <c r="I36" i="14" s="1"/>
  <c r="B36" i="14"/>
  <c r="J35" i="14"/>
  <c r="C35" i="14"/>
  <c r="I35" i="14" s="1"/>
  <c r="B35" i="14"/>
  <c r="J34" i="14"/>
  <c r="C34" i="14"/>
  <c r="I34" i="14" s="1"/>
  <c r="B34" i="14"/>
  <c r="J33" i="14"/>
  <c r="C33" i="14"/>
  <c r="I33" i="14" s="1"/>
  <c r="B33" i="14"/>
  <c r="J32" i="14"/>
  <c r="C32" i="14"/>
  <c r="I32" i="14" s="1"/>
  <c r="B32" i="14"/>
  <c r="J31" i="14"/>
  <c r="C31" i="14"/>
  <c r="I31" i="14" s="1"/>
  <c r="B31" i="14"/>
  <c r="J30" i="14"/>
  <c r="C30" i="14"/>
  <c r="I30" i="14" s="1"/>
  <c r="B30" i="14"/>
  <c r="J29" i="14"/>
  <c r="C29" i="14"/>
  <c r="I29" i="14" s="1"/>
  <c r="B29" i="14"/>
  <c r="J28" i="14"/>
  <c r="C28" i="14"/>
  <c r="I28" i="14" s="1"/>
  <c r="B28" i="14"/>
  <c r="J27" i="14"/>
  <c r="C27" i="14"/>
  <c r="I27" i="14" s="1"/>
  <c r="B27" i="14"/>
  <c r="J26" i="14"/>
  <c r="C26" i="14"/>
  <c r="I26" i="14" s="1"/>
  <c r="B26" i="14"/>
  <c r="J25" i="14"/>
  <c r="C25" i="14"/>
  <c r="I25" i="14" s="1"/>
  <c r="B25" i="14"/>
  <c r="J24" i="14"/>
  <c r="B24" i="14"/>
  <c r="J23" i="14"/>
  <c r="B23" i="14"/>
  <c r="J22" i="14"/>
  <c r="C22" i="14"/>
  <c r="I22" i="14" s="1"/>
  <c r="B22" i="14"/>
  <c r="C21" i="14"/>
  <c r="I21" i="14" s="1"/>
  <c r="B21" i="14"/>
  <c r="C20" i="14"/>
  <c r="I20" i="14" s="1"/>
  <c r="B20" i="14"/>
  <c r="H18" i="14"/>
  <c r="C7" i="14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J55" i="1"/>
  <c r="C55" i="1"/>
  <c r="I55" i="1" s="1"/>
  <c r="B55" i="1"/>
  <c r="J54" i="1"/>
  <c r="C54" i="1"/>
  <c r="I54" i="1" s="1"/>
  <c r="B54" i="1"/>
  <c r="J53" i="1"/>
  <c r="C53" i="1"/>
  <c r="I53" i="1" s="1"/>
  <c r="B53" i="1"/>
  <c r="J52" i="1"/>
  <c r="C52" i="1"/>
  <c r="I52" i="1" s="1"/>
  <c r="B52" i="1"/>
  <c r="J51" i="1"/>
  <c r="C51" i="1"/>
  <c r="I51" i="1" s="1"/>
  <c r="B51" i="1"/>
  <c r="J50" i="1"/>
  <c r="C50" i="1"/>
  <c r="I50" i="1" s="1"/>
  <c r="B50" i="1"/>
  <c r="J49" i="1"/>
  <c r="C49" i="1"/>
  <c r="I49" i="1" s="1"/>
  <c r="B49" i="1"/>
  <c r="J48" i="1"/>
  <c r="C48" i="1"/>
  <c r="I48" i="1" s="1"/>
  <c r="B48" i="1"/>
  <c r="J47" i="1"/>
  <c r="C47" i="1"/>
  <c r="I47" i="1" s="1"/>
  <c r="B47" i="1"/>
  <c r="J46" i="1"/>
  <c r="C46" i="1"/>
  <c r="I46" i="1" s="1"/>
  <c r="B46" i="1"/>
  <c r="J45" i="1"/>
  <c r="C45" i="1"/>
  <c r="I45" i="1" s="1"/>
  <c r="B45" i="1"/>
  <c r="J44" i="1"/>
  <c r="C44" i="1"/>
  <c r="I44" i="1" s="1"/>
  <c r="B44" i="1"/>
  <c r="J43" i="1"/>
  <c r="C43" i="1"/>
  <c r="I43" i="1" s="1"/>
  <c r="B43" i="1"/>
  <c r="J42" i="1"/>
  <c r="C42" i="1"/>
  <c r="I42" i="1" s="1"/>
  <c r="B42" i="1"/>
  <c r="J41" i="1"/>
  <c r="C41" i="1"/>
  <c r="I41" i="1" s="1"/>
  <c r="B41" i="1"/>
  <c r="J40" i="1"/>
  <c r="C40" i="1"/>
  <c r="I40" i="1" s="1"/>
  <c r="B40" i="1"/>
  <c r="J39" i="1"/>
  <c r="C39" i="1"/>
  <c r="I39" i="1" s="1"/>
  <c r="B39" i="1"/>
  <c r="J38" i="1"/>
  <c r="C38" i="1"/>
  <c r="I38" i="1" s="1"/>
  <c r="B38" i="1"/>
  <c r="J37" i="1"/>
  <c r="C37" i="1"/>
  <c r="I37" i="1" s="1"/>
  <c r="B37" i="1"/>
  <c r="J36" i="1"/>
  <c r="C36" i="1"/>
  <c r="I36" i="1" s="1"/>
  <c r="B36" i="1"/>
  <c r="J35" i="1"/>
  <c r="C35" i="1"/>
  <c r="I35" i="1" s="1"/>
  <c r="B35" i="1"/>
  <c r="J34" i="1"/>
  <c r="C34" i="1"/>
  <c r="I34" i="1" s="1"/>
  <c r="B34" i="1"/>
  <c r="J33" i="1"/>
  <c r="C33" i="1"/>
  <c r="B33" i="1"/>
  <c r="J32" i="1"/>
  <c r="C32" i="1"/>
  <c r="I33" i="1" s="1"/>
  <c r="B32" i="1"/>
  <c r="J31" i="1"/>
  <c r="C31" i="1"/>
  <c r="I32" i="1" s="1"/>
  <c r="B31" i="1"/>
  <c r="J30" i="1"/>
  <c r="C30" i="1"/>
  <c r="I31" i="1" s="1"/>
  <c r="B30" i="1"/>
  <c r="J29" i="1"/>
  <c r="C29" i="1"/>
  <c r="I30" i="1" s="1"/>
  <c r="B29" i="1"/>
  <c r="J28" i="1"/>
  <c r="C28" i="1"/>
  <c r="I29" i="1" s="1"/>
  <c r="B28" i="1"/>
  <c r="J27" i="1"/>
  <c r="C27" i="1"/>
  <c r="I28" i="1" s="1"/>
  <c r="B27" i="1"/>
  <c r="J26" i="1"/>
  <c r="C26" i="1"/>
  <c r="I27" i="1" s="1"/>
  <c r="B26" i="1"/>
  <c r="J25" i="1"/>
  <c r="C25" i="1"/>
  <c r="I26" i="1" s="1"/>
  <c r="B25" i="1"/>
  <c r="J24" i="1"/>
  <c r="C24" i="1"/>
  <c r="I25" i="1" s="1"/>
  <c r="B24" i="1"/>
  <c r="J23" i="1"/>
  <c r="C23" i="1"/>
  <c r="I24" i="1" s="1"/>
  <c r="B23" i="1"/>
  <c r="J22" i="1"/>
  <c r="C22" i="1"/>
  <c r="I23" i="1" s="1"/>
  <c r="B22" i="1"/>
  <c r="J21" i="1"/>
  <c r="C21" i="1"/>
  <c r="I22" i="1" s="1"/>
  <c r="B21" i="1"/>
  <c r="C20" i="1"/>
  <c r="I21" i="1" s="1"/>
  <c r="B20" i="1"/>
  <c r="C19" i="1"/>
  <c r="I20" i="1" s="1"/>
  <c r="B19" i="1"/>
  <c r="C18" i="1"/>
  <c r="B18" i="1"/>
  <c r="C7" i="1"/>
  <c r="H33" i="15"/>
  <c r="H40" i="15"/>
  <c r="H43" i="15"/>
  <c r="R40" i="7"/>
  <c r="AL9" i="7"/>
  <c r="H60" i="15"/>
  <c r="H36" i="15"/>
  <c r="H45" i="15"/>
  <c r="H69" i="15"/>
  <c r="R53" i="7"/>
  <c r="H48" i="15"/>
  <c r="H64" i="15"/>
  <c r="R45" i="7"/>
  <c r="H28" i="15"/>
  <c r="R54" i="7"/>
  <c r="H37" i="15"/>
  <c r="H46" i="15"/>
  <c r="E3" i="16"/>
  <c r="E42" i="1"/>
  <c r="E26" i="1"/>
  <c r="E35" i="1"/>
  <c r="E48" i="1"/>
  <c r="E32" i="1"/>
  <c r="S11" i="13"/>
  <c r="E31" i="1"/>
  <c r="E18" i="1"/>
  <c r="C5" i="1"/>
  <c r="E38" i="1"/>
  <c r="E22" i="1"/>
  <c r="E44" i="1"/>
  <c r="E28" i="1"/>
  <c r="E23" i="1"/>
  <c r="V11" i="13"/>
  <c r="C2" i="1"/>
  <c r="E24" i="1"/>
  <c r="E55" i="1"/>
  <c r="H49" i="15"/>
  <c r="AU9" i="7"/>
  <c r="H47" i="15"/>
  <c r="H63" i="15"/>
  <c r="R57" i="7"/>
  <c r="H71" i="15"/>
  <c r="E46" i="1"/>
  <c r="E47" i="1"/>
  <c r="E36" i="1"/>
  <c r="E53" i="1"/>
  <c r="E21" i="1"/>
  <c r="C3" i="1"/>
  <c r="X32" i="1"/>
  <c r="X27" i="1"/>
  <c r="X42" i="1"/>
  <c r="H35" i="15"/>
  <c r="H52" i="15"/>
  <c r="H57" i="15"/>
  <c r="R49" i="7"/>
  <c r="R55" i="7"/>
  <c r="H68" i="15"/>
  <c r="H54" i="15"/>
  <c r="H32" i="15"/>
  <c r="H34" i="15"/>
  <c r="H29" i="15"/>
  <c r="R52" i="7"/>
  <c r="H62" i="15"/>
  <c r="H44" i="15"/>
  <c r="AO9" i="7"/>
  <c r="H61" i="15"/>
  <c r="R47" i="7"/>
  <c r="H39" i="15"/>
  <c r="H67" i="15"/>
  <c r="E54" i="1"/>
  <c r="E27" i="1"/>
  <c r="P11" i="13"/>
  <c r="C2" i="14"/>
  <c r="X47" i="1"/>
  <c r="X21" i="1"/>
  <c r="E51" i="1"/>
  <c r="X20" i="1"/>
  <c r="X38" i="1"/>
  <c r="X49" i="1"/>
  <c r="H56" i="15"/>
  <c r="H59" i="15"/>
  <c r="R48" i="7"/>
  <c r="H58" i="15"/>
  <c r="R56" i="7"/>
  <c r="R58" i="7"/>
  <c r="C2" i="17"/>
  <c r="E30" i="1"/>
  <c r="E11" i="13"/>
  <c r="E37" i="1"/>
  <c r="C6" i="14"/>
  <c r="X45" i="1"/>
  <c r="X34" i="1"/>
  <c r="X31" i="1"/>
  <c r="H66" i="15"/>
  <c r="H31" i="15"/>
  <c r="H55" i="15"/>
  <c r="R41" i="7"/>
  <c r="C2" i="5"/>
  <c r="X20" i="5" s="1"/>
  <c r="R43" i="7"/>
  <c r="H30" i="15"/>
  <c r="T16" i="15"/>
  <c r="H38" i="15"/>
  <c r="R44" i="7"/>
  <c r="R42" i="7"/>
  <c r="T31" i="15"/>
  <c r="R50" i="7"/>
  <c r="H42" i="15"/>
  <c r="H65" i="15"/>
  <c r="H41" i="15"/>
  <c r="AR9" i="7"/>
  <c r="R51" i="7"/>
  <c r="E50" i="1"/>
  <c r="E34" i="1"/>
  <c r="M11" i="13"/>
  <c r="E20" i="1"/>
  <c r="E40" i="1"/>
  <c r="C3" i="16"/>
  <c r="E19" i="14"/>
  <c r="X55" i="1"/>
  <c r="X37" i="1"/>
  <c r="H51" i="15"/>
  <c r="H70" i="15"/>
  <c r="H53" i="15"/>
  <c r="R46" i="7"/>
  <c r="H50" i="15"/>
  <c r="X20" i="17"/>
  <c r="E52" i="1"/>
  <c r="E43" i="1"/>
  <c r="E39" i="1"/>
  <c r="X33" i="1"/>
  <c r="X24" i="1"/>
  <c r="X53" i="1"/>
  <c r="E45" i="1"/>
  <c r="E33" i="1"/>
  <c r="E19" i="1"/>
  <c r="E41" i="1"/>
  <c r="E25" i="1"/>
  <c r="E49" i="1"/>
  <c r="E29" i="1"/>
  <c r="X36" i="1"/>
  <c r="X41" i="1"/>
  <c r="X39" i="1"/>
  <c r="X26" i="1"/>
  <c r="X25" i="1"/>
  <c r="X40" i="1"/>
  <c r="X28" i="1"/>
  <c r="X56" i="1"/>
  <c r="X48" i="1"/>
  <c r="X57" i="1"/>
  <c r="X29" i="1"/>
  <c r="X35" i="1"/>
  <c r="X23" i="1"/>
  <c r="X50" i="1"/>
  <c r="X43" i="1"/>
  <c r="X44" i="1"/>
  <c r="X30" i="1"/>
  <c r="X54" i="1"/>
  <c r="X51" i="1"/>
  <c r="X22" i="1"/>
  <c r="X52" i="1"/>
  <c r="X46" i="1"/>
  <c r="R2" i="16" l="1"/>
  <c r="S2" i="16"/>
  <c r="J44" i="19"/>
  <c r="I73" i="19"/>
  <c r="I59" i="19"/>
  <c r="B52" i="19"/>
  <c r="B66" i="19"/>
  <c r="B80" i="19"/>
  <c r="B27" i="15"/>
  <c r="AE2" i="19"/>
  <c r="I54" i="5"/>
  <c r="I55" i="5"/>
  <c r="H48" i="5"/>
  <c r="H55" i="5"/>
  <c r="H54" i="14"/>
  <c r="H24" i="5"/>
  <c r="H37" i="17"/>
  <c r="H29" i="1"/>
  <c r="H20" i="1"/>
  <c r="H45" i="1"/>
  <c r="B33" i="7"/>
  <c r="H21" i="1"/>
  <c r="H36" i="5"/>
  <c r="H44" i="5"/>
  <c r="C35" i="7"/>
  <c r="AH35" i="7" s="1"/>
  <c r="C52" i="7"/>
  <c r="C70" i="7"/>
  <c r="C39" i="7"/>
  <c r="AI39" i="7" s="1"/>
  <c r="B42" i="7"/>
  <c r="B23" i="7"/>
  <c r="B25" i="7"/>
  <c r="B31" i="7"/>
  <c r="C66" i="7"/>
  <c r="H27" i="1"/>
  <c r="H28" i="1"/>
  <c r="H49" i="1"/>
  <c r="H25" i="5"/>
  <c r="H29" i="5"/>
  <c r="H49" i="17"/>
  <c r="B21" i="7"/>
  <c r="C23" i="7"/>
  <c r="AH23" i="7" s="1"/>
  <c r="B29" i="7"/>
  <c r="H53" i="1"/>
  <c r="V60" i="7"/>
  <c r="H37" i="5"/>
  <c r="H54" i="5"/>
  <c r="H52" i="5"/>
  <c r="H40" i="5"/>
  <c r="H32" i="5"/>
  <c r="H22" i="5"/>
  <c r="H41" i="17"/>
  <c r="H21" i="17"/>
  <c r="H45" i="17"/>
  <c r="H26" i="1"/>
  <c r="H37" i="1"/>
  <c r="H33" i="5"/>
  <c r="H45" i="5"/>
  <c r="C27" i="7"/>
  <c r="AH27" i="7" s="1"/>
  <c r="C29" i="7"/>
  <c r="AH29" i="7" s="1"/>
  <c r="B37" i="7"/>
  <c r="B52" i="7"/>
  <c r="C54" i="7"/>
  <c r="C82" i="7"/>
  <c r="C90" i="7"/>
  <c r="H41" i="1"/>
  <c r="H28" i="5"/>
  <c r="H41" i="5"/>
  <c r="H53" i="17"/>
  <c r="B44" i="7"/>
  <c r="B58" i="7"/>
  <c r="C74" i="7"/>
  <c r="G21" i="16"/>
  <c r="C8" i="16"/>
  <c r="B3" i="13"/>
  <c r="V12" i="13" s="1"/>
  <c r="V13" i="13" s="1"/>
  <c r="V14" i="13" s="1"/>
  <c r="V15" i="13" s="1"/>
  <c r="V16" i="13" s="1"/>
  <c r="V17" i="13" s="1"/>
  <c r="V18" i="13" s="1"/>
  <c r="V19" i="13" s="1"/>
  <c r="V20" i="13" s="1"/>
  <c r="V21" i="13" s="1"/>
  <c r="V22" i="13" s="1"/>
  <c r="V23" i="13" s="1"/>
  <c r="V24" i="13" s="1"/>
  <c r="V25" i="13" s="1"/>
  <c r="V26" i="13" s="1"/>
  <c r="V27" i="13" s="1"/>
  <c r="V28" i="13" s="1"/>
  <c r="V29" i="13" s="1"/>
  <c r="V30" i="13" s="1"/>
  <c r="V31" i="13" s="1"/>
  <c r="V32" i="13" s="1"/>
  <c r="V33" i="13" s="1"/>
  <c r="V34" i="13" s="1"/>
  <c r="V35" i="13" s="1"/>
  <c r="V36" i="13" s="1"/>
  <c r="V37" i="13" s="1"/>
  <c r="V38" i="13" s="1"/>
  <c r="V39" i="13" s="1"/>
  <c r="V40" i="13" s="1"/>
  <c r="V41" i="13" s="1"/>
  <c r="V42" i="13" s="1"/>
  <c r="V43" i="13" s="1"/>
  <c r="V44" i="13" s="1"/>
  <c r="V45" i="13" s="1"/>
  <c r="V46" i="13" s="1"/>
  <c r="V47" i="13" s="1"/>
  <c r="V48" i="13" s="1"/>
  <c r="V49" i="13" s="1"/>
  <c r="V50" i="13" s="1"/>
  <c r="V51" i="13" s="1"/>
  <c r="V52" i="13" s="1"/>
  <c r="V53" i="13" s="1"/>
  <c r="V54" i="13" s="1"/>
  <c r="V55" i="13" s="1"/>
  <c r="V56" i="13" s="1"/>
  <c r="V57" i="13" s="1"/>
  <c r="V58" i="13" s="1"/>
  <c r="V59" i="13" s="1"/>
  <c r="V60" i="13" s="1"/>
  <c r="V61" i="13" s="1"/>
  <c r="V62" i="13" s="1"/>
  <c r="V63" i="13" s="1"/>
  <c r="V64" i="13" s="1"/>
  <c r="V65" i="13" s="1"/>
  <c r="V66" i="13" s="1"/>
  <c r="V67" i="13" s="1"/>
  <c r="V68" i="13" s="1"/>
  <c r="V69" i="13" s="1"/>
  <c r="V70" i="13" s="1"/>
  <c r="V71" i="13" s="1"/>
  <c r="V72" i="13" s="1"/>
  <c r="V73" i="13" s="1"/>
  <c r="V74" i="13" s="1"/>
  <c r="V75" i="13" s="1"/>
  <c r="V76" i="13" s="1"/>
  <c r="V77" i="13" s="1"/>
  <c r="V78" i="13" s="1"/>
  <c r="V79" i="13" s="1"/>
  <c r="V80" i="13" s="1"/>
  <c r="V81" i="13" s="1"/>
  <c r="V82" i="13" s="1"/>
  <c r="V83" i="13" s="1"/>
  <c r="V84" i="13" s="1"/>
  <c r="V85" i="13" s="1"/>
  <c r="V86" i="13" s="1"/>
  <c r="V87" i="13" s="1"/>
  <c r="V88" i="13" s="1"/>
  <c r="V89" i="13" s="1"/>
  <c r="V90" i="13" s="1"/>
  <c r="V91" i="13" s="1"/>
  <c r="V92" i="13" s="1"/>
  <c r="V93" i="13" s="1"/>
  <c r="V94" i="13" s="1"/>
  <c r="V95" i="13" s="1"/>
  <c r="V96" i="13" s="1"/>
  <c r="V97" i="13" s="1"/>
  <c r="V98" i="13" s="1"/>
  <c r="V99" i="13" s="1"/>
  <c r="V100" i="13" s="1"/>
  <c r="V101" i="13" s="1"/>
  <c r="V102" i="13" s="1"/>
  <c r="V103" i="13" s="1"/>
  <c r="V104" i="13" s="1"/>
  <c r="V105" i="13" s="1"/>
  <c r="V106" i="13" s="1"/>
  <c r="V107" i="13" s="1"/>
  <c r="V108" i="13" s="1"/>
  <c r="V109" i="13" s="1"/>
  <c r="V110" i="13" s="1"/>
  <c r="V111" i="13" s="1"/>
  <c r="V112" i="13" s="1"/>
  <c r="V113" i="13" s="1"/>
  <c r="V114" i="13" s="1"/>
  <c r="V115" i="13" s="1"/>
  <c r="V116" i="13" s="1"/>
  <c r="V117" i="13" s="1"/>
  <c r="V118" i="13" s="1"/>
  <c r="V119" i="13" s="1"/>
  <c r="V120" i="13" s="1"/>
  <c r="V121" i="13" s="1"/>
  <c r="V122" i="13" s="1"/>
  <c r="V123" i="13" s="1"/>
  <c r="V124" i="13" s="1"/>
  <c r="V125" i="13" s="1"/>
  <c r="V126" i="13" s="1"/>
  <c r="V127" i="13" s="1"/>
  <c r="V128" i="13" s="1"/>
  <c r="V129" i="13" s="1"/>
  <c r="V130" i="13" s="1"/>
  <c r="V131" i="13" s="1"/>
  <c r="V132" i="13" s="1"/>
  <c r="V133" i="13" s="1"/>
  <c r="V134" i="13" s="1"/>
  <c r="V135" i="13" s="1"/>
  <c r="V136" i="13" s="1"/>
  <c r="V137" i="13" s="1"/>
  <c r="V138" i="13" s="1"/>
  <c r="V139" i="13" s="1"/>
  <c r="V140" i="13" s="1"/>
  <c r="V141" i="13" s="1"/>
  <c r="V142" i="13" s="1"/>
  <c r="V143" i="13" s="1"/>
  <c r="V144" i="13" s="1"/>
  <c r="V145" i="13" s="1"/>
  <c r="V146" i="13" s="1"/>
  <c r="V147" i="13" s="1"/>
  <c r="V148" i="13" s="1"/>
  <c r="V149" i="13" s="1"/>
  <c r="V150" i="13" s="1"/>
  <c r="V151" i="13" s="1"/>
  <c r="V152" i="13" s="1"/>
  <c r="V153" i="13" s="1"/>
  <c r="V154" i="13" s="1"/>
  <c r="V155" i="13" s="1"/>
  <c r="V156" i="13" s="1"/>
  <c r="V157" i="13" s="1"/>
  <c r="V158" i="13" s="1"/>
  <c r="V159" i="13" s="1"/>
  <c r="V160" i="13" s="1"/>
  <c r="V161" i="13" s="1"/>
  <c r="V162" i="13" s="1"/>
  <c r="V163" i="13" s="1"/>
  <c r="V164" i="13" s="1"/>
  <c r="V165" i="13" s="1"/>
  <c r="V166" i="13" s="1"/>
  <c r="V167" i="13" s="1"/>
  <c r="V168" i="13" s="1"/>
  <c r="V169" i="13" s="1"/>
  <c r="V170" i="13" s="1"/>
  <c r="V171" i="13" s="1"/>
  <c r="V172" i="13" s="1"/>
  <c r="V173" i="13" s="1"/>
  <c r="V174" i="13" s="1"/>
  <c r="V175" i="13" s="1"/>
  <c r="V176" i="13" s="1"/>
  <c r="V177" i="13" s="1"/>
  <c r="V178" i="13" s="1"/>
  <c r="V179" i="13" s="1"/>
  <c r="V180" i="13" s="1"/>
  <c r="V181" i="13" s="1"/>
  <c r="V182" i="13" s="1"/>
  <c r="V183" i="13" s="1"/>
  <c r="V184" i="13" s="1"/>
  <c r="V185" i="13" s="1"/>
  <c r="V186" i="13" s="1"/>
  <c r="V187" i="13" s="1"/>
  <c r="V188" i="13" s="1"/>
  <c r="V189" i="13" s="1"/>
  <c r="V190" i="13" s="1"/>
  <c r="V191" i="13" s="1"/>
  <c r="V192" i="13" s="1"/>
  <c r="V193" i="13" s="1"/>
  <c r="V194" i="13" s="1"/>
  <c r="V195" i="13" s="1"/>
  <c r="V196" i="13" s="1"/>
  <c r="V197" i="13" s="1"/>
  <c r="V198" i="13" s="1"/>
  <c r="V199" i="13" s="1"/>
  <c r="V200" i="13" s="1"/>
  <c r="V201" i="13" s="1"/>
  <c r="V202" i="13" s="1"/>
  <c r="V203" i="13" s="1"/>
  <c r="V204" i="13" s="1"/>
  <c r="V205" i="13" s="1"/>
  <c r="V206" i="13" s="1"/>
  <c r="V207" i="13" s="1"/>
  <c r="V208" i="13" s="1"/>
  <c r="V209" i="13" s="1"/>
  <c r="V210" i="13" s="1"/>
  <c r="V211" i="13" s="1"/>
  <c r="V212" i="13" s="1"/>
  <c r="V213" i="13" s="1"/>
  <c r="V214" i="13" s="1"/>
  <c r="V215" i="13" s="1"/>
  <c r="V216" i="13" s="1"/>
  <c r="V217" i="13" s="1"/>
  <c r="V218" i="13" s="1"/>
  <c r="V219" i="13" s="1"/>
  <c r="V220" i="13" s="1"/>
  <c r="V221" i="13" s="1"/>
  <c r="V222" i="13" s="1"/>
  <c r="V223" i="13" s="1"/>
  <c r="V224" i="13" s="1"/>
  <c r="V225" i="13" s="1"/>
  <c r="V226" i="13" s="1"/>
  <c r="V227" i="13" s="1"/>
  <c r="V228" i="13" s="1"/>
  <c r="V229" i="13" s="1"/>
  <c r="V230" i="13" s="1"/>
  <c r="V231" i="13" s="1"/>
  <c r="V232" i="13" s="1"/>
  <c r="V233" i="13" s="1"/>
  <c r="V234" i="13" s="1"/>
  <c r="V235" i="13" s="1"/>
  <c r="V236" i="13" s="1"/>
  <c r="V237" i="13" s="1"/>
  <c r="V238" i="13" s="1"/>
  <c r="V239" i="13" s="1"/>
  <c r="V240" i="13" s="1"/>
  <c r="V241" i="13" s="1"/>
  <c r="V242" i="13" s="1"/>
  <c r="V243" i="13" s="1"/>
  <c r="V244" i="13" s="1"/>
  <c r="V245" i="13" s="1"/>
  <c r="V246" i="13" s="1"/>
  <c r="V247" i="13" s="1"/>
  <c r="V248" i="13" s="1"/>
  <c r="V249" i="13" s="1"/>
  <c r="V250" i="13" s="1"/>
  <c r="V251" i="13" s="1"/>
  <c r="V252" i="13" s="1"/>
  <c r="V253" i="13" s="1"/>
  <c r="V254" i="13" s="1"/>
  <c r="V255" i="13" s="1"/>
  <c r="V256" i="13" s="1"/>
  <c r="V257" i="13" s="1"/>
  <c r="V258" i="13" s="1"/>
  <c r="V259" i="13" s="1"/>
  <c r="V260" i="13" s="1"/>
  <c r="V261" i="13" s="1"/>
  <c r="V262" i="13" s="1"/>
  <c r="V263" i="13" s="1"/>
  <c r="V264" i="13" s="1"/>
  <c r="V265" i="13" s="1"/>
  <c r="V266" i="13" s="1"/>
  <c r="V267" i="13" s="1"/>
  <c r="V268" i="13" s="1"/>
  <c r="V269" i="13" s="1"/>
  <c r="V270" i="13" s="1"/>
  <c r="V271" i="13" s="1"/>
  <c r="V272" i="13" s="1"/>
  <c r="V273" i="13" s="1"/>
  <c r="V274" i="13" s="1"/>
  <c r="V275" i="13" s="1"/>
  <c r="V276" i="13" s="1"/>
  <c r="V277" i="13" s="1"/>
  <c r="V278" i="13" s="1"/>
  <c r="V279" i="13" s="1"/>
  <c r="V280" i="13" s="1"/>
  <c r="V281" i="13" s="1"/>
  <c r="V282" i="13" s="1"/>
  <c r="V283" i="13" s="1"/>
  <c r="V284" i="13" s="1"/>
  <c r="V285" i="13" s="1"/>
  <c r="V286" i="13" s="1"/>
  <c r="V287" i="13" s="1"/>
  <c r="V288" i="13" s="1"/>
  <c r="V289" i="13" s="1"/>
  <c r="V290" i="13" s="1"/>
  <c r="V291" i="13" s="1"/>
  <c r="V292" i="13" s="1"/>
  <c r="V293" i="13" s="1"/>
  <c r="V294" i="13" s="1"/>
  <c r="V295" i="13" s="1"/>
  <c r="V296" i="13" s="1"/>
  <c r="V297" i="13" s="1"/>
  <c r="V298" i="13" s="1"/>
  <c r="V299" i="13" s="1"/>
  <c r="V300" i="13" s="1"/>
  <c r="V301" i="13" s="1"/>
  <c r="V302" i="13" s="1"/>
  <c r="V303" i="13" s="1"/>
  <c r="V304" i="13" s="1"/>
  <c r="V305" i="13" s="1"/>
  <c r="V306" i="13" s="1"/>
  <c r="V307" i="13" s="1"/>
  <c r="V308" i="13" s="1"/>
  <c r="V309" i="13" s="1"/>
  <c r="V310" i="13" s="1"/>
  <c r="V311" i="13" s="1"/>
  <c r="V312" i="13" s="1"/>
  <c r="V313" i="13" s="1"/>
  <c r="V314" i="13" s="1"/>
  <c r="V315" i="13" s="1"/>
  <c r="V316" i="13" s="1"/>
  <c r="V317" i="13" s="1"/>
  <c r="V318" i="13" s="1"/>
  <c r="V319" i="13" s="1"/>
  <c r="V320" i="13" s="1"/>
  <c r="V321" i="13" s="1"/>
  <c r="V322" i="13" s="1"/>
  <c r="V323" i="13" s="1"/>
  <c r="V324" i="13" s="1"/>
  <c r="V325" i="13" s="1"/>
  <c r="V326" i="13" s="1"/>
  <c r="V327" i="13" s="1"/>
  <c r="V328" i="13" s="1"/>
  <c r="V329" i="13" s="1"/>
  <c r="V330" i="13" s="1"/>
  <c r="V331" i="13" s="1"/>
  <c r="V332" i="13" s="1"/>
  <c r="V333" i="13" s="1"/>
  <c r="V334" i="13" s="1"/>
  <c r="V335" i="13" s="1"/>
  <c r="V336" i="13" s="1"/>
  <c r="V337" i="13" s="1"/>
  <c r="V338" i="13" s="1"/>
  <c r="V339" i="13" s="1"/>
  <c r="V340" i="13" s="1"/>
  <c r="V341" i="13" s="1"/>
  <c r="V342" i="13" s="1"/>
  <c r="V343" i="13" s="1"/>
  <c r="V344" i="13" s="1"/>
  <c r="V345" i="13" s="1"/>
  <c r="V346" i="13" s="1"/>
  <c r="V347" i="13" s="1"/>
  <c r="V348" i="13" s="1"/>
  <c r="V349" i="13" s="1"/>
  <c r="V350" i="13" s="1"/>
  <c r="V351" i="13" s="1"/>
  <c r="V352" i="13" s="1"/>
  <c r="V353" i="13" s="1"/>
  <c r="V354" i="13" s="1"/>
  <c r="V355" i="13" s="1"/>
  <c r="V356" i="13" s="1"/>
  <c r="V357" i="13" s="1"/>
  <c r="V358" i="13" s="1"/>
  <c r="V359" i="13" s="1"/>
  <c r="V360" i="13" s="1"/>
  <c r="V361" i="13" s="1"/>
  <c r="V362" i="13" s="1"/>
  <c r="V363" i="13" s="1"/>
  <c r="V364" i="13" s="1"/>
  <c r="V365" i="13" s="1"/>
  <c r="V366" i="13" s="1"/>
  <c r="V367" i="13" s="1"/>
  <c r="V368" i="13" s="1"/>
  <c r="V369" i="13" s="1"/>
  <c r="V370" i="13" s="1"/>
  <c r="V371" i="13" s="1"/>
  <c r="V372" i="13" s="1"/>
  <c r="V373" i="13" s="1"/>
  <c r="V374" i="13" s="1"/>
  <c r="V375" i="13" s="1"/>
  <c r="V376" i="13" s="1"/>
  <c r="V377" i="13" s="1"/>
  <c r="V378" i="13" s="1"/>
  <c r="V379" i="13" s="1"/>
  <c r="V380" i="13" s="1"/>
  <c r="V381" i="13" s="1"/>
  <c r="V382" i="13" s="1"/>
  <c r="V383" i="13" s="1"/>
  <c r="V384" i="13" s="1"/>
  <c r="V385" i="13" s="1"/>
  <c r="V386" i="13" s="1"/>
  <c r="V387" i="13" s="1"/>
  <c r="V388" i="13" s="1"/>
  <c r="V389" i="13" s="1"/>
  <c r="V390" i="13" s="1"/>
  <c r="V391" i="13" s="1"/>
  <c r="V392" i="13" s="1"/>
  <c r="V393" i="13" s="1"/>
  <c r="V394" i="13" s="1"/>
  <c r="V395" i="13" s="1"/>
  <c r="V396" i="13" s="1"/>
  <c r="V397" i="13" s="1"/>
  <c r="V398" i="13" s="1"/>
  <c r="V399" i="13" s="1"/>
  <c r="V400" i="13" s="1"/>
  <c r="V401" i="13" s="1"/>
  <c r="V402" i="13" s="1"/>
  <c r="V403" i="13" s="1"/>
  <c r="V404" i="13" s="1"/>
  <c r="V405" i="13" s="1"/>
  <c r="V406" i="13" s="1"/>
  <c r="V407" i="13" s="1"/>
  <c r="V408" i="13" s="1"/>
  <c r="V409" i="13" s="1"/>
  <c r="V410" i="13" s="1"/>
  <c r="V411" i="13" s="1"/>
  <c r="V412" i="13" s="1"/>
  <c r="V413" i="13" s="1"/>
  <c r="V414" i="13" s="1"/>
  <c r="V415" i="13" s="1"/>
  <c r="V416" i="13" s="1"/>
  <c r="V417" i="13" s="1"/>
  <c r="V418" i="13" s="1"/>
  <c r="V419" i="13" s="1"/>
  <c r="V420" i="13" s="1"/>
  <c r="V421" i="13" s="1"/>
  <c r="V422" i="13" s="1"/>
  <c r="V423" i="13" s="1"/>
  <c r="V424" i="13" s="1"/>
  <c r="V425" i="13" s="1"/>
  <c r="V426" i="13" s="1"/>
  <c r="V427" i="13" s="1"/>
  <c r="V428" i="13" s="1"/>
  <c r="V429" i="13" s="1"/>
  <c r="V430" i="13" s="1"/>
  <c r="V431" i="13" s="1"/>
  <c r="V432" i="13" s="1"/>
  <c r="V433" i="13" s="1"/>
  <c r="V434" i="13" s="1"/>
  <c r="V435" i="13" s="1"/>
  <c r="V436" i="13" s="1"/>
  <c r="V437" i="13" s="1"/>
  <c r="V438" i="13" s="1"/>
  <c r="V439" i="13" s="1"/>
  <c r="V440" i="13" s="1"/>
  <c r="V441" i="13" s="1"/>
  <c r="V442" i="13" s="1"/>
  <c r="V443" i="13" s="1"/>
  <c r="V444" i="13" s="1"/>
  <c r="V445" i="13" s="1"/>
  <c r="V446" i="13" s="1"/>
  <c r="V447" i="13" s="1"/>
  <c r="V448" i="13" s="1"/>
  <c r="V449" i="13" s="1"/>
  <c r="V450" i="13" s="1"/>
  <c r="V451" i="13" s="1"/>
  <c r="V452" i="13" s="1"/>
  <c r="V453" i="13" s="1"/>
  <c r="V454" i="13" s="1"/>
  <c r="V455" i="13" s="1"/>
  <c r="V456" i="13" s="1"/>
  <c r="V457" i="13" s="1"/>
  <c r="V458" i="13" s="1"/>
  <c r="V459" i="13" s="1"/>
  <c r="V460" i="13" s="1"/>
  <c r="V461" i="13" s="1"/>
  <c r="V462" i="13" s="1"/>
  <c r="V463" i="13" s="1"/>
  <c r="V464" i="13" s="1"/>
  <c r="V465" i="13" s="1"/>
  <c r="V466" i="13" s="1"/>
  <c r="V467" i="13" s="1"/>
  <c r="V468" i="13" s="1"/>
  <c r="V469" i="13" s="1"/>
  <c r="V470" i="13" s="1"/>
  <c r="V471" i="13" s="1"/>
  <c r="V472" i="13" s="1"/>
  <c r="V473" i="13" s="1"/>
  <c r="V474" i="13" s="1"/>
  <c r="V475" i="13" s="1"/>
  <c r="V476" i="13" s="1"/>
  <c r="V477" i="13" s="1"/>
  <c r="V478" i="13" s="1"/>
  <c r="V479" i="13" s="1"/>
  <c r="V480" i="13" s="1"/>
  <c r="V481" i="13" s="1"/>
  <c r="V482" i="13" s="1"/>
  <c r="V483" i="13" s="1"/>
  <c r="V484" i="13" s="1"/>
  <c r="V485" i="13" s="1"/>
  <c r="V486" i="13" s="1"/>
  <c r="V487" i="13" s="1"/>
  <c r="V488" i="13" s="1"/>
  <c r="V489" i="13" s="1"/>
  <c r="V490" i="13" s="1"/>
  <c r="V491" i="13" s="1"/>
  <c r="V492" i="13" s="1"/>
  <c r="V493" i="13" s="1"/>
  <c r="V494" i="13" s="1"/>
  <c r="V495" i="13" s="1"/>
  <c r="V496" i="13" s="1"/>
  <c r="V497" i="13" s="1"/>
  <c r="V498" i="13" s="1"/>
  <c r="V499" i="13" s="1"/>
  <c r="V500" i="13" s="1"/>
  <c r="V501" i="13" s="1"/>
  <c r="V502" i="13" s="1"/>
  <c r="V503" i="13" s="1"/>
  <c r="V504" i="13" s="1"/>
  <c r="V505" i="13" s="1"/>
  <c r="V506" i="13" s="1"/>
  <c r="V507" i="13" s="1"/>
  <c r="V508" i="13" s="1"/>
  <c r="V509" i="13" s="1"/>
  <c r="V510" i="13" s="1"/>
  <c r="V511" i="13" s="1"/>
  <c r="V512" i="13" s="1"/>
  <c r="V513" i="13" s="1"/>
  <c r="V514" i="13" s="1"/>
  <c r="V515" i="13" s="1"/>
  <c r="V516" i="13" s="1"/>
  <c r="V517" i="13" s="1"/>
  <c r="V518" i="13" s="1"/>
  <c r="V519" i="13" s="1"/>
  <c r="V520" i="13" s="1"/>
  <c r="V521" i="13" s="1"/>
  <c r="V522" i="13" s="1"/>
  <c r="V523" i="13" s="1"/>
  <c r="V524" i="13" s="1"/>
  <c r="V525" i="13" s="1"/>
  <c r="V526" i="13" s="1"/>
  <c r="V527" i="13" s="1"/>
  <c r="V528" i="13" s="1"/>
  <c r="V529" i="13" s="1"/>
  <c r="V530" i="13" s="1"/>
  <c r="V531" i="13" s="1"/>
  <c r="V532" i="13" s="1"/>
  <c r="V533" i="13" s="1"/>
  <c r="V534" i="13" s="1"/>
  <c r="V535" i="13" s="1"/>
  <c r="V536" i="13" s="1"/>
  <c r="V537" i="13" s="1"/>
  <c r="V538" i="13" s="1"/>
  <c r="V539" i="13" s="1"/>
  <c r="V540" i="13" s="1"/>
  <c r="V541" i="13" s="1"/>
  <c r="V542" i="13" s="1"/>
  <c r="V543" i="13" s="1"/>
  <c r="V544" i="13" s="1"/>
  <c r="V545" i="13" s="1"/>
  <c r="V546" i="13" s="1"/>
  <c r="V547" i="13" s="1"/>
  <c r="V548" i="13" s="1"/>
  <c r="V549" i="13" s="1"/>
  <c r="V550" i="13" s="1"/>
  <c r="V551" i="13" s="1"/>
  <c r="V552" i="13" s="1"/>
  <c r="V553" i="13" s="1"/>
  <c r="V554" i="13" s="1"/>
  <c r="V555" i="13" s="1"/>
  <c r="V556" i="13" s="1"/>
  <c r="V557" i="13" s="1"/>
  <c r="V558" i="13" s="1"/>
  <c r="V559" i="13" s="1"/>
  <c r="V560" i="13" s="1"/>
  <c r="V561" i="13" s="1"/>
  <c r="V562" i="13" s="1"/>
  <c r="V563" i="13" s="1"/>
  <c r="V564" i="13" s="1"/>
  <c r="V565" i="13" s="1"/>
  <c r="V566" i="13" s="1"/>
  <c r="V567" i="13" s="1"/>
  <c r="V568" i="13" s="1"/>
  <c r="V569" i="13" s="1"/>
  <c r="V570" i="13" s="1"/>
  <c r="V571" i="13" s="1"/>
  <c r="V572" i="13" s="1"/>
  <c r="V573" i="13" s="1"/>
  <c r="V574" i="13" s="1"/>
  <c r="V575" i="13" s="1"/>
  <c r="V576" i="13" s="1"/>
  <c r="V577" i="13" s="1"/>
  <c r="V578" i="13" s="1"/>
  <c r="V579" i="13" s="1"/>
  <c r="V580" i="13" s="1"/>
  <c r="V581" i="13" s="1"/>
  <c r="V582" i="13" s="1"/>
  <c r="V583" i="13" s="1"/>
  <c r="V584" i="13" s="1"/>
  <c r="V585" i="13" s="1"/>
  <c r="V586" i="13" s="1"/>
  <c r="V587" i="13" s="1"/>
  <c r="V588" i="13" s="1"/>
  <c r="V589" i="13" s="1"/>
  <c r="V590" i="13" s="1"/>
  <c r="V591" i="13" s="1"/>
  <c r="V592" i="13" s="1"/>
  <c r="V593" i="13" s="1"/>
  <c r="V594" i="13" s="1"/>
  <c r="V595" i="13" s="1"/>
  <c r="V596" i="13" s="1"/>
  <c r="V597" i="13" s="1"/>
  <c r="V598" i="13" s="1"/>
  <c r="V599" i="13" s="1"/>
  <c r="V600" i="13" s="1"/>
  <c r="V601" i="13" s="1"/>
  <c r="V602" i="13" s="1"/>
  <c r="V603" i="13" s="1"/>
  <c r="V604" i="13" s="1"/>
  <c r="V605" i="13" s="1"/>
  <c r="V606" i="13" s="1"/>
  <c r="V607" i="13" s="1"/>
  <c r="V608" i="13" s="1"/>
  <c r="V609" i="13" s="1"/>
  <c r="V610" i="13" s="1"/>
  <c r="V611" i="13" s="1"/>
  <c r="V612" i="13" s="1"/>
  <c r="V613" i="13" s="1"/>
  <c r="V614" i="13" s="1"/>
  <c r="V615" i="13" s="1"/>
  <c r="V616" i="13" s="1"/>
  <c r="V617" i="13" s="1"/>
  <c r="V618" i="13" s="1"/>
  <c r="V619" i="13" s="1"/>
  <c r="V620" i="13" s="1"/>
  <c r="V621" i="13" s="1"/>
  <c r="V622" i="13" s="1"/>
  <c r="V623" i="13" s="1"/>
  <c r="V624" i="13" s="1"/>
  <c r="V625" i="13" s="1"/>
  <c r="V626" i="13" s="1"/>
  <c r="V627" i="13" s="1"/>
  <c r="V628" i="13" s="1"/>
  <c r="V629" i="13" s="1"/>
  <c r="V630" i="13" s="1"/>
  <c r="V631" i="13" s="1"/>
  <c r="V632" i="13" s="1"/>
  <c r="V633" i="13" s="1"/>
  <c r="V634" i="13" s="1"/>
  <c r="V635" i="13" s="1"/>
  <c r="V636" i="13" s="1"/>
  <c r="V637" i="13" s="1"/>
  <c r="V638" i="13" s="1"/>
  <c r="V639" i="13" s="1"/>
  <c r="V640" i="13" s="1"/>
  <c r="V641" i="13" s="1"/>
  <c r="V642" i="13" s="1"/>
  <c r="V643" i="13" s="1"/>
  <c r="V644" i="13" s="1"/>
  <c r="V645" i="13" s="1"/>
  <c r="V646" i="13" s="1"/>
  <c r="V647" i="13" s="1"/>
  <c r="V648" i="13" s="1"/>
  <c r="V649" i="13" s="1"/>
  <c r="V650" i="13" s="1"/>
  <c r="V651" i="13" s="1"/>
  <c r="V652" i="13" s="1"/>
  <c r="V653" i="13" s="1"/>
  <c r="V654" i="13" s="1"/>
  <c r="V655" i="13" s="1"/>
  <c r="V656" i="13" s="1"/>
  <c r="V657" i="13" s="1"/>
  <c r="V658" i="13" s="1"/>
  <c r="V659" i="13" s="1"/>
  <c r="V660" i="13" s="1"/>
  <c r="V661" i="13" s="1"/>
  <c r="V662" i="13" s="1"/>
  <c r="V663" i="13" s="1"/>
  <c r="V664" i="13" s="1"/>
  <c r="V665" i="13" s="1"/>
  <c r="V666" i="13" s="1"/>
  <c r="V667" i="13" s="1"/>
  <c r="V668" i="13" s="1"/>
  <c r="V669" i="13" s="1"/>
  <c r="V670" i="13" s="1"/>
  <c r="V671" i="13" s="1"/>
  <c r="V672" i="13" s="1"/>
  <c r="V673" i="13" s="1"/>
  <c r="V674" i="13" s="1"/>
  <c r="V675" i="13" s="1"/>
  <c r="V676" i="13" s="1"/>
  <c r="V677" i="13" s="1"/>
  <c r="V678" i="13" s="1"/>
  <c r="V679" i="13" s="1"/>
  <c r="V680" i="13" s="1"/>
  <c r="V681" i="13" s="1"/>
  <c r="V682" i="13" s="1"/>
  <c r="V683" i="13" s="1"/>
  <c r="V684" i="13" s="1"/>
  <c r="V685" i="13" s="1"/>
  <c r="V686" i="13" s="1"/>
  <c r="V687" i="13" s="1"/>
  <c r="V688" i="13" s="1"/>
  <c r="V689" i="13" s="1"/>
  <c r="V690" i="13" s="1"/>
  <c r="V691" i="13" s="1"/>
  <c r="V692" i="13" s="1"/>
  <c r="V693" i="13" s="1"/>
  <c r="V694" i="13" s="1"/>
  <c r="V695" i="13" s="1"/>
  <c r="V696" i="13" s="1"/>
  <c r="V697" i="13" s="1"/>
  <c r="V698" i="13" s="1"/>
  <c r="V699" i="13" s="1"/>
  <c r="V700" i="13" s="1"/>
  <c r="V701" i="13" s="1"/>
  <c r="V702" i="13" s="1"/>
  <c r="V703" i="13" s="1"/>
  <c r="V704" i="13" s="1"/>
  <c r="V705" i="13" s="1"/>
  <c r="V706" i="13" s="1"/>
  <c r="V707" i="13" s="1"/>
  <c r="V708" i="13" s="1"/>
  <c r="V709" i="13" s="1"/>
  <c r="V710" i="13" s="1"/>
  <c r="V711" i="13" s="1"/>
  <c r="V712" i="13" s="1"/>
  <c r="V713" i="13" s="1"/>
  <c r="V714" i="13" s="1"/>
  <c r="V715" i="13" s="1"/>
  <c r="V716" i="13" s="1"/>
  <c r="V717" i="13" s="1"/>
  <c r="V718" i="13" s="1"/>
  <c r="V719" i="13" s="1"/>
  <c r="V720" i="13" s="1"/>
  <c r="V721" i="13" s="1"/>
  <c r="V722" i="13" s="1"/>
  <c r="V723" i="13" s="1"/>
  <c r="V724" i="13" s="1"/>
  <c r="V725" i="13" s="1"/>
  <c r="V726" i="13" s="1"/>
  <c r="V727" i="13" s="1"/>
  <c r="V728" i="13" s="1"/>
  <c r="V729" i="13" s="1"/>
  <c r="V730" i="13" s="1"/>
  <c r="V731" i="13" s="1"/>
  <c r="V732" i="13" s="1"/>
  <c r="V733" i="13" s="1"/>
  <c r="V734" i="13" s="1"/>
  <c r="V735" i="13" s="1"/>
  <c r="V736" i="13" s="1"/>
  <c r="V737" i="13" s="1"/>
  <c r="V738" i="13" s="1"/>
  <c r="V739" i="13" s="1"/>
  <c r="V740" i="13" s="1"/>
  <c r="V741" i="13" s="1"/>
  <c r="V742" i="13" s="1"/>
  <c r="V743" i="13" s="1"/>
  <c r="V744" i="13" s="1"/>
  <c r="V745" i="13" s="1"/>
  <c r="V746" i="13" s="1"/>
  <c r="V747" i="13" s="1"/>
  <c r="V748" i="13" s="1"/>
  <c r="V749" i="13" s="1"/>
  <c r="V750" i="13" s="1"/>
  <c r="V751" i="13" s="1"/>
  <c r="V752" i="13" s="1"/>
  <c r="V753" i="13" s="1"/>
  <c r="V754" i="13" s="1"/>
  <c r="V755" i="13" s="1"/>
  <c r="V756" i="13" s="1"/>
  <c r="V757" i="13" s="1"/>
  <c r="V758" i="13" s="1"/>
  <c r="V759" i="13" s="1"/>
  <c r="V760" i="13" s="1"/>
  <c r="V761" i="13" s="1"/>
  <c r="V762" i="13" s="1"/>
  <c r="V763" i="13" s="1"/>
  <c r="V764" i="13" s="1"/>
  <c r="V765" i="13" s="1"/>
  <c r="V766" i="13" s="1"/>
  <c r="V767" i="13" s="1"/>
  <c r="V768" i="13" s="1"/>
  <c r="V769" i="13" s="1"/>
  <c r="V770" i="13" s="1"/>
  <c r="V771" i="13" s="1"/>
  <c r="V772" i="13" s="1"/>
  <c r="V773" i="13" s="1"/>
  <c r="V774" i="13" s="1"/>
  <c r="V775" i="13" s="1"/>
  <c r="V776" i="13" s="1"/>
  <c r="V777" i="13" s="1"/>
  <c r="V778" i="13" s="1"/>
  <c r="V779" i="13" s="1"/>
  <c r="V780" i="13" s="1"/>
  <c r="V781" i="13" s="1"/>
  <c r="V782" i="13" s="1"/>
  <c r="V783" i="13" s="1"/>
  <c r="V784" i="13" s="1"/>
  <c r="V785" i="13" s="1"/>
  <c r="V786" i="13" s="1"/>
  <c r="V787" i="13" s="1"/>
  <c r="V788" i="13" s="1"/>
  <c r="V789" i="13" s="1"/>
  <c r="V790" i="13" s="1"/>
  <c r="V791" i="13" s="1"/>
  <c r="V792" i="13" s="1"/>
  <c r="V793" i="13" s="1"/>
  <c r="V794" i="13" s="1"/>
  <c r="V795" i="13" s="1"/>
  <c r="V796" i="13" s="1"/>
  <c r="V797" i="13" s="1"/>
  <c r="V798" i="13" s="1"/>
  <c r="V799" i="13" s="1"/>
  <c r="V800" i="13" s="1"/>
  <c r="V801" i="13" s="1"/>
  <c r="V802" i="13" s="1"/>
  <c r="V803" i="13" s="1"/>
  <c r="V804" i="13" s="1"/>
  <c r="V805" i="13" s="1"/>
  <c r="V806" i="13" s="1"/>
  <c r="V807" i="13" s="1"/>
  <c r="V808" i="13" s="1"/>
  <c r="V809" i="13" s="1"/>
  <c r="V810" i="13" s="1"/>
  <c r="V811" i="13" s="1"/>
  <c r="V812" i="13" s="1"/>
  <c r="V813" i="13" s="1"/>
  <c r="V814" i="13" s="1"/>
  <c r="V815" i="13" s="1"/>
  <c r="V816" i="13" s="1"/>
  <c r="V817" i="13" s="1"/>
  <c r="V818" i="13" s="1"/>
  <c r="V819" i="13" s="1"/>
  <c r="V820" i="13" s="1"/>
  <c r="V821" i="13" s="1"/>
  <c r="V822" i="13" s="1"/>
  <c r="V823" i="13" s="1"/>
  <c r="V824" i="13" s="1"/>
  <c r="V825" i="13" s="1"/>
  <c r="V826" i="13" s="1"/>
  <c r="V827" i="13" s="1"/>
  <c r="V828" i="13" s="1"/>
  <c r="V829" i="13" s="1"/>
  <c r="V830" i="13" s="1"/>
  <c r="V831" i="13" s="1"/>
  <c r="V832" i="13" s="1"/>
  <c r="V833" i="13" s="1"/>
  <c r="V834" i="13" s="1"/>
  <c r="V835" i="13" s="1"/>
  <c r="V836" i="13" s="1"/>
  <c r="V837" i="13" s="1"/>
  <c r="V838" i="13" s="1"/>
  <c r="V839" i="13" s="1"/>
  <c r="V840" i="13" s="1"/>
  <c r="V841" i="13" s="1"/>
  <c r="V842" i="13" s="1"/>
  <c r="V843" i="13" s="1"/>
  <c r="V844" i="13" s="1"/>
  <c r="V845" i="13" s="1"/>
  <c r="V846" i="13" s="1"/>
  <c r="V847" i="13" s="1"/>
  <c r="V848" i="13" s="1"/>
  <c r="V849" i="13" s="1"/>
  <c r="V850" i="13" s="1"/>
  <c r="V851" i="13" s="1"/>
  <c r="V852" i="13" s="1"/>
  <c r="V853" i="13" s="1"/>
  <c r="V854" i="13" s="1"/>
  <c r="V855" i="13" s="1"/>
  <c r="V856" i="13" s="1"/>
  <c r="V857" i="13" s="1"/>
  <c r="V858" i="13" s="1"/>
  <c r="V859" i="13" s="1"/>
  <c r="V860" i="13" s="1"/>
  <c r="V861" i="13" s="1"/>
  <c r="V862" i="13" s="1"/>
  <c r="V863" i="13" s="1"/>
  <c r="V864" i="13" s="1"/>
  <c r="V865" i="13" s="1"/>
  <c r="V866" i="13" s="1"/>
  <c r="V867" i="13" s="1"/>
  <c r="V868" i="13" s="1"/>
  <c r="V869" i="13" s="1"/>
  <c r="V870" i="13" s="1"/>
  <c r="V871" i="13" s="1"/>
  <c r="V872" i="13" s="1"/>
  <c r="V873" i="13" s="1"/>
  <c r="V874" i="13" s="1"/>
  <c r="V875" i="13" s="1"/>
  <c r="V876" i="13" s="1"/>
  <c r="V877" i="13" s="1"/>
  <c r="V878" i="13" s="1"/>
  <c r="V879" i="13" s="1"/>
  <c r="V880" i="13" s="1"/>
  <c r="V881" i="13" s="1"/>
  <c r="V882" i="13" s="1"/>
  <c r="V883" i="13" s="1"/>
  <c r="V884" i="13" s="1"/>
  <c r="V885" i="13" s="1"/>
  <c r="V886" i="13" s="1"/>
  <c r="V887" i="13" s="1"/>
  <c r="V888" i="13" s="1"/>
  <c r="V889" i="13" s="1"/>
  <c r="V890" i="13" s="1"/>
  <c r="V891" i="13" s="1"/>
  <c r="V892" i="13" s="1"/>
  <c r="V893" i="13" s="1"/>
  <c r="V894" i="13" s="1"/>
  <c r="V895" i="13" s="1"/>
  <c r="V896" i="13" s="1"/>
  <c r="V897" i="13" s="1"/>
  <c r="V898" i="13" s="1"/>
  <c r="V899" i="13" s="1"/>
  <c r="V900" i="13" s="1"/>
  <c r="V901" i="13" s="1"/>
  <c r="V902" i="13" s="1"/>
  <c r="V903" i="13" s="1"/>
  <c r="V904" i="13" s="1"/>
  <c r="V905" i="13" s="1"/>
  <c r="V906" i="13" s="1"/>
  <c r="V907" i="13" s="1"/>
  <c r="V908" i="13" s="1"/>
  <c r="V909" i="13" s="1"/>
  <c r="V910" i="13" s="1"/>
  <c r="V911" i="13" s="1"/>
  <c r="V912" i="13" s="1"/>
  <c r="V913" i="13" s="1"/>
  <c r="V914" i="13" s="1"/>
  <c r="V915" i="13" s="1"/>
  <c r="V916" i="13" s="1"/>
  <c r="V917" i="13" s="1"/>
  <c r="V918" i="13" s="1"/>
  <c r="V919" i="13" s="1"/>
  <c r="V920" i="13" s="1"/>
  <c r="V921" i="13" s="1"/>
  <c r="V922" i="13" s="1"/>
  <c r="V923" i="13" s="1"/>
  <c r="V924" i="13" s="1"/>
  <c r="V925" i="13" s="1"/>
  <c r="V926" i="13" s="1"/>
  <c r="V927" i="13" s="1"/>
  <c r="V928" i="13" s="1"/>
  <c r="V929" i="13" s="1"/>
  <c r="V930" i="13" s="1"/>
  <c r="V931" i="13" s="1"/>
  <c r="V932" i="13" s="1"/>
  <c r="V933" i="13" s="1"/>
  <c r="V934" i="13" s="1"/>
  <c r="V935" i="13" s="1"/>
  <c r="V936" i="13" s="1"/>
  <c r="V937" i="13" s="1"/>
  <c r="V938" i="13" s="1"/>
  <c r="V939" i="13" s="1"/>
  <c r="V940" i="13" s="1"/>
  <c r="V941" i="13" s="1"/>
  <c r="V942" i="13" s="1"/>
  <c r="V943" i="13" s="1"/>
  <c r="V944" i="13" s="1"/>
  <c r="V945" i="13" s="1"/>
  <c r="V946" i="13" s="1"/>
  <c r="V947" i="13" s="1"/>
  <c r="V948" i="13" s="1"/>
  <c r="V949" i="13" s="1"/>
  <c r="V950" i="13" s="1"/>
  <c r="V951" i="13" s="1"/>
  <c r="V952" i="13" s="1"/>
  <c r="V953" i="13" s="1"/>
  <c r="V954" i="13" s="1"/>
  <c r="V955" i="13" s="1"/>
  <c r="V956" i="13" s="1"/>
  <c r="V957" i="13" s="1"/>
  <c r="V958" i="13" s="1"/>
  <c r="V959" i="13" s="1"/>
  <c r="V960" i="13" s="1"/>
  <c r="V961" i="13" s="1"/>
  <c r="V962" i="13" s="1"/>
  <c r="V963" i="13" s="1"/>
  <c r="V964" i="13" s="1"/>
  <c r="V965" i="13" s="1"/>
  <c r="V966" i="13" s="1"/>
  <c r="V967" i="13" s="1"/>
  <c r="V968" i="13" s="1"/>
  <c r="V969" i="13" s="1"/>
  <c r="V970" i="13" s="1"/>
  <c r="V971" i="13" s="1"/>
  <c r="V972" i="13" s="1"/>
  <c r="V973" i="13" s="1"/>
  <c r="V974" i="13" s="1"/>
  <c r="V975" i="13" s="1"/>
  <c r="V976" i="13" s="1"/>
  <c r="V977" i="13" s="1"/>
  <c r="V978" i="13" s="1"/>
  <c r="V979" i="13" s="1"/>
  <c r="V980" i="13" s="1"/>
  <c r="V981" i="13" s="1"/>
  <c r="V982" i="13" s="1"/>
  <c r="V983" i="13" s="1"/>
  <c r="V984" i="13" s="1"/>
  <c r="V985" i="13" s="1"/>
  <c r="V986" i="13" s="1"/>
  <c r="V987" i="13" s="1"/>
  <c r="V988" i="13" s="1"/>
  <c r="V989" i="13" s="1"/>
  <c r="V990" i="13" s="1"/>
  <c r="V991" i="13" s="1"/>
  <c r="V992" i="13" s="1"/>
  <c r="V993" i="13" s="1"/>
  <c r="V994" i="13" s="1"/>
  <c r="V995" i="13" s="1"/>
  <c r="V996" i="13" s="1"/>
  <c r="V997" i="13" s="1"/>
  <c r="V998" i="13" s="1"/>
  <c r="V999" i="13" s="1"/>
  <c r="V1000" i="13" s="1"/>
  <c r="V1001" i="13" s="1"/>
  <c r="V1002" i="13" s="1"/>
  <c r="V1003" i="13" s="1"/>
  <c r="V1004" i="13" s="1"/>
  <c r="V1005" i="13" s="1"/>
  <c r="V1006" i="13" s="1"/>
  <c r="V1007" i="13" s="1"/>
  <c r="V1008" i="13" s="1"/>
  <c r="V1009" i="13" s="1"/>
  <c r="V1010" i="13" s="1"/>
  <c r="V1011" i="13" s="1"/>
  <c r="V1012" i="13" s="1"/>
  <c r="V1013" i="13" s="1"/>
  <c r="V1014" i="13" s="1"/>
  <c r="V1015" i="13" s="1"/>
  <c r="V1016" i="13" s="1"/>
  <c r="V1017" i="13" s="1"/>
  <c r="V1018" i="13" s="1"/>
  <c r="V1019" i="13" s="1"/>
  <c r="V1020" i="13" s="1"/>
  <c r="V1021" i="13" s="1"/>
  <c r="V1022" i="13" s="1"/>
  <c r="V1023" i="13" s="1"/>
  <c r="V1024" i="13" s="1"/>
  <c r="V1025" i="13" s="1"/>
  <c r="V1026" i="13" s="1"/>
  <c r="V1027" i="13" s="1"/>
  <c r="V1028" i="13" s="1"/>
  <c r="V1029" i="13" s="1"/>
  <c r="V1030" i="13" s="1"/>
  <c r="V1031" i="13" s="1"/>
  <c r="V1032" i="13" s="1"/>
  <c r="V1033" i="13" s="1"/>
  <c r="V1034" i="13" s="1"/>
  <c r="V1035" i="13" s="1"/>
  <c r="V1036" i="13" s="1"/>
  <c r="V1037" i="13" s="1"/>
  <c r="V1038" i="13" s="1"/>
  <c r="V1039" i="13" s="1"/>
  <c r="V1040" i="13" s="1"/>
  <c r="V1041" i="13" s="1"/>
  <c r="V1042" i="13" s="1"/>
  <c r="V1043" i="13" s="1"/>
  <c r="V1044" i="13" s="1"/>
  <c r="V1045" i="13" s="1"/>
  <c r="V1046" i="13" s="1"/>
  <c r="V1047" i="13" s="1"/>
  <c r="V1048" i="13" s="1"/>
  <c r="V1049" i="13" s="1"/>
  <c r="V1050" i="13" s="1"/>
  <c r="V1051" i="13" s="1"/>
  <c r="V1052" i="13" s="1"/>
  <c r="V1053" i="13" s="1"/>
  <c r="V1054" i="13" s="1"/>
  <c r="V1055" i="13" s="1"/>
  <c r="V1056" i="13" s="1"/>
  <c r="V1057" i="13" s="1"/>
  <c r="V1058" i="13" s="1"/>
  <c r="V1059" i="13" s="1"/>
  <c r="V1060" i="13" s="1"/>
  <c r="V1061" i="13" s="1"/>
  <c r="V1062" i="13" s="1"/>
  <c r="V1063" i="13" s="1"/>
  <c r="V1064" i="13" s="1"/>
  <c r="V1065" i="13" s="1"/>
  <c r="V1066" i="13" s="1"/>
  <c r="V1067" i="13" s="1"/>
  <c r="V1068" i="13" s="1"/>
  <c r="V1069" i="13" s="1"/>
  <c r="V1070" i="13" s="1"/>
  <c r="V1071" i="13" s="1"/>
  <c r="V1072" i="13" s="1"/>
  <c r="V1073" i="13" s="1"/>
  <c r="V1074" i="13" s="1"/>
  <c r="V1075" i="13" s="1"/>
  <c r="V1076" i="13" s="1"/>
  <c r="V1077" i="13" s="1"/>
  <c r="V1078" i="13" s="1"/>
  <c r="V1079" i="13" s="1"/>
  <c r="V1080" i="13" s="1"/>
  <c r="V1081" i="13" s="1"/>
  <c r="V1082" i="13" s="1"/>
  <c r="V1083" i="13" s="1"/>
  <c r="V1084" i="13" s="1"/>
  <c r="V1085" i="13" s="1"/>
  <c r="V1086" i="13" s="1"/>
  <c r="V1087" i="13" s="1"/>
  <c r="V1088" i="13" s="1"/>
  <c r="V1089" i="13" s="1"/>
  <c r="V1090" i="13" s="1"/>
  <c r="V1091" i="13" s="1"/>
  <c r="V1092" i="13" s="1"/>
  <c r="V1093" i="13" s="1"/>
  <c r="V1094" i="13" s="1"/>
  <c r="V1095" i="13" s="1"/>
  <c r="V1096" i="13" s="1"/>
  <c r="V1097" i="13" s="1"/>
  <c r="V1098" i="13" s="1"/>
  <c r="V1099" i="13" s="1"/>
  <c r="V1100" i="13" s="1"/>
  <c r="V1101" i="13" s="1"/>
  <c r="V1102" i="13" s="1"/>
  <c r="V1103" i="13" s="1"/>
  <c r="V1104" i="13" s="1"/>
  <c r="V1105" i="13" s="1"/>
  <c r="V1106" i="13" s="1"/>
  <c r="V1107" i="13" s="1"/>
  <c r="V1108" i="13" s="1"/>
  <c r="V1109" i="13" s="1"/>
  <c r="V1110" i="13" s="1"/>
  <c r="V1111" i="13" s="1"/>
  <c r="V1112" i="13" s="1"/>
  <c r="V1113" i="13" s="1"/>
  <c r="V1114" i="13" s="1"/>
  <c r="V1115" i="13" s="1"/>
  <c r="V1116" i="13" s="1"/>
  <c r="V1117" i="13" s="1"/>
  <c r="V1118" i="13" s="1"/>
  <c r="V1119" i="13" s="1"/>
  <c r="V1120" i="13" s="1"/>
  <c r="V1121" i="13" s="1"/>
  <c r="V1122" i="13" s="1"/>
  <c r="V1123" i="13" s="1"/>
  <c r="V1124" i="13" s="1"/>
  <c r="V1125" i="13" s="1"/>
  <c r="V1126" i="13" s="1"/>
  <c r="V1127" i="13" s="1"/>
  <c r="V1128" i="13" s="1"/>
  <c r="V1129" i="13" s="1"/>
  <c r="V1130" i="13" s="1"/>
  <c r="V1131" i="13" s="1"/>
  <c r="V1132" i="13" s="1"/>
  <c r="V1133" i="13" s="1"/>
  <c r="V1134" i="13" s="1"/>
  <c r="V1135" i="13" s="1"/>
  <c r="V1136" i="13" s="1"/>
  <c r="V1137" i="13" s="1"/>
  <c r="V1138" i="13" s="1"/>
  <c r="V1139" i="13" s="1"/>
  <c r="V1140" i="13" s="1"/>
  <c r="V1141" i="13" s="1"/>
  <c r="V1142" i="13" s="1"/>
  <c r="V1143" i="13" s="1"/>
  <c r="V1144" i="13" s="1"/>
  <c r="V1145" i="13" s="1"/>
  <c r="V1146" i="13" s="1"/>
  <c r="V1147" i="13" s="1"/>
  <c r="V1148" i="13" s="1"/>
  <c r="V1149" i="13" s="1"/>
  <c r="V1150" i="13" s="1"/>
  <c r="V1151" i="13" s="1"/>
  <c r="V1152" i="13" s="1"/>
  <c r="V1153" i="13" s="1"/>
  <c r="V1154" i="13" s="1"/>
  <c r="V1155" i="13" s="1"/>
  <c r="V1156" i="13" s="1"/>
  <c r="V1157" i="13" s="1"/>
  <c r="V1158" i="13" s="1"/>
  <c r="V1159" i="13" s="1"/>
  <c r="V1160" i="13" s="1"/>
  <c r="V1161" i="13" s="1"/>
  <c r="V1162" i="13" s="1"/>
  <c r="V1163" i="13" s="1"/>
  <c r="V1164" i="13" s="1"/>
  <c r="V1165" i="13" s="1"/>
  <c r="V1166" i="13" s="1"/>
  <c r="V1167" i="13" s="1"/>
  <c r="V1168" i="13" s="1"/>
  <c r="V1169" i="13" s="1"/>
  <c r="V1170" i="13" s="1"/>
  <c r="V1171" i="13" s="1"/>
  <c r="V1172" i="13" s="1"/>
  <c r="V1173" i="13" s="1"/>
  <c r="V1174" i="13" s="1"/>
  <c r="V1175" i="13" s="1"/>
  <c r="V1176" i="13" s="1"/>
  <c r="V1177" i="13" s="1"/>
  <c r="V1178" i="13" s="1"/>
  <c r="V1179" i="13" s="1"/>
  <c r="V1180" i="13" s="1"/>
  <c r="V1181" i="13" s="1"/>
  <c r="V1182" i="13" s="1"/>
  <c r="V1183" i="13" s="1"/>
  <c r="V1184" i="13" s="1"/>
  <c r="V1185" i="13" s="1"/>
  <c r="V1186" i="13" s="1"/>
  <c r="V1187" i="13" s="1"/>
  <c r="V1188" i="13" s="1"/>
  <c r="V1189" i="13" s="1"/>
  <c r="V1190" i="13" s="1"/>
  <c r="V1191" i="13" s="1"/>
  <c r="V1192" i="13" s="1"/>
  <c r="V1193" i="13" s="1"/>
  <c r="V1194" i="13" s="1"/>
  <c r="V1195" i="13" s="1"/>
  <c r="V1196" i="13" s="1"/>
  <c r="V1197" i="13" s="1"/>
  <c r="V1198" i="13" s="1"/>
  <c r="V1199" i="13" s="1"/>
  <c r="V1200" i="13" s="1"/>
  <c r="V1201" i="13" s="1"/>
  <c r="V1202" i="13" s="1"/>
  <c r="V1203" i="13" s="1"/>
  <c r="V1204" i="13" s="1"/>
  <c r="V1205" i="13" s="1"/>
  <c r="V1206" i="13" s="1"/>
  <c r="V1207" i="13" s="1"/>
  <c r="V1208" i="13" s="1"/>
  <c r="V1209" i="13" s="1"/>
  <c r="V1210" i="13" s="1"/>
  <c r="V1211" i="13" s="1"/>
  <c r="V1212" i="13" s="1"/>
  <c r="V1213" i="13" s="1"/>
  <c r="V1214" i="13" s="1"/>
  <c r="V1215" i="13" s="1"/>
  <c r="V1216" i="13" s="1"/>
  <c r="V1217" i="13" s="1"/>
  <c r="V1218" i="13" s="1"/>
  <c r="V1219" i="13" s="1"/>
  <c r="V1220" i="13" s="1"/>
  <c r="V1221" i="13" s="1"/>
  <c r="V1222" i="13" s="1"/>
  <c r="V1223" i="13" s="1"/>
  <c r="V1224" i="13" s="1"/>
  <c r="V1225" i="13" s="1"/>
  <c r="V1226" i="13" s="1"/>
  <c r="V1227" i="13" s="1"/>
  <c r="V1228" i="13" s="1"/>
  <c r="V1229" i="13" s="1"/>
  <c r="V1230" i="13" s="1"/>
  <c r="V1231" i="13" s="1"/>
  <c r="V1232" i="13" s="1"/>
  <c r="V1233" i="13" s="1"/>
  <c r="V1234" i="13" s="1"/>
  <c r="V1235" i="13" s="1"/>
  <c r="V1236" i="13" s="1"/>
  <c r="V1237" i="13" s="1"/>
  <c r="V1238" i="13" s="1"/>
  <c r="V1239" i="13" s="1"/>
  <c r="V1240" i="13" s="1"/>
  <c r="V1241" i="13" s="1"/>
  <c r="V1242" i="13" s="1"/>
  <c r="V1243" i="13" s="1"/>
  <c r="V1244" i="13" s="1"/>
  <c r="V1245" i="13" s="1"/>
  <c r="V1246" i="13" s="1"/>
  <c r="V1247" i="13" s="1"/>
  <c r="V1248" i="13" s="1"/>
  <c r="V1249" i="13" s="1"/>
  <c r="V1250" i="13" s="1"/>
  <c r="V1251" i="13" s="1"/>
  <c r="V1252" i="13" s="1"/>
  <c r="V1253" i="13" s="1"/>
  <c r="V1254" i="13" s="1"/>
  <c r="V1255" i="13" s="1"/>
  <c r="V1256" i="13" s="1"/>
  <c r="V1257" i="13" s="1"/>
  <c r="V1258" i="13" s="1"/>
  <c r="V1259" i="13" s="1"/>
  <c r="V1260" i="13" s="1"/>
  <c r="V1261" i="13" s="1"/>
  <c r="V1262" i="13" s="1"/>
  <c r="V1263" i="13" s="1"/>
  <c r="V1264" i="13" s="1"/>
  <c r="V1265" i="13" s="1"/>
  <c r="V1266" i="13" s="1"/>
  <c r="V1267" i="13" s="1"/>
  <c r="V1268" i="13" s="1"/>
  <c r="V1269" i="13" s="1"/>
  <c r="V1270" i="13" s="1"/>
  <c r="V1271" i="13" s="1"/>
  <c r="V1272" i="13" s="1"/>
  <c r="V1273" i="13" s="1"/>
  <c r="V1274" i="13" s="1"/>
  <c r="V1275" i="13" s="1"/>
  <c r="V1276" i="13" s="1"/>
  <c r="V1277" i="13" s="1"/>
  <c r="V1278" i="13" s="1"/>
  <c r="V1279" i="13" s="1"/>
  <c r="V1280" i="13" s="1"/>
  <c r="V1281" i="13" s="1"/>
  <c r="V1282" i="13" s="1"/>
  <c r="V1283" i="13" s="1"/>
  <c r="V1284" i="13" s="1"/>
  <c r="V1285" i="13" s="1"/>
  <c r="V1286" i="13" s="1"/>
  <c r="V1287" i="13" s="1"/>
  <c r="V1288" i="13" s="1"/>
  <c r="V1289" i="13" s="1"/>
  <c r="V1290" i="13" s="1"/>
  <c r="V1291" i="13" s="1"/>
  <c r="V1292" i="13" s="1"/>
  <c r="V1293" i="13" s="1"/>
  <c r="V1294" i="13" s="1"/>
  <c r="V1295" i="13" s="1"/>
  <c r="V1296" i="13" s="1"/>
  <c r="V1297" i="13" s="1"/>
  <c r="V1298" i="13" s="1"/>
  <c r="V1299" i="13" s="1"/>
  <c r="V1300" i="13" s="1"/>
  <c r="V1301" i="13" s="1"/>
  <c r="V1302" i="13" s="1"/>
  <c r="V1303" i="13" s="1"/>
  <c r="V1304" i="13" s="1"/>
  <c r="V1305" i="13" s="1"/>
  <c r="V1306" i="13" s="1"/>
  <c r="V1307" i="13" s="1"/>
  <c r="V1308" i="13" s="1"/>
  <c r="V1309" i="13" s="1"/>
  <c r="V1310" i="13" s="1"/>
  <c r="V1311" i="13" s="1"/>
  <c r="V1312" i="13" s="1"/>
  <c r="V1313" i="13" s="1"/>
  <c r="V1314" i="13" s="1"/>
  <c r="V1315" i="13" s="1"/>
  <c r="V1316" i="13" s="1"/>
  <c r="V1317" i="13" s="1"/>
  <c r="V1318" i="13" s="1"/>
  <c r="V1319" i="13" s="1"/>
  <c r="V1320" i="13" s="1"/>
  <c r="V1321" i="13" s="1"/>
  <c r="V1322" i="13" s="1"/>
  <c r="V1323" i="13" s="1"/>
  <c r="V1324" i="13" s="1"/>
  <c r="V1325" i="13" s="1"/>
  <c r="V1326" i="13" s="1"/>
  <c r="V1327" i="13" s="1"/>
  <c r="V1328" i="13" s="1"/>
  <c r="V1329" i="13" s="1"/>
  <c r="V1330" i="13" s="1"/>
  <c r="V1331" i="13" s="1"/>
  <c r="V1332" i="13" s="1"/>
  <c r="V1333" i="13" s="1"/>
  <c r="V1334" i="13" s="1"/>
  <c r="V1335" i="13" s="1"/>
  <c r="V1336" i="13" s="1"/>
  <c r="V1337" i="13" s="1"/>
  <c r="V1338" i="13" s="1"/>
  <c r="V1339" i="13" s="1"/>
  <c r="V1340" i="13" s="1"/>
  <c r="V1341" i="13" s="1"/>
  <c r="V1342" i="13" s="1"/>
  <c r="V1343" i="13" s="1"/>
  <c r="V1344" i="13" s="1"/>
  <c r="V1345" i="13" s="1"/>
  <c r="V1346" i="13" s="1"/>
  <c r="V1347" i="13" s="1"/>
  <c r="V1348" i="13" s="1"/>
  <c r="V1349" i="13" s="1"/>
  <c r="V1350" i="13" s="1"/>
  <c r="V1351" i="13" s="1"/>
  <c r="V1352" i="13" s="1"/>
  <c r="V1353" i="13" s="1"/>
  <c r="V1354" i="13" s="1"/>
  <c r="V1355" i="13" s="1"/>
  <c r="V1356" i="13" s="1"/>
  <c r="V1357" i="13" s="1"/>
  <c r="V1358" i="13" s="1"/>
  <c r="V1359" i="13" s="1"/>
  <c r="V1360" i="13" s="1"/>
  <c r="V1361" i="13" s="1"/>
  <c r="V1362" i="13" s="1"/>
  <c r="V1363" i="13" s="1"/>
  <c r="V1364" i="13" s="1"/>
  <c r="V1365" i="13" s="1"/>
  <c r="V1366" i="13" s="1"/>
  <c r="V1367" i="13" s="1"/>
  <c r="V1368" i="13" s="1"/>
  <c r="V1369" i="13" s="1"/>
  <c r="V1370" i="13" s="1"/>
  <c r="V1371" i="13" s="1"/>
  <c r="V1372" i="13" s="1"/>
  <c r="V1373" i="13" s="1"/>
  <c r="V1374" i="13" s="1"/>
  <c r="V1375" i="13" s="1"/>
  <c r="V1376" i="13" s="1"/>
  <c r="V1377" i="13" s="1"/>
  <c r="V1378" i="13" s="1"/>
  <c r="V1379" i="13" s="1"/>
  <c r="V1380" i="13" s="1"/>
  <c r="V1381" i="13" s="1"/>
  <c r="V1382" i="13" s="1"/>
  <c r="V1383" i="13" s="1"/>
  <c r="V1384" i="13" s="1"/>
  <c r="V1385" i="13" s="1"/>
  <c r="V1386" i="13" s="1"/>
  <c r="V1387" i="13" s="1"/>
  <c r="V1388" i="13" s="1"/>
  <c r="V1389" i="13" s="1"/>
  <c r="V1390" i="13" s="1"/>
  <c r="V1391" i="13" s="1"/>
  <c r="V1392" i="13" s="1"/>
  <c r="V1393" i="13" s="1"/>
  <c r="V1394" i="13" s="1"/>
  <c r="V1395" i="13" s="1"/>
  <c r="V1396" i="13" s="1"/>
  <c r="V1397" i="13" s="1"/>
  <c r="V1398" i="13" s="1"/>
  <c r="V1399" i="13" s="1"/>
  <c r="V1400" i="13" s="1"/>
  <c r="V1401" i="13" s="1"/>
  <c r="V1402" i="13" s="1"/>
  <c r="V1403" i="13" s="1"/>
  <c r="V1404" i="13" s="1"/>
  <c r="V1405" i="13" s="1"/>
  <c r="V1406" i="13" s="1"/>
  <c r="V1407" i="13" s="1"/>
  <c r="V1408" i="13" s="1"/>
  <c r="V1409" i="13" s="1"/>
  <c r="V1410" i="13" s="1"/>
  <c r="V1411" i="13" s="1"/>
  <c r="V1412" i="13" s="1"/>
  <c r="V1413" i="13" s="1"/>
  <c r="V1414" i="13" s="1"/>
  <c r="V1415" i="13" s="1"/>
  <c r="V1416" i="13" s="1"/>
  <c r="V1417" i="13" s="1"/>
  <c r="V1418" i="13" s="1"/>
  <c r="V1419" i="13" s="1"/>
  <c r="V1420" i="13" s="1"/>
  <c r="V1421" i="13" s="1"/>
  <c r="V1422" i="13" s="1"/>
  <c r="V1423" i="13" s="1"/>
  <c r="V1424" i="13" s="1"/>
  <c r="V1425" i="13" s="1"/>
  <c r="V1426" i="13" s="1"/>
  <c r="V1427" i="13" s="1"/>
  <c r="V1428" i="13" s="1"/>
  <c r="V1429" i="13" s="1"/>
  <c r="V1430" i="13" s="1"/>
  <c r="V1431" i="13" s="1"/>
  <c r="V1432" i="13" s="1"/>
  <c r="V1433" i="13" s="1"/>
  <c r="V1434" i="13" s="1"/>
  <c r="V1435" i="13" s="1"/>
  <c r="V1436" i="13" s="1"/>
  <c r="V1437" i="13" s="1"/>
  <c r="V1438" i="13" s="1"/>
  <c r="V1439" i="13" s="1"/>
  <c r="V1440" i="13" s="1"/>
  <c r="V1441" i="13" s="1"/>
  <c r="V1442" i="13" s="1"/>
  <c r="V1443" i="13" s="1"/>
  <c r="V1444" i="13" s="1"/>
  <c r="V1445" i="13" s="1"/>
  <c r="V1446" i="13" s="1"/>
  <c r="V1447" i="13" s="1"/>
  <c r="V1448" i="13" s="1"/>
  <c r="V1449" i="13" s="1"/>
  <c r="V1450" i="13" s="1"/>
  <c r="V1451" i="13" s="1"/>
  <c r="V1452" i="13" s="1"/>
  <c r="V1453" i="13" s="1"/>
  <c r="V1454" i="13" s="1"/>
  <c r="V1455" i="13" s="1"/>
  <c r="V1456" i="13" s="1"/>
  <c r="V1457" i="13" s="1"/>
  <c r="V1458" i="13" s="1"/>
  <c r="V1459" i="13" s="1"/>
  <c r="V1460" i="13" s="1"/>
  <c r="V1461" i="13" s="1"/>
  <c r="V1462" i="13" s="1"/>
  <c r="V1463" i="13" s="1"/>
  <c r="V1464" i="13" s="1"/>
  <c r="V1465" i="13" s="1"/>
  <c r="V1466" i="13" s="1"/>
  <c r="V1467" i="13" s="1"/>
  <c r="V1468" i="13" s="1"/>
  <c r="V1469" i="13" s="1"/>
  <c r="V1470" i="13" s="1"/>
  <c r="V1471" i="13" s="1"/>
  <c r="V1472" i="13" s="1"/>
  <c r="V1473" i="13" s="1"/>
  <c r="V1474" i="13" s="1"/>
  <c r="V1475" i="13" s="1"/>
  <c r="V1476" i="13" s="1"/>
  <c r="V1477" i="13" s="1"/>
  <c r="V1478" i="13" s="1"/>
  <c r="V1479" i="13" s="1"/>
  <c r="V1480" i="13" s="1"/>
  <c r="V1481" i="13" s="1"/>
  <c r="V1482" i="13" s="1"/>
  <c r="V1483" i="13" s="1"/>
  <c r="V1484" i="13" s="1"/>
  <c r="V1485" i="13" s="1"/>
  <c r="V1486" i="13" s="1"/>
  <c r="V1487" i="13" s="1"/>
  <c r="V1488" i="13" s="1"/>
  <c r="V1489" i="13" s="1"/>
  <c r="V1490" i="13" s="1"/>
  <c r="V1491" i="13" s="1"/>
  <c r="V1492" i="13" s="1"/>
  <c r="V1493" i="13" s="1"/>
  <c r="V1494" i="13" s="1"/>
  <c r="V1495" i="13" s="1"/>
  <c r="V1496" i="13" s="1"/>
  <c r="V1497" i="13" s="1"/>
  <c r="V1498" i="13" s="1"/>
  <c r="V1499" i="13" s="1"/>
  <c r="V1500" i="13" s="1"/>
  <c r="V1501" i="13" s="1"/>
  <c r="V1502" i="13" s="1"/>
  <c r="V1503" i="13" s="1"/>
  <c r="V1504" i="13" s="1"/>
  <c r="V1505" i="13" s="1"/>
  <c r="V1506" i="13" s="1"/>
  <c r="V1507" i="13" s="1"/>
  <c r="V1508" i="13" s="1"/>
  <c r="V1509" i="13" s="1"/>
  <c r="V1510" i="13" s="1"/>
  <c r="V1511" i="13" s="1"/>
  <c r="V1512" i="13" s="1"/>
  <c r="V1513" i="13" s="1"/>
  <c r="V1514" i="13" s="1"/>
  <c r="V1515" i="13" s="1"/>
  <c r="V1516" i="13" s="1"/>
  <c r="V1517" i="13" s="1"/>
  <c r="V1518" i="13" s="1"/>
  <c r="V1519" i="13" s="1"/>
  <c r="V1520" i="13" s="1"/>
  <c r="V1521" i="13" s="1"/>
  <c r="V1522" i="13" s="1"/>
  <c r="V1523" i="13" s="1"/>
  <c r="V1524" i="13" s="1"/>
  <c r="V1525" i="13" s="1"/>
  <c r="V1526" i="13" s="1"/>
  <c r="V1527" i="13" s="1"/>
  <c r="V1528" i="13" s="1"/>
  <c r="V1529" i="13" s="1"/>
  <c r="V1530" i="13" s="1"/>
  <c r="V1531" i="13" s="1"/>
  <c r="V1532" i="13" s="1"/>
  <c r="V1533" i="13" s="1"/>
  <c r="V1534" i="13" s="1"/>
  <c r="V1535" i="13" s="1"/>
  <c r="V1536" i="13" s="1"/>
  <c r="V1537" i="13" s="1"/>
  <c r="V1538" i="13" s="1"/>
  <c r="V1539" i="13" s="1"/>
  <c r="V1540" i="13" s="1"/>
  <c r="V1541" i="13" s="1"/>
  <c r="V1542" i="13" s="1"/>
  <c r="V1543" i="13" s="1"/>
  <c r="V1544" i="13" s="1"/>
  <c r="V1545" i="13" s="1"/>
  <c r="V1546" i="13" s="1"/>
  <c r="V1547" i="13" s="1"/>
  <c r="V1548" i="13" s="1"/>
  <c r="V1549" i="13" s="1"/>
  <c r="V1550" i="13" s="1"/>
  <c r="V1551" i="13" s="1"/>
  <c r="V1552" i="13" s="1"/>
  <c r="V1553" i="13" s="1"/>
  <c r="V1554" i="13" s="1"/>
  <c r="V1555" i="13" s="1"/>
  <c r="V1556" i="13" s="1"/>
  <c r="V1557" i="13" s="1"/>
  <c r="V1558" i="13" s="1"/>
  <c r="V1559" i="13" s="1"/>
  <c r="V1560" i="13" s="1"/>
  <c r="V1561" i="13" s="1"/>
  <c r="V1562" i="13" s="1"/>
  <c r="V1563" i="13" s="1"/>
  <c r="V1564" i="13" s="1"/>
  <c r="V1565" i="13" s="1"/>
  <c r="V1566" i="13" s="1"/>
  <c r="V1567" i="13" s="1"/>
  <c r="V1568" i="13" s="1"/>
  <c r="V1569" i="13" s="1"/>
  <c r="V1570" i="13" s="1"/>
  <c r="V1571" i="13" s="1"/>
  <c r="V1572" i="13" s="1"/>
  <c r="V1573" i="13" s="1"/>
  <c r="V1574" i="13" s="1"/>
  <c r="V1575" i="13" s="1"/>
  <c r="V1576" i="13" s="1"/>
  <c r="V1577" i="13" s="1"/>
  <c r="V1578" i="13" s="1"/>
  <c r="V1579" i="13" s="1"/>
  <c r="V1580" i="13" s="1"/>
  <c r="V1581" i="13" s="1"/>
  <c r="V1582" i="13" s="1"/>
  <c r="V1583" i="13" s="1"/>
  <c r="V1584" i="13" s="1"/>
  <c r="V1585" i="13" s="1"/>
  <c r="V1586" i="13" s="1"/>
  <c r="V1587" i="13" s="1"/>
  <c r="V1588" i="13" s="1"/>
  <c r="V1589" i="13" s="1"/>
  <c r="V1590" i="13" s="1"/>
  <c r="V1591" i="13" s="1"/>
  <c r="V1592" i="13" s="1"/>
  <c r="V1593" i="13" s="1"/>
  <c r="V1594" i="13" s="1"/>
  <c r="V1595" i="13" s="1"/>
  <c r="V1596" i="13" s="1"/>
  <c r="V1597" i="13" s="1"/>
  <c r="V1598" i="13" s="1"/>
  <c r="V1599" i="13" s="1"/>
  <c r="V1600" i="13" s="1"/>
  <c r="V1601" i="13" s="1"/>
  <c r="V1602" i="13" s="1"/>
  <c r="V1603" i="13" s="1"/>
  <c r="V1604" i="13" s="1"/>
  <c r="V1605" i="13" s="1"/>
  <c r="V1606" i="13" s="1"/>
  <c r="V1607" i="13" s="1"/>
  <c r="V1608" i="13" s="1"/>
  <c r="V1609" i="13" s="1"/>
  <c r="V1610" i="13" s="1"/>
  <c r="V1611" i="13" s="1"/>
  <c r="V1612" i="13" s="1"/>
  <c r="V1613" i="13" s="1"/>
  <c r="V1614" i="13" s="1"/>
  <c r="V1615" i="13" s="1"/>
  <c r="V1616" i="13" s="1"/>
  <c r="V1617" i="13" s="1"/>
  <c r="V1618" i="13" s="1"/>
  <c r="V1619" i="13" s="1"/>
  <c r="V1620" i="13" s="1"/>
  <c r="V1621" i="13" s="1"/>
  <c r="V1622" i="13" s="1"/>
  <c r="V1623" i="13" s="1"/>
  <c r="V1624" i="13" s="1"/>
  <c r="V1625" i="13" s="1"/>
  <c r="V1626" i="13" s="1"/>
  <c r="V1627" i="13" s="1"/>
  <c r="V1628" i="13" s="1"/>
  <c r="V1629" i="13" s="1"/>
  <c r="V1630" i="13" s="1"/>
  <c r="V1631" i="13" s="1"/>
  <c r="V1632" i="13" s="1"/>
  <c r="V1633" i="13" s="1"/>
  <c r="V1634" i="13" s="1"/>
  <c r="V1635" i="13" s="1"/>
  <c r="V1636" i="13" s="1"/>
  <c r="V1637" i="13" s="1"/>
  <c r="V1638" i="13" s="1"/>
  <c r="V1639" i="13" s="1"/>
  <c r="V1640" i="13" s="1"/>
  <c r="V1641" i="13" s="1"/>
  <c r="V1642" i="13" s="1"/>
  <c r="V1643" i="13" s="1"/>
  <c r="V1644" i="13" s="1"/>
  <c r="V1645" i="13" s="1"/>
  <c r="V1646" i="13" s="1"/>
  <c r="V1647" i="13" s="1"/>
  <c r="V1648" i="13" s="1"/>
  <c r="V1649" i="13" s="1"/>
  <c r="V1650" i="13" s="1"/>
  <c r="V1651" i="13" s="1"/>
  <c r="V1652" i="13" s="1"/>
  <c r="V1653" i="13" s="1"/>
  <c r="V1654" i="13" s="1"/>
  <c r="V1655" i="13" s="1"/>
  <c r="V1656" i="13" s="1"/>
  <c r="V1657" i="13" s="1"/>
  <c r="V1658" i="13" s="1"/>
  <c r="V1659" i="13" s="1"/>
  <c r="V1660" i="13" s="1"/>
  <c r="V1661" i="13" s="1"/>
  <c r="V1662" i="13" s="1"/>
  <c r="V1663" i="13" s="1"/>
  <c r="V1664" i="13" s="1"/>
  <c r="V1665" i="13" s="1"/>
  <c r="V1666" i="13" s="1"/>
  <c r="V1667" i="13" s="1"/>
  <c r="V1668" i="13" s="1"/>
  <c r="V1669" i="13" s="1"/>
  <c r="V1670" i="13" s="1"/>
  <c r="V1671" i="13" s="1"/>
  <c r="V1672" i="13" s="1"/>
  <c r="V1673" i="13" s="1"/>
  <c r="V1674" i="13" s="1"/>
  <c r="V1675" i="13" s="1"/>
  <c r="V1676" i="13" s="1"/>
  <c r="V1677" i="13" s="1"/>
  <c r="V1678" i="13" s="1"/>
  <c r="V1679" i="13" s="1"/>
  <c r="V1680" i="13" s="1"/>
  <c r="V1681" i="13" s="1"/>
  <c r="V1682" i="13" s="1"/>
  <c r="V1683" i="13" s="1"/>
  <c r="V1684" i="13" s="1"/>
  <c r="V1685" i="13" s="1"/>
  <c r="V1686" i="13" s="1"/>
  <c r="V1687" i="13" s="1"/>
  <c r="V1688" i="13" s="1"/>
  <c r="V1689" i="13" s="1"/>
  <c r="V1690" i="13" s="1"/>
  <c r="V1691" i="13" s="1"/>
  <c r="V1692" i="13" s="1"/>
  <c r="V1693" i="13" s="1"/>
  <c r="V1694" i="13" s="1"/>
  <c r="V1695" i="13" s="1"/>
  <c r="V1696" i="13" s="1"/>
  <c r="V1697" i="13" s="1"/>
  <c r="V1698" i="13" s="1"/>
  <c r="V1699" i="13" s="1"/>
  <c r="V1700" i="13" s="1"/>
  <c r="V1701" i="13" s="1"/>
  <c r="V1702" i="13" s="1"/>
  <c r="V1703" i="13" s="1"/>
  <c r="V1704" i="13" s="1"/>
  <c r="V1705" i="13" s="1"/>
  <c r="V1706" i="13" s="1"/>
  <c r="V1707" i="13" s="1"/>
  <c r="V1708" i="13" s="1"/>
  <c r="V1709" i="13" s="1"/>
  <c r="V1710" i="13" s="1"/>
  <c r="V1711" i="13" s="1"/>
  <c r="V1712" i="13" s="1"/>
  <c r="V1713" i="13" s="1"/>
  <c r="V1714" i="13" s="1"/>
  <c r="V1715" i="13" s="1"/>
  <c r="V1716" i="13" s="1"/>
  <c r="V1717" i="13" s="1"/>
  <c r="V1718" i="13" s="1"/>
  <c r="V1719" i="13" s="1"/>
  <c r="V1720" i="13" s="1"/>
  <c r="V1721" i="13" s="1"/>
  <c r="V1722" i="13" s="1"/>
  <c r="V1723" i="13" s="1"/>
  <c r="V1724" i="13" s="1"/>
  <c r="V1725" i="13" s="1"/>
  <c r="V1726" i="13" s="1"/>
  <c r="V1727" i="13" s="1"/>
  <c r="V1728" i="13" s="1"/>
  <c r="V1729" i="13" s="1"/>
  <c r="V1730" i="13" s="1"/>
  <c r="V1731" i="13" s="1"/>
  <c r="V1732" i="13" s="1"/>
  <c r="V1733" i="13" s="1"/>
  <c r="V1734" i="13" s="1"/>
  <c r="V1735" i="13" s="1"/>
  <c r="V1736" i="13" s="1"/>
  <c r="V1737" i="13" s="1"/>
  <c r="V1738" i="13" s="1"/>
  <c r="V1739" i="13" s="1"/>
  <c r="V1740" i="13" s="1"/>
  <c r="V1741" i="13" s="1"/>
  <c r="V1742" i="13" s="1"/>
  <c r="V1743" i="13" s="1"/>
  <c r="V1744" i="13" s="1"/>
  <c r="V1745" i="13" s="1"/>
  <c r="V1746" i="13" s="1"/>
  <c r="V1747" i="13" s="1"/>
  <c r="V1748" i="13" s="1"/>
  <c r="V1749" i="13" s="1"/>
  <c r="V1750" i="13" s="1"/>
  <c r="V1751" i="13" s="1"/>
  <c r="V1752" i="13" s="1"/>
  <c r="V1753" i="13" s="1"/>
  <c r="V1754" i="13" s="1"/>
  <c r="V1755" i="13" s="1"/>
  <c r="V1756" i="13" s="1"/>
  <c r="V1757" i="13" s="1"/>
  <c r="V1758" i="13" s="1"/>
  <c r="V1759" i="13" s="1"/>
  <c r="V1760" i="13" s="1"/>
  <c r="V1761" i="13" s="1"/>
  <c r="V1762" i="13" s="1"/>
  <c r="V1763" i="13" s="1"/>
  <c r="V1764" i="13" s="1"/>
  <c r="V1765" i="13" s="1"/>
  <c r="V1766" i="13" s="1"/>
  <c r="V1767" i="13" s="1"/>
  <c r="V1768" i="13" s="1"/>
  <c r="V1769" i="13" s="1"/>
  <c r="V1770" i="13" s="1"/>
  <c r="V1771" i="13" s="1"/>
  <c r="V1772" i="13" s="1"/>
  <c r="V1773" i="13" s="1"/>
  <c r="V1774" i="13" s="1"/>
  <c r="V1775" i="13" s="1"/>
  <c r="V1776" i="13" s="1"/>
  <c r="V1777" i="13" s="1"/>
  <c r="V1778" i="13" s="1"/>
  <c r="V1779" i="13" s="1"/>
  <c r="V1780" i="13" s="1"/>
  <c r="V1781" i="13" s="1"/>
  <c r="V1782" i="13" s="1"/>
  <c r="V1783" i="13" s="1"/>
  <c r="V1784" i="13" s="1"/>
  <c r="V1785" i="13" s="1"/>
  <c r="V1786" i="13" s="1"/>
  <c r="V1787" i="13" s="1"/>
  <c r="V1788" i="13" s="1"/>
  <c r="V1789" i="13" s="1"/>
  <c r="V1790" i="13" s="1"/>
  <c r="V1791" i="13" s="1"/>
  <c r="V1792" i="13" s="1"/>
  <c r="V1793" i="13" s="1"/>
  <c r="V1794" i="13" s="1"/>
  <c r="V1795" i="13" s="1"/>
  <c r="V1796" i="13" s="1"/>
  <c r="V1797" i="13" s="1"/>
  <c r="V1798" i="13" s="1"/>
  <c r="V1799" i="13" s="1"/>
  <c r="V1800" i="13" s="1"/>
  <c r="V1801" i="13" s="1"/>
  <c r="V1802" i="13" s="1"/>
  <c r="V1803" i="13" s="1"/>
  <c r="V1804" i="13" s="1"/>
  <c r="V1805" i="13" s="1"/>
  <c r="V1806" i="13" s="1"/>
  <c r="V1807" i="13" s="1"/>
  <c r="V1808" i="13" s="1"/>
  <c r="V1809" i="13" s="1"/>
  <c r="V1810" i="13" s="1"/>
  <c r="V1811" i="13" s="1"/>
  <c r="V1812" i="13" s="1"/>
  <c r="V1813" i="13" s="1"/>
  <c r="V1814" i="13" s="1"/>
  <c r="V1815" i="13" s="1"/>
  <c r="V1816" i="13" s="1"/>
  <c r="V1817" i="13" s="1"/>
  <c r="V1818" i="13" s="1"/>
  <c r="V1819" i="13" s="1"/>
  <c r="V1820" i="13" s="1"/>
  <c r="V1821" i="13" s="1"/>
  <c r="V1822" i="13" s="1"/>
  <c r="V1823" i="13" s="1"/>
  <c r="V1824" i="13" s="1"/>
  <c r="V1825" i="13" s="1"/>
  <c r="V1826" i="13" s="1"/>
  <c r="V1827" i="13" s="1"/>
  <c r="V1828" i="13" s="1"/>
  <c r="V1829" i="13" s="1"/>
  <c r="V1830" i="13" s="1"/>
  <c r="V1831" i="13" s="1"/>
  <c r="V1832" i="13" s="1"/>
  <c r="V1833" i="13" s="1"/>
  <c r="V1834" i="13" s="1"/>
  <c r="V1835" i="13" s="1"/>
  <c r="V1836" i="13" s="1"/>
  <c r="V1837" i="13" s="1"/>
  <c r="V1838" i="13" s="1"/>
  <c r="V1839" i="13" s="1"/>
  <c r="V1840" i="13" s="1"/>
  <c r="V1841" i="13" s="1"/>
  <c r="V1842" i="13" s="1"/>
  <c r="V1843" i="13" s="1"/>
  <c r="V1844" i="13" s="1"/>
  <c r="V1845" i="13" s="1"/>
  <c r="V1846" i="13" s="1"/>
  <c r="V1847" i="13" s="1"/>
  <c r="V1848" i="13" s="1"/>
  <c r="V1849" i="13" s="1"/>
  <c r="V1850" i="13" s="1"/>
  <c r="V1851" i="13" s="1"/>
  <c r="V1852" i="13" s="1"/>
  <c r="V1853" i="13" s="1"/>
  <c r="V1854" i="13" s="1"/>
  <c r="V1855" i="13" s="1"/>
  <c r="V1856" i="13" s="1"/>
  <c r="V1857" i="13" s="1"/>
  <c r="V1858" i="13" s="1"/>
  <c r="V1859" i="13" s="1"/>
  <c r="V1860" i="13" s="1"/>
  <c r="V1861" i="13" s="1"/>
  <c r="V1862" i="13" s="1"/>
  <c r="V1863" i="13" s="1"/>
  <c r="V1864" i="13" s="1"/>
  <c r="V1865" i="13" s="1"/>
  <c r="V1866" i="13" s="1"/>
  <c r="V1867" i="13" s="1"/>
  <c r="V1868" i="13" s="1"/>
  <c r="V1869" i="13" s="1"/>
  <c r="V1870" i="13" s="1"/>
  <c r="V1871" i="13" s="1"/>
  <c r="V1872" i="13" s="1"/>
  <c r="V1873" i="13" s="1"/>
  <c r="V1874" i="13" s="1"/>
  <c r="V1875" i="13" s="1"/>
  <c r="V1876" i="13" s="1"/>
  <c r="V1877" i="13" s="1"/>
  <c r="V1878" i="13" s="1"/>
  <c r="V1879" i="13" s="1"/>
  <c r="V1880" i="13" s="1"/>
  <c r="V1881" i="13" s="1"/>
  <c r="V1882" i="13" s="1"/>
  <c r="V1883" i="13" s="1"/>
  <c r="V1884" i="13" s="1"/>
  <c r="V1885" i="13" s="1"/>
  <c r="V1886" i="13" s="1"/>
  <c r="V1887" i="13" s="1"/>
  <c r="V1888" i="13" s="1"/>
  <c r="V1889" i="13" s="1"/>
  <c r="V1890" i="13" s="1"/>
  <c r="V1891" i="13" s="1"/>
  <c r="V1892" i="13" s="1"/>
  <c r="V1893" i="13" s="1"/>
  <c r="V1894" i="13" s="1"/>
  <c r="V1895" i="13" s="1"/>
  <c r="V1896" i="13" s="1"/>
  <c r="V1897" i="13" s="1"/>
  <c r="V1898" i="13" s="1"/>
  <c r="V1899" i="13" s="1"/>
  <c r="V1900" i="13" s="1"/>
  <c r="V1901" i="13" s="1"/>
  <c r="V1902" i="13" s="1"/>
  <c r="V1903" i="13" s="1"/>
  <c r="V1904" i="13" s="1"/>
  <c r="V1905" i="13" s="1"/>
  <c r="V1906" i="13" s="1"/>
  <c r="V1907" i="13" s="1"/>
  <c r="V1908" i="13" s="1"/>
  <c r="V1909" i="13" s="1"/>
  <c r="V1910" i="13" s="1"/>
  <c r="V1911" i="13" s="1"/>
  <c r="V1912" i="13" s="1"/>
  <c r="V1913" i="13" s="1"/>
  <c r="V1914" i="13" s="1"/>
  <c r="V1915" i="13" s="1"/>
  <c r="V1916" i="13" s="1"/>
  <c r="V1917" i="13" s="1"/>
  <c r="V1918" i="13" s="1"/>
  <c r="V1919" i="13" s="1"/>
  <c r="V1920" i="13" s="1"/>
  <c r="V1921" i="13" s="1"/>
  <c r="V1922" i="13" s="1"/>
  <c r="V1923" i="13" s="1"/>
  <c r="V1924" i="13" s="1"/>
  <c r="V1925" i="13" s="1"/>
  <c r="V1926" i="13" s="1"/>
  <c r="V1927" i="13" s="1"/>
  <c r="V1928" i="13" s="1"/>
  <c r="V1929" i="13" s="1"/>
  <c r="V1930" i="13" s="1"/>
  <c r="V1931" i="13" s="1"/>
  <c r="V1932" i="13" s="1"/>
  <c r="V1933" i="13" s="1"/>
  <c r="V1934" i="13" s="1"/>
  <c r="V1935" i="13" s="1"/>
  <c r="V1936" i="13" s="1"/>
  <c r="V1937" i="13" s="1"/>
  <c r="V1938" i="13" s="1"/>
  <c r="V1939" i="13" s="1"/>
  <c r="V1940" i="13" s="1"/>
  <c r="V1941" i="13" s="1"/>
  <c r="V1942" i="13" s="1"/>
  <c r="V1943" i="13" s="1"/>
  <c r="V1944" i="13" s="1"/>
  <c r="V1945" i="13" s="1"/>
  <c r="V1946" i="13" s="1"/>
  <c r="V1947" i="13" s="1"/>
  <c r="V1948" i="13" s="1"/>
  <c r="V1949" i="13" s="1"/>
  <c r="V1950" i="13" s="1"/>
  <c r="V1951" i="13" s="1"/>
  <c r="V1952" i="13" s="1"/>
  <c r="V1953" i="13" s="1"/>
  <c r="V1954" i="13" s="1"/>
  <c r="V1955" i="13" s="1"/>
  <c r="V1956" i="13" s="1"/>
  <c r="V1957" i="13" s="1"/>
  <c r="V1958" i="13" s="1"/>
  <c r="V1959" i="13" s="1"/>
  <c r="V1960" i="13" s="1"/>
  <c r="V1961" i="13" s="1"/>
  <c r="V1962" i="13" s="1"/>
  <c r="V1963" i="13" s="1"/>
  <c r="V1964" i="13" s="1"/>
  <c r="V1965" i="13" s="1"/>
  <c r="V1966" i="13" s="1"/>
  <c r="V1967" i="13" s="1"/>
  <c r="V1968" i="13" s="1"/>
  <c r="V1969" i="13" s="1"/>
  <c r="V1970" i="13" s="1"/>
  <c r="V1971" i="13" s="1"/>
  <c r="V1972" i="13" s="1"/>
  <c r="V1973" i="13" s="1"/>
  <c r="V1974" i="13" s="1"/>
  <c r="V1975" i="13" s="1"/>
  <c r="V1976" i="13" s="1"/>
  <c r="V1977" i="13" s="1"/>
  <c r="V1978" i="13" s="1"/>
  <c r="V1979" i="13" s="1"/>
  <c r="V1980" i="13" s="1"/>
  <c r="V1981" i="13" s="1"/>
  <c r="V1982" i="13" s="1"/>
  <c r="V1983" i="13" s="1"/>
  <c r="V1984" i="13" s="1"/>
  <c r="V1985" i="13" s="1"/>
  <c r="V1986" i="13" s="1"/>
  <c r="V1987" i="13" s="1"/>
  <c r="V1988" i="13" s="1"/>
  <c r="V1989" i="13" s="1"/>
  <c r="V1990" i="13" s="1"/>
  <c r="V1991" i="13" s="1"/>
  <c r="V1992" i="13" s="1"/>
  <c r="V1993" i="13" s="1"/>
  <c r="V1994" i="13" s="1"/>
  <c r="V1995" i="13" s="1"/>
  <c r="V1996" i="13" s="1"/>
  <c r="V1997" i="13" s="1"/>
  <c r="V1998" i="13" s="1"/>
  <c r="V1999" i="13" s="1"/>
  <c r="V2000" i="13" s="1"/>
  <c r="V2001" i="13" s="1"/>
  <c r="V2002" i="13" s="1"/>
  <c r="V2003" i="13" s="1"/>
  <c r="V2004" i="13" s="1"/>
  <c r="V2005" i="13" s="1"/>
  <c r="V2006" i="13" s="1"/>
  <c r="V2007" i="13" s="1"/>
  <c r="V2008" i="13" s="1"/>
  <c r="V2009" i="13" s="1"/>
  <c r="V2010" i="13" s="1"/>
  <c r="V2011" i="13" s="1"/>
  <c r="V2012" i="13" s="1"/>
  <c r="V2013" i="13" s="1"/>
  <c r="V2014" i="13" s="1"/>
  <c r="V2015" i="13" s="1"/>
  <c r="V2016" i="13" s="1"/>
  <c r="V2017" i="13" s="1"/>
  <c r="V2018" i="13" s="1"/>
  <c r="V2019" i="13" s="1"/>
  <c r="V2020" i="13" s="1"/>
  <c r="V2021" i="13" s="1"/>
  <c r="V2022" i="13" s="1"/>
  <c r="V2023" i="13" s="1"/>
  <c r="V2024" i="13" s="1"/>
  <c r="V2025" i="13" s="1"/>
  <c r="V2026" i="13" s="1"/>
  <c r="V2027" i="13" s="1"/>
  <c r="V2028" i="13" s="1"/>
  <c r="V2029" i="13" s="1"/>
  <c r="V2030" i="13" s="1"/>
  <c r="V2031" i="13" s="1"/>
  <c r="V2032" i="13" s="1"/>
  <c r="V2033" i="13" s="1"/>
  <c r="V2034" i="13" s="1"/>
  <c r="V2035" i="13" s="1"/>
  <c r="V2036" i="13" s="1"/>
  <c r="V2037" i="13" s="1"/>
  <c r="V2038" i="13" s="1"/>
  <c r="V2039" i="13" s="1"/>
  <c r="V2040" i="13" s="1"/>
  <c r="V2041" i="13" s="1"/>
  <c r="V2042" i="13" s="1"/>
  <c r="V2043" i="13" s="1"/>
  <c r="V2044" i="13" s="1"/>
  <c r="V2045" i="13" s="1"/>
  <c r="V2046" i="13" s="1"/>
  <c r="V2047" i="13" s="1"/>
  <c r="V2048" i="13" s="1"/>
  <c r="V2049" i="13" s="1"/>
  <c r="V2050" i="13" s="1"/>
  <c r="V2051" i="13" s="1"/>
  <c r="V2052" i="13" s="1"/>
  <c r="V2053" i="13" s="1"/>
  <c r="V2054" i="13" s="1"/>
  <c r="V2055" i="13" s="1"/>
  <c r="V2056" i="13" s="1"/>
  <c r="V2057" i="13" s="1"/>
  <c r="V2058" i="13" s="1"/>
  <c r="V2059" i="13" s="1"/>
  <c r="V2060" i="13" s="1"/>
  <c r="V2061" i="13" s="1"/>
  <c r="V2062" i="13" s="1"/>
  <c r="V2063" i="13" s="1"/>
  <c r="V2064" i="13" s="1"/>
  <c r="V2065" i="13" s="1"/>
  <c r="V2066" i="13" s="1"/>
  <c r="V2067" i="13" s="1"/>
  <c r="V2068" i="13" s="1"/>
  <c r="V2069" i="13" s="1"/>
  <c r="V2070" i="13" s="1"/>
  <c r="V2071" i="13" s="1"/>
  <c r="V2072" i="13" s="1"/>
  <c r="V2073" i="13" s="1"/>
  <c r="V2074" i="13" s="1"/>
  <c r="V2075" i="13" s="1"/>
  <c r="V2076" i="13" s="1"/>
  <c r="V2077" i="13" s="1"/>
  <c r="V2078" i="13" s="1"/>
  <c r="V2079" i="13" s="1"/>
  <c r="V2080" i="13" s="1"/>
  <c r="V2081" i="13" s="1"/>
  <c r="V2082" i="13" s="1"/>
  <c r="V2083" i="13" s="1"/>
  <c r="V2084" i="13" s="1"/>
  <c r="V2085" i="13" s="1"/>
  <c r="V2086" i="13" s="1"/>
  <c r="V2087" i="13" s="1"/>
  <c r="V2088" i="13" s="1"/>
  <c r="V2089" i="13" s="1"/>
  <c r="V2090" i="13" s="1"/>
  <c r="V2091" i="13" s="1"/>
  <c r="V2092" i="13" s="1"/>
  <c r="V2093" i="13" s="1"/>
  <c r="V2094" i="13" s="1"/>
  <c r="V2095" i="13" s="1"/>
  <c r="V2096" i="13" s="1"/>
  <c r="V2097" i="13" s="1"/>
  <c r="V2098" i="13" s="1"/>
  <c r="V2099" i="13" s="1"/>
  <c r="V2100" i="13" s="1"/>
  <c r="V2101" i="13" s="1"/>
  <c r="V2102" i="13" s="1"/>
  <c r="V2103" i="13" s="1"/>
  <c r="V2104" i="13" s="1"/>
  <c r="V2105" i="13" s="1"/>
  <c r="V2106" i="13" s="1"/>
  <c r="V2107" i="13" s="1"/>
  <c r="V2108" i="13" s="1"/>
  <c r="V2109" i="13" s="1"/>
  <c r="V2110" i="13" s="1"/>
  <c r="V2111" i="13" s="1"/>
  <c r="V2112" i="13" s="1"/>
  <c r="V2113" i="13" s="1"/>
  <c r="V2114" i="13" s="1"/>
  <c r="V2115" i="13" s="1"/>
  <c r="V2116" i="13" s="1"/>
  <c r="V2117" i="13" s="1"/>
  <c r="V2118" i="13" s="1"/>
  <c r="V2119" i="13" s="1"/>
  <c r="V2120" i="13" s="1"/>
  <c r="V2121" i="13" s="1"/>
  <c r="V2122" i="13" s="1"/>
  <c r="V2123" i="13" s="1"/>
  <c r="V2124" i="13" s="1"/>
  <c r="V2125" i="13" s="1"/>
  <c r="V2126" i="13" s="1"/>
  <c r="V2127" i="13" s="1"/>
  <c r="V2128" i="13" s="1"/>
  <c r="V2129" i="13" s="1"/>
  <c r="V2130" i="13" s="1"/>
  <c r="V2131" i="13" s="1"/>
  <c r="V2132" i="13" s="1"/>
  <c r="V2133" i="13" s="1"/>
  <c r="V2134" i="13" s="1"/>
  <c r="V2135" i="13" s="1"/>
  <c r="V2136" i="13" s="1"/>
  <c r="V2137" i="13" s="1"/>
  <c r="V2138" i="13" s="1"/>
  <c r="V2139" i="13" s="1"/>
  <c r="V2140" i="13" s="1"/>
  <c r="V2141" i="13" s="1"/>
  <c r="V2142" i="13" s="1"/>
  <c r="V2143" i="13" s="1"/>
  <c r="V2144" i="13" s="1"/>
  <c r="V2145" i="13" s="1"/>
  <c r="V2146" i="13" s="1"/>
  <c r="V2147" i="13" s="1"/>
  <c r="V2148" i="13" s="1"/>
  <c r="V2149" i="13" s="1"/>
  <c r="V2150" i="13" s="1"/>
  <c r="V2151" i="13" s="1"/>
  <c r="V2152" i="13" s="1"/>
  <c r="V2153" i="13" s="1"/>
  <c r="V2154" i="13" s="1"/>
  <c r="V2155" i="13" s="1"/>
  <c r="V2156" i="13" s="1"/>
  <c r="V2157" i="13" s="1"/>
  <c r="V2158" i="13" s="1"/>
  <c r="V2159" i="13" s="1"/>
  <c r="V2160" i="13" s="1"/>
  <c r="V2161" i="13" s="1"/>
  <c r="V2162" i="13" s="1"/>
  <c r="V2163" i="13" s="1"/>
  <c r="V2164" i="13" s="1"/>
  <c r="V2165" i="13" s="1"/>
  <c r="V2166" i="13" s="1"/>
  <c r="V2167" i="13" s="1"/>
  <c r="V2168" i="13" s="1"/>
  <c r="V2169" i="13" s="1"/>
  <c r="V2170" i="13" s="1"/>
  <c r="V2171" i="13" s="1"/>
  <c r="V2172" i="13" s="1"/>
  <c r="V2173" i="13" s="1"/>
  <c r="V2174" i="13" s="1"/>
  <c r="V2175" i="13" s="1"/>
  <c r="V2176" i="13" s="1"/>
  <c r="V2177" i="13" s="1"/>
  <c r="V2178" i="13" s="1"/>
  <c r="V2179" i="13" s="1"/>
  <c r="V2180" i="13" s="1"/>
  <c r="V2181" i="13" s="1"/>
  <c r="V2182" i="13" s="1"/>
  <c r="V2183" i="13" s="1"/>
  <c r="V2184" i="13" s="1"/>
  <c r="V2185" i="13" s="1"/>
  <c r="V2186" i="13" s="1"/>
  <c r="V2187" i="13" s="1"/>
  <c r="V2188" i="13" s="1"/>
  <c r="V2189" i="13" s="1"/>
  <c r="V2190" i="13" s="1"/>
  <c r="V2191" i="13" s="1"/>
  <c r="V2192" i="13" s="1"/>
  <c r="V2193" i="13" s="1"/>
  <c r="V2194" i="13" s="1"/>
  <c r="V2195" i="13" s="1"/>
  <c r="V2196" i="13" s="1"/>
  <c r="V2197" i="13" s="1"/>
  <c r="V2198" i="13" s="1"/>
  <c r="V2199" i="13" s="1"/>
  <c r="V2200" i="13" s="1"/>
  <c r="V2201" i="13" s="1"/>
  <c r="V2202" i="13" s="1"/>
  <c r="V2203" i="13" s="1"/>
  <c r="V2204" i="13" s="1"/>
  <c r="V2205" i="13" s="1"/>
  <c r="V2206" i="13" s="1"/>
  <c r="V2207" i="13" s="1"/>
  <c r="V2208" i="13" s="1"/>
  <c r="V2209" i="13" s="1"/>
  <c r="V2210" i="13" s="1"/>
  <c r="V2211" i="13" s="1"/>
  <c r="V2212" i="13" s="1"/>
  <c r="V2213" i="13" s="1"/>
  <c r="V2214" i="13" s="1"/>
  <c r="V2215" i="13" s="1"/>
  <c r="V2216" i="13" s="1"/>
  <c r="V2217" i="13" s="1"/>
  <c r="V2218" i="13" s="1"/>
  <c r="V2219" i="13" s="1"/>
  <c r="V2220" i="13" s="1"/>
  <c r="V2221" i="13" s="1"/>
  <c r="V2222" i="13" s="1"/>
  <c r="V2223" i="13" s="1"/>
  <c r="V2224" i="13" s="1"/>
  <c r="V2225" i="13" s="1"/>
  <c r="V2226" i="13" s="1"/>
  <c r="V2227" i="13" s="1"/>
  <c r="V2228" i="13" s="1"/>
  <c r="V2229" i="13" s="1"/>
  <c r="V2230" i="13" s="1"/>
  <c r="V2231" i="13" s="1"/>
  <c r="V2232" i="13" s="1"/>
  <c r="V2233" i="13" s="1"/>
  <c r="V2234" i="13" s="1"/>
  <c r="V2235" i="13" s="1"/>
  <c r="V2236" i="13" s="1"/>
  <c r="V2237" i="13" s="1"/>
  <c r="V2238" i="13" s="1"/>
  <c r="V2239" i="13" s="1"/>
  <c r="V2240" i="13" s="1"/>
  <c r="V2241" i="13" s="1"/>
  <c r="V2242" i="13" s="1"/>
  <c r="V2243" i="13" s="1"/>
  <c r="V2244" i="13" s="1"/>
  <c r="V2245" i="13" s="1"/>
  <c r="V2246" i="13" s="1"/>
  <c r="V2247" i="13" s="1"/>
  <c r="V2248" i="13" s="1"/>
  <c r="V2249" i="13" s="1"/>
  <c r="V2250" i="13" s="1"/>
  <c r="V2251" i="13" s="1"/>
  <c r="V2252" i="13" s="1"/>
  <c r="V2253" i="13" s="1"/>
  <c r="V2254" i="13" s="1"/>
  <c r="V2255" i="13" s="1"/>
  <c r="V2256" i="13" s="1"/>
  <c r="V2257" i="13" s="1"/>
  <c r="V2258" i="13" s="1"/>
  <c r="V2259" i="13" s="1"/>
  <c r="V2260" i="13" s="1"/>
  <c r="V2261" i="13" s="1"/>
  <c r="V2262" i="13" s="1"/>
  <c r="V2263" i="13" s="1"/>
  <c r="V2264" i="13" s="1"/>
  <c r="V2265" i="13" s="1"/>
  <c r="V2266" i="13" s="1"/>
  <c r="V2267" i="13" s="1"/>
  <c r="V2268" i="13" s="1"/>
  <c r="V2269" i="13" s="1"/>
  <c r="V2270" i="13" s="1"/>
  <c r="V2271" i="13" s="1"/>
  <c r="V2272" i="13" s="1"/>
  <c r="V2273" i="13" s="1"/>
  <c r="V2274" i="13" s="1"/>
  <c r="V2275" i="13" s="1"/>
  <c r="V2276" i="13" s="1"/>
  <c r="V2277" i="13" s="1"/>
  <c r="V2278" i="13" s="1"/>
  <c r="V2279" i="13" s="1"/>
  <c r="V2280" i="13" s="1"/>
  <c r="V2281" i="13" s="1"/>
  <c r="V2282" i="13" s="1"/>
  <c r="V2283" i="13" s="1"/>
  <c r="V2284" i="13" s="1"/>
  <c r="V2285" i="13" s="1"/>
  <c r="V2286" i="13" s="1"/>
  <c r="V2287" i="13" s="1"/>
  <c r="V2288" i="13" s="1"/>
  <c r="V2289" i="13" s="1"/>
  <c r="V2290" i="13" s="1"/>
  <c r="V2291" i="13" s="1"/>
  <c r="V2292" i="13" s="1"/>
  <c r="V2293" i="13" s="1"/>
  <c r="V2294" i="13" s="1"/>
  <c r="V2295" i="13" s="1"/>
  <c r="V2296" i="13" s="1"/>
  <c r="V2297" i="13" s="1"/>
  <c r="V2298" i="13" s="1"/>
  <c r="V2299" i="13" s="1"/>
  <c r="V2300" i="13" s="1"/>
  <c r="V2301" i="13" s="1"/>
  <c r="V2302" i="13" s="1"/>
  <c r="V2303" i="13" s="1"/>
  <c r="V2304" i="13" s="1"/>
  <c r="V2305" i="13" s="1"/>
  <c r="V2306" i="13" s="1"/>
  <c r="V2307" i="13" s="1"/>
  <c r="V2308" i="13" s="1"/>
  <c r="V2309" i="13" s="1"/>
  <c r="V2310" i="13" s="1"/>
  <c r="V2311" i="13" s="1"/>
  <c r="V2312" i="13" s="1"/>
  <c r="V2313" i="13" s="1"/>
  <c r="V2314" i="13" s="1"/>
  <c r="V2315" i="13" s="1"/>
  <c r="V2316" i="13" s="1"/>
  <c r="V2317" i="13" s="1"/>
  <c r="V2318" i="13" s="1"/>
  <c r="V2319" i="13" s="1"/>
  <c r="V2320" i="13" s="1"/>
  <c r="V2321" i="13" s="1"/>
  <c r="V2322" i="13" s="1"/>
  <c r="V2323" i="13" s="1"/>
  <c r="V2324" i="13" s="1"/>
  <c r="V2325" i="13" s="1"/>
  <c r="V2326" i="13" s="1"/>
  <c r="V2327" i="13" s="1"/>
  <c r="V2328" i="13" s="1"/>
  <c r="V2329" i="13" s="1"/>
  <c r="V2330" i="13" s="1"/>
  <c r="V2331" i="13" s="1"/>
  <c r="V2332" i="13" s="1"/>
  <c r="V2333" i="13" s="1"/>
  <c r="V2334" i="13" s="1"/>
  <c r="V2335" i="13" s="1"/>
  <c r="V2336" i="13" s="1"/>
  <c r="V2337" i="13" s="1"/>
  <c r="V2338" i="13" s="1"/>
  <c r="V2339" i="13" s="1"/>
  <c r="V2340" i="13" s="1"/>
  <c r="V2341" i="13" s="1"/>
  <c r="V2342" i="13" s="1"/>
  <c r="V2343" i="13" s="1"/>
  <c r="V2344" i="13" s="1"/>
  <c r="V2345" i="13" s="1"/>
  <c r="V2346" i="13" s="1"/>
  <c r="V2347" i="13" s="1"/>
  <c r="V2348" i="13" s="1"/>
  <c r="V2349" i="13" s="1"/>
  <c r="V2350" i="13" s="1"/>
  <c r="V2351" i="13" s="1"/>
  <c r="V2352" i="13" s="1"/>
  <c r="V2353" i="13" s="1"/>
  <c r="V2354" i="13" s="1"/>
  <c r="V2355" i="13" s="1"/>
  <c r="V2356" i="13" s="1"/>
  <c r="V2357" i="13" s="1"/>
  <c r="V2358" i="13" s="1"/>
  <c r="V2359" i="13" s="1"/>
  <c r="V2360" i="13" s="1"/>
  <c r="V2361" i="13" s="1"/>
  <c r="V2362" i="13" s="1"/>
  <c r="V2363" i="13" s="1"/>
  <c r="V2364" i="13" s="1"/>
  <c r="V2365" i="13" s="1"/>
  <c r="V2366" i="13" s="1"/>
  <c r="V2367" i="13" s="1"/>
  <c r="V2368" i="13" s="1"/>
  <c r="V2369" i="13" s="1"/>
  <c r="V2370" i="13" s="1"/>
  <c r="V2371" i="13" s="1"/>
  <c r="V2372" i="13" s="1"/>
  <c r="V2373" i="13" s="1"/>
  <c r="V2374" i="13" s="1"/>
  <c r="V2375" i="13" s="1"/>
  <c r="V2376" i="13" s="1"/>
  <c r="V2377" i="13" s="1"/>
  <c r="V2378" i="13" s="1"/>
  <c r="V2379" i="13" s="1"/>
  <c r="V2380" i="13" s="1"/>
  <c r="V2381" i="13" s="1"/>
  <c r="V2382" i="13" s="1"/>
  <c r="V2383" i="13" s="1"/>
  <c r="V2384" i="13" s="1"/>
  <c r="V2385" i="13" s="1"/>
  <c r="V2386" i="13" s="1"/>
  <c r="V2387" i="13" s="1"/>
  <c r="V2388" i="13" s="1"/>
  <c r="V2389" i="13" s="1"/>
  <c r="V2390" i="13" s="1"/>
  <c r="V2391" i="13" s="1"/>
  <c r="V2392" i="13" s="1"/>
  <c r="V2393" i="13" s="1"/>
  <c r="V2394" i="13" s="1"/>
  <c r="V2395" i="13" s="1"/>
  <c r="V2396" i="13" s="1"/>
  <c r="V2397" i="13" s="1"/>
  <c r="V2398" i="13" s="1"/>
  <c r="V2399" i="13" s="1"/>
  <c r="V2400" i="13" s="1"/>
  <c r="V2401" i="13" s="1"/>
  <c r="V2402" i="13" s="1"/>
  <c r="V2403" i="13" s="1"/>
  <c r="V2404" i="13" s="1"/>
  <c r="V2405" i="13" s="1"/>
  <c r="V2406" i="13" s="1"/>
  <c r="V2407" i="13" s="1"/>
  <c r="V2408" i="13" s="1"/>
  <c r="V2409" i="13" s="1"/>
  <c r="V2410" i="13" s="1"/>
  <c r="V2411" i="13" s="1"/>
  <c r="V2412" i="13" s="1"/>
  <c r="V2413" i="13" s="1"/>
  <c r="V2414" i="13" s="1"/>
  <c r="V2415" i="13" s="1"/>
  <c r="V2416" i="13" s="1"/>
  <c r="V2417" i="13" s="1"/>
  <c r="V2418" i="13" s="1"/>
  <c r="V2419" i="13" s="1"/>
  <c r="V2420" i="13" s="1"/>
  <c r="V2421" i="13" s="1"/>
  <c r="V2422" i="13" s="1"/>
  <c r="V2423" i="13" s="1"/>
  <c r="V2424" i="13" s="1"/>
  <c r="V2425" i="13" s="1"/>
  <c r="V2426" i="13" s="1"/>
  <c r="V2427" i="13" s="1"/>
  <c r="V2428" i="13" s="1"/>
  <c r="V2429" i="13" s="1"/>
  <c r="V2430" i="13" s="1"/>
  <c r="V2431" i="13" s="1"/>
  <c r="V2432" i="13" s="1"/>
  <c r="V2433" i="13" s="1"/>
  <c r="V2434" i="13" s="1"/>
  <c r="V2435" i="13" s="1"/>
  <c r="V2436" i="13" s="1"/>
  <c r="V2437" i="13" s="1"/>
  <c r="V2438" i="13" s="1"/>
  <c r="V2439" i="13" s="1"/>
  <c r="V2440" i="13" s="1"/>
  <c r="V2441" i="13" s="1"/>
  <c r="V2442" i="13" s="1"/>
  <c r="V2443" i="13" s="1"/>
  <c r="V2444" i="13" s="1"/>
  <c r="V2445" i="13" s="1"/>
  <c r="V2446" i="13" s="1"/>
  <c r="V2447" i="13" s="1"/>
  <c r="V2448" i="13" s="1"/>
  <c r="V2449" i="13" s="1"/>
  <c r="V2450" i="13" s="1"/>
  <c r="V2451" i="13" s="1"/>
  <c r="V2452" i="13" s="1"/>
  <c r="V2453" i="13" s="1"/>
  <c r="V2454" i="13" s="1"/>
  <c r="V2455" i="13" s="1"/>
  <c r="V2456" i="13" s="1"/>
  <c r="V2457" i="13" s="1"/>
  <c r="V2458" i="13" s="1"/>
  <c r="V2459" i="13" s="1"/>
  <c r="V2460" i="13" s="1"/>
  <c r="V2461" i="13" s="1"/>
  <c r="V2462" i="13" s="1"/>
  <c r="V2463" i="13" s="1"/>
  <c r="V2464" i="13" s="1"/>
  <c r="V2465" i="13" s="1"/>
  <c r="V2466" i="13" s="1"/>
  <c r="V2467" i="13" s="1"/>
  <c r="V2468" i="13" s="1"/>
  <c r="V2469" i="13" s="1"/>
  <c r="V2470" i="13" s="1"/>
  <c r="V2471" i="13" s="1"/>
  <c r="V2472" i="13" s="1"/>
  <c r="V2473" i="13" s="1"/>
  <c r="V2474" i="13" s="1"/>
  <c r="V2475" i="13" s="1"/>
  <c r="V2476" i="13" s="1"/>
  <c r="V2477" i="13" s="1"/>
  <c r="V2478" i="13" s="1"/>
  <c r="V2479" i="13" s="1"/>
  <c r="V2480" i="13" s="1"/>
  <c r="V2481" i="13" s="1"/>
  <c r="V2482" i="13" s="1"/>
  <c r="V2483" i="13" s="1"/>
  <c r="V2484" i="13" s="1"/>
  <c r="V2485" i="13" s="1"/>
  <c r="V2486" i="13" s="1"/>
  <c r="V2487" i="13" s="1"/>
  <c r="V2488" i="13" s="1"/>
  <c r="V2489" i="13" s="1"/>
  <c r="V2490" i="13" s="1"/>
  <c r="V2491" i="13" s="1"/>
  <c r="V2492" i="13" s="1"/>
  <c r="V2493" i="13" s="1"/>
  <c r="V2494" i="13" s="1"/>
  <c r="V2495" i="13" s="1"/>
  <c r="V2496" i="13" s="1"/>
  <c r="V2497" i="13" s="1"/>
  <c r="V2498" i="13" s="1"/>
  <c r="V2499" i="13" s="1"/>
  <c r="V2500" i="13" s="1"/>
  <c r="V2501" i="13" s="1"/>
  <c r="V2502" i="13" s="1"/>
  <c r="V2503" i="13" s="1"/>
  <c r="V2504" i="13" s="1"/>
  <c r="V2505" i="13" s="1"/>
  <c r="V2506" i="13" s="1"/>
  <c r="V2507" i="13" s="1"/>
  <c r="V2508" i="13" s="1"/>
  <c r="V2509" i="13" s="1"/>
  <c r="V2510" i="13" s="1"/>
  <c r="V2511" i="13" s="1"/>
  <c r="V2512" i="13" s="1"/>
  <c r="V2513" i="13" s="1"/>
  <c r="V2514" i="13" s="1"/>
  <c r="V2515" i="13" s="1"/>
  <c r="V2516" i="13" s="1"/>
  <c r="V2517" i="13" s="1"/>
  <c r="V2518" i="13" s="1"/>
  <c r="V2519" i="13" s="1"/>
  <c r="V2520" i="13" s="1"/>
  <c r="V2521" i="13" s="1"/>
  <c r="V2522" i="13" s="1"/>
  <c r="V2523" i="13" s="1"/>
  <c r="V2524" i="13" s="1"/>
  <c r="V2525" i="13" s="1"/>
  <c r="V2526" i="13" s="1"/>
  <c r="V2527" i="13" s="1"/>
  <c r="V2528" i="13" s="1"/>
  <c r="V2529" i="13" s="1"/>
  <c r="V2530" i="13" s="1"/>
  <c r="V2531" i="13" s="1"/>
  <c r="V2532" i="13" s="1"/>
  <c r="V2533" i="13" s="1"/>
  <c r="V2534" i="13" s="1"/>
  <c r="V2535" i="13" s="1"/>
  <c r="V2536" i="13" s="1"/>
  <c r="V2537" i="13" s="1"/>
  <c r="V2538" i="13" s="1"/>
  <c r="V2539" i="13" s="1"/>
  <c r="V2540" i="13" s="1"/>
  <c r="V2541" i="13" s="1"/>
  <c r="V2542" i="13" s="1"/>
  <c r="V2543" i="13" s="1"/>
  <c r="V2544" i="13" s="1"/>
  <c r="V2545" i="13" s="1"/>
  <c r="V2546" i="13" s="1"/>
  <c r="V2547" i="13" s="1"/>
  <c r="V2548" i="13" s="1"/>
  <c r="V2549" i="13" s="1"/>
  <c r="V2550" i="13" s="1"/>
  <c r="V2551" i="13" s="1"/>
  <c r="V2552" i="13" s="1"/>
  <c r="V2553" i="13" s="1"/>
  <c r="V2554" i="13" s="1"/>
  <c r="V2555" i="13" s="1"/>
  <c r="V2556" i="13" s="1"/>
  <c r="V2557" i="13" s="1"/>
  <c r="V2558" i="13" s="1"/>
  <c r="V2559" i="13" s="1"/>
  <c r="V2560" i="13" s="1"/>
  <c r="V2561" i="13" s="1"/>
  <c r="V2562" i="13" s="1"/>
  <c r="V2563" i="13" s="1"/>
  <c r="V2564" i="13" s="1"/>
  <c r="V2565" i="13" s="1"/>
  <c r="V2566" i="13" s="1"/>
  <c r="V2567" i="13" s="1"/>
  <c r="V2568" i="13" s="1"/>
  <c r="V2569" i="13" s="1"/>
  <c r="V2570" i="13" s="1"/>
  <c r="V2571" i="13" s="1"/>
  <c r="V2572" i="13" s="1"/>
  <c r="V2573" i="13" s="1"/>
  <c r="V2574" i="13" s="1"/>
  <c r="V2575" i="13" s="1"/>
  <c r="V2576" i="13" s="1"/>
  <c r="V2577" i="13" s="1"/>
  <c r="V2578" i="13" s="1"/>
  <c r="V2579" i="13" s="1"/>
  <c r="V2580" i="13" s="1"/>
  <c r="V2581" i="13" s="1"/>
  <c r="V2582" i="13" s="1"/>
  <c r="V2583" i="13" s="1"/>
  <c r="V2584" i="13" s="1"/>
  <c r="V2585" i="13" s="1"/>
  <c r="V2586" i="13" s="1"/>
  <c r="V2587" i="13" s="1"/>
  <c r="V2588" i="13" s="1"/>
  <c r="V2589" i="13" s="1"/>
  <c r="V2590" i="13" s="1"/>
  <c r="V2591" i="13" s="1"/>
  <c r="V2592" i="13" s="1"/>
  <c r="V2593" i="13" s="1"/>
  <c r="V2594" i="13" s="1"/>
  <c r="V2595" i="13" s="1"/>
  <c r="V2596" i="13" s="1"/>
  <c r="V2597" i="13" s="1"/>
  <c r="V2598" i="13" s="1"/>
  <c r="V2599" i="13" s="1"/>
  <c r="V2600" i="13" s="1"/>
  <c r="V2601" i="13" s="1"/>
  <c r="V2602" i="13" s="1"/>
  <c r="V2603" i="13" s="1"/>
  <c r="V2604" i="13" s="1"/>
  <c r="V2605" i="13" s="1"/>
  <c r="V2606" i="13" s="1"/>
  <c r="V2607" i="13" s="1"/>
  <c r="V2608" i="13" s="1"/>
  <c r="V2609" i="13" s="1"/>
  <c r="V2610" i="13" s="1"/>
  <c r="V2611" i="13" s="1"/>
  <c r="V2612" i="13" s="1"/>
  <c r="V2613" i="13" s="1"/>
  <c r="V2614" i="13" s="1"/>
  <c r="V2615" i="13" s="1"/>
  <c r="V2616" i="13" s="1"/>
  <c r="V2617" i="13" s="1"/>
  <c r="V2618" i="13" s="1"/>
  <c r="V2619" i="13" s="1"/>
  <c r="V2620" i="13" s="1"/>
  <c r="V2621" i="13" s="1"/>
  <c r="V2622" i="13" s="1"/>
  <c r="V2623" i="13" s="1"/>
  <c r="V2624" i="13" s="1"/>
  <c r="V2625" i="13" s="1"/>
  <c r="V2626" i="13" s="1"/>
  <c r="V2627" i="13" s="1"/>
  <c r="V2628" i="13" s="1"/>
  <c r="V2629" i="13" s="1"/>
  <c r="V2630" i="13" s="1"/>
  <c r="V2631" i="13" s="1"/>
  <c r="V2632" i="13" s="1"/>
  <c r="V2633" i="13" s="1"/>
  <c r="V2634" i="13" s="1"/>
  <c r="V2635" i="13" s="1"/>
  <c r="V2636" i="13" s="1"/>
  <c r="V2637" i="13" s="1"/>
  <c r="V2638" i="13" s="1"/>
  <c r="V2639" i="13" s="1"/>
  <c r="V2640" i="13" s="1"/>
  <c r="V2641" i="13" s="1"/>
  <c r="V2642" i="13" s="1"/>
  <c r="V2643" i="13" s="1"/>
  <c r="V2644" i="13" s="1"/>
  <c r="V2645" i="13" s="1"/>
  <c r="V2646" i="13" s="1"/>
  <c r="V2647" i="13" s="1"/>
  <c r="V2648" i="13" s="1"/>
  <c r="V2649" i="13" s="1"/>
  <c r="V2650" i="13" s="1"/>
  <c r="V2651" i="13" s="1"/>
  <c r="V2652" i="13" s="1"/>
  <c r="V2653" i="13" s="1"/>
  <c r="V2654" i="13" s="1"/>
  <c r="V2655" i="13" s="1"/>
  <c r="V2656" i="13" s="1"/>
  <c r="V2657" i="13" s="1"/>
  <c r="V2658" i="13" s="1"/>
  <c r="V2659" i="13" s="1"/>
  <c r="V2660" i="13" s="1"/>
  <c r="V2661" i="13" s="1"/>
  <c r="V2662" i="13" s="1"/>
  <c r="V2663" i="13" s="1"/>
  <c r="V2664" i="13" s="1"/>
  <c r="V2665" i="13" s="1"/>
  <c r="V2666" i="13" s="1"/>
  <c r="V2667" i="13" s="1"/>
  <c r="V2668" i="13" s="1"/>
  <c r="V2669" i="13" s="1"/>
  <c r="V2670" i="13" s="1"/>
  <c r="V2671" i="13" s="1"/>
  <c r="V2672" i="13" s="1"/>
  <c r="V2673" i="13" s="1"/>
  <c r="V2674" i="13" s="1"/>
  <c r="V2675" i="13" s="1"/>
  <c r="V2676" i="13" s="1"/>
  <c r="V2677" i="13" s="1"/>
  <c r="V2678" i="13" s="1"/>
  <c r="V2679" i="13" s="1"/>
  <c r="V2680" i="13" s="1"/>
  <c r="V2681" i="13" s="1"/>
  <c r="V2682" i="13" s="1"/>
  <c r="V2683" i="13" s="1"/>
  <c r="V2684" i="13" s="1"/>
  <c r="V2685" i="13" s="1"/>
  <c r="V2686" i="13" s="1"/>
  <c r="V2687" i="13" s="1"/>
  <c r="V2688" i="13" s="1"/>
  <c r="V2689" i="13" s="1"/>
  <c r="V2690" i="13" s="1"/>
  <c r="V2691" i="13" s="1"/>
  <c r="V2692" i="13" s="1"/>
  <c r="V2693" i="13" s="1"/>
  <c r="V2694" i="13" s="1"/>
  <c r="V2695" i="13" s="1"/>
  <c r="V2696" i="13" s="1"/>
  <c r="V2697" i="13" s="1"/>
  <c r="V2698" i="13" s="1"/>
  <c r="V2699" i="13" s="1"/>
  <c r="V2700" i="13" s="1"/>
  <c r="V2701" i="13" s="1"/>
  <c r="V2702" i="13" s="1"/>
  <c r="V2703" i="13" s="1"/>
  <c r="V2704" i="13" s="1"/>
  <c r="V2705" i="13" s="1"/>
  <c r="V2706" i="13" s="1"/>
  <c r="V2707" i="13" s="1"/>
  <c r="V2708" i="13" s="1"/>
  <c r="V2709" i="13" s="1"/>
  <c r="V2710" i="13" s="1"/>
  <c r="V2711" i="13" s="1"/>
  <c r="V2712" i="13" s="1"/>
  <c r="V2713" i="13" s="1"/>
  <c r="V2714" i="13" s="1"/>
  <c r="V2715" i="13" s="1"/>
  <c r="V2716" i="13" s="1"/>
  <c r="V2717" i="13" s="1"/>
  <c r="V2718" i="13" s="1"/>
  <c r="V2719" i="13" s="1"/>
  <c r="V2720" i="13" s="1"/>
  <c r="V2721" i="13" s="1"/>
  <c r="V2722" i="13" s="1"/>
  <c r="V2723" i="13" s="1"/>
  <c r="V2724" i="13" s="1"/>
  <c r="V2725" i="13" s="1"/>
  <c r="V2726" i="13" s="1"/>
  <c r="V2727" i="13" s="1"/>
  <c r="V2728" i="13" s="1"/>
  <c r="V2729" i="13" s="1"/>
  <c r="V2730" i="13" s="1"/>
  <c r="D4" i="3"/>
  <c r="E92" i="3" s="1"/>
  <c r="X18" i="1"/>
  <c r="X19" i="5"/>
  <c r="X19" i="17"/>
  <c r="H27" i="14"/>
  <c r="H36" i="14"/>
  <c r="H46" i="14"/>
  <c r="H23" i="14"/>
  <c r="H24" i="14"/>
  <c r="H31" i="14"/>
  <c r="H32" i="14"/>
  <c r="H52" i="14"/>
  <c r="H55" i="14"/>
  <c r="H51" i="14"/>
  <c r="H47" i="14"/>
  <c r="H43" i="14"/>
  <c r="H39" i="14"/>
  <c r="H42" i="14"/>
  <c r="H21" i="14"/>
  <c r="H38" i="14"/>
  <c r="H34" i="14"/>
  <c r="H30" i="14"/>
  <c r="H26" i="14"/>
  <c r="H20" i="14"/>
  <c r="H50" i="14"/>
  <c r="H28" i="14"/>
  <c r="H35" i="14"/>
  <c r="H54" i="1"/>
  <c r="H23" i="1"/>
  <c r="H24" i="1"/>
  <c r="H25" i="1"/>
  <c r="H31" i="1"/>
  <c r="H32" i="1"/>
  <c r="H33" i="1"/>
  <c r="H36" i="1"/>
  <c r="H40" i="1"/>
  <c r="H44" i="1"/>
  <c r="H48" i="1"/>
  <c r="H52" i="1"/>
  <c r="C55" i="14"/>
  <c r="I55" i="14" s="1"/>
  <c r="H23" i="5"/>
  <c r="H27" i="5"/>
  <c r="H31" i="5"/>
  <c r="H35" i="5"/>
  <c r="H39" i="5"/>
  <c r="H43" i="5"/>
  <c r="H47" i="5"/>
  <c r="H51" i="5"/>
  <c r="C58" i="7"/>
  <c r="B87" i="7"/>
  <c r="B83" i="7"/>
  <c r="B79" i="7"/>
  <c r="B75" i="7"/>
  <c r="B71" i="7"/>
  <c r="B67" i="7"/>
  <c r="B63" i="7"/>
  <c r="B60" i="7"/>
  <c r="B50" i="7"/>
  <c r="C46" i="7"/>
  <c r="C44" i="7"/>
  <c r="B35" i="7"/>
  <c r="C33" i="7"/>
  <c r="B27" i="7"/>
  <c r="C25" i="7"/>
  <c r="B22" i="7"/>
  <c r="C31" i="7"/>
  <c r="C37" i="7"/>
  <c r="B39" i="7"/>
  <c r="C60" i="7"/>
  <c r="C62" i="7"/>
  <c r="C78" i="7"/>
  <c r="H22" i="1"/>
  <c r="H30" i="1"/>
  <c r="H40" i="14"/>
  <c r="H44" i="14"/>
  <c r="H48" i="14"/>
  <c r="AE2" i="16"/>
  <c r="AD8" i="7"/>
  <c r="X8" i="7"/>
  <c r="W16" i="7"/>
  <c r="AA13" i="7"/>
  <c r="U13" i="7"/>
  <c r="H54" i="17"/>
  <c r="H50" i="17"/>
  <c r="H46" i="17"/>
  <c r="H42" i="17"/>
  <c r="H38" i="17"/>
  <c r="H35" i="17"/>
  <c r="H34" i="17"/>
  <c r="H33" i="17"/>
  <c r="H32" i="17"/>
  <c r="H31" i="17"/>
  <c r="H30" i="17"/>
  <c r="H29" i="17"/>
  <c r="H28" i="17"/>
  <c r="H27" i="17"/>
  <c r="H26" i="17"/>
  <c r="H25" i="17"/>
  <c r="H24" i="17"/>
  <c r="H23" i="17"/>
  <c r="H51" i="17"/>
  <c r="H47" i="17"/>
  <c r="H43" i="17"/>
  <c r="H39" i="17"/>
  <c r="H22" i="17"/>
  <c r="I19" i="1"/>
  <c r="B20" i="7"/>
  <c r="B24" i="7"/>
  <c r="B26" i="7"/>
  <c r="B28" i="7"/>
  <c r="B30" i="7"/>
  <c r="B32" i="7"/>
  <c r="B34" i="7"/>
  <c r="B36" i="7"/>
  <c r="B38" i="7"/>
  <c r="B40" i="7"/>
  <c r="C42" i="7"/>
  <c r="B48" i="7"/>
  <c r="C50" i="7"/>
  <c r="B56" i="7"/>
  <c r="H36" i="17"/>
  <c r="H40" i="17"/>
  <c r="H44" i="17"/>
  <c r="H48" i="17"/>
  <c r="H52" i="17"/>
  <c r="B88" i="7"/>
  <c r="C87" i="7"/>
  <c r="B84" i="7"/>
  <c r="C83" i="7"/>
  <c r="B80" i="7"/>
  <c r="C79" i="7"/>
  <c r="B76" i="7"/>
  <c r="C75" i="7"/>
  <c r="B72" i="7"/>
  <c r="C71" i="7"/>
  <c r="B68" i="7"/>
  <c r="C67" i="7"/>
  <c r="B64" i="7"/>
  <c r="C63" i="7"/>
  <c r="B59" i="7"/>
  <c r="B57" i="7"/>
  <c r="B55" i="7"/>
  <c r="B53" i="7"/>
  <c r="B51" i="7"/>
  <c r="B49" i="7"/>
  <c r="B47" i="7"/>
  <c r="B45" i="7"/>
  <c r="B43" i="7"/>
  <c r="B41" i="7"/>
  <c r="C22" i="7"/>
  <c r="C21" i="7"/>
  <c r="C20" i="7"/>
  <c r="B89" i="7"/>
  <c r="C88" i="7"/>
  <c r="B85" i="7"/>
  <c r="C84" i="7"/>
  <c r="B81" i="7"/>
  <c r="C80" i="7"/>
  <c r="B77" i="7"/>
  <c r="C76" i="7"/>
  <c r="B73" i="7"/>
  <c r="C72" i="7"/>
  <c r="B69" i="7"/>
  <c r="C68" i="7"/>
  <c r="B65" i="7"/>
  <c r="C64" i="7"/>
  <c r="B61" i="7"/>
  <c r="C59" i="7"/>
  <c r="C57" i="7"/>
  <c r="C55" i="7"/>
  <c r="C53" i="7"/>
  <c r="C51" i="7"/>
  <c r="C49" i="7"/>
  <c r="C47" i="7"/>
  <c r="C45" i="7"/>
  <c r="C43" i="7"/>
  <c r="C41" i="7"/>
  <c r="C24" i="7"/>
  <c r="C26" i="7"/>
  <c r="C28" i="7"/>
  <c r="C30" i="7"/>
  <c r="C32" i="7"/>
  <c r="C34" i="7"/>
  <c r="C36" i="7"/>
  <c r="C38" i="7"/>
  <c r="C40" i="7"/>
  <c r="B46" i="7"/>
  <c r="C48" i="7"/>
  <c r="B54" i="7"/>
  <c r="C56" i="7"/>
  <c r="C61" i="7"/>
  <c r="B62" i="7"/>
  <c r="C65" i="7"/>
  <c r="B66" i="7"/>
  <c r="C69" i="7"/>
  <c r="B70" i="7"/>
  <c r="C73" i="7"/>
  <c r="B74" i="7"/>
  <c r="C77" i="7"/>
  <c r="B78" i="7"/>
  <c r="C81" i="7"/>
  <c r="B82" i="7"/>
  <c r="C85" i="7"/>
  <c r="B86" i="7"/>
  <c r="C89" i="7"/>
  <c r="B90" i="7"/>
  <c r="H35" i="1"/>
  <c r="H39" i="1"/>
  <c r="H43" i="1"/>
  <c r="H47" i="1"/>
  <c r="H51" i="1"/>
  <c r="H55" i="1"/>
  <c r="H22" i="14"/>
  <c r="H25" i="14"/>
  <c r="H29" i="14"/>
  <c r="H33" i="14"/>
  <c r="H37" i="14"/>
  <c r="H41" i="14"/>
  <c r="H45" i="14"/>
  <c r="H49" i="14"/>
  <c r="H53" i="14"/>
  <c r="H21" i="5"/>
  <c r="H26" i="5"/>
  <c r="H30" i="5"/>
  <c r="H34" i="5"/>
  <c r="H38" i="5"/>
  <c r="H42" i="5"/>
  <c r="H46" i="5"/>
  <c r="H50" i="5"/>
  <c r="F19" i="7"/>
  <c r="G19" i="7" s="1"/>
  <c r="H19" i="1"/>
  <c r="H34" i="1"/>
  <c r="H38" i="1"/>
  <c r="H42" i="1"/>
  <c r="H46" i="1"/>
  <c r="H50" i="1"/>
  <c r="H49" i="5"/>
  <c r="H53" i="5"/>
  <c r="B28" i="15"/>
  <c r="E17" i="1"/>
  <c r="F24" i="5"/>
  <c r="F21" i="17"/>
  <c r="F33" i="5"/>
  <c r="F27" i="5"/>
  <c r="F33" i="17"/>
  <c r="F29" i="17"/>
  <c r="F25" i="17"/>
  <c r="F21" i="5"/>
  <c r="C3" i="5"/>
  <c r="X31" i="5"/>
  <c r="X28" i="5"/>
  <c r="X35" i="5"/>
  <c r="X34" i="5"/>
  <c r="X37" i="5"/>
  <c r="X32" i="5"/>
  <c r="X51" i="5"/>
  <c r="X29" i="5"/>
  <c r="X46" i="5"/>
  <c r="P36" i="16"/>
  <c r="P31" i="16"/>
  <c r="P35" i="16"/>
  <c r="P28" i="16"/>
  <c r="Q33" i="7"/>
  <c r="Q39" i="7"/>
  <c r="Q31" i="7"/>
  <c r="Q36" i="7"/>
  <c r="Q22" i="7"/>
  <c r="Y36" i="7"/>
  <c r="Q30" i="7"/>
  <c r="D28" i="15"/>
  <c r="F22" i="14"/>
  <c r="F20" i="14"/>
  <c r="F52" i="14"/>
  <c r="F36" i="14"/>
  <c r="F44" i="14"/>
  <c r="F53" i="14"/>
  <c r="F28" i="14"/>
  <c r="F39" i="14"/>
  <c r="F49" i="14"/>
  <c r="F51" i="14"/>
  <c r="F24" i="1"/>
  <c r="F30" i="1"/>
  <c r="F22" i="1"/>
  <c r="F23" i="1"/>
  <c r="Y30" i="7"/>
  <c r="F25" i="5"/>
  <c r="F32" i="5"/>
  <c r="F31" i="5"/>
  <c r="F32" i="17"/>
  <c r="F28" i="17"/>
  <c r="F24" i="17"/>
  <c r="F26" i="5"/>
  <c r="X22" i="5"/>
  <c r="X42" i="5"/>
  <c r="X52" i="5"/>
  <c r="X25" i="5"/>
  <c r="X38" i="5"/>
  <c r="X40" i="5"/>
  <c r="X30" i="5"/>
  <c r="X24" i="5"/>
  <c r="X49" i="5"/>
  <c r="P22" i="16"/>
  <c r="P26" i="16"/>
  <c r="P30" i="16"/>
  <c r="P32" i="16"/>
  <c r="Q26" i="7"/>
  <c r="Y39" i="7"/>
  <c r="Q23" i="7"/>
  <c r="Q38" i="7"/>
  <c r="Y26" i="7"/>
  <c r="Q35" i="7"/>
  <c r="AE37" i="19"/>
  <c r="C5" i="17"/>
  <c r="C3" i="14"/>
  <c r="F33" i="14"/>
  <c r="F48" i="14"/>
  <c r="F27" i="14"/>
  <c r="F41" i="14"/>
  <c r="F32" i="14"/>
  <c r="F50" i="14"/>
  <c r="F47" i="14"/>
  <c r="F42" i="14"/>
  <c r="F20" i="1"/>
  <c r="F33" i="1"/>
  <c r="F25" i="1"/>
  <c r="X19" i="1"/>
  <c r="S30" i="7"/>
  <c r="F35" i="5"/>
  <c r="F35" i="17"/>
  <c r="F31" i="17"/>
  <c r="F27" i="17"/>
  <c r="F23" i="17"/>
  <c r="F30" i="5"/>
  <c r="X21" i="17"/>
  <c r="X44" i="5"/>
  <c r="X54" i="5"/>
  <c r="X21" i="5"/>
  <c r="X36" i="5"/>
  <c r="X43" i="5"/>
  <c r="AR11" i="7"/>
  <c r="X50" i="5"/>
  <c r="X45" i="5"/>
  <c r="X33" i="5"/>
  <c r="F29" i="5"/>
  <c r="F22" i="5"/>
  <c r="F28" i="5"/>
  <c r="F23" i="5"/>
  <c r="F34" i="17"/>
  <c r="F30" i="17"/>
  <c r="F26" i="17"/>
  <c r="F22" i="17"/>
  <c r="F34" i="5"/>
  <c r="X26" i="5"/>
  <c r="X27" i="5"/>
  <c r="X23" i="5"/>
  <c r="P34" i="16"/>
  <c r="S34" i="16" s="1"/>
  <c r="P24" i="16"/>
  <c r="Q28" i="7"/>
  <c r="S28" i="7" s="1"/>
  <c r="Q29" i="7"/>
  <c r="Q32" i="7"/>
  <c r="G34" i="5"/>
  <c r="F25" i="14"/>
  <c r="F46" i="14"/>
  <c r="F30" i="14"/>
  <c r="F38" i="14"/>
  <c r="F28" i="1"/>
  <c r="F19" i="1"/>
  <c r="X39" i="5"/>
  <c r="X53" i="5"/>
  <c r="P29" i="16"/>
  <c r="P37" i="16"/>
  <c r="Q25" i="7"/>
  <c r="Y33" i="7"/>
  <c r="Y25" i="7"/>
  <c r="C5" i="5"/>
  <c r="F29" i="14"/>
  <c r="F40" i="14"/>
  <c r="F31" i="14"/>
  <c r="F43" i="14"/>
  <c r="F26" i="1"/>
  <c r="F31" i="1"/>
  <c r="AU11" i="7"/>
  <c r="X47" i="5"/>
  <c r="P23" i="16"/>
  <c r="P33" i="16"/>
  <c r="D1" i="7"/>
  <c r="Q37" i="7"/>
  <c r="Q34" i="7"/>
  <c r="Q21" i="7"/>
  <c r="S32" i="16"/>
  <c r="F23" i="14"/>
  <c r="F45" i="14"/>
  <c r="F55" i="14"/>
  <c r="F35" i="14"/>
  <c r="F37" i="14"/>
  <c r="F32" i="1"/>
  <c r="F27" i="1"/>
  <c r="X41" i="5"/>
  <c r="C3" i="17"/>
  <c r="X48" i="5"/>
  <c r="X31" i="17"/>
  <c r="X37" i="17"/>
  <c r="P25" i="16"/>
  <c r="P27" i="16"/>
  <c r="R22" i="16"/>
  <c r="Q20" i="7"/>
  <c r="Q27" i="7"/>
  <c r="Q24" i="7"/>
  <c r="W12" i="13" a="1"/>
  <c r="F21" i="14"/>
  <c r="F54" i="14"/>
  <c r="F24" i="14"/>
  <c r="F34" i="14"/>
  <c r="F26" i="14"/>
  <c r="F29" i="1"/>
  <c r="F21" i="1"/>
  <c r="Y21" i="7"/>
  <c r="X24" i="17"/>
  <c r="X33" i="17"/>
  <c r="X36" i="17"/>
  <c r="X22" i="17"/>
  <c r="X39" i="17"/>
  <c r="X34" i="17"/>
  <c r="X40" i="17"/>
  <c r="X51" i="17"/>
  <c r="X30" i="17"/>
  <c r="X54" i="17"/>
  <c r="X45" i="17"/>
  <c r="X53" i="17"/>
  <c r="X35" i="17"/>
  <c r="X47" i="17"/>
  <c r="X48" i="17"/>
  <c r="X43" i="17"/>
  <c r="X41" i="17"/>
  <c r="X44" i="17"/>
  <c r="X50" i="17"/>
  <c r="X29" i="17"/>
  <c r="X25" i="17"/>
  <c r="X42" i="17"/>
  <c r="X32" i="17"/>
  <c r="X46" i="17"/>
  <c r="X28" i="17"/>
  <c r="X52" i="17"/>
  <c r="X49" i="17"/>
  <c r="X23" i="17"/>
  <c r="X38" i="17"/>
  <c r="X26" i="17"/>
  <c r="X27" i="17"/>
  <c r="Y20" i="7"/>
  <c r="Y27" i="7"/>
  <c r="S24" i="7"/>
  <c r="Y24" i="7"/>
  <c r="K44" i="19" l="1"/>
  <c r="J73" i="19"/>
  <c r="J59" i="19"/>
  <c r="B53" i="19"/>
  <c r="B67" i="19"/>
  <c r="B81" i="19"/>
  <c r="AI29" i="7"/>
  <c r="AH39" i="7"/>
  <c r="F39" i="7"/>
  <c r="W12" i="13"/>
  <c r="W16" i="13"/>
  <c r="W20" i="13"/>
  <c r="W24" i="13"/>
  <c r="W28" i="13"/>
  <c r="W32" i="13"/>
  <c r="W36" i="13"/>
  <c r="W40" i="13"/>
  <c r="W44" i="13"/>
  <c r="W48" i="13"/>
  <c r="W52" i="13"/>
  <c r="W56" i="13"/>
  <c r="W60" i="13"/>
  <c r="W64" i="13"/>
  <c r="W68" i="13"/>
  <c r="W72" i="13"/>
  <c r="W76" i="13"/>
  <c r="W80" i="13"/>
  <c r="W84" i="13"/>
  <c r="W88" i="13"/>
  <c r="W92" i="13"/>
  <c r="W96" i="13"/>
  <c r="W100" i="13"/>
  <c r="W104" i="13"/>
  <c r="W108" i="13"/>
  <c r="W112" i="13"/>
  <c r="W116" i="13"/>
  <c r="W120" i="13"/>
  <c r="W124" i="13"/>
  <c r="W128" i="13"/>
  <c r="W132" i="13"/>
  <c r="W136" i="13"/>
  <c r="W140" i="13"/>
  <c r="W144" i="13"/>
  <c r="W148" i="13"/>
  <c r="W152" i="13"/>
  <c r="W156" i="13"/>
  <c r="W160" i="13"/>
  <c r="W164" i="13"/>
  <c r="W168" i="13"/>
  <c r="W172" i="13"/>
  <c r="W176" i="13"/>
  <c r="W180" i="13"/>
  <c r="W184" i="13"/>
  <c r="W188" i="13"/>
  <c r="W192" i="13"/>
  <c r="W196" i="13"/>
  <c r="W200" i="13"/>
  <c r="W204" i="13"/>
  <c r="W208" i="13"/>
  <c r="W212" i="13"/>
  <c r="W216" i="13"/>
  <c r="W220" i="13"/>
  <c r="W224" i="13"/>
  <c r="W228" i="13"/>
  <c r="W232" i="13"/>
  <c r="W236" i="13"/>
  <c r="W240" i="13"/>
  <c r="W244" i="13"/>
  <c r="W248" i="13"/>
  <c r="W252" i="13"/>
  <c r="W256" i="13"/>
  <c r="W260" i="13"/>
  <c r="W264" i="13"/>
  <c r="W268" i="13"/>
  <c r="W272" i="13"/>
  <c r="W276" i="13"/>
  <c r="W280" i="13"/>
  <c r="W284" i="13"/>
  <c r="W288" i="13"/>
  <c r="W292" i="13"/>
  <c r="W296" i="13"/>
  <c r="W300" i="13"/>
  <c r="W304" i="13"/>
  <c r="W308" i="13"/>
  <c r="W312" i="13"/>
  <c r="W316" i="13"/>
  <c r="W320" i="13"/>
  <c r="W324" i="13"/>
  <c r="W328" i="13"/>
  <c r="W14" i="13"/>
  <c r="W19" i="13"/>
  <c r="W25" i="13"/>
  <c r="W30" i="13"/>
  <c r="W35" i="13"/>
  <c r="W41" i="13"/>
  <c r="W46" i="13"/>
  <c r="W51" i="13"/>
  <c r="W57" i="13"/>
  <c r="W62" i="13"/>
  <c r="W67" i="13"/>
  <c r="W73" i="13"/>
  <c r="W78" i="13"/>
  <c r="W83" i="13"/>
  <c r="W89" i="13"/>
  <c r="W94" i="13"/>
  <c r="W99" i="13"/>
  <c r="W105" i="13"/>
  <c r="W110" i="13"/>
  <c r="W115" i="13"/>
  <c r="W121" i="13"/>
  <c r="W126" i="13"/>
  <c r="W131" i="13"/>
  <c r="W137" i="13"/>
  <c r="W142" i="13"/>
  <c r="W147" i="13"/>
  <c r="W153" i="13"/>
  <c r="W158" i="13"/>
  <c r="W163" i="13"/>
  <c r="W169" i="13"/>
  <c r="W174" i="13"/>
  <c r="W179" i="13"/>
  <c r="W185" i="13"/>
  <c r="W190" i="13"/>
  <c r="W195" i="13"/>
  <c r="W201" i="13"/>
  <c r="W206" i="13"/>
  <c r="W211" i="13"/>
  <c r="W217" i="13"/>
  <c r="W222" i="13"/>
  <c r="W227" i="13"/>
  <c r="W233" i="13"/>
  <c r="W238" i="13"/>
  <c r="W243" i="13"/>
  <c r="W249" i="13"/>
  <c r="W254" i="13"/>
  <c r="W259" i="13"/>
  <c r="W265" i="13"/>
  <c r="W270" i="13"/>
  <c r="W275" i="13"/>
  <c r="W281" i="13"/>
  <c r="W286" i="13"/>
  <c r="W291" i="13"/>
  <c r="W297" i="13"/>
  <c r="W302" i="13"/>
  <c r="W307" i="13"/>
  <c r="W313" i="13"/>
  <c r="W318" i="13"/>
  <c r="W323" i="13"/>
  <c r="W329" i="13"/>
  <c r="W333" i="13"/>
  <c r="W337" i="13"/>
  <c r="W341" i="13"/>
  <c r="W345" i="13"/>
  <c r="W349" i="13"/>
  <c r="W353" i="13"/>
  <c r="W357" i="13"/>
  <c r="W361" i="13"/>
  <c r="W365" i="13"/>
  <c r="W369" i="13"/>
  <c r="W373" i="13"/>
  <c r="W377" i="13"/>
  <c r="W381" i="13"/>
  <c r="W385" i="13"/>
  <c r="W389" i="13"/>
  <c r="W393" i="13"/>
  <c r="W397" i="13"/>
  <c r="W401" i="13"/>
  <c r="W405" i="13"/>
  <c r="W409" i="13"/>
  <c r="W413" i="13"/>
  <c r="W417" i="13"/>
  <c r="W421" i="13"/>
  <c r="W425" i="13"/>
  <c r="W429" i="13"/>
  <c r="W433" i="13"/>
  <c r="W437" i="13"/>
  <c r="W441" i="13"/>
  <c r="W445" i="13"/>
  <c r="W449" i="13"/>
  <c r="W453" i="13"/>
  <c r="W457" i="13"/>
  <c r="W461" i="13"/>
  <c r="W465" i="13"/>
  <c r="W469" i="13"/>
  <c r="W473" i="13"/>
  <c r="W477" i="13"/>
  <c r="W481" i="13"/>
  <c r="W485" i="13"/>
  <c r="W489" i="13"/>
  <c r="W493" i="13"/>
  <c r="W497" i="13"/>
  <c r="W501" i="13"/>
  <c r="W505" i="13"/>
  <c r="W509" i="13"/>
  <c r="W513" i="13"/>
  <c r="W517" i="13"/>
  <c r="W521" i="13"/>
  <c r="W525" i="13"/>
  <c r="W529" i="13"/>
  <c r="W533" i="13"/>
  <c r="W537" i="13"/>
  <c r="W541" i="13"/>
  <c r="W545" i="13"/>
  <c r="W549" i="13"/>
  <c r="W553" i="13"/>
  <c r="W557" i="13"/>
  <c r="W561" i="13"/>
  <c r="W565" i="13"/>
  <c r="W569" i="13"/>
  <c r="W573" i="13"/>
  <c r="W577" i="13"/>
  <c r="W581" i="13"/>
  <c r="W585" i="13"/>
  <c r="W589" i="13"/>
  <c r="W593" i="13"/>
  <c r="W597" i="13"/>
  <c r="W601" i="13"/>
  <c r="W605" i="13"/>
  <c r="W609" i="13"/>
  <c r="W613" i="13"/>
  <c r="W617" i="13"/>
  <c r="W621" i="13"/>
  <c r="W625" i="13"/>
  <c r="W629" i="13"/>
  <c r="W633" i="13"/>
  <c r="W637" i="13"/>
  <c r="W641" i="13"/>
  <c r="W645" i="13"/>
  <c r="W649" i="13"/>
  <c r="W653" i="13"/>
  <c r="W657" i="13"/>
  <c r="W661" i="13"/>
  <c r="W665" i="13"/>
  <c r="W669" i="13"/>
  <c r="W673" i="13"/>
  <c r="W677" i="13"/>
  <c r="W681" i="13"/>
  <c r="W685" i="13"/>
  <c r="W689" i="13"/>
  <c r="W693" i="13"/>
  <c r="W697" i="13"/>
  <c r="W701" i="13"/>
  <c r="W705" i="13"/>
  <c r="W709" i="13"/>
  <c r="W713" i="13"/>
  <c r="W717" i="13"/>
  <c r="W721" i="13"/>
  <c r="W725" i="13"/>
  <c r="W729" i="13"/>
  <c r="W733" i="13"/>
  <c r="W737" i="13"/>
  <c r="W741" i="13"/>
  <c r="W745" i="13"/>
  <c r="W749" i="13"/>
  <c r="W753" i="13"/>
  <c r="W15" i="13"/>
  <c r="W22" i="13"/>
  <c r="W29" i="13"/>
  <c r="W37" i="13"/>
  <c r="W43" i="13"/>
  <c r="W50" i="13"/>
  <c r="W58" i="13"/>
  <c r="W65" i="13"/>
  <c r="W71" i="13"/>
  <c r="W79" i="13"/>
  <c r="W86" i="13"/>
  <c r="W93" i="13"/>
  <c r="W101" i="13"/>
  <c r="W107" i="13"/>
  <c r="W114" i="13"/>
  <c r="W122" i="13"/>
  <c r="W129" i="13"/>
  <c r="W135" i="13"/>
  <c r="W143" i="13"/>
  <c r="W150" i="13"/>
  <c r="W157" i="13"/>
  <c r="W165" i="13"/>
  <c r="W171" i="13"/>
  <c r="W178" i="13"/>
  <c r="W186" i="13"/>
  <c r="W193" i="13"/>
  <c r="W199" i="13"/>
  <c r="W207" i="13"/>
  <c r="W214" i="13"/>
  <c r="W221" i="13"/>
  <c r="W229" i="13"/>
  <c r="W235" i="13"/>
  <c r="W242" i="13"/>
  <c r="W250" i="13"/>
  <c r="W257" i="13"/>
  <c r="W263" i="13"/>
  <c r="W271" i="13"/>
  <c r="W278" i="13"/>
  <c r="W285" i="13"/>
  <c r="W293" i="13"/>
  <c r="W299" i="13"/>
  <c r="W306" i="13"/>
  <c r="W314" i="13"/>
  <c r="W321" i="13"/>
  <c r="W327" i="13"/>
  <c r="W334" i="13"/>
  <c r="W339" i="13"/>
  <c r="W344" i="13"/>
  <c r="W350" i="13"/>
  <c r="W355" i="13"/>
  <c r="W360" i="13"/>
  <c r="W366" i="13"/>
  <c r="W371" i="13"/>
  <c r="W376" i="13"/>
  <c r="W382" i="13"/>
  <c r="W387" i="13"/>
  <c r="W392" i="13"/>
  <c r="W398" i="13"/>
  <c r="W403" i="13"/>
  <c r="W408" i="13"/>
  <c r="W414" i="13"/>
  <c r="W419" i="13"/>
  <c r="W424" i="13"/>
  <c r="W430" i="13"/>
  <c r="W435" i="13"/>
  <c r="W440" i="13"/>
  <c r="W446" i="13"/>
  <c r="W451" i="13"/>
  <c r="W456" i="13"/>
  <c r="W462" i="13"/>
  <c r="W467" i="13"/>
  <c r="W472" i="13"/>
  <c r="W478" i="13"/>
  <c r="W483" i="13"/>
  <c r="W488" i="13"/>
  <c r="W494" i="13"/>
  <c r="W499" i="13"/>
  <c r="W504" i="13"/>
  <c r="W510" i="13"/>
  <c r="W515" i="13"/>
  <c r="W520" i="13"/>
  <c r="W526" i="13"/>
  <c r="W531" i="13"/>
  <c r="W536" i="13"/>
  <c r="W542" i="13"/>
  <c r="W547" i="13"/>
  <c r="W552" i="13"/>
  <c r="W558" i="13"/>
  <c r="W563" i="13"/>
  <c r="W568" i="13"/>
  <c r="W574" i="13"/>
  <c r="W579" i="13"/>
  <c r="W584" i="13"/>
  <c r="W590" i="13"/>
  <c r="W595" i="13"/>
  <c r="W600" i="13"/>
  <c r="W606" i="13"/>
  <c r="W611" i="13"/>
  <c r="W616" i="13"/>
  <c r="W622" i="13"/>
  <c r="W627" i="13"/>
  <c r="W632" i="13"/>
  <c r="W638" i="13"/>
  <c r="W643" i="13"/>
  <c r="W648" i="13"/>
  <c r="W654" i="13"/>
  <c r="W659" i="13"/>
  <c r="W664" i="13"/>
  <c r="W670" i="13"/>
  <c r="W675" i="13"/>
  <c r="W680" i="13"/>
  <c r="W686" i="13"/>
  <c r="W691" i="13"/>
  <c r="W696" i="13"/>
  <c r="W702" i="13"/>
  <c r="W707" i="13"/>
  <c r="W712" i="13"/>
  <c r="W718" i="13"/>
  <c r="W723" i="13"/>
  <c r="W728" i="13"/>
  <c r="W734" i="13"/>
  <c r="W739" i="13"/>
  <c r="W744" i="13"/>
  <c r="W750" i="13"/>
  <c r="W755" i="13"/>
  <c r="W759" i="13"/>
  <c r="W763" i="13"/>
  <c r="W767" i="13"/>
  <c r="W771" i="13"/>
  <c r="W775" i="13"/>
  <c r="W779" i="13"/>
  <c r="W783" i="13"/>
  <c r="W787" i="13"/>
  <c r="W791" i="13"/>
  <c r="W795" i="13"/>
  <c r="W799" i="13"/>
  <c r="W803" i="13"/>
  <c r="W807" i="13"/>
  <c r="W811" i="13"/>
  <c r="W815" i="13"/>
  <c r="W819" i="13"/>
  <c r="W823" i="13"/>
  <c r="W827" i="13"/>
  <c r="W831" i="13"/>
  <c r="W835" i="13"/>
  <c r="W839" i="13"/>
  <c r="W843" i="13"/>
  <c r="W847" i="13"/>
  <c r="W851" i="13"/>
  <c r="W855" i="13"/>
  <c r="W859" i="13"/>
  <c r="W863" i="13"/>
  <c r="W867" i="13"/>
  <c r="W871" i="13"/>
  <c r="W875" i="13"/>
  <c r="W879" i="13"/>
  <c r="W883" i="13"/>
  <c r="W887" i="13"/>
  <c r="W891" i="13"/>
  <c r="W895" i="13"/>
  <c r="W899" i="13"/>
  <c r="W903" i="13"/>
  <c r="W907" i="13"/>
  <c r="W911" i="13"/>
  <c r="W915" i="13"/>
  <c r="W919" i="13"/>
  <c r="W923" i="13"/>
  <c r="W927" i="13"/>
  <c r="W931" i="13"/>
  <c r="W935" i="13"/>
  <c r="W939" i="13"/>
  <c r="W943" i="13"/>
  <c r="W947" i="13"/>
  <c r="W951" i="13"/>
  <c r="W955" i="13"/>
  <c r="W959" i="13"/>
  <c r="W963" i="13"/>
  <c r="W967" i="13"/>
  <c r="W971" i="13"/>
  <c r="W975" i="13"/>
  <c r="W979" i="13"/>
  <c r="W983" i="13"/>
  <c r="W987" i="13"/>
  <c r="W991" i="13"/>
  <c r="W995" i="13"/>
  <c r="W999" i="13"/>
  <c r="W1003" i="13"/>
  <c r="W1007" i="13"/>
  <c r="W1011" i="13"/>
  <c r="W1015" i="13"/>
  <c r="W1019" i="13"/>
  <c r="W1023" i="13"/>
  <c r="W1027" i="13"/>
  <c r="W1031" i="13"/>
  <c r="W1035" i="13"/>
  <c r="W1039" i="13"/>
  <c r="W1043" i="13"/>
  <c r="W1047" i="13"/>
  <c r="W1051" i="13"/>
  <c r="W1055" i="13"/>
  <c r="W1059" i="13"/>
  <c r="W1063" i="13"/>
  <c r="W1067" i="13"/>
  <c r="W1071" i="13"/>
  <c r="W1075" i="13"/>
  <c r="W1079" i="13"/>
  <c r="W1083" i="13"/>
  <c r="W1087" i="13"/>
  <c r="W1091" i="13"/>
  <c r="W1095" i="13"/>
  <c r="W1099" i="13"/>
  <c r="W1103" i="13"/>
  <c r="W1107" i="13"/>
  <c r="W1111" i="13"/>
  <c r="W1115" i="13"/>
  <c r="W1119" i="13"/>
  <c r="W1123" i="13"/>
  <c r="W1127" i="13"/>
  <c r="W1131" i="13"/>
  <c r="W1135" i="13"/>
  <c r="W1139" i="13"/>
  <c r="W1143" i="13"/>
  <c r="W1147" i="13"/>
  <c r="W1151" i="13"/>
  <c r="W1155" i="13"/>
  <c r="W1159" i="13"/>
  <c r="W1163" i="13"/>
  <c r="W1167" i="13"/>
  <c r="W1171" i="13"/>
  <c r="W1175" i="13"/>
  <c r="W1179" i="13"/>
  <c r="W1183" i="13"/>
  <c r="W1187" i="13"/>
  <c r="W1191" i="13"/>
  <c r="W1195" i="13"/>
  <c r="W1199" i="13"/>
  <c r="W1203" i="13"/>
  <c r="W1207" i="13"/>
  <c r="W1211" i="13"/>
  <c r="W1215" i="13"/>
  <c r="W1219" i="13"/>
  <c r="W1223" i="13"/>
  <c r="W1227" i="13"/>
  <c r="W1231" i="13"/>
  <c r="W1235" i="13"/>
  <c r="W1239" i="13"/>
  <c r="W1243" i="13"/>
  <c r="W1247" i="13"/>
  <c r="W1251" i="13"/>
  <c r="W1255" i="13"/>
  <c r="W1259" i="13"/>
  <c r="W1263" i="13"/>
  <c r="W1267" i="13"/>
  <c r="W1271" i="13"/>
  <c r="W1275" i="13"/>
  <c r="W1279" i="13"/>
  <c r="W1283" i="13"/>
  <c r="W1287" i="13"/>
  <c r="W1291" i="13"/>
  <c r="W1295" i="13"/>
  <c r="W1299" i="13"/>
  <c r="W1303" i="13"/>
  <c r="W1307" i="13"/>
  <c r="W1311" i="13"/>
  <c r="W1315" i="13"/>
  <c r="W1319" i="13"/>
  <c r="W1323" i="13"/>
  <c r="W1327" i="13"/>
  <c r="W1331" i="13"/>
  <c r="W1335" i="13"/>
  <c r="W1339" i="13"/>
  <c r="W1343" i="13"/>
  <c r="W1347" i="13"/>
  <c r="W1351" i="13"/>
  <c r="W1355" i="13"/>
  <c r="W1359" i="13"/>
  <c r="W1363" i="13"/>
  <c r="W1367" i="13"/>
  <c r="W1371" i="13"/>
  <c r="W1375" i="13"/>
  <c r="W1379" i="13"/>
  <c r="W1383" i="13"/>
  <c r="W1387" i="13"/>
  <c r="W1391" i="13"/>
  <c r="W1395" i="13"/>
  <c r="W1399" i="13"/>
  <c r="W1403" i="13"/>
  <c r="W1407" i="13"/>
  <c r="W1411" i="13"/>
  <c r="W1415" i="13"/>
  <c r="W1419" i="13"/>
  <c r="W1423" i="13"/>
  <c r="W1427" i="13"/>
  <c r="W1431" i="13"/>
  <c r="W1435" i="13"/>
  <c r="W1439" i="13"/>
  <c r="W1443" i="13"/>
  <c r="W1447" i="13"/>
  <c r="W1451" i="13"/>
  <c r="W1455" i="13"/>
  <c r="W1459" i="13"/>
  <c r="W1463" i="13"/>
  <c r="W1467" i="13"/>
  <c r="W1471" i="13"/>
  <c r="W1475" i="13"/>
  <c r="W1479" i="13"/>
  <c r="W1483" i="13"/>
  <c r="W1487" i="13"/>
  <c r="W1491" i="13"/>
  <c r="W1495" i="13"/>
  <c r="W1499" i="13"/>
  <c r="W1503" i="13"/>
  <c r="W1507" i="13"/>
  <c r="W1511" i="13"/>
  <c r="W1515" i="13"/>
  <c r="W1519" i="13"/>
  <c r="W1523" i="13"/>
  <c r="W1527" i="13"/>
  <c r="W1531" i="13"/>
  <c r="W1535" i="13"/>
  <c r="W1539" i="13"/>
  <c r="W1543" i="13"/>
  <c r="W1547" i="13"/>
  <c r="W1551" i="13"/>
  <c r="W1555" i="13"/>
  <c r="W1559" i="13"/>
  <c r="W1563" i="13"/>
  <c r="W1567" i="13"/>
  <c r="W1571" i="13"/>
  <c r="W1575" i="13"/>
  <c r="W1579" i="13"/>
  <c r="W1583" i="13"/>
  <c r="W1587" i="13"/>
  <c r="W1591" i="13"/>
  <c r="W1595" i="13"/>
  <c r="W1599" i="13"/>
  <c r="W1603" i="13"/>
  <c r="W1607" i="13"/>
  <c r="W18" i="13"/>
  <c r="W27" i="13"/>
  <c r="W38" i="13"/>
  <c r="W47" i="13"/>
  <c r="W55" i="13"/>
  <c r="W66" i="13"/>
  <c r="W75" i="13"/>
  <c r="W85" i="13"/>
  <c r="W95" i="13"/>
  <c r="W103" i="13"/>
  <c r="W113" i="13"/>
  <c r="W123" i="13"/>
  <c r="W133" i="13"/>
  <c r="W141" i="13"/>
  <c r="W151" i="13"/>
  <c r="W161" i="13"/>
  <c r="W170" i="13"/>
  <c r="W181" i="13"/>
  <c r="W189" i="13"/>
  <c r="W198" i="13"/>
  <c r="W209" i="13"/>
  <c r="W218" i="13"/>
  <c r="W226" i="13"/>
  <c r="W237" i="13"/>
  <c r="W246" i="13"/>
  <c r="W255" i="13"/>
  <c r="W266" i="13"/>
  <c r="W274" i="13"/>
  <c r="W283" i="13"/>
  <c r="W294" i="13"/>
  <c r="W303" i="13"/>
  <c r="W311" i="13"/>
  <c r="W322" i="13"/>
  <c r="W331" i="13"/>
  <c r="W338" i="13"/>
  <c r="W346" i="13"/>
  <c r="W352" i="13"/>
  <c r="W359" i="13"/>
  <c r="W367" i="13"/>
  <c r="W374" i="13"/>
  <c r="W380" i="13"/>
  <c r="W388" i="13"/>
  <c r="W395" i="13"/>
  <c r="W402" i="13"/>
  <c r="W410" i="13"/>
  <c r="W416" i="13"/>
  <c r="W423" i="13"/>
  <c r="W431" i="13"/>
  <c r="W438" i="13"/>
  <c r="W444" i="13"/>
  <c r="W452" i="13"/>
  <c r="W459" i="13"/>
  <c r="W466" i="13"/>
  <c r="W474" i="13"/>
  <c r="W480" i="13"/>
  <c r="W487" i="13"/>
  <c r="W495" i="13"/>
  <c r="W502" i="13"/>
  <c r="W508" i="13"/>
  <c r="W516" i="13"/>
  <c r="W523" i="13"/>
  <c r="W530" i="13"/>
  <c r="W538" i="13"/>
  <c r="W544" i="13"/>
  <c r="W551" i="13"/>
  <c r="W559" i="13"/>
  <c r="W566" i="13"/>
  <c r="W572" i="13"/>
  <c r="W580" i="13"/>
  <c r="W587" i="13"/>
  <c r="W594" i="13"/>
  <c r="W602" i="13"/>
  <c r="W608" i="13"/>
  <c r="W615" i="13"/>
  <c r="W623" i="13"/>
  <c r="W630" i="13"/>
  <c r="W636" i="13"/>
  <c r="W644" i="13"/>
  <c r="W651" i="13"/>
  <c r="W658" i="13"/>
  <c r="W666" i="13"/>
  <c r="W672" i="13"/>
  <c r="W13" i="13"/>
  <c r="W23" i="13"/>
  <c r="W33" i="13"/>
  <c r="W42" i="13"/>
  <c r="W53" i="13"/>
  <c r="W61" i="13"/>
  <c r="W70" i="13"/>
  <c r="W81" i="13"/>
  <c r="W90" i="13"/>
  <c r="W98" i="13"/>
  <c r="W109" i="13"/>
  <c r="W118" i="13"/>
  <c r="W127" i="13"/>
  <c r="W138" i="13"/>
  <c r="W146" i="13"/>
  <c r="W155" i="13"/>
  <c r="W166" i="13"/>
  <c r="W175" i="13"/>
  <c r="W183" i="13"/>
  <c r="W194" i="13"/>
  <c r="W203" i="13"/>
  <c r="W213" i="13"/>
  <c r="W223" i="13"/>
  <c r="W231" i="13"/>
  <c r="W241" i="13"/>
  <c r="W251" i="13"/>
  <c r="W261" i="13"/>
  <c r="W269" i="13"/>
  <c r="W279" i="13"/>
  <c r="W289" i="13"/>
  <c r="W298" i="13"/>
  <c r="W309" i="13"/>
  <c r="W317" i="13"/>
  <c r="W326" i="13"/>
  <c r="W335" i="13"/>
  <c r="W342" i="13"/>
  <c r="W348" i="13"/>
  <c r="W356" i="13"/>
  <c r="W363" i="13"/>
  <c r="W370" i="13"/>
  <c r="W378" i="13"/>
  <c r="W384" i="13"/>
  <c r="W391" i="13"/>
  <c r="W399" i="13"/>
  <c r="W406" i="13"/>
  <c r="W412" i="13"/>
  <c r="W420" i="13"/>
  <c r="W427" i="13"/>
  <c r="W434" i="13"/>
  <c r="W442" i="13"/>
  <c r="W448" i="13"/>
  <c r="W455" i="13"/>
  <c r="W463" i="13"/>
  <c r="W470" i="13"/>
  <c r="W476" i="13"/>
  <c r="W484" i="13"/>
  <c r="W491" i="13"/>
  <c r="W498" i="13"/>
  <c r="W506" i="13"/>
  <c r="W512" i="13"/>
  <c r="W519" i="13"/>
  <c r="W527" i="13"/>
  <c r="W534" i="13"/>
  <c r="W540" i="13"/>
  <c r="W548" i="13"/>
  <c r="W555" i="13"/>
  <c r="W562" i="13"/>
  <c r="W570" i="13"/>
  <c r="W576" i="13"/>
  <c r="W583" i="13"/>
  <c r="W591" i="13"/>
  <c r="W598" i="13"/>
  <c r="W604" i="13"/>
  <c r="W612" i="13"/>
  <c r="W619" i="13"/>
  <c r="W626" i="13"/>
  <c r="W634" i="13"/>
  <c r="W640" i="13"/>
  <c r="W647" i="13"/>
  <c r="W655" i="13"/>
  <c r="W662" i="13"/>
  <c r="W668" i="13"/>
  <c r="W676" i="13"/>
  <c r="W683" i="13"/>
  <c r="W690" i="13"/>
  <c r="W698" i="13"/>
  <c r="W704" i="13"/>
  <c r="W711" i="13"/>
  <c r="W719" i="13"/>
  <c r="W726" i="13"/>
  <c r="W732" i="13"/>
  <c r="W740" i="13"/>
  <c r="W747" i="13"/>
  <c r="W754" i="13"/>
  <c r="W760" i="13"/>
  <c r="W765" i="13"/>
  <c r="W770" i="13"/>
  <c r="W776" i="13"/>
  <c r="W781" i="13"/>
  <c r="W786" i="13"/>
  <c r="W792" i="13"/>
  <c r="W797" i="13"/>
  <c r="W802" i="13"/>
  <c r="W808" i="13"/>
  <c r="W813" i="13"/>
  <c r="W818" i="13"/>
  <c r="W824" i="13"/>
  <c r="W829" i="13"/>
  <c r="W834" i="13"/>
  <c r="W840" i="13"/>
  <c r="W31" i="13"/>
  <c r="W49" i="13"/>
  <c r="W69" i="13"/>
  <c r="W87" i="13"/>
  <c r="W106" i="13"/>
  <c r="W125" i="13"/>
  <c r="W145" i="13"/>
  <c r="W162" i="13"/>
  <c r="W182" i="13"/>
  <c r="W202" i="13"/>
  <c r="W219" i="13"/>
  <c r="W239" i="13"/>
  <c r="W258" i="13"/>
  <c r="W277" i="13"/>
  <c r="W295" i="13"/>
  <c r="W315" i="13"/>
  <c r="W332" i="13"/>
  <c r="W347" i="13"/>
  <c r="W362" i="13"/>
  <c r="W375" i="13"/>
  <c r="W390" i="13"/>
  <c r="W404" i="13"/>
  <c r="W418" i="13"/>
  <c r="W432" i="13"/>
  <c r="W447" i="13"/>
  <c r="W460" i="13"/>
  <c r="W475" i="13"/>
  <c r="W490" i="13"/>
  <c r="W503" i="13"/>
  <c r="W518" i="13"/>
  <c r="W532" i="13"/>
  <c r="W546" i="13"/>
  <c r="W560" i="13"/>
  <c r="W575" i="13"/>
  <c r="W588" i="13"/>
  <c r="W603" i="13"/>
  <c r="W618" i="13"/>
  <c r="W631" i="13"/>
  <c r="W646" i="13"/>
  <c r="W660" i="13"/>
  <c r="W674" i="13"/>
  <c r="W684" i="13"/>
  <c r="W694" i="13"/>
  <c r="W703" i="13"/>
  <c r="W714" i="13"/>
  <c r="W722" i="13"/>
  <c r="W731" i="13"/>
  <c r="W742" i="13"/>
  <c r="W751" i="13"/>
  <c r="W758" i="13"/>
  <c r="W766" i="13"/>
  <c r="W773" i="13"/>
  <c r="W780" i="13"/>
  <c r="W788" i="13"/>
  <c r="W794" i="13"/>
  <c r="W801" i="13"/>
  <c r="W809" i="13"/>
  <c r="W816" i="13"/>
  <c r="W822" i="13"/>
  <c r="W830" i="13"/>
  <c r="W837" i="13"/>
  <c r="W844" i="13"/>
  <c r="W849" i="13"/>
  <c r="W854" i="13"/>
  <c r="W860" i="13"/>
  <c r="W865" i="13"/>
  <c r="W870" i="13"/>
  <c r="W876" i="13"/>
  <c r="W881" i="13"/>
  <c r="W886" i="13"/>
  <c r="W892" i="13"/>
  <c r="W897" i="13"/>
  <c r="W902" i="13"/>
  <c r="W908" i="13"/>
  <c r="W913" i="13"/>
  <c r="W918" i="13"/>
  <c r="W924" i="13"/>
  <c r="W929" i="13"/>
  <c r="W934" i="13"/>
  <c r="W940" i="13"/>
  <c r="W945" i="13"/>
  <c r="W950" i="13"/>
  <c r="W956" i="13"/>
  <c r="W961" i="13"/>
  <c r="W966" i="13"/>
  <c r="W972" i="13"/>
  <c r="W977" i="13"/>
  <c r="W982" i="13"/>
  <c r="W988" i="13"/>
  <c r="W993" i="13"/>
  <c r="W998" i="13"/>
  <c r="W1004" i="13"/>
  <c r="W1009" i="13"/>
  <c r="W1014" i="13"/>
  <c r="W1020" i="13"/>
  <c r="W1025" i="13"/>
  <c r="W1030" i="13"/>
  <c r="W1036" i="13"/>
  <c r="W1041" i="13"/>
  <c r="W1046" i="13"/>
  <c r="W1052" i="13"/>
  <c r="W1057" i="13"/>
  <c r="W1062" i="13"/>
  <c r="W1068" i="13"/>
  <c r="W1073" i="13"/>
  <c r="W1078" i="13"/>
  <c r="W1084" i="13"/>
  <c r="W1089" i="13"/>
  <c r="W1094" i="13"/>
  <c r="W1100" i="13"/>
  <c r="W1105" i="13"/>
  <c r="W1110" i="13"/>
  <c r="W1116" i="13"/>
  <c r="W1121" i="13"/>
  <c r="W1126" i="13"/>
  <c r="W1132" i="13"/>
  <c r="W1137" i="13"/>
  <c r="W1142" i="13"/>
  <c r="W1148" i="13"/>
  <c r="W1153" i="13"/>
  <c r="W1158" i="13"/>
  <c r="W1164" i="13"/>
  <c r="W1169" i="13"/>
  <c r="W1174" i="13"/>
  <c r="W1180" i="13"/>
  <c r="W1185" i="13"/>
  <c r="W1190" i="13"/>
  <c r="W1196" i="13"/>
  <c r="W1201" i="13"/>
  <c r="W1206" i="13"/>
  <c r="W1212" i="13"/>
  <c r="W1217" i="13"/>
  <c r="W1222" i="13"/>
  <c r="W1228" i="13"/>
  <c r="W1233" i="13"/>
  <c r="W1238" i="13"/>
  <c r="W1244" i="13"/>
  <c r="W1249" i="13"/>
  <c r="W1254" i="13"/>
  <c r="W1260" i="13"/>
  <c r="W1265" i="13"/>
  <c r="W1270" i="13"/>
  <c r="W1276" i="13"/>
  <c r="W1281" i="13"/>
  <c r="W1286" i="13"/>
  <c r="W1292" i="13"/>
  <c r="W1297" i="13"/>
  <c r="W1302" i="13"/>
  <c r="W1308" i="13"/>
  <c r="W1313" i="13"/>
  <c r="W1318" i="13"/>
  <c r="W1324" i="13"/>
  <c r="W1329" i="13"/>
  <c r="W1334" i="13"/>
  <c r="W1340" i="13"/>
  <c r="W1345" i="13"/>
  <c r="W1350" i="13"/>
  <c r="W1356" i="13"/>
  <c r="W1361" i="13"/>
  <c r="W1366" i="13"/>
  <c r="W1372" i="13"/>
  <c r="W1377" i="13"/>
  <c r="W1382" i="13"/>
  <c r="W1388" i="13"/>
  <c r="W1393" i="13"/>
  <c r="W1398" i="13"/>
  <c r="W1404" i="13"/>
  <c r="W1409" i="13"/>
  <c r="W1414" i="13"/>
  <c r="W21" i="13"/>
  <c r="W39" i="13"/>
  <c r="W59" i="13"/>
  <c r="W77" i="13"/>
  <c r="W97" i="13"/>
  <c r="W117" i="13"/>
  <c r="W134" i="13"/>
  <c r="W154" i="13"/>
  <c r="W173" i="13"/>
  <c r="W191" i="13"/>
  <c r="W210" i="13"/>
  <c r="W230" i="13"/>
  <c r="W247" i="13"/>
  <c r="W267" i="13"/>
  <c r="W287" i="13"/>
  <c r="W305" i="13"/>
  <c r="W325" i="13"/>
  <c r="W340" i="13"/>
  <c r="W354" i="13"/>
  <c r="W368" i="13"/>
  <c r="W383" i="13"/>
  <c r="W396" i="13"/>
  <c r="W411" i="13"/>
  <c r="W426" i="13"/>
  <c r="W439" i="13"/>
  <c r="W454" i="13"/>
  <c r="W468" i="13"/>
  <c r="W482" i="13"/>
  <c r="W496" i="13"/>
  <c r="W511" i="13"/>
  <c r="W524" i="13"/>
  <c r="W539" i="13"/>
  <c r="W554" i="13"/>
  <c r="W567" i="13"/>
  <c r="W582" i="13"/>
  <c r="W596" i="13"/>
  <c r="W610" i="13"/>
  <c r="W624" i="13"/>
  <c r="W639" i="13"/>
  <c r="W652" i="13"/>
  <c r="W667" i="13"/>
  <c r="W679" i="13"/>
  <c r="W688" i="13"/>
  <c r="W699" i="13"/>
  <c r="W708" i="13"/>
  <c r="W716" i="13"/>
  <c r="W727" i="13"/>
  <c r="W736" i="13"/>
  <c r="W746" i="13"/>
  <c r="W756" i="13"/>
  <c r="W762" i="13"/>
  <c r="W769" i="13"/>
  <c r="W777" i="13"/>
  <c r="W784" i="13"/>
  <c r="W790" i="13"/>
  <c r="W798" i="13"/>
  <c r="W805" i="13"/>
  <c r="W812" i="13"/>
  <c r="W820" i="13"/>
  <c r="W826" i="13"/>
  <c r="W833" i="13"/>
  <c r="W841" i="13"/>
  <c r="W846" i="13"/>
  <c r="W852" i="13"/>
  <c r="W857" i="13"/>
  <c r="W862" i="13"/>
  <c r="W868" i="13"/>
  <c r="W873" i="13"/>
  <c r="W878" i="13"/>
  <c r="W884" i="13"/>
  <c r="W889" i="13"/>
  <c r="W894" i="13"/>
  <c r="W900" i="13"/>
  <c r="W905" i="13"/>
  <c r="W910" i="13"/>
  <c r="W916" i="13"/>
  <c r="W921" i="13"/>
  <c r="W926" i="13"/>
  <c r="W932" i="13"/>
  <c r="W937" i="13"/>
  <c r="W942" i="13"/>
  <c r="W948" i="13"/>
  <c r="W953" i="13"/>
  <c r="W958" i="13"/>
  <c r="W964" i="13"/>
  <c r="W969" i="13"/>
  <c r="W974" i="13"/>
  <c r="W980" i="13"/>
  <c r="W985" i="13"/>
  <c r="W990" i="13"/>
  <c r="W996" i="13"/>
  <c r="W1001" i="13"/>
  <c r="W1006" i="13"/>
  <c r="W1012" i="13"/>
  <c r="W1017" i="13"/>
  <c r="W1022" i="13"/>
  <c r="W1028" i="13"/>
  <c r="W1033" i="13"/>
  <c r="W1038" i="13"/>
  <c r="W1044" i="13"/>
  <c r="W1049" i="13"/>
  <c r="W1054" i="13"/>
  <c r="W1060" i="13"/>
  <c r="W1065" i="13"/>
  <c r="W1070" i="13"/>
  <c r="W1076" i="13"/>
  <c r="W1081" i="13"/>
  <c r="W1086" i="13"/>
  <c r="W1092" i="13"/>
  <c r="W1097" i="13"/>
  <c r="W1102" i="13"/>
  <c r="W1108" i="13"/>
  <c r="W1113" i="13"/>
  <c r="W1118" i="13"/>
  <c r="W1124" i="13"/>
  <c r="W1129" i="13"/>
  <c r="W1134" i="13"/>
  <c r="W1140" i="13"/>
  <c r="W1145" i="13"/>
  <c r="W1150" i="13"/>
  <c r="W1156" i="13"/>
  <c r="W1161" i="13"/>
  <c r="W1166" i="13"/>
  <c r="W1172" i="13"/>
  <c r="W1177" i="13"/>
  <c r="W1182" i="13"/>
  <c r="W1188" i="13"/>
  <c r="W1193" i="13"/>
  <c r="W1198" i="13"/>
  <c r="W1204" i="13"/>
  <c r="W1209" i="13"/>
  <c r="W1214" i="13"/>
  <c r="W1220" i="13"/>
  <c r="W1225" i="13"/>
  <c r="W1230" i="13"/>
  <c r="W1236" i="13"/>
  <c r="W1241" i="13"/>
  <c r="W1246" i="13"/>
  <c r="W1252" i="13"/>
  <c r="W1257" i="13"/>
  <c r="W1262" i="13"/>
  <c r="W1268" i="13"/>
  <c r="W1273" i="13"/>
  <c r="W1278" i="13"/>
  <c r="W1284" i="13"/>
  <c r="W1289" i="13"/>
  <c r="W1294" i="13"/>
  <c r="W1300" i="13"/>
  <c r="W1305" i="13"/>
  <c r="W1310" i="13"/>
  <c r="W1316" i="13"/>
  <c r="W1321" i="13"/>
  <c r="W1326" i="13"/>
  <c r="W1332" i="13"/>
  <c r="W1337" i="13"/>
  <c r="W1342" i="13"/>
  <c r="W1348" i="13"/>
  <c r="W1353" i="13"/>
  <c r="W1358" i="13"/>
  <c r="W1364" i="13"/>
  <c r="W1369" i="13"/>
  <c r="W1374" i="13"/>
  <c r="W45" i="13"/>
  <c r="W82" i="13"/>
  <c r="W119" i="13"/>
  <c r="W159" i="13"/>
  <c r="W197" i="13"/>
  <c r="W234" i="13"/>
  <c r="W273" i="13"/>
  <c r="W310" i="13"/>
  <c r="W343" i="13"/>
  <c r="W372" i="13"/>
  <c r="W400" i="13"/>
  <c r="W428" i="13"/>
  <c r="W458" i="13"/>
  <c r="W486" i="13"/>
  <c r="W514" i="13"/>
  <c r="W543" i="13"/>
  <c r="W571" i="13"/>
  <c r="W599" i="13"/>
  <c r="W628" i="13"/>
  <c r="W656" i="13"/>
  <c r="W682" i="13"/>
  <c r="W700" i="13"/>
  <c r="W720" i="13"/>
  <c r="W738" i="13"/>
  <c r="W757" i="13"/>
  <c r="W772" i="13"/>
  <c r="W785" i="13"/>
  <c r="W800" i="13"/>
  <c r="W814" i="13"/>
  <c r="W828" i="13"/>
  <c r="W842" i="13"/>
  <c r="W853" i="13"/>
  <c r="W864" i="13"/>
  <c r="W874" i="13"/>
  <c r="W885" i="13"/>
  <c r="W896" i="13"/>
  <c r="W906" i="13"/>
  <c r="W917" i="13"/>
  <c r="W928" i="13"/>
  <c r="W938" i="13"/>
  <c r="W949" i="13"/>
  <c r="W960" i="13"/>
  <c r="W970" i="13"/>
  <c r="W981" i="13"/>
  <c r="W992" i="13"/>
  <c r="W1002" i="13"/>
  <c r="W1013" i="13"/>
  <c r="W1024" i="13"/>
  <c r="W1034" i="13"/>
  <c r="W1045" i="13"/>
  <c r="W1056" i="13"/>
  <c r="W1066" i="13"/>
  <c r="W1077" i="13"/>
  <c r="W1088" i="13"/>
  <c r="W1098" i="13"/>
  <c r="W1109" i="13"/>
  <c r="W1120" i="13"/>
  <c r="W1130" i="13"/>
  <c r="W1141" i="13"/>
  <c r="W1152" i="13"/>
  <c r="W1162" i="13"/>
  <c r="W1173" i="13"/>
  <c r="W1184" i="13"/>
  <c r="W1194" i="13"/>
  <c r="W1205" i="13"/>
  <c r="W1216" i="13"/>
  <c r="W1226" i="13"/>
  <c r="W1237" i="13"/>
  <c r="W1248" i="13"/>
  <c r="W1258" i="13"/>
  <c r="W1269" i="13"/>
  <c r="W1280" i="13"/>
  <c r="W1290" i="13"/>
  <c r="W1301" i="13"/>
  <c r="W1312" i="13"/>
  <c r="W1322" i="13"/>
  <c r="W1333" i="13"/>
  <c r="W1344" i="13"/>
  <c r="W1354" i="13"/>
  <c r="W1365" i="13"/>
  <c r="W1376" i="13"/>
  <c r="W1384" i="13"/>
  <c r="W1390" i="13"/>
  <c r="W1397" i="13"/>
  <c r="W17" i="13"/>
  <c r="W54" i="13"/>
  <c r="W91" i="13"/>
  <c r="W130" i="13"/>
  <c r="W167" i="13"/>
  <c r="W205" i="13"/>
  <c r="W245" i="13"/>
  <c r="W282" i="13"/>
  <c r="W319" i="13"/>
  <c r="W351" i="13"/>
  <c r="W379" i="13"/>
  <c r="W407" i="13"/>
  <c r="W436" i="13"/>
  <c r="W464" i="13"/>
  <c r="W492" i="13"/>
  <c r="W522" i="13"/>
  <c r="W550" i="13"/>
  <c r="W578" i="13"/>
  <c r="W607" i="13"/>
  <c r="W635" i="13"/>
  <c r="W663" i="13"/>
  <c r="W687" i="13"/>
  <c r="W706" i="13"/>
  <c r="W724" i="13"/>
  <c r="W743" i="13"/>
  <c r="W761" i="13"/>
  <c r="W774" i="13"/>
  <c r="W789" i="13"/>
  <c r="W804" i="13"/>
  <c r="W817" i="13"/>
  <c r="W832" i="13"/>
  <c r="W845" i="13"/>
  <c r="W856" i="13"/>
  <c r="W866" i="13"/>
  <c r="W877" i="13"/>
  <c r="W888" i="13"/>
  <c r="W898" i="13"/>
  <c r="W909" i="13"/>
  <c r="W920" i="13"/>
  <c r="W930" i="13"/>
  <c r="W941" i="13"/>
  <c r="W952" i="13"/>
  <c r="W962" i="13"/>
  <c r="W973" i="13"/>
  <c r="W984" i="13"/>
  <c r="W994" i="13"/>
  <c r="W1005" i="13"/>
  <c r="W1016" i="13"/>
  <c r="W1026" i="13"/>
  <c r="W1037" i="13"/>
  <c r="W1048" i="13"/>
  <c r="W1058" i="13"/>
  <c r="W1069" i="13"/>
  <c r="W1080" i="13"/>
  <c r="W1090" i="13"/>
  <c r="W1101" i="13"/>
  <c r="W1112" i="13"/>
  <c r="W1122" i="13"/>
  <c r="W1133" i="13"/>
  <c r="W1144" i="13"/>
  <c r="W26" i="13"/>
  <c r="W102" i="13"/>
  <c r="W177" i="13"/>
  <c r="W253" i="13"/>
  <c r="W330" i="13"/>
  <c r="W386" i="13"/>
  <c r="W443" i="13"/>
  <c r="W500" i="13"/>
  <c r="W556" i="13"/>
  <c r="W614" i="13"/>
  <c r="W671" i="13"/>
  <c r="W710" i="13"/>
  <c r="W748" i="13"/>
  <c r="W778" i="13"/>
  <c r="W806" i="13"/>
  <c r="W836" i="13"/>
  <c r="W858" i="13"/>
  <c r="W880" i="13"/>
  <c r="W901" i="13"/>
  <c r="W922" i="13"/>
  <c r="W944" i="13"/>
  <c r="W965" i="13"/>
  <c r="W986" i="13"/>
  <c r="W1008" i="13"/>
  <c r="W1029" i="13"/>
  <c r="W1050" i="13"/>
  <c r="W1072" i="13"/>
  <c r="W1093" i="13"/>
  <c r="W1114" i="13"/>
  <c r="W1136" i="13"/>
  <c r="W1154" i="13"/>
  <c r="W1168" i="13"/>
  <c r="W1181" i="13"/>
  <c r="W1197" i="13"/>
  <c r="W1210" i="13"/>
  <c r="W1224" i="13"/>
  <c r="W1240" i="13"/>
  <c r="W1253" i="13"/>
  <c r="W1266" i="13"/>
  <c r="W1282" i="13"/>
  <c r="W1296" i="13"/>
  <c r="W1309" i="13"/>
  <c r="W1325" i="13"/>
  <c r="W1338" i="13"/>
  <c r="W1352" i="13"/>
  <c r="W1368" i="13"/>
  <c r="W1380" i="13"/>
  <c r="W1389" i="13"/>
  <c r="W1400" i="13"/>
  <c r="W1406" i="13"/>
  <c r="W1413" i="13"/>
  <c r="W1420" i="13"/>
  <c r="W1425" i="13"/>
  <c r="W1430" i="13"/>
  <c r="W1436" i="13"/>
  <c r="W1441" i="13"/>
  <c r="W1446" i="13"/>
  <c r="W1452" i="13"/>
  <c r="W1457" i="13"/>
  <c r="W1462" i="13"/>
  <c r="W1468" i="13"/>
  <c r="W1473" i="13"/>
  <c r="W1478" i="13"/>
  <c r="W1484" i="13"/>
  <c r="W1489" i="13"/>
  <c r="W1494" i="13"/>
  <c r="W1500" i="13"/>
  <c r="W1505" i="13"/>
  <c r="W1510" i="13"/>
  <c r="W1516" i="13"/>
  <c r="W1521" i="13"/>
  <c r="W1526" i="13"/>
  <c r="W1532" i="13"/>
  <c r="W1537" i="13"/>
  <c r="W1542" i="13"/>
  <c r="W1548" i="13"/>
  <c r="W1553" i="13"/>
  <c r="W1558" i="13"/>
  <c r="W1564" i="13"/>
  <c r="W1569" i="13"/>
  <c r="W1574" i="13"/>
  <c r="W1580" i="13"/>
  <c r="W1585" i="13"/>
  <c r="W1590" i="13"/>
  <c r="W1596" i="13"/>
  <c r="W1601" i="13"/>
  <c r="W1606" i="13"/>
  <c r="W1611" i="13"/>
  <c r="W1615" i="13"/>
  <c r="W1619" i="13"/>
  <c r="W1623" i="13"/>
  <c r="W1627" i="13"/>
  <c r="W1631" i="13"/>
  <c r="W1635" i="13"/>
  <c r="W1639" i="13"/>
  <c r="W1643" i="13"/>
  <c r="W1647" i="13"/>
  <c r="W1651" i="13"/>
  <c r="W1655" i="13"/>
  <c r="W1659" i="13"/>
  <c r="W1663" i="13"/>
  <c r="W1667" i="13"/>
  <c r="W1671" i="13"/>
  <c r="W1675" i="13"/>
  <c r="W1679" i="13"/>
  <c r="W1683" i="13"/>
  <c r="W1687" i="13"/>
  <c r="W1691" i="13"/>
  <c r="W1695" i="13"/>
  <c r="W1699" i="13"/>
  <c r="W1703" i="13"/>
  <c r="W1707" i="13"/>
  <c r="W1711" i="13"/>
  <c r="W1715" i="13"/>
  <c r="W1719" i="13"/>
  <c r="W1723" i="13"/>
  <c r="W1727" i="13"/>
  <c r="W1731" i="13"/>
  <c r="W1735" i="13"/>
  <c r="W1739" i="13"/>
  <c r="W1743" i="13"/>
  <c r="W1747" i="13"/>
  <c r="W1751" i="13"/>
  <c r="W1755" i="13"/>
  <c r="W1759" i="13"/>
  <c r="W1763" i="13"/>
  <c r="W1767" i="13"/>
  <c r="W1771" i="13"/>
  <c r="W1775" i="13"/>
  <c r="W1779" i="13"/>
  <c r="W1783" i="13"/>
  <c r="W1787" i="13"/>
  <c r="W1791" i="13"/>
  <c r="W1795" i="13"/>
  <c r="W1799" i="13"/>
  <c r="W1803" i="13"/>
  <c r="W1807" i="13"/>
  <c r="W1811" i="13"/>
  <c r="W1815" i="13"/>
  <c r="W1819" i="13"/>
  <c r="W1823" i="13"/>
  <c r="W1827" i="13"/>
  <c r="W1831" i="13"/>
  <c r="W1835" i="13"/>
  <c r="W1839" i="13"/>
  <c r="W1843" i="13"/>
  <c r="W1847" i="13"/>
  <c r="W1851" i="13"/>
  <c r="W1855" i="13"/>
  <c r="W1859" i="13"/>
  <c r="W1863" i="13"/>
  <c r="W1867" i="13"/>
  <c r="W1871" i="13"/>
  <c r="W1875" i="13"/>
  <c r="W1879" i="13"/>
  <c r="W1883" i="13"/>
  <c r="W1887" i="13"/>
  <c r="W1891" i="13"/>
  <c r="W1895" i="13"/>
  <c r="W1899" i="13"/>
  <c r="W1903" i="13"/>
  <c r="W1907" i="13"/>
  <c r="W1911" i="13"/>
  <c r="W1915" i="13"/>
  <c r="W1919" i="13"/>
  <c r="W1923" i="13"/>
  <c r="W1927" i="13"/>
  <c r="W1931" i="13"/>
  <c r="W1935" i="13"/>
  <c r="W1939" i="13"/>
  <c r="W34" i="13"/>
  <c r="W111" i="13"/>
  <c r="W187" i="13"/>
  <c r="W262" i="13"/>
  <c r="W336" i="13"/>
  <c r="W394" i="13"/>
  <c r="W450" i="13"/>
  <c r="W507" i="13"/>
  <c r="W564" i="13"/>
  <c r="W620" i="13"/>
  <c r="W678" i="13"/>
  <c r="W715" i="13"/>
  <c r="W752" i="13"/>
  <c r="W782" i="13"/>
  <c r="W810" i="13"/>
  <c r="W838" i="13"/>
  <c r="W861" i="13"/>
  <c r="W882" i="13"/>
  <c r="W904" i="13"/>
  <c r="W925" i="13"/>
  <c r="W946" i="13"/>
  <c r="W968" i="13"/>
  <c r="W989" i="13"/>
  <c r="W1010" i="13"/>
  <c r="W1032" i="13"/>
  <c r="W1053" i="13"/>
  <c r="W1074" i="13"/>
  <c r="W1096" i="13"/>
  <c r="W1117" i="13"/>
  <c r="W1138" i="13"/>
  <c r="W1157" i="13"/>
  <c r="W1170" i="13"/>
  <c r="W1186" i="13"/>
  <c r="W1200" i="13"/>
  <c r="W1213" i="13"/>
  <c r="W1229" i="13"/>
  <c r="W1242" i="13"/>
  <c r="W1256" i="13"/>
  <c r="W1272" i="13"/>
  <c r="W1285" i="13"/>
  <c r="W1298" i="13"/>
  <c r="W1314" i="13"/>
  <c r="W1328" i="13"/>
  <c r="W1341" i="13"/>
  <c r="W1357" i="13"/>
  <c r="W1370" i="13"/>
  <c r="W1381" i="13"/>
  <c r="W1392" i="13"/>
  <c r="W1401" i="13"/>
  <c r="W1408" i="13"/>
  <c r="W1416" i="13"/>
  <c r="W1421" i="13"/>
  <c r="W1426" i="13"/>
  <c r="W1432" i="13"/>
  <c r="W1437" i="13"/>
  <c r="W1442" i="13"/>
  <c r="W1448" i="13"/>
  <c r="W1453" i="13"/>
  <c r="W1458" i="13"/>
  <c r="W1464" i="13"/>
  <c r="W1469" i="13"/>
  <c r="W1474" i="13"/>
  <c r="W1480" i="13"/>
  <c r="W1485" i="13"/>
  <c r="W1490" i="13"/>
  <c r="W1496" i="13"/>
  <c r="W1501" i="13"/>
  <c r="W1506" i="13"/>
  <c r="W1512" i="13"/>
  <c r="W1517" i="13"/>
  <c r="W1522" i="13"/>
  <c r="W1528" i="13"/>
  <c r="W1533" i="13"/>
  <c r="W1538" i="13"/>
  <c r="W1544" i="13"/>
  <c r="W1549" i="13"/>
  <c r="W1554" i="13"/>
  <c r="W1560" i="13"/>
  <c r="W1565" i="13"/>
  <c r="W1570" i="13"/>
  <c r="W1576" i="13"/>
  <c r="W1581" i="13"/>
  <c r="W1586" i="13"/>
  <c r="W1592" i="13"/>
  <c r="W1597" i="13"/>
  <c r="W1602" i="13"/>
  <c r="W1608" i="13"/>
  <c r="W1612" i="13"/>
  <c r="W1616" i="13"/>
  <c r="W1620" i="13"/>
  <c r="W1624" i="13"/>
  <c r="W1628" i="13"/>
  <c r="W1632" i="13"/>
  <c r="W1636" i="13"/>
  <c r="W1640" i="13"/>
  <c r="W1644" i="13"/>
  <c r="W1648" i="13"/>
  <c r="W1652" i="13"/>
  <c r="W1656" i="13"/>
  <c r="W1660" i="13"/>
  <c r="W1664" i="13"/>
  <c r="W1668" i="13"/>
  <c r="W1672" i="13"/>
  <c r="W1676" i="13"/>
  <c r="W1680" i="13"/>
  <c r="W1684" i="13"/>
  <c r="W1688" i="13"/>
  <c r="W1692" i="13"/>
  <c r="W1696" i="13"/>
  <c r="W1700" i="13"/>
  <c r="W1704" i="13"/>
  <c r="W1708" i="13"/>
  <c r="W1712" i="13"/>
  <c r="W1716" i="13"/>
  <c r="W1720" i="13"/>
  <c r="W1724" i="13"/>
  <c r="W1728" i="13"/>
  <c r="W1732" i="13"/>
  <c r="W1736" i="13"/>
  <c r="W1740" i="13"/>
  <c r="W1744" i="13"/>
  <c r="W1748" i="13"/>
  <c r="W1752" i="13"/>
  <c r="W63" i="13"/>
  <c r="W215" i="13"/>
  <c r="W358" i="13"/>
  <c r="W471" i="13"/>
  <c r="W586" i="13"/>
  <c r="W692" i="13"/>
  <c r="W764" i="13"/>
  <c r="W821" i="13"/>
  <c r="W869" i="13"/>
  <c r="W912" i="13"/>
  <c r="W954" i="13"/>
  <c r="W997" i="13"/>
  <c r="W1040" i="13"/>
  <c r="W1082" i="13"/>
  <c r="W1125" i="13"/>
  <c r="W1160" i="13"/>
  <c r="W1189" i="13"/>
  <c r="W1218" i="13"/>
  <c r="W1245" i="13"/>
  <c r="W1274" i="13"/>
  <c r="W1304" i="13"/>
  <c r="W1330" i="13"/>
  <c r="W1360" i="13"/>
  <c r="W1385" i="13"/>
  <c r="W1402" i="13"/>
  <c r="W1417" i="13"/>
  <c r="W1428" i="13"/>
  <c r="W1438" i="13"/>
  <c r="W1449" i="13"/>
  <c r="W1460" i="13"/>
  <c r="W1470" i="13"/>
  <c r="W1481" i="13"/>
  <c r="W1492" i="13"/>
  <c r="W1502" i="13"/>
  <c r="W1513" i="13"/>
  <c r="W1524" i="13"/>
  <c r="W1534" i="13"/>
  <c r="W1545" i="13"/>
  <c r="W1556" i="13"/>
  <c r="W1566" i="13"/>
  <c r="W1577" i="13"/>
  <c r="W1588" i="13"/>
  <c r="W1598" i="13"/>
  <c r="W1609" i="13"/>
  <c r="W1617" i="13"/>
  <c r="W1625" i="13"/>
  <c r="W1633" i="13"/>
  <c r="W1641" i="13"/>
  <c r="W1649" i="13"/>
  <c r="W1657" i="13"/>
  <c r="W1665" i="13"/>
  <c r="W1673" i="13"/>
  <c r="W1681" i="13"/>
  <c r="W1689" i="13"/>
  <c r="W1697" i="13"/>
  <c r="W1705" i="13"/>
  <c r="W1713" i="13"/>
  <c r="W1721" i="13"/>
  <c r="W1729" i="13"/>
  <c r="W1737" i="13"/>
  <c r="W1745" i="13"/>
  <c r="W1753" i="13"/>
  <c r="W1758" i="13"/>
  <c r="W1764" i="13"/>
  <c r="W1769" i="13"/>
  <c r="W1774" i="13"/>
  <c r="W1780" i="13"/>
  <c r="W1785" i="13"/>
  <c r="W1790" i="13"/>
  <c r="W1796" i="13"/>
  <c r="W1801" i="13"/>
  <c r="W1806" i="13"/>
  <c r="W1812" i="13"/>
  <c r="W1817" i="13"/>
  <c r="W1822" i="13"/>
  <c r="W1828" i="13"/>
  <c r="W1833" i="13"/>
  <c r="W1838" i="13"/>
  <c r="W1844" i="13"/>
  <c r="W1849" i="13"/>
  <c r="W1854" i="13"/>
  <c r="W1860" i="13"/>
  <c r="W1865" i="13"/>
  <c r="W1870" i="13"/>
  <c r="W1876" i="13"/>
  <c r="W1881" i="13"/>
  <c r="W1886" i="13"/>
  <c r="W1892" i="13"/>
  <c r="W1897" i="13"/>
  <c r="W1902" i="13"/>
  <c r="W1908" i="13"/>
  <c r="W1913" i="13"/>
  <c r="W1918" i="13"/>
  <c r="W1924" i="13"/>
  <c r="W1929" i="13"/>
  <c r="W1934" i="13"/>
  <c r="W1940" i="13"/>
  <c r="W1944" i="13"/>
  <c r="W1948" i="13"/>
  <c r="W1952" i="13"/>
  <c r="W1956" i="13"/>
  <c r="W1960" i="13"/>
  <c r="W1964" i="13"/>
  <c r="W1968" i="13"/>
  <c r="W1972" i="13"/>
  <c r="W1976" i="13"/>
  <c r="W1980" i="13"/>
  <c r="W1984" i="13"/>
  <c r="W1988" i="13"/>
  <c r="W1992" i="13"/>
  <c r="W1996" i="13"/>
  <c r="W2000" i="13"/>
  <c r="W2004" i="13"/>
  <c r="W2008" i="13"/>
  <c r="W2012" i="13"/>
  <c r="W2016" i="13"/>
  <c r="W2020" i="13"/>
  <c r="W2024" i="13"/>
  <c r="W2028" i="13"/>
  <c r="W2032" i="13"/>
  <c r="W2036" i="13"/>
  <c r="W2040" i="13"/>
  <c r="W2044" i="13"/>
  <c r="W2048" i="13"/>
  <c r="W2052" i="13"/>
  <c r="W2056" i="13"/>
  <c r="W2060" i="13"/>
  <c r="W2064" i="13"/>
  <c r="W2068" i="13"/>
  <c r="W2072" i="13"/>
  <c r="W2076" i="13"/>
  <c r="W2080" i="13"/>
  <c r="W2084" i="13"/>
  <c r="W2088" i="13"/>
  <c r="W2092" i="13"/>
  <c r="W2096" i="13"/>
  <c r="W2100" i="13"/>
  <c r="W2104" i="13"/>
  <c r="W2108" i="13"/>
  <c r="W2112" i="13"/>
  <c r="W2116" i="13"/>
  <c r="W2120" i="13"/>
  <c r="W2124" i="13"/>
  <c r="W2128" i="13"/>
  <c r="W2132" i="13"/>
  <c r="W2136" i="13"/>
  <c r="W2140" i="13"/>
  <c r="W2144" i="13"/>
  <c r="W2148" i="13"/>
  <c r="W2152" i="13"/>
  <c r="W2156" i="13"/>
  <c r="W2160" i="13"/>
  <c r="W2164" i="13"/>
  <c r="W2168" i="13"/>
  <c r="W2172" i="13"/>
  <c r="W2176" i="13"/>
  <c r="W2180" i="13"/>
  <c r="W2184" i="13"/>
  <c r="W2188" i="13"/>
  <c r="W2192" i="13"/>
  <c r="W2196" i="13"/>
  <c r="W2200" i="13"/>
  <c r="W2204" i="13"/>
  <c r="W2208" i="13"/>
  <c r="W2212" i="13"/>
  <c r="W2216" i="13"/>
  <c r="W2220" i="13"/>
  <c r="W2224" i="13"/>
  <c r="W2228" i="13"/>
  <c r="W2232" i="13"/>
  <c r="W2236" i="13"/>
  <c r="W2240" i="13"/>
  <c r="W2244" i="13"/>
  <c r="W2248" i="13"/>
  <c r="W2252" i="13"/>
  <c r="W2256" i="13"/>
  <c r="W2260" i="13"/>
  <c r="W2264" i="13"/>
  <c r="W2268" i="13"/>
  <c r="W2272" i="13"/>
  <c r="W2276" i="13"/>
  <c r="W2280" i="13"/>
  <c r="W2284" i="13"/>
  <c r="W2288" i="13"/>
  <c r="W2292" i="13"/>
  <c r="W2296" i="13"/>
  <c r="W2300" i="13"/>
  <c r="W2304" i="13"/>
  <c r="W2308" i="13"/>
  <c r="W2312" i="13"/>
  <c r="W2316" i="13"/>
  <c r="W2320" i="13"/>
  <c r="W2324" i="13"/>
  <c r="W2328" i="13"/>
  <c r="W2332" i="13"/>
  <c r="W2336" i="13"/>
  <c r="W2340" i="13"/>
  <c r="W2344" i="13"/>
  <c r="W2348" i="13"/>
  <c r="W2352" i="13"/>
  <c r="W2356" i="13"/>
  <c r="W2360" i="13"/>
  <c r="W2364" i="13"/>
  <c r="W2368" i="13"/>
  <c r="W2372" i="13"/>
  <c r="W2376" i="13"/>
  <c r="W2380" i="13"/>
  <c r="W2384" i="13"/>
  <c r="W2388" i="13"/>
  <c r="W2392" i="13"/>
  <c r="W2396" i="13"/>
  <c r="W2400" i="13"/>
  <c r="W2404" i="13"/>
  <c r="W2408" i="13"/>
  <c r="W2412" i="13"/>
  <c r="W2416" i="13"/>
  <c r="W2420" i="13"/>
  <c r="W2424" i="13"/>
  <c r="W2428" i="13"/>
  <c r="W2432" i="13"/>
  <c r="W2436" i="13"/>
  <c r="W2440" i="13"/>
  <c r="W2444" i="13"/>
  <c r="W2448" i="13"/>
  <c r="W2452" i="13"/>
  <c r="W2456" i="13"/>
  <c r="W2460" i="13"/>
  <c r="W2464" i="13"/>
  <c r="W2468" i="13"/>
  <c r="W2472" i="13"/>
  <c r="W2476" i="13"/>
  <c r="W2480" i="13"/>
  <c r="W2484" i="13"/>
  <c r="W2488" i="13"/>
  <c r="W2492" i="13"/>
  <c r="W2496" i="13"/>
  <c r="W2500" i="13"/>
  <c r="W2504" i="13"/>
  <c r="W2508" i="13"/>
  <c r="W2512" i="13"/>
  <c r="W2516" i="13"/>
  <c r="W2520" i="13"/>
  <c r="W2524" i="13"/>
  <c r="W2528" i="13"/>
  <c r="W2532" i="13"/>
  <c r="W2536" i="13"/>
  <c r="W2540" i="13"/>
  <c r="W2544" i="13"/>
  <c r="W2548" i="13"/>
  <c r="W2552" i="13"/>
  <c r="W2556" i="13"/>
  <c r="W2560" i="13"/>
  <c r="W2564" i="13"/>
  <c r="W2568" i="13"/>
  <c r="W2572" i="13"/>
  <c r="W2576" i="13"/>
  <c r="W2580" i="13"/>
  <c r="W2584" i="13"/>
  <c r="W2588" i="13"/>
  <c r="W2592" i="13"/>
  <c r="W2596" i="13"/>
  <c r="W2600" i="13"/>
  <c r="W2604" i="13"/>
  <c r="W2608" i="13"/>
  <c r="W2612" i="13"/>
  <c r="W2616" i="13"/>
  <c r="W2620" i="13"/>
  <c r="W2624" i="13"/>
  <c r="W2628" i="13"/>
  <c r="W2632" i="13"/>
  <c r="W2636" i="13"/>
  <c r="W2640" i="13"/>
  <c r="W2644" i="13"/>
  <c r="W2648" i="13"/>
  <c r="W2652" i="13"/>
  <c r="W2656" i="13"/>
  <c r="W2660" i="13"/>
  <c r="W2664" i="13"/>
  <c r="W2668" i="13"/>
  <c r="W2672" i="13"/>
  <c r="W2676" i="13"/>
  <c r="W2680" i="13"/>
  <c r="W2684" i="13"/>
  <c r="W2688" i="13"/>
  <c r="W2692" i="13"/>
  <c r="W2696" i="13"/>
  <c r="W2700" i="13"/>
  <c r="W2704" i="13"/>
  <c r="W2708" i="13"/>
  <c r="W2712" i="13"/>
  <c r="W2716" i="13"/>
  <c r="W2720" i="13"/>
  <c r="W2724" i="13"/>
  <c r="W2728" i="13"/>
  <c r="W74" i="13"/>
  <c r="W225" i="13"/>
  <c r="W364" i="13"/>
  <c r="W479" i="13"/>
  <c r="W592" i="13"/>
  <c r="W695" i="13"/>
  <c r="W768" i="13"/>
  <c r="W825" i="13"/>
  <c r="W872" i="13"/>
  <c r="W914" i="13"/>
  <c r="W957" i="13"/>
  <c r="W1000" i="13"/>
  <c r="W1042" i="13"/>
  <c r="W1085" i="13"/>
  <c r="W1128" i="13"/>
  <c r="W1165" i="13"/>
  <c r="W1192" i="13"/>
  <c r="W1221" i="13"/>
  <c r="W1250" i="13"/>
  <c r="W1277" i="13"/>
  <c r="W1306" i="13"/>
  <c r="W1336" i="13"/>
  <c r="W1362" i="13"/>
  <c r="W1386" i="13"/>
  <c r="W1405" i="13"/>
  <c r="W1418" i="13"/>
  <c r="W1429" i="13"/>
  <c r="W1440" i="13"/>
  <c r="W1450" i="13"/>
  <c r="W1461" i="13"/>
  <c r="W1472" i="13"/>
  <c r="W1482" i="13"/>
  <c r="W1493" i="13"/>
  <c r="W1504" i="13"/>
  <c r="W1514" i="13"/>
  <c r="W1525" i="13"/>
  <c r="W1536" i="13"/>
  <c r="W1546" i="13"/>
  <c r="W1557" i="13"/>
  <c r="W1568" i="13"/>
  <c r="W1578" i="13"/>
  <c r="W1589" i="13"/>
  <c r="W1600" i="13"/>
  <c r="W1610" i="13"/>
  <c r="W1618" i="13"/>
  <c r="W1626" i="13"/>
  <c r="W1634" i="13"/>
  <c r="W1642" i="13"/>
  <c r="W1650" i="13"/>
  <c r="W1658" i="13"/>
  <c r="W1666" i="13"/>
  <c r="W1674" i="13"/>
  <c r="W1682" i="13"/>
  <c r="W1690" i="13"/>
  <c r="W1698" i="13"/>
  <c r="W1706" i="13"/>
  <c r="W1714" i="13"/>
  <c r="W1722" i="13"/>
  <c r="W1730" i="13"/>
  <c r="W1738" i="13"/>
  <c r="W1746" i="13"/>
  <c r="W1754" i="13"/>
  <c r="W1760" i="13"/>
  <c r="W1765" i="13"/>
  <c r="W1770" i="13"/>
  <c r="W1776" i="13"/>
  <c r="W1781" i="13"/>
  <c r="W1786" i="13"/>
  <c r="W1792" i="13"/>
  <c r="W1797" i="13"/>
  <c r="W1802" i="13"/>
  <c r="W1808" i="13"/>
  <c r="W1813" i="13"/>
  <c r="W1818" i="13"/>
  <c r="W1824" i="13"/>
  <c r="W1829" i="13"/>
  <c r="W1834" i="13"/>
  <c r="W1840" i="13"/>
  <c r="W1845" i="13"/>
  <c r="W1850" i="13"/>
  <c r="W1856" i="13"/>
  <c r="W1861" i="13"/>
  <c r="W1866" i="13"/>
  <c r="W1872" i="13"/>
  <c r="W1877" i="13"/>
  <c r="W1882" i="13"/>
  <c r="W1888" i="13"/>
  <c r="W1893" i="13"/>
  <c r="W1898" i="13"/>
  <c r="W1904" i="13"/>
  <c r="W1909" i="13"/>
  <c r="W1914" i="13"/>
  <c r="W1920" i="13"/>
  <c r="W1925" i="13"/>
  <c r="W1930" i="13"/>
  <c r="W1936" i="13"/>
  <c r="W1941" i="13"/>
  <c r="W1945" i="13"/>
  <c r="W1949" i="13"/>
  <c r="W1953" i="13"/>
  <c r="W1957" i="13"/>
  <c r="W1961" i="13"/>
  <c r="W1965" i="13"/>
  <c r="W1969" i="13"/>
  <c r="W1973" i="13"/>
  <c r="W1977" i="13"/>
  <c r="W1981" i="13"/>
  <c r="W1985" i="13"/>
  <c r="W1989" i="13"/>
  <c r="W1993" i="13"/>
  <c r="W1997" i="13"/>
  <c r="W2001" i="13"/>
  <c r="W2005" i="13"/>
  <c r="W2009" i="13"/>
  <c r="W2013" i="13"/>
  <c r="W2017" i="13"/>
  <c r="W2021" i="13"/>
  <c r="W2025" i="13"/>
  <c r="W2029" i="13"/>
  <c r="W2033" i="13"/>
  <c r="W2037" i="13"/>
  <c r="W2041" i="13"/>
  <c r="W2045" i="13"/>
  <c r="W2049" i="13"/>
  <c r="W2053" i="13"/>
  <c r="W2057" i="13"/>
  <c r="W2061" i="13"/>
  <c r="W2065" i="13"/>
  <c r="W2069" i="13"/>
  <c r="W2073" i="13"/>
  <c r="W2077" i="13"/>
  <c r="W2081" i="13"/>
  <c r="W2085" i="13"/>
  <c r="W2089" i="13"/>
  <c r="W2093" i="13"/>
  <c r="W2097" i="13"/>
  <c r="W2101" i="13"/>
  <c r="W2105" i="13"/>
  <c r="W2109" i="13"/>
  <c r="W2113" i="13"/>
  <c r="W2117" i="13"/>
  <c r="W2121" i="13"/>
  <c r="W2125" i="13"/>
  <c r="W2129" i="13"/>
  <c r="W2133" i="13"/>
  <c r="W2137" i="13"/>
  <c r="W2141" i="13"/>
  <c r="W2145" i="13"/>
  <c r="W2149" i="13"/>
  <c r="W2153" i="13"/>
  <c r="W2157" i="13"/>
  <c r="W2161" i="13"/>
  <c r="W2165" i="13"/>
  <c r="W2169" i="13"/>
  <c r="W2173" i="13"/>
  <c r="W2177" i="13"/>
  <c r="W2181" i="13"/>
  <c r="W2185" i="13"/>
  <c r="W2189" i="13"/>
  <c r="W2193" i="13"/>
  <c r="W2197" i="13"/>
  <c r="W2201" i="13"/>
  <c r="W2205" i="13"/>
  <c r="W2209" i="13"/>
  <c r="W2213" i="13"/>
  <c r="W2217" i="13"/>
  <c r="W2221" i="13"/>
  <c r="W2225" i="13"/>
  <c r="W2229" i="13"/>
  <c r="W2233" i="13"/>
  <c r="W2237" i="13"/>
  <c r="W2241" i="13"/>
  <c r="W2245" i="13"/>
  <c r="W2249" i="13"/>
  <c r="W2253" i="13"/>
  <c r="W2257" i="13"/>
  <c r="W2261" i="13"/>
  <c r="W2265" i="13"/>
  <c r="W2269" i="13"/>
  <c r="W2273" i="13"/>
  <c r="W2277" i="13"/>
  <c r="W2281" i="13"/>
  <c r="W2285" i="13"/>
  <c r="W2289" i="13"/>
  <c r="W2293" i="13"/>
  <c r="W2297" i="13"/>
  <c r="W2301" i="13"/>
  <c r="W2305" i="13"/>
  <c r="W2309" i="13"/>
  <c r="W2313" i="13"/>
  <c r="W2317" i="13"/>
  <c r="W2321" i="13"/>
  <c r="W2325" i="13"/>
  <c r="W2329" i="13"/>
  <c r="W2333" i="13"/>
  <c r="W2337" i="13"/>
  <c r="W2341" i="13"/>
  <c r="W2345" i="13"/>
  <c r="W2349" i="13"/>
  <c r="W2353" i="13"/>
  <c r="W2357" i="13"/>
  <c r="W2361" i="13"/>
  <c r="W2365" i="13"/>
  <c r="W2369" i="13"/>
  <c r="W2373" i="13"/>
  <c r="W2377" i="13"/>
  <c r="W2381" i="13"/>
  <c r="W2385" i="13"/>
  <c r="W2389" i="13"/>
  <c r="W2393" i="13"/>
  <c r="W2397" i="13"/>
  <c r="W2401" i="13"/>
  <c r="W2405" i="13"/>
  <c r="W2409" i="13"/>
  <c r="W2413" i="13"/>
  <c r="W2417" i="13"/>
  <c r="W2421" i="13"/>
  <c r="W2425" i="13"/>
  <c r="W2429" i="13"/>
  <c r="W2433" i="13"/>
  <c r="W2437" i="13"/>
  <c r="W2441" i="13"/>
  <c r="W2445" i="13"/>
  <c r="W2449" i="13"/>
  <c r="W2453" i="13"/>
  <c r="W2457" i="13"/>
  <c r="W2461" i="13"/>
  <c r="W2465" i="13"/>
  <c r="W2469" i="13"/>
  <c r="W2473" i="13"/>
  <c r="W2477" i="13"/>
  <c r="W2481" i="13"/>
  <c r="W2485" i="13"/>
  <c r="W2489" i="13"/>
  <c r="W2493" i="13"/>
  <c r="W2497" i="13"/>
  <c r="W2501" i="13"/>
  <c r="W2505" i="13"/>
  <c r="W2509" i="13"/>
  <c r="W2513" i="13"/>
  <c r="W2517" i="13"/>
  <c r="W2521" i="13"/>
  <c r="W2525" i="13"/>
  <c r="W2529" i="13"/>
  <c r="W2533" i="13"/>
  <c r="W2537" i="13"/>
  <c r="W2541" i="13"/>
  <c r="W2545" i="13"/>
  <c r="W2549" i="13"/>
  <c r="W2553" i="13"/>
  <c r="W2557" i="13"/>
  <c r="W2561" i="13"/>
  <c r="W2565" i="13"/>
  <c r="W2569" i="13"/>
  <c r="W2573" i="13"/>
  <c r="W2577" i="13"/>
  <c r="W2581" i="13"/>
  <c r="W2585" i="13"/>
  <c r="W2589" i="13"/>
  <c r="W2593" i="13"/>
  <c r="W2597" i="13"/>
  <c r="W2601" i="13"/>
  <c r="W2605" i="13"/>
  <c r="W2609" i="13"/>
  <c r="W2613" i="13"/>
  <c r="W2617" i="13"/>
  <c r="W2621" i="13"/>
  <c r="W2625" i="13"/>
  <c r="W2629" i="13"/>
  <c r="W2633" i="13"/>
  <c r="W2637" i="13"/>
  <c r="W2641" i="13"/>
  <c r="W2645" i="13"/>
  <c r="W2649" i="13"/>
  <c r="W2653" i="13"/>
  <c r="W2657" i="13"/>
  <c r="W2661" i="13"/>
  <c r="W2665" i="13"/>
  <c r="W2669" i="13"/>
  <c r="W2673" i="13"/>
  <c r="W2677" i="13"/>
  <c r="W2681" i="13"/>
  <c r="W2685" i="13"/>
  <c r="W2689" i="13"/>
  <c r="W2693" i="13"/>
  <c r="W2697" i="13"/>
  <c r="W2701" i="13"/>
  <c r="W2705" i="13"/>
  <c r="W2709" i="13"/>
  <c r="W2713" i="13"/>
  <c r="W2717" i="13"/>
  <c r="W2721" i="13"/>
  <c r="W2725" i="13"/>
  <c r="W2729" i="13"/>
  <c r="W139" i="13"/>
  <c r="W415" i="13"/>
  <c r="W642" i="13"/>
  <c r="W793" i="13"/>
  <c r="W890" i="13"/>
  <c r="W976" i="13"/>
  <c r="W1061" i="13"/>
  <c r="W1146" i="13"/>
  <c r="W1202" i="13"/>
  <c r="W1261" i="13"/>
  <c r="W1317" i="13"/>
  <c r="W1373" i="13"/>
  <c r="W1410" i="13"/>
  <c r="W1433" i="13"/>
  <c r="W1454" i="13"/>
  <c r="W1476" i="13"/>
  <c r="W1497" i="13"/>
  <c r="W1518" i="13"/>
  <c r="W1540" i="13"/>
  <c r="W1561" i="13"/>
  <c r="W1582" i="13"/>
  <c r="W1604" i="13"/>
  <c r="W1621" i="13"/>
  <c r="W1637" i="13"/>
  <c r="W1653" i="13"/>
  <c r="W1669" i="13"/>
  <c r="W1685" i="13"/>
  <c r="W1701" i="13"/>
  <c r="W1717" i="13"/>
  <c r="W1733" i="13"/>
  <c r="W1749" i="13"/>
  <c r="W1761" i="13"/>
  <c r="W1772" i="13"/>
  <c r="W1782" i="13"/>
  <c r="W1793" i="13"/>
  <c r="W1804" i="13"/>
  <c r="W1814" i="13"/>
  <c r="W1825" i="13"/>
  <c r="W1836" i="13"/>
  <c r="W1846" i="13"/>
  <c r="W1857" i="13"/>
  <c r="W1868" i="13"/>
  <c r="W1878" i="13"/>
  <c r="W1889" i="13"/>
  <c r="W1900" i="13"/>
  <c r="W1910" i="13"/>
  <c r="W1921" i="13"/>
  <c r="W1932" i="13"/>
  <c r="W1942" i="13"/>
  <c r="W1950" i="13"/>
  <c r="W1958" i="13"/>
  <c r="W1966" i="13"/>
  <c r="W1974" i="13"/>
  <c r="W1982" i="13"/>
  <c r="W1990" i="13"/>
  <c r="W1998" i="13"/>
  <c r="W2006" i="13"/>
  <c r="W2014" i="13"/>
  <c r="W2022" i="13"/>
  <c r="W2030" i="13"/>
  <c r="W2038" i="13"/>
  <c r="W2046" i="13"/>
  <c r="W2054" i="13"/>
  <c r="W2062" i="13"/>
  <c r="W2070" i="13"/>
  <c r="W2078" i="13"/>
  <c r="W2086" i="13"/>
  <c r="W2094" i="13"/>
  <c r="W2102" i="13"/>
  <c r="W2110" i="13"/>
  <c r="W2118" i="13"/>
  <c r="W2126" i="13"/>
  <c r="W2134" i="13"/>
  <c r="W2142" i="13"/>
  <c r="W2150" i="13"/>
  <c r="W2158" i="13"/>
  <c r="W2166" i="13"/>
  <c r="W2174" i="13"/>
  <c r="W2182" i="13"/>
  <c r="W2190" i="13"/>
  <c r="W2198" i="13"/>
  <c r="W2206" i="13"/>
  <c r="W2214" i="13"/>
  <c r="W2222" i="13"/>
  <c r="W2230" i="13"/>
  <c r="W2238" i="13"/>
  <c r="W2246" i="13"/>
  <c r="W2254" i="13"/>
  <c r="W2262" i="13"/>
  <c r="W2270" i="13"/>
  <c r="W2278" i="13"/>
  <c r="W2286" i="13"/>
  <c r="W2294" i="13"/>
  <c r="W2302" i="13"/>
  <c r="W2310" i="13"/>
  <c r="W2318" i="13"/>
  <c r="W2326" i="13"/>
  <c r="W2334" i="13"/>
  <c r="W2342" i="13"/>
  <c r="W2350" i="13"/>
  <c r="W2358" i="13"/>
  <c r="W2366" i="13"/>
  <c r="W2374" i="13"/>
  <c r="W2382" i="13"/>
  <c r="W2390" i="13"/>
  <c r="W2398" i="13"/>
  <c r="W2406" i="13"/>
  <c r="W2414" i="13"/>
  <c r="W2422" i="13"/>
  <c r="W2430" i="13"/>
  <c r="W2438" i="13"/>
  <c r="W2446" i="13"/>
  <c r="W2454" i="13"/>
  <c r="W2462" i="13"/>
  <c r="W2470" i="13"/>
  <c r="W2478" i="13"/>
  <c r="W2486" i="13"/>
  <c r="W2494" i="13"/>
  <c r="W2502" i="13"/>
  <c r="W2510" i="13"/>
  <c r="W2518" i="13"/>
  <c r="W2526" i="13"/>
  <c r="W2534" i="13"/>
  <c r="W2542" i="13"/>
  <c r="W2550" i="13"/>
  <c r="W2558" i="13"/>
  <c r="W2566" i="13"/>
  <c r="W2574" i="13"/>
  <c r="W2582" i="13"/>
  <c r="W2590" i="13"/>
  <c r="W2598" i="13"/>
  <c r="W2606" i="13"/>
  <c r="W2614" i="13"/>
  <c r="W2622" i="13"/>
  <c r="W2630" i="13"/>
  <c r="W2638" i="13"/>
  <c r="W2646" i="13"/>
  <c r="W2654" i="13"/>
  <c r="W2662" i="13"/>
  <c r="W2670" i="13"/>
  <c r="W2678" i="13"/>
  <c r="W2686" i="13"/>
  <c r="W2694" i="13"/>
  <c r="W2702" i="13"/>
  <c r="W2710" i="13"/>
  <c r="W2718" i="13"/>
  <c r="W2726" i="13"/>
  <c r="W149" i="13"/>
  <c r="W422" i="13"/>
  <c r="W650" i="13"/>
  <c r="W796" i="13"/>
  <c r="W893" i="13"/>
  <c r="W978" i="13"/>
  <c r="W1064" i="13"/>
  <c r="W1149" i="13"/>
  <c r="W1208" i="13"/>
  <c r="W1264" i="13"/>
  <c r="W1320" i="13"/>
  <c r="W1378" i="13"/>
  <c r="W1412" i="13"/>
  <c r="W1434" i="13"/>
  <c r="W1456" i="13"/>
  <c r="W1477" i="13"/>
  <c r="W1498" i="13"/>
  <c r="W1520" i="13"/>
  <c r="W1541" i="13"/>
  <c r="W1562" i="13"/>
  <c r="W1584" i="13"/>
  <c r="W1605" i="13"/>
  <c r="W1622" i="13"/>
  <c r="W1638" i="13"/>
  <c r="W1654" i="13"/>
  <c r="W1670" i="13"/>
  <c r="W1686" i="13"/>
  <c r="W1702" i="13"/>
  <c r="W1718" i="13"/>
  <c r="W1734" i="13"/>
  <c r="W1750" i="13"/>
  <c r="W1762" i="13"/>
  <c r="W1773" i="13"/>
  <c r="W1784" i="13"/>
  <c r="W1794" i="13"/>
  <c r="W1805" i="13"/>
  <c r="W1816" i="13"/>
  <c r="W1826" i="13"/>
  <c r="W1837" i="13"/>
  <c r="W1848" i="13"/>
  <c r="W1858" i="13"/>
  <c r="W1869" i="13"/>
  <c r="W1880" i="13"/>
  <c r="W1890" i="13"/>
  <c r="W1901" i="13"/>
  <c r="W1912" i="13"/>
  <c r="W1922" i="13"/>
  <c r="W1933" i="13"/>
  <c r="W1943" i="13"/>
  <c r="W1951" i="13"/>
  <c r="W1959" i="13"/>
  <c r="W1967" i="13"/>
  <c r="W1975" i="13"/>
  <c r="W1983" i="13"/>
  <c r="W1991" i="13"/>
  <c r="W1999" i="13"/>
  <c r="W2007" i="13"/>
  <c r="W2015" i="13"/>
  <c r="W2023" i="13"/>
  <c r="W2031" i="13"/>
  <c r="W2039" i="13"/>
  <c r="W2047" i="13"/>
  <c r="W2055" i="13"/>
  <c r="W2063" i="13"/>
  <c r="W2071" i="13"/>
  <c r="W2079" i="13"/>
  <c r="W2087" i="13"/>
  <c r="W2095" i="13"/>
  <c r="W2103" i="13"/>
  <c r="W2111" i="13"/>
  <c r="W2119" i="13"/>
  <c r="W2127" i="13"/>
  <c r="W2135" i="13"/>
  <c r="W2143" i="13"/>
  <c r="W2151" i="13"/>
  <c r="W2159" i="13"/>
  <c r="W2167" i="13"/>
  <c r="W2175" i="13"/>
  <c r="W2183" i="13"/>
  <c r="W2191" i="13"/>
  <c r="W2199" i="13"/>
  <c r="W2207" i="13"/>
  <c r="W2215" i="13"/>
  <c r="W2223" i="13"/>
  <c r="W2231" i="13"/>
  <c r="W2239" i="13"/>
  <c r="W2247" i="13"/>
  <c r="W2255" i="13"/>
  <c r="W2263" i="13"/>
  <c r="W2271" i="13"/>
  <c r="W2279" i="13"/>
  <c r="W2287" i="13"/>
  <c r="W2295" i="13"/>
  <c r="W2303" i="13"/>
  <c r="W2311" i="13"/>
  <c r="W2319" i="13"/>
  <c r="W2327" i="13"/>
  <c r="W2335" i="13"/>
  <c r="W2343" i="13"/>
  <c r="W2351" i="13"/>
  <c r="W2359" i="13"/>
  <c r="W2367" i="13"/>
  <c r="W2375" i="13"/>
  <c r="W2383" i="13"/>
  <c r="W2391" i="13"/>
  <c r="W2399" i="13"/>
  <c r="W2407" i="13"/>
  <c r="W2415" i="13"/>
  <c r="W2423" i="13"/>
  <c r="W2431" i="13"/>
  <c r="W2439" i="13"/>
  <c r="W2447" i="13"/>
  <c r="W2455" i="13"/>
  <c r="W2463" i="13"/>
  <c r="W2471" i="13"/>
  <c r="W2479" i="13"/>
  <c r="W2487" i="13"/>
  <c r="W2495" i="13"/>
  <c r="W2503" i="13"/>
  <c r="W2511" i="13"/>
  <c r="W2519" i="13"/>
  <c r="W2527" i="13"/>
  <c r="W2535" i="13"/>
  <c r="W2543" i="13"/>
  <c r="W2551" i="13"/>
  <c r="W2559" i="13"/>
  <c r="W2567" i="13"/>
  <c r="W2575" i="13"/>
  <c r="W2583" i="13"/>
  <c r="W2591" i="13"/>
  <c r="W2599" i="13"/>
  <c r="W2607" i="13"/>
  <c r="W2615" i="13"/>
  <c r="W2623" i="13"/>
  <c r="W2631" i="13"/>
  <c r="W2639" i="13"/>
  <c r="W2647" i="13"/>
  <c r="W2655" i="13"/>
  <c r="W2663" i="13"/>
  <c r="W2671" i="13"/>
  <c r="W2679" i="13"/>
  <c r="W2687" i="13"/>
  <c r="W2695" i="13"/>
  <c r="W2703" i="13"/>
  <c r="W2711" i="13"/>
  <c r="W2719" i="13"/>
  <c r="W2727" i="13"/>
  <c r="W290" i="13"/>
  <c r="W730" i="13"/>
  <c r="W933" i="13"/>
  <c r="W1104" i="13"/>
  <c r="W1232" i="13"/>
  <c r="W1346" i="13"/>
  <c r="W1422" i="13"/>
  <c r="W1465" i="13"/>
  <c r="W1508" i="13"/>
  <c r="W1550" i="13"/>
  <c r="W1593" i="13"/>
  <c r="W1629" i="13"/>
  <c r="W1661" i="13"/>
  <c r="W1693" i="13"/>
  <c r="W1725" i="13"/>
  <c r="W1756" i="13"/>
  <c r="W1777" i="13"/>
  <c r="W1798" i="13"/>
  <c r="W1820" i="13"/>
  <c r="W1841" i="13"/>
  <c r="W1862" i="13"/>
  <c r="W1884" i="13"/>
  <c r="W1905" i="13"/>
  <c r="W1926" i="13"/>
  <c r="W1946" i="13"/>
  <c r="W1962" i="13"/>
  <c r="W1978" i="13"/>
  <c r="W1994" i="13"/>
  <c r="W2010" i="13"/>
  <c r="W2026" i="13"/>
  <c r="W2042" i="13"/>
  <c r="W2058" i="13"/>
  <c r="W2074" i="13"/>
  <c r="W2090" i="13"/>
  <c r="W2106" i="13"/>
  <c r="W2122" i="13"/>
  <c r="W2138" i="13"/>
  <c r="W2154" i="13"/>
  <c r="W2170" i="13"/>
  <c r="W2186" i="13"/>
  <c r="W2202" i="13"/>
  <c r="W2218" i="13"/>
  <c r="W2234" i="13"/>
  <c r="W2250" i="13"/>
  <c r="W2266" i="13"/>
  <c r="W2282" i="13"/>
  <c r="W2298" i="13"/>
  <c r="W2314" i="13"/>
  <c r="W2330" i="13"/>
  <c r="W2346" i="13"/>
  <c r="W2362" i="13"/>
  <c r="W2378" i="13"/>
  <c r="W2394" i="13"/>
  <c r="W2410" i="13"/>
  <c r="W2426" i="13"/>
  <c r="W2442" i="13"/>
  <c r="W2458" i="13"/>
  <c r="W2474" i="13"/>
  <c r="W2490" i="13"/>
  <c r="W2506" i="13"/>
  <c r="W2522" i="13"/>
  <c r="W2538" i="13"/>
  <c r="W2554" i="13"/>
  <c r="W2570" i="13"/>
  <c r="W2586" i="13"/>
  <c r="W2602" i="13"/>
  <c r="W2618" i="13"/>
  <c r="W2634" i="13"/>
  <c r="W2650" i="13"/>
  <c r="W2666" i="13"/>
  <c r="W2682" i="13"/>
  <c r="W2698" i="13"/>
  <c r="W2714" i="13"/>
  <c r="W2730" i="13"/>
  <c r="W301" i="13"/>
  <c r="W735" i="13"/>
  <c r="W936" i="13"/>
  <c r="W1106" i="13"/>
  <c r="W1234" i="13"/>
  <c r="W1349" i="13"/>
  <c r="W1424" i="13"/>
  <c r="W1466" i="13"/>
  <c r="W1509" i="13"/>
  <c r="W1552" i="13"/>
  <c r="W1594" i="13"/>
  <c r="W1630" i="13"/>
  <c r="W1662" i="13"/>
  <c r="W1694" i="13"/>
  <c r="W1726" i="13"/>
  <c r="W1757" i="13"/>
  <c r="W1778" i="13"/>
  <c r="W1800" i="13"/>
  <c r="W1821" i="13"/>
  <c r="W1842" i="13"/>
  <c r="W1864" i="13"/>
  <c r="W1885" i="13"/>
  <c r="W1906" i="13"/>
  <c r="W1928" i="13"/>
  <c r="W1947" i="13"/>
  <c r="W1963" i="13"/>
  <c r="W1979" i="13"/>
  <c r="W1995" i="13"/>
  <c r="W2011" i="13"/>
  <c r="W2027" i="13"/>
  <c r="W2043" i="13"/>
  <c r="W2059" i="13"/>
  <c r="W2075" i="13"/>
  <c r="W2091" i="13"/>
  <c r="W2107" i="13"/>
  <c r="W2123" i="13"/>
  <c r="W2139" i="13"/>
  <c r="W2155" i="13"/>
  <c r="W2171" i="13"/>
  <c r="W2187" i="13"/>
  <c r="W2203" i="13"/>
  <c r="W2219" i="13"/>
  <c r="W2235" i="13"/>
  <c r="W2251" i="13"/>
  <c r="W2267" i="13"/>
  <c r="W2283" i="13"/>
  <c r="W2299" i="13"/>
  <c r="W2315" i="13"/>
  <c r="W2331" i="13"/>
  <c r="W2347" i="13"/>
  <c r="W2363" i="13"/>
  <c r="W2379" i="13"/>
  <c r="W2395" i="13"/>
  <c r="W2411" i="13"/>
  <c r="W2427" i="13"/>
  <c r="W2443" i="13"/>
  <c r="W2459" i="13"/>
  <c r="W2475" i="13"/>
  <c r="W2491" i="13"/>
  <c r="W2507" i="13"/>
  <c r="W2523" i="13"/>
  <c r="W2539" i="13"/>
  <c r="W2555" i="13"/>
  <c r="W2571" i="13"/>
  <c r="W2587" i="13"/>
  <c r="W2603" i="13"/>
  <c r="W2619" i="13"/>
  <c r="W2635" i="13"/>
  <c r="W2651" i="13"/>
  <c r="W2667" i="13"/>
  <c r="W2683" i="13"/>
  <c r="W2699" i="13"/>
  <c r="W2715" i="13"/>
  <c r="W535" i="13"/>
  <c r="W1021" i="13"/>
  <c r="W1293" i="13"/>
  <c r="W1445" i="13"/>
  <c r="W1530" i="13"/>
  <c r="W1614" i="13"/>
  <c r="W1678" i="13"/>
  <c r="W1742" i="13"/>
  <c r="W1789" i="13"/>
  <c r="W1832" i="13"/>
  <c r="W1874" i="13"/>
  <c r="W1917" i="13"/>
  <c r="W1955" i="13"/>
  <c r="W1987" i="13"/>
  <c r="W2019" i="13"/>
  <c r="W2051" i="13"/>
  <c r="W2083" i="13"/>
  <c r="W2115" i="13"/>
  <c r="W2147" i="13"/>
  <c r="W2179" i="13"/>
  <c r="W2211" i="13"/>
  <c r="W2243" i="13"/>
  <c r="W2275" i="13"/>
  <c r="W2307" i="13"/>
  <c r="W2339" i="13"/>
  <c r="W2371" i="13"/>
  <c r="W2403" i="13"/>
  <c r="W2435" i="13"/>
  <c r="W2467" i="13"/>
  <c r="W2499" i="13"/>
  <c r="W2531" i="13"/>
  <c r="W2563" i="13"/>
  <c r="W2595" i="13"/>
  <c r="W2627" i="13"/>
  <c r="W2659" i="13"/>
  <c r="W2691" i="13"/>
  <c r="W2723" i="13"/>
  <c r="W848" i="13"/>
  <c r="W1176" i="13"/>
  <c r="W1394" i="13"/>
  <c r="W1486" i="13"/>
  <c r="W1572" i="13"/>
  <c r="W1645" i="13"/>
  <c r="W1709" i="13"/>
  <c r="W1766" i="13"/>
  <c r="W1809" i="13"/>
  <c r="W1852" i="13"/>
  <c r="W1894" i="13"/>
  <c r="W1937" i="13"/>
  <c r="W1970" i="13"/>
  <c r="W2002" i="13"/>
  <c r="W2034" i="13"/>
  <c r="W2066" i="13"/>
  <c r="W2098" i="13"/>
  <c r="W2130" i="13"/>
  <c r="W2162" i="13"/>
  <c r="W2194" i="13"/>
  <c r="W2226" i="13"/>
  <c r="W2258" i="13"/>
  <c r="W2290" i="13"/>
  <c r="W2322" i="13"/>
  <c r="W2354" i="13"/>
  <c r="W2386" i="13"/>
  <c r="W2418" i="13"/>
  <c r="W2450" i="13"/>
  <c r="W2482" i="13"/>
  <c r="W2514" i="13"/>
  <c r="W2546" i="13"/>
  <c r="W2578" i="13"/>
  <c r="W2610" i="13"/>
  <c r="W2642" i="13"/>
  <c r="W2674" i="13"/>
  <c r="W2706" i="13"/>
  <c r="W850" i="13"/>
  <c r="W1396" i="13"/>
  <c r="W1573" i="13"/>
  <c r="W1710" i="13"/>
  <c r="W1810" i="13"/>
  <c r="W1896" i="13"/>
  <c r="W1971" i="13"/>
  <c r="W2035" i="13"/>
  <c r="W2099" i="13"/>
  <c r="W2163" i="13"/>
  <c r="W2227" i="13"/>
  <c r="W2291" i="13"/>
  <c r="W2355" i="13"/>
  <c r="W2419" i="13"/>
  <c r="W2483" i="13"/>
  <c r="W2547" i="13"/>
  <c r="W2611" i="13"/>
  <c r="W2675" i="13"/>
  <c r="W1488" i="13"/>
  <c r="W1646" i="13"/>
  <c r="W1768" i="13"/>
  <c r="W1853" i="13"/>
  <c r="W2003" i="13"/>
  <c r="W2131" i="13"/>
  <c r="W2259" i="13"/>
  <c r="W2387" i="13"/>
  <c r="W2515" i="13"/>
  <c r="W2643" i="13"/>
  <c r="W1018" i="13"/>
  <c r="W1444" i="13"/>
  <c r="W1613" i="13"/>
  <c r="W1741" i="13"/>
  <c r="W1830" i="13"/>
  <c r="W1916" i="13"/>
  <c r="W1986" i="13"/>
  <c r="W2050" i="13"/>
  <c r="W2114" i="13"/>
  <c r="W2178" i="13"/>
  <c r="W2242" i="13"/>
  <c r="W2306" i="13"/>
  <c r="W2370" i="13"/>
  <c r="W2434" i="13"/>
  <c r="W2498" i="13"/>
  <c r="W2562" i="13"/>
  <c r="W2626" i="13"/>
  <c r="W2690" i="13"/>
  <c r="W1178" i="13"/>
  <c r="W1938" i="13"/>
  <c r="W2067" i="13"/>
  <c r="W2195" i="13"/>
  <c r="W2323" i="13"/>
  <c r="W2451" i="13"/>
  <c r="W2579" i="13"/>
  <c r="W2707" i="13"/>
  <c r="W528" i="13"/>
  <c r="W1788" i="13"/>
  <c r="W2082" i="13"/>
  <c r="W2338" i="13"/>
  <c r="W2594" i="13"/>
  <c r="W1873" i="13"/>
  <c r="W1529" i="13"/>
  <c r="W1954" i="13"/>
  <c r="W2210" i="13"/>
  <c r="W2466" i="13"/>
  <c r="W2722" i="13"/>
  <c r="W1677" i="13"/>
  <c r="W2018" i="13"/>
  <c r="W2274" i="13"/>
  <c r="W2530" i="13"/>
  <c r="W1288" i="13"/>
  <c r="W2146" i="13"/>
  <c r="W2402" i="13"/>
  <c r="W2658" i="13"/>
  <c r="J9" i="17"/>
  <c r="M54" i="14"/>
  <c r="M24" i="5"/>
  <c r="E21" i="13"/>
  <c r="F28" i="7"/>
  <c r="E101" i="3"/>
  <c r="E107" i="3"/>
  <c r="E27" i="13"/>
  <c r="F34" i="7"/>
  <c r="E30" i="13"/>
  <c r="E110" i="3"/>
  <c r="F37" i="7"/>
  <c r="E26" i="13"/>
  <c r="F33" i="7"/>
  <c r="E106" i="3"/>
  <c r="F31" i="7"/>
  <c r="E24" i="13"/>
  <c r="E104" i="3"/>
  <c r="E32" i="13"/>
  <c r="E112" i="3"/>
  <c r="E29" i="13"/>
  <c r="F36" i="7"/>
  <c r="E109" i="3"/>
  <c r="E18" i="13"/>
  <c r="F25" i="7"/>
  <c r="E98" i="3"/>
  <c r="E103" i="3"/>
  <c r="E23" i="13"/>
  <c r="F30" i="7"/>
  <c r="E17" i="13"/>
  <c r="E97" i="3"/>
  <c r="F24" i="7"/>
  <c r="E111" i="3"/>
  <c r="F38" i="7"/>
  <c r="E31" i="13"/>
  <c r="F27" i="7"/>
  <c r="E100" i="3"/>
  <c r="E20" i="13"/>
  <c r="E94" i="3"/>
  <c r="F21" i="7"/>
  <c r="E14" i="13"/>
  <c r="E25" i="13"/>
  <c r="E105" i="3"/>
  <c r="F32" i="7"/>
  <c r="E99" i="3"/>
  <c r="E19" i="13"/>
  <c r="F26" i="7"/>
  <c r="F20" i="7"/>
  <c r="E93" i="3"/>
  <c r="E13" i="13"/>
  <c r="F23" i="7"/>
  <c r="E16" i="13"/>
  <c r="E96" i="3"/>
  <c r="F35" i="7"/>
  <c r="E108" i="3"/>
  <c r="E28" i="13"/>
  <c r="E95" i="3"/>
  <c r="E15" i="13"/>
  <c r="F22" i="7"/>
  <c r="E102" i="3"/>
  <c r="E22" i="13"/>
  <c r="F29" i="7"/>
  <c r="B4" i="13"/>
  <c r="E4" i="3"/>
  <c r="M29" i="1"/>
  <c r="M20" i="1"/>
  <c r="M12" i="13"/>
  <c r="M13" i="13" s="1"/>
  <c r="M14" i="13" s="1"/>
  <c r="M15" i="13" s="1"/>
  <c r="M16" i="13" s="1"/>
  <c r="M17" i="13" s="1"/>
  <c r="M18" i="13" s="1"/>
  <c r="M19" i="13" s="1"/>
  <c r="M20" i="13" s="1"/>
  <c r="M21" i="13" s="1"/>
  <c r="M22" i="13" s="1"/>
  <c r="M23" i="13" s="1"/>
  <c r="M24" i="13" s="1"/>
  <c r="M25" i="13" s="1"/>
  <c r="M26" i="13" s="1"/>
  <c r="M27" i="13" s="1"/>
  <c r="M28" i="13" s="1"/>
  <c r="M29" i="13" s="1"/>
  <c r="M30" i="13" s="1"/>
  <c r="M31" i="13" s="1"/>
  <c r="M32" i="13" s="1"/>
  <c r="M33" i="13" s="1"/>
  <c r="M34" i="13" s="1"/>
  <c r="M35" i="13" s="1"/>
  <c r="M36" i="13" s="1"/>
  <c r="M37" i="13" s="1"/>
  <c r="M38" i="13" s="1"/>
  <c r="M39" i="13" s="1"/>
  <c r="M40" i="13" s="1"/>
  <c r="M41" i="13" s="1"/>
  <c r="M42" i="13" s="1"/>
  <c r="M43" i="13" s="1"/>
  <c r="M44" i="13" s="1"/>
  <c r="M45" i="13" s="1"/>
  <c r="M46" i="13" s="1"/>
  <c r="M47" i="13" s="1"/>
  <c r="M48" i="13" s="1"/>
  <c r="M49" i="13" s="1"/>
  <c r="M50" i="13" s="1"/>
  <c r="M51" i="13" s="1"/>
  <c r="M52" i="13" s="1"/>
  <c r="M53" i="13" s="1"/>
  <c r="M54" i="13" s="1"/>
  <c r="M55" i="13" s="1"/>
  <c r="M56" i="13" s="1"/>
  <c r="M57" i="13" s="1"/>
  <c r="M58" i="13" s="1"/>
  <c r="M59" i="13" s="1"/>
  <c r="M60" i="13" s="1"/>
  <c r="M61" i="13" s="1"/>
  <c r="M62" i="13" s="1"/>
  <c r="M63" i="13" s="1"/>
  <c r="M64" i="13" s="1"/>
  <c r="M65" i="13" s="1"/>
  <c r="M66" i="13" s="1"/>
  <c r="M67" i="13" s="1"/>
  <c r="M68" i="13" s="1"/>
  <c r="M69" i="13" s="1"/>
  <c r="M70" i="13" s="1"/>
  <c r="M71" i="13" s="1"/>
  <c r="M72" i="13" s="1"/>
  <c r="M73" i="13" s="1"/>
  <c r="M74" i="13" s="1"/>
  <c r="M75" i="13" s="1"/>
  <c r="M76" i="13" s="1"/>
  <c r="M77" i="13" s="1"/>
  <c r="M78" i="13" s="1"/>
  <c r="M79" i="13" s="1"/>
  <c r="M80" i="13" s="1"/>
  <c r="M81" i="13" s="1"/>
  <c r="M82" i="13" s="1"/>
  <c r="M83" i="13" s="1"/>
  <c r="M84" i="13" s="1"/>
  <c r="M85" i="13" s="1"/>
  <c r="M86" i="13" s="1"/>
  <c r="M87" i="13" s="1"/>
  <c r="M88" i="13" s="1"/>
  <c r="M89" i="13" s="1"/>
  <c r="M90" i="13" s="1"/>
  <c r="M91" i="13" s="1"/>
  <c r="M92" i="13" s="1"/>
  <c r="M93" i="13" s="1"/>
  <c r="M94" i="13" s="1"/>
  <c r="M95" i="13" s="1"/>
  <c r="M96" i="13" s="1"/>
  <c r="M97" i="13" s="1"/>
  <c r="M98" i="13" s="1"/>
  <c r="M99" i="13" s="1"/>
  <c r="M100" i="13" s="1"/>
  <c r="M101" i="13" s="1"/>
  <c r="M102" i="13" s="1"/>
  <c r="M103" i="13" s="1"/>
  <c r="M104" i="13" s="1"/>
  <c r="M105" i="13" s="1"/>
  <c r="M106" i="13" s="1"/>
  <c r="M107" i="13" s="1"/>
  <c r="M108" i="13" s="1"/>
  <c r="M109" i="13" s="1"/>
  <c r="M110" i="13" s="1"/>
  <c r="M111" i="13" s="1"/>
  <c r="M112" i="13" s="1"/>
  <c r="M113" i="13" s="1"/>
  <c r="M114" i="13" s="1"/>
  <c r="M115" i="13" s="1"/>
  <c r="M116" i="13" s="1"/>
  <c r="M117" i="13" s="1"/>
  <c r="M118" i="13" s="1"/>
  <c r="M119" i="13" s="1"/>
  <c r="M120" i="13" s="1"/>
  <c r="M121" i="13" s="1"/>
  <c r="M122" i="13" s="1"/>
  <c r="M123" i="13" s="1"/>
  <c r="M124" i="13" s="1"/>
  <c r="M125" i="13" s="1"/>
  <c r="M126" i="13" s="1"/>
  <c r="M127" i="13" s="1"/>
  <c r="M128" i="13" s="1"/>
  <c r="M129" i="13" s="1"/>
  <c r="M130" i="13" s="1"/>
  <c r="M131" i="13" s="1"/>
  <c r="M132" i="13" s="1"/>
  <c r="M133" i="13" s="1"/>
  <c r="M134" i="13" s="1"/>
  <c r="M135" i="13" s="1"/>
  <c r="M136" i="13" s="1"/>
  <c r="M137" i="13" s="1"/>
  <c r="M138" i="13" s="1"/>
  <c r="M139" i="13" s="1"/>
  <c r="M140" i="13" s="1"/>
  <c r="M141" i="13" s="1"/>
  <c r="M142" i="13" s="1"/>
  <c r="M143" i="13" s="1"/>
  <c r="M144" i="13" s="1"/>
  <c r="M145" i="13" s="1"/>
  <c r="M146" i="13" s="1"/>
  <c r="M147" i="13" s="1"/>
  <c r="M148" i="13" s="1"/>
  <c r="M149" i="13" s="1"/>
  <c r="M150" i="13" s="1"/>
  <c r="M151" i="13" s="1"/>
  <c r="M152" i="13" s="1"/>
  <c r="M153" i="13" s="1"/>
  <c r="M154" i="13" s="1"/>
  <c r="M155" i="13" s="1"/>
  <c r="M156" i="13" s="1"/>
  <c r="M157" i="13" s="1"/>
  <c r="M158" i="13" s="1"/>
  <c r="M159" i="13" s="1"/>
  <c r="M160" i="13" s="1"/>
  <c r="M161" i="13" s="1"/>
  <c r="M162" i="13" s="1"/>
  <c r="M163" i="13" s="1"/>
  <c r="M164" i="13" s="1"/>
  <c r="M165" i="13" s="1"/>
  <c r="M166" i="13" s="1"/>
  <c r="M167" i="13" s="1"/>
  <c r="M168" i="13" s="1"/>
  <c r="M169" i="13" s="1"/>
  <c r="M170" i="13" s="1"/>
  <c r="M171" i="13" s="1"/>
  <c r="M172" i="13" s="1"/>
  <c r="M173" i="13" s="1"/>
  <c r="M174" i="13" s="1"/>
  <c r="M175" i="13" s="1"/>
  <c r="M176" i="13" s="1"/>
  <c r="M177" i="13" s="1"/>
  <c r="M178" i="13" s="1"/>
  <c r="M179" i="13" s="1"/>
  <c r="M180" i="13" s="1"/>
  <c r="M181" i="13" s="1"/>
  <c r="M182" i="13" s="1"/>
  <c r="M183" i="13" s="1"/>
  <c r="M184" i="13" s="1"/>
  <c r="M185" i="13" s="1"/>
  <c r="M186" i="13" s="1"/>
  <c r="M187" i="13" s="1"/>
  <c r="M188" i="13" s="1"/>
  <c r="M189" i="13" s="1"/>
  <c r="M190" i="13" s="1"/>
  <c r="M191" i="13" s="1"/>
  <c r="M192" i="13" s="1"/>
  <c r="M193" i="13" s="1"/>
  <c r="M194" i="13" s="1"/>
  <c r="M195" i="13" s="1"/>
  <c r="M196" i="13" s="1"/>
  <c r="M197" i="13" s="1"/>
  <c r="M198" i="13" s="1"/>
  <c r="M199" i="13" s="1"/>
  <c r="M200" i="13" s="1"/>
  <c r="M201" i="13" s="1"/>
  <c r="M202" i="13" s="1"/>
  <c r="M203" i="13" s="1"/>
  <c r="M204" i="13" s="1"/>
  <c r="M205" i="13" s="1"/>
  <c r="M206" i="13" s="1"/>
  <c r="M207" i="13" s="1"/>
  <c r="M208" i="13" s="1"/>
  <c r="M209" i="13" s="1"/>
  <c r="M210" i="13" s="1"/>
  <c r="M211" i="13" s="1"/>
  <c r="M212" i="13" s="1"/>
  <c r="M213" i="13" s="1"/>
  <c r="M214" i="13" s="1"/>
  <c r="M215" i="13" s="1"/>
  <c r="M216" i="13" s="1"/>
  <c r="M217" i="13" s="1"/>
  <c r="M218" i="13" s="1"/>
  <c r="M219" i="13" s="1"/>
  <c r="M220" i="13" s="1"/>
  <c r="M221" i="13" s="1"/>
  <c r="M222" i="13" s="1"/>
  <c r="M223" i="13" s="1"/>
  <c r="M224" i="13" s="1"/>
  <c r="M225" i="13" s="1"/>
  <c r="M226" i="13" s="1"/>
  <c r="M227" i="13" s="1"/>
  <c r="M228" i="13" s="1"/>
  <c r="M229" i="13" s="1"/>
  <c r="M230" i="13" s="1"/>
  <c r="M231" i="13" s="1"/>
  <c r="M232" i="13" s="1"/>
  <c r="M233" i="13" s="1"/>
  <c r="M234" i="13" s="1"/>
  <c r="M235" i="13" s="1"/>
  <c r="M236" i="13" s="1"/>
  <c r="M237" i="13" s="1"/>
  <c r="M238" i="13" s="1"/>
  <c r="M239" i="13" s="1"/>
  <c r="M240" i="13" s="1"/>
  <c r="M241" i="13" s="1"/>
  <c r="M242" i="13" s="1"/>
  <c r="M243" i="13" s="1"/>
  <c r="M244" i="13" s="1"/>
  <c r="M245" i="13" s="1"/>
  <c r="M246" i="13" s="1"/>
  <c r="M247" i="13" s="1"/>
  <c r="M248" i="13" s="1"/>
  <c r="M249" i="13" s="1"/>
  <c r="M250" i="13" s="1"/>
  <c r="M251" i="13" s="1"/>
  <c r="M252" i="13" s="1"/>
  <c r="M253" i="13" s="1"/>
  <c r="M254" i="13" s="1"/>
  <c r="M255" i="13" s="1"/>
  <c r="M256" i="13" s="1"/>
  <c r="M257" i="13" s="1"/>
  <c r="M258" i="13" s="1"/>
  <c r="M259" i="13" s="1"/>
  <c r="M260" i="13" s="1"/>
  <c r="M261" i="13" s="1"/>
  <c r="M262" i="13" s="1"/>
  <c r="M263" i="13" s="1"/>
  <c r="M264" i="13" s="1"/>
  <c r="M265" i="13" s="1"/>
  <c r="M266" i="13" s="1"/>
  <c r="M267" i="13" s="1"/>
  <c r="M268" i="13" s="1"/>
  <c r="M269" i="13" s="1"/>
  <c r="M270" i="13" s="1"/>
  <c r="M271" i="13" s="1"/>
  <c r="M272" i="13" s="1"/>
  <c r="M273" i="13" s="1"/>
  <c r="M274" i="13" s="1"/>
  <c r="M275" i="13" s="1"/>
  <c r="M276" i="13" s="1"/>
  <c r="M277" i="13" s="1"/>
  <c r="M278" i="13" s="1"/>
  <c r="M279" i="13" s="1"/>
  <c r="M280" i="13" s="1"/>
  <c r="M281" i="13" s="1"/>
  <c r="M282" i="13" s="1"/>
  <c r="M283" i="13" s="1"/>
  <c r="M284" i="13" s="1"/>
  <c r="M285" i="13" s="1"/>
  <c r="M286" i="13" s="1"/>
  <c r="M287" i="13" s="1"/>
  <c r="M288" i="13" s="1"/>
  <c r="M289" i="13" s="1"/>
  <c r="M290" i="13" s="1"/>
  <c r="M291" i="13" s="1"/>
  <c r="M292" i="13" s="1"/>
  <c r="M293" i="13" s="1"/>
  <c r="M294" i="13" s="1"/>
  <c r="M295" i="13" s="1"/>
  <c r="M296" i="13" s="1"/>
  <c r="M297" i="13" s="1"/>
  <c r="M298" i="13" s="1"/>
  <c r="M299" i="13" s="1"/>
  <c r="M300" i="13" s="1"/>
  <c r="M301" i="13" s="1"/>
  <c r="M302" i="13" s="1"/>
  <c r="M303" i="13" s="1"/>
  <c r="M304" i="13" s="1"/>
  <c r="M305" i="13" s="1"/>
  <c r="M306" i="13" s="1"/>
  <c r="M307" i="13" s="1"/>
  <c r="M308" i="13" s="1"/>
  <c r="M309" i="13" s="1"/>
  <c r="M310" i="13" s="1"/>
  <c r="M311" i="13" s="1"/>
  <c r="M312" i="13" s="1"/>
  <c r="M313" i="13" s="1"/>
  <c r="M314" i="13" s="1"/>
  <c r="M315" i="13" s="1"/>
  <c r="M316" i="13" s="1"/>
  <c r="M317" i="13" s="1"/>
  <c r="M318" i="13" s="1"/>
  <c r="M319" i="13" s="1"/>
  <c r="M320" i="13" s="1"/>
  <c r="M321" i="13" s="1"/>
  <c r="M322" i="13" s="1"/>
  <c r="M323" i="13" s="1"/>
  <c r="M324" i="13" s="1"/>
  <c r="M325" i="13" s="1"/>
  <c r="M326" i="13" s="1"/>
  <c r="M327" i="13" s="1"/>
  <c r="M328" i="13" s="1"/>
  <c r="M329" i="13" s="1"/>
  <c r="M330" i="13" s="1"/>
  <c r="M331" i="13" s="1"/>
  <c r="M332" i="13" s="1"/>
  <c r="M333" i="13" s="1"/>
  <c r="M334" i="13" s="1"/>
  <c r="M335" i="13" s="1"/>
  <c r="M336" i="13" s="1"/>
  <c r="M337" i="13" s="1"/>
  <c r="M338" i="13" s="1"/>
  <c r="M339" i="13" s="1"/>
  <c r="M340" i="13" s="1"/>
  <c r="M341" i="13" s="1"/>
  <c r="M342" i="13" s="1"/>
  <c r="M343" i="13" s="1"/>
  <c r="M344" i="13" s="1"/>
  <c r="M345" i="13" s="1"/>
  <c r="M346" i="13" s="1"/>
  <c r="M347" i="13" s="1"/>
  <c r="M348" i="13" s="1"/>
  <c r="M349" i="13" s="1"/>
  <c r="M350" i="13" s="1"/>
  <c r="M351" i="13" s="1"/>
  <c r="M352" i="13" s="1"/>
  <c r="M353" i="13" s="1"/>
  <c r="M354" i="13" s="1"/>
  <c r="M355" i="13" s="1"/>
  <c r="M356" i="13" s="1"/>
  <c r="M357" i="13" s="1"/>
  <c r="M358" i="13" s="1"/>
  <c r="M359" i="13" s="1"/>
  <c r="M360" i="13" s="1"/>
  <c r="M361" i="13" s="1"/>
  <c r="M362" i="13" s="1"/>
  <c r="M363" i="13" s="1"/>
  <c r="M364" i="13" s="1"/>
  <c r="M365" i="13" s="1"/>
  <c r="M366" i="13" s="1"/>
  <c r="M367" i="13" s="1"/>
  <c r="M368" i="13" s="1"/>
  <c r="M369" i="13" s="1"/>
  <c r="M370" i="13" s="1"/>
  <c r="M371" i="13" s="1"/>
  <c r="M372" i="13" s="1"/>
  <c r="M373" i="13" s="1"/>
  <c r="M374" i="13" s="1"/>
  <c r="M375" i="13" s="1"/>
  <c r="M376" i="13" s="1"/>
  <c r="M377" i="13" s="1"/>
  <c r="M378" i="13" s="1"/>
  <c r="M379" i="13" s="1"/>
  <c r="M380" i="13" s="1"/>
  <c r="M381" i="13" s="1"/>
  <c r="M382" i="13" s="1"/>
  <c r="M383" i="13" s="1"/>
  <c r="M384" i="13" s="1"/>
  <c r="M385" i="13" s="1"/>
  <c r="M386" i="13" s="1"/>
  <c r="M387" i="13" s="1"/>
  <c r="M388" i="13" s="1"/>
  <c r="M389" i="13" s="1"/>
  <c r="M390" i="13" s="1"/>
  <c r="M391" i="13" s="1"/>
  <c r="M392" i="13" s="1"/>
  <c r="M393" i="13" s="1"/>
  <c r="M394" i="13" s="1"/>
  <c r="M395" i="13" s="1"/>
  <c r="M396" i="13" s="1"/>
  <c r="M397" i="13" s="1"/>
  <c r="M398" i="13" s="1"/>
  <c r="M399" i="13" s="1"/>
  <c r="M400" i="13" s="1"/>
  <c r="M401" i="13" s="1"/>
  <c r="M402" i="13" s="1"/>
  <c r="M403" i="13" s="1"/>
  <c r="M404" i="13" s="1"/>
  <c r="M405" i="13" s="1"/>
  <c r="M406" i="13" s="1"/>
  <c r="M407" i="13" s="1"/>
  <c r="M408" i="13" s="1"/>
  <c r="M409" i="13" s="1"/>
  <c r="M410" i="13" s="1"/>
  <c r="M411" i="13" s="1"/>
  <c r="M412" i="13" s="1"/>
  <c r="M413" i="13" s="1"/>
  <c r="M414" i="13" s="1"/>
  <c r="M415" i="13" s="1"/>
  <c r="M416" i="13" s="1"/>
  <c r="M417" i="13" s="1"/>
  <c r="M418" i="13" s="1"/>
  <c r="M419" i="13" s="1"/>
  <c r="M420" i="13" s="1"/>
  <c r="M421" i="13" s="1"/>
  <c r="M422" i="13" s="1"/>
  <c r="M423" i="13" s="1"/>
  <c r="M424" i="13" s="1"/>
  <c r="M425" i="13" s="1"/>
  <c r="M426" i="13" s="1"/>
  <c r="M427" i="13" s="1"/>
  <c r="M428" i="13" s="1"/>
  <c r="M429" i="13" s="1"/>
  <c r="M430" i="13" s="1"/>
  <c r="M431" i="13" s="1"/>
  <c r="M432" i="13" s="1"/>
  <c r="M433" i="13" s="1"/>
  <c r="M434" i="13" s="1"/>
  <c r="M435" i="13" s="1"/>
  <c r="M436" i="13" s="1"/>
  <c r="M437" i="13" s="1"/>
  <c r="M438" i="13" s="1"/>
  <c r="M439" i="13" s="1"/>
  <c r="M440" i="13" s="1"/>
  <c r="M441" i="13" s="1"/>
  <c r="M442" i="13" s="1"/>
  <c r="M443" i="13" s="1"/>
  <c r="M444" i="13" s="1"/>
  <c r="M445" i="13" s="1"/>
  <c r="M446" i="13" s="1"/>
  <c r="M447" i="13" s="1"/>
  <c r="M448" i="13" s="1"/>
  <c r="M449" i="13" s="1"/>
  <c r="M450" i="13" s="1"/>
  <c r="M451" i="13" s="1"/>
  <c r="M452" i="13" s="1"/>
  <c r="M453" i="13" s="1"/>
  <c r="M454" i="13" s="1"/>
  <c r="M455" i="13" s="1"/>
  <c r="M456" i="13" s="1"/>
  <c r="M457" i="13" s="1"/>
  <c r="M458" i="13" s="1"/>
  <c r="M459" i="13" s="1"/>
  <c r="M460" i="13" s="1"/>
  <c r="M461" i="13" s="1"/>
  <c r="M462" i="13" s="1"/>
  <c r="M463" i="13" s="1"/>
  <c r="M464" i="13" s="1"/>
  <c r="M465" i="13" s="1"/>
  <c r="M466" i="13" s="1"/>
  <c r="M467" i="13" s="1"/>
  <c r="M468" i="13" s="1"/>
  <c r="M469" i="13" s="1"/>
  <c r="M470" i="13" s="1"/>
  <c r="M471" i="13" s="1"/>
  <c r="M472" i="13" s="1"/>
  <c r="M473" i="13" s="1"/>
  <c r="M474" i="13" s="1"/>
  <c r="M475" i="13" s="1"/>
  <c r="M476" i="13" s="1"/>
  <c r="M477" i="13" s="1"/>
  <c r="M478" i="13" s="1"/>
  <c r="M479" i="13" s="1"/>
  <c r="M480" i="13" s="1"/>
  <c r="M481" i="13" s="1"/>
  <c r="M482" i="13" s="1"/>
  <c r="M483" i="13" s="1"/>
  <c r="M484" i="13" s="1"/>
  <c r="M485" i="13" s="1"/>
  <c r="M486" i="13" s="1"/>
  <c r="M487" i="13" s="1"/>
  <c r="M488" i="13" s="1"/>
  <c r="M489" i="13" s="1"/>
  <c r="M490" i="13" s="1"/>
  <c r="M491" i="13" s="1"/>
  <c r="M492" i="13" s="1"/>
  <c r="M493" i="13" s="1"/>
  <c r="M494" i="13" s="1"/>
  <c r="M495" i="13" s="1"/>
  <c r="M496" i="13" s="1"/>
  <c r="M497" i="13" s="1"/>
  <c r="M498" i="13" s="1"/>
  <c r="M499" i="13" s="1"/>
  <c r="M500" i="13" s="1"/>
  <c r="M501" i="13" s="1"/>
  <c r="M502" i="13" s="1"/>
  <c r="M503" i="13" s="1"/>
  <c r="M504" i="13" s="1"/>
  <c r="M505" i="13" s="1"/>
  <c r="M506" i="13" s="1"/>
  <c r="M507" i="13" s="1"/>
  <c r="M508" i="13" s="1"/>
  <c r="M509" i="13" s="1"/>
  <c r="M510" i="13" s="1"/>
  <c r="M511" i="13" s="1"/>
  <c r="M512" i="13" s="1"/>
  <c r="M513" i="13" s="1"/>
  <c r="M514" i="13" s="1"/>
  <c r="M515" i="13" s="1"/>
  <c r="M516" i="13" s="1"/>
  <c r="M517" i="13" s="1"/>
  <c r="M518" i="13" s="1"/>
  <c r="M519" i="13" s="1"/>
  <c r="M520" i="13" s="1"/>
  <c r="M521" i="13" s="1"/>
  <c r="M522" i="13" s="1"/>
  <c r="M523" i="13" s="1"/>
  <c r="M524" i="13" s="1"/>
  <c r="M525" i="13" s="1"/>
  <c r="M526" i="13" s="1"/>
  <c r="M527" i="13" s="1"/>
  <c r="M528" i="13" s="1"/>
  <c r="M529" i="13" s="1"/>
  <c r="M530" i="13" s="1"/>
  <c r="M531" i="13" s="1"/>
  <c r="M532" i="13" s="1"/>
  <c r="M533" i="13" s="1"/>
  <c r="M534" i="13" s="1"/>
  <c r="M535" i="13" s="1"/>
  <c r="M536" i="13" s="1"/>
  <c r="M537" i="13" s="1"/>
  <c r="M538" i="13" s="1"/>
  <c r="M539" i="13" s="1"/>
  <c r="M540" i="13" s="1"/>
  <c r="M541" i="13" s="1"/>
  <c r="M542" i="13" s="1"/>
  <c r="M543" i="13" s="1"/>
  <c r="M544" i="13" s="1"/>
  <c r="M545" i="13" s="1"/>
  <c r="M546" i="13" s="1"/>
  <c r="M547" i="13" s="1"/>
  <c r="M548" i="13" s="1"/>
  <c r="M549" i="13" s="1"/>
  <c r="M550" i="13" s="1"/>
  <c r="M551" i="13" s="1"/>
  <c r="M552" i="13" s="1"/>
  <c r="M553" i="13" s="1"/>
  <c r="M554" i="13" s="1"/>
  <c r="M555" i="13" s="1"/>
  <c r="M556" i="13" s="1"/>
  <c r="M557" i="13" s="1"/>
  <c r="M558" i="13" s="1"/>
  <c r="M559" i="13" s="1"/>
  <c r="M560" i="13" s="1"/>
  <c r="M561" i="13" s="1"/>
  <c r="M562" i="13" s="1"/>
  <c r="M563" i="13" s="1"/>
  <c r="M564" i="13" s="1"/>
  <c r="M565" i="13" s="1"/>
  <c r="M566" i="13" s="1"/>
  <c r="M567" i="13" s="1"/>
  <c r="M568" i="13" s="1"/>
  <c r="M569" i="13" s="1"/>
  <c r="M570" i="13" s="1"/>
  <c r="M571" i="13" s="1"/>
  <c r="M572" i="13" s="1"/>
  <c r="M573" i="13" s="1"/>
  <c r="M574" i="13" s="1"/>
  <c r="M575" i="13" s="1"/>
  <c r="M576" i="13" s="1"/>
  <c r="M577" i="13" s="1"/>
  <c r="M578" i="13" s="1"/>
  <c r="M579" i="13" s="1"/>
  <c r="M580" i="13" s="1"/>
  <c r="M581" i="13" s="1"/>
  <c r="M582" i="13" s="1"/>
  <c r="M583" i="13" s="1"/>
  <c r="M584" i="13" s="1"/>
  <c r="M585" i="13" s="1"/>
  <c r="M586" i="13" s="1"/>
  <c r="M587" i="13" s="1"/>
  <c r="M588" i="13" s="1"/>
  <c r="M589" i="13" s="1"/>
  <c r="M590" i="13" s="1"/>
  <c r="M591" i="13" s="1"/>
  <c r="M592" i="13" s="1"/>
  <c r="M593" i="13" s="1"/>
  <c r="M594" i="13" s="1"/>
  <c r="M595" i="13" s="1"/>
  <c r="M596" i="13" s="1"/>
  <c r="M597" i="13" s="1"/>
  <c r="M598" i="13" s="1"/>
  <c r="M599" i="13" s="1"/>
  <c r="M600" i="13" s="1"/>
  <c r="M601" i="13" s="1"/>
  <c r="M602" i="13" s="1"/>
  <c r="M603" i="13" s="1"/>
  <c r="M604" i="13" s="1"/>
  <c r="M605" i="13" s="1"/>
  <c r="M606" i="13" s="1"/>
  <c r="M607" i="13" s="1"/>
  <c r="M608" i="13" s="1"/>
  <c r="M609" i="13" s="1"/>
  <c r="M610" i="13" s="1"/>
  <c r="M611" i="13" s="1"/>
  <c r="M612" i="13" s="1"/>
  <c r="M613" i="13" s="1"/>
  <c r="M614" i="13" s="1"/>
  <c r="M615" i="13" s="1"/>
  <c r="M616" i="13" s="1"/>
  <c r="M617" i="13" s="1"/>
  <c r="M618" i="13" s="1"/>
  <c r="M619" i="13" s="1"/>
  <c r="M620" i="13" s="1"/>
  <c r="M621" i="13" s="1"/>
  <c r="M622" i="13" s="1"/>
  <c r="M623" i="13" s="1"/>
  <c r="M624" i="13" s="1"/>
  <c r="M625" i="13" s="1"/>
  <c r="M626" i="13" s="1"/>
  <c r="M627" i="13" s="1"/>
  <c r="M628" i="13" s="1"/>
  <c r="M629" i="13" s="1"/>
  <c r="M630" i="13" s="1"/>
  <c r="M631" i="13" s="1"/>
  <c r="M632" i="13" s="1"/>
  <c r="M633" i="13" s="1"/>
  <c r="M634" i="13" s="1"/>
  <c r="M635" i="13" s="1"/>
  <c r="M636" i="13" s="1"/>
  <c r="M637" i="13" s="1"/>
  <c r="M638" i="13" s="1"/>
  <c r="M639" i="13" s="1"/>
  <c r="M640" i="13" s="1"/>
  <c r="M641" i="13" s="1"/>
  <c r="M642" i="13" s="1"/>
  <c r="M643" i="13" s="1"/>
  <c r="M644" i="13" s="1"/>
  <c r="M645" i="13" s="1"/>
  <c r="M646" i="13" s="1"/>
  <c r="M647" i="13" s="1"/>
  <c r="M648" i="13" s="1"/>
  <c r="M649" i="13" s="1"/>
  <c r="M650" i="13" s="1"/>
  <c r="M651" i="13" s="1"/>
  <c r="M652" i="13" s="1"/>
  <c r="M653" i="13" s="1"/>
  <c r="M654" i="13" s="1"/>
  <c r="M655" i="13" s="1"/>
  <c r="M656" i="13" s="1"/>
  <c r="M657" i="13" s="1"/>
  <c r="M658" i="13" s="1"/>
  <c r="M659" i="13" s="1"/>
  <c r="M660" i="13" s="1"/>
  <c r="M661" i="13" s="1"/>
  <c r="M662" i="13" s="1"/>
  <c r="M663" i="13" s="1"/>
  <c r="M664" i="13" s="1"/>
  <c r="M665" i="13" s="1"/>
  <c r="M666" i="13" s="1"/>
  <c r="M667" i="13" s="1"/>
  <c r="M668" i="13" s="1"/>
  <c r="M669" i="13" s="1"/>
  <c r="M670" i="13" s="1"/>
  <c r="M671" i="13" s="1"/>
  <c r="M672" i="13" s="1"/>
  <c r="M673" i="13" s="1"/>
  <c r="M674" i="13" s="1"/>
  <c r="M675" i="13" s="1"/>
  <c r="M676" i="13" s="1"/>
  <c r="M677" i="13" s="1"/>
  <c r="M678" i="13" s="1"/>
  <c r="M679" i="13" s="1"/>
  <c r="M680" i="13" s="1"/>
  <c r="M681" i="13" s="1"/>
  <c r="M682" i="13" s="1"/>
  <c r="M683" i="13" s="1"/>
  <c r="M684" i="13" s="1"/>
  <c r="M685" i="13" s="1"/>
  <c r="M686" i="13" s="1"/>
  <c r="M687" i="13" s="1"/>
  <c r="M688" i="13" s="1"/>
  <c r="M689" i="13" s="1"/>
  <c r="M690" i="13" s="1"/>
  <c r="M691" i="13" s="1"/>
  <c r="M692" i="13" s="1"/>
  <c r="M693" i="13" s="1"/>
  <c r="M694" i="13" s="1"/>
  <c r="M695" i="13" s="1"/>
  <c r="M696" i="13" s="1"/>
  <c r="M697" i="13" s="1"/>
  <c r="M698" i="13" s="1"/>
  <c r="M699" i="13" s="1"/>
  <c r="M700" i="13" s="1"/>
  <c r="M701" i="13" s="1"/>
  <c r="M702" i="13" s="1"/>
  <c r="M703" i="13" s="1"/>
  <c r="M704" i="13" s="1"/>
  <c r="M705" i="13" s="1"/>
  <c r="M706" i="13" s="1"/>
  <c r="M707" i="13" s="1"/>
  <c r="M708" i="13" s="1"/>
  <c r="M709" i="13" s="1"/>
  <c r="M710" i="13" s="1"/>
  <c r="M711" i="13" s="1"/>
  <c r="M712" i="13" s="1"/>
  <c r="M713" i="13" s="1"/>
  <c r="M714" i="13" s="1"/>
  <c r="M715" i="13" s="1"/>
  <c r="M716" i="13" s="1"/>
  <c r="M717" i="13" s="1"/>
  <c r="M718" i="13" s="1"/>
  <c r="M719" i="13" s="1"/>
  <c r="M720" i="13" s="1"/>
  <c r="M721" i="13" s="1"/>
  <c r="M722" i="13" s="1"/>
  <c r="M723" i="13" s="1"/>
  <c r="M724" i="13" s="1"/>
  <c r="M725" i="13" s="1"/>
  <c r="M726" i="13" s="1"/>
  <c r="M727" i="13" s="1"/>
  <c r="M728" i="13" s="1"/>
  <c r="M729" i="13" s="1"/>
  <c r="M730" i="13" s="1"/>
  <c r="M731" i="13" s="1"/>
  <c r="M732" i="13" s="1"/>
  <c r="M733" i="13" s="1"/>
  <c r="M734" i="13" s="1"/>
  <c r="M735" i="13" s="1"/>
  <c r="M736" i="13" s="1"/>
  <c r="M737" i="13" s="1"/>
  <c r="M738" i="13" s="1"/>
  <c r="M739" i="13" s="1"/>
  <c r="M740" i="13" s="1"/>
  <c r="M741" i="13" s="1"/>
  <c r="M742" i="13" s="1"/>
  <c r="M743" i="13" s="1"/>
  <c r="M744" i="13" s="1"/>
  <c r="M745" i="13" s="1"/>
  <c r="M746" i="13" s="1"/>
  <c r="M747" i="13" s="1"/>
  <c r="M748" i="13" s="1"/>
  <c r="M749" i="13" s="1"/>
  <c r="M750" i="13" s="1"/>
  <c r="M751" i="13" s="1"/>
  <c r="M752" i="13" s="1"/>
  <c r="M753" i="13" s="1"/>
  <c r="M754" i="13" s="1"/>
  <c r="M755" i="13" s="1"/>
  <c r="M756" i="13" s="1"/>
  <c r="M757" i="13" s="1"/>
  <c r="M758" i="13" s="1"/>
  <c r="M759" i="13" s="1"/>
  <c r="M760" i="13" s="1"/>
  <c r="M761" i="13" s="1"/>
  <c r="M762" i="13" s="1"/>
  <c r="M763" i="13" s="1"/>
  <c r="M764" i="13" s="1"/>
  <c r="M765" i="13" s="1"/>
  <c r="M766" i="13" s="1"/>
  <c r="M767" i="13" s="1"/>
  <c r="M768" i="13" s="1"/>
  <c r="M769" i="13" s="1"/>
  <c r="M770" i="13" s="1"/>
  <c r="M771" i="13" s="1"/>
  <c r="M772" i="13" s="1"/>
  <c r="M773" i="13" s="1"/>
  <c r="M774" i="13" s="1"/>
  <c r="M775" i="13" s="1"/>
  <c r="M776" i="13" s="1"/>
  <c r="M777" i="13" s="1"/>
  <c r="M778" i="13" s="1"/>
  <c r="M779" i="13" s="1"/>
  <c r="M780" i="13" s="1"/>
  <c r="M781" i="13" s="1"/>
  <c r="M782" i="13" s="1"/>
  <c r="M783" i="13" s="1"/>
  <c r="M784" i="13" s="1"/>
  <c r="M785" i="13" s="1"/>
  <c r="M786" i="13" s="1"/>
  <c r="M787" i="13" s="1"/>
  <c r="M788" i="13" s="1"/>
  <c r="M789" i="13" s="1"/>
  <c r="M790" i="13" s="1"/>
  <c r="M791" i="13" s="1"/>
  <c r="M792" i="13" s="1"/>
  <c r="M793" i="13" s="1"/>
  <c r="M794" i="13" s="1"/>
  <c r="M795" i="13" s="1"/>
  <c r="M796" i="13" s="1"/>
  <c r="M797" i="13" s="1"/>
  <c r="M798" i="13" s="1"/>
  <c r="M799" i="13" s="1"/>
  <c r="M800" i="13" s="1"/>
  <c r="M801" i="13" s="1"/>
  <c r="M802" i="13" s="1"/>
  <c r="M803" i="13" s="1"/>
  <c r="M804" i="13" s="1"/>
  <c r="M805" i="13" s="1"/>
  <c r="M806" i="13" s="1"/>
  <c r="M807" i="13" s="1"/>
  <c r="M808" i="13" s="1"/>
  <c r="M809" i="13" s="1"/>
  <c r="M810" i="13" s="1"/>
  <c r="M811" i="13" s="1"/>
  <c r="M812" i="13" s="1"/>
  <c r="M813" i="13" s="1"/>
  <c r="M814" i="13" s="1"/>
  <c r="M815" i="13" s="1"/>
  <c r="M816" i="13" s="1"/>
  <c r="M817" i="13" s="1"/>
  <c r="M818" i="13" s="1"/>
  <c r="M819" i="13" s="1"/>
  <c r="M820" i="13" s="1"/>
  <c r="M821" i="13" s="1"/>
  <c r="M822" i="13" s="1"/>
  <c r="M823" i="13" s="1"/>
  <c r="M824" i="13" s="1"/>
  <c r="M825" i="13" s="1"/>
  <c r="M826" i="13" s="1"/>
  <c r="M827" i="13" s="1"/>
  <c r="M828" i="13" s="1"/>
  <c r="M829" i="13" s="1"/>
  <c r="M830" i="13" s="1"/>
  <c r="M831" i="13" s="1"/>
  <c r="M832" i="13" s="1"/>
  <c r="M833" i="13" s="1"/>
  <c r="M834" i="13" s="1"/>
  <c r="M835" i="13" s="1"/>
  <c r="M836" i="13" s="1"/>
  <c r="M837" i="13" s="1"/>
  <c r="M838" i="13" s="1"/>
  <c r="M839" i="13" s="1"/>
  <c r="M840" i="13" s="1"/>
  <c r="M841" i="13" s="1"/>
  <c r="M842" i="13" s="1"/>
  <c r="M843" i="13" s="1"/>
  <c r="M844" i="13" s="1"/>
  <c r="M845" i="13" s="1"/>
  <c r="M846" i="13" s="1"/>
  <c r="M847" i="13" s="1"/>
  <c r="M848" i="13" s="1"/>
  <c r="M849" i="13" s="1"/>
  <c r="M850" i="13" s="1"/>
  <c r="M851" i="13" s="1"/>
  <c r="M852" i="13" s="1"/>
  <c r="M853" i="13" s="1"/>
  <c r="M854" i="13" s="1"/>
  <c r="M855" i="13" s="1"/>
  <c r="M856" i="13" s="1"/>
  <c r="M857" i="13" s="1"/>
  <c r="M858" i="13" s="1"/>
  <c r="M859" i="13" s="1"/>
  <c r="M860" i="13" s="1"/>
  <c r="M861" i="13" s="1"/>
  <c r="M862" i="13" s="1"/>
  <c r="M863" i="13" s="1"/>
  <c r="M864" i="13" s="1"/>
  <c r="M865" i="13" s="1"/>
  <c r="M866" i="13" s="1"/>
  <c r="M867" i="13" s="1"/>
  <c r="M868" i="13" s="1"/>
  <c r="M869" i="13" s="1"/>
  <c r="M870" i="13" s="1"/>
  <c r="M871" i="13" s="1"/>
  <c r="M872" i="13" s="1"/>
  <c r="M873" i="13" s="1"/>
  <c r="M874" i="13" s="1"/>
  <c r="M875" i="13" s="1"/>
  <c r="M876" i="13" s="1"/>
  <c r="M877" i="13" s="1"/>
  <c r="M878" i="13" s="1"/>
  <c r="M879" i="13" s="1"/>
  <c r="M880" i="13" s="1"/>
  <c r="M881" i="13" s="1"/>
  <c r="M882" i="13" s="1"/>
  <c r="M883" i="13" s="1"/>
  <c r="M884" i="13" s="1"/>
  <c r="M885" i="13" s="1"/>
  <c r="M886" i="13" s="1"/>
  <c r="M887" i="13" s="1"/>
  <c r="M888" i="13" s="1"/>
  <c r="M889" i="13" s="1"/>
  <c r="M890" i="13" s="1"/>
  <c r="M891" i="13" s="1"/>
  <c r="M892" i="13" s="1"/>
  <c r="M893" i="13" s="1"/>
  <c r="M894" i="13" s="1"/>
  <c r="M895" i="13" s="1"/>
  <c r="M896" i="13" s="1"/>
  <c r="M897" i="13" s="1"/>
  <c r="M898" i="13" s="1"/>
  <c r="M899" i="13" s="1"/>
  <c r="M900" i="13" s="1"/>
  <c r="M901" i="13" s="1"/>
  <c r="M902" i="13" s="1"/>
  <c r="M903" i="13" s="1"/>
  <c r="M904" i="13" s="1"/>
  <c r="M905" i="13" s="1"/>
  <c r="M906" i="13" s="1"/>
  <c r="M907" i="13" s="1"/>
  <c r="M908" i="13" s="1"/>
  <c r="M909" i="13" s="1"/>
  <c r="M910" i="13" s="1"/>
  <c r="M911" i="13" s="1"/>
  <c r="M912" i="13" s="1"/>
  <c r="M913" i="13" s="1"/>
  <c r="M914" i="13" s="1"/>
  <c r="M915" i="13" s="1"/>
  <c r="M916" i="13" s="1"/>
  <c r="M917" i="13" s="1"/>
  <c r="M918" i="13" s="1"/>
  <c r="M919" i="13" s="1"/>
  <c r="M920" i="13" s="1"/>
  <c r="M921" i="13" s="1"/>
  <c r="M922" i="13" s="1"/>
  <c r="M923" i="13" s="1"/>
  <c r="M924" i="13" s="1"/>
  <c r="M925" i="13" s="1"/>
  <c r="M926" i="13" s="1"/>
  <c r="M927" i="13" s="1"/>
  <c r="M928" i="13" s="1"/>
  <c r="M929" i="13" s="1"/>
  <c r="M930" i="13" s="1"/>
  <c r="M931" i="13" s="1"/>
  <c r="M932" i="13" s="1"/>
  <c r="M933" i="13" s="1"/>
  <c r="M934" i="13" s="1"/>
  <c r="M935" i="13" s="1"/>
  <c r="M936" i="13" s="1"/>
  <c r="M937" i="13" s="1"/>
  <c r="M938" i="13" s="1"/>
  <c r="M939" i="13" s="1"/>
  <c r="M940" i="13" s="1"/>
  <c r="M941" i="13" s="1"/>
  <c r="M942" i="13" s="1"/>
  <c r="M943" i="13" s="1"/>
  <c r="M944" i="13" s="1"/>
  <c r="M945" i="13" s="1"/>
  <c r="M946" i="13" s="1"/>
  <c r="M947" i="13" s="1"/>
  <c r="M948" i="13" s="1"/>
  <c r="M949" i="13" s="1"/>
  <c r="M950" i="13" s="1"/>
  <c r="M951" i="13" s="1"/>
  <c r="M952" i="13" s="1"/>
  <c r="M953" i="13" s="1"/>
  <c r="M954" i="13" s="1"/>
  <c r="M955" i="13" s="1"/>
  <c r="M956" i="13" s="1"/>
  <c r="M957" i="13" s="1"/>
  <c r="M958" i="13" s="1"/>
  <c r="M959" i="13" s="1"/>
  <c r="M960" i="13" s="1"/>
  <c r="M961" i="13" s="1"/>
  <c r="M962" i="13" s="1"/>
  <c r="M963" i="13" s="1"/>
  <c r="M964" i="13" s="1"/>
  <c r="M965" i="13" s="1"/>
  <c r="M966" i="13" s="1"/>
  <c r="M967" i="13" s="1"/>
  <c r="M968" i="13" s="1"/>
  <c r="M969" i="13" s="1"/>
  <c r="M970" i="13" s="1"/>
  <c r="M971" i="13" s="1"/>
  <c r="M972" i="13" s="1"/>
  <c r="M973" i="13" s="1"/>
  <c r="M974" i="13" s="1"/>
  <c r="M975" i="13" s="1"/>
  <c r="M976" i="13" s="1"/>
  <c r="M977" i="13" s="1"/>
  <c r="M978" i="13" s="1"/>
  <c r="M979" i="13" s="1"/>
  <c r="M980" i="13" s="1"/>
  <c r="M981" i="13" s="1"/>
  <c r="M982" i="13" s="1"/>
  <c r="M983" i="13" s="1"/>
  <c r="M984" i="13" s="1"/>
  <c r="M985" i="13" s="1"/>
  <c r="M986" i="13" s="1"/>
  <c r="M987" i="13" s="1"/>
  <c r="M988" i="13" s="1"/>
  <c r="M989" i="13" s="1"/>
  <c r="M990" i="13" s="1"/>
  <c r="M991" i="13" s="1"/>
  <c r="M992" i="13" s="1"/>
  <c r="M993" i="13" s="1"/>
  <c r="M994" i="13" s="1"/>
  <c r="M995" i="13" s="1"/>
  <c r="M996" i="13" s="1"/>
  <c r="M997" i="13" s="1"/>
  <c r="M998" i="13" s="1"/>
  <c r="M999" i="13" s="1"/>
  <c r="M1000" i="13" s="1"/>
  <c r="M1001" i="13" s="1"/>
  <c r="M1002" i="13" s="1"/>
  <c r="M1003" i="13" s="1"/>
  <c r="M1004" i="13" s="1"/>
  <c r="M1005" i="13" s="1"/>
  <c r="M1006" i="13" s="1"/>
  <c r="M1007" i="13" s="1"/>
  <c r="M1008" i="13" s="1"/>
  <c r="M1009" i="13" s="1"/>
  <c r="M1010" i="13" s="1"/>
  <c r="M1011" i="13" s="1"/>
  <c r="M1012" i="13" s="1"/>
  <c r="M1013" i="13" s="1"/>
  <c r="M1014" i="13" s="1"/>
  <c r="M1015" i="13" s="1"/>
  <c r="M1016" i="13" s="1"/>
  <c r="M1017" i="13" s="1"/>
  <c r="M1018" i="13" s="1"/>
  <c r="M1019" i="13" s="1"/>
  <c r="M1020" i="13" s="1"/>
  <c r="M1021" i="13" s="1"/>
  <c r="M1022" i="13" s="1"/>
  <c r="M1023" i="13" s="1"/>
  <c r="M1024" i="13" s="1"/>
  <c r="M1025" i="13" s="1"/>
  <c r="M1026" i="13" s="1"/>
  <c r="M1027" i="13" s="1"/>
  <c r="M1028" i="13" s="1"/>
  <c r="M1029" i="13" s="1"/>
  <c r="M1030" i="13" s="1"/>
  <c r="M1031" i="13" s="1"/>
  <c r="M1032" i="13" s="1"/>
  <c r="M1033" i="13" s="1"/>
  <c r="M1034" i="13" s="1"/>
  <c r="M1035" i="13" s="1"/>
  <c r="M1036" i="13" s="1"/>
  <c r="M1037" i="13" s="1"/>
  <c r="M1038" i="13" s="1"/>
  <c r="M1039" i="13" s="1"/>
  <c r="M1040" i="13" s="1"/>
  <c r="M1041" i="13" s="1"/>
  <c r="M1042" i="13" s="1"/>
  <c r="M1043" i="13" s="1"/>
  <c r="M1044" i="13" s="1"/>
  <c r="M1045" i="13" s="1"/>
  <c r="M1046" i="13" s="1"/>
  <c r="M1047" i="13" s="1"/>
  <c r="M1048" i="13" s="1"/>
  <c r="M1049" i="13" s="1"/>
  <c r="M1050" i="13" s="1"/>
  <c r="M1051" i="13" s="1"/>
  <c r="M1052" i="13" s="1"/>
  <c r="M1053" i="13" s="1"/>
  <c r="M1054" i="13" s="1"/>
  <c r="M1055" i="13" s="1"/>
  <c r="M1056" i="13" s="1"/>
  <c r="M1057" i="13" s="1"/>
  <c r="M1058" i="13" s="1"/>
  <c r="M1059" i="13" s="1"/>
  <c r="M1060" i="13" s="1"/>
  <c r="M1061" i="13" s="1"/>
  <c r="M1062" i="13" s="1"/>
  <c r="M1063" i="13" s="1"/>
  <c r="M1064" i="13" s="1"/>
  <c r="M1065" i="13" s="1"/>
  <c r="M1066" i="13" s="1"/>
  <c r="M1067" i="13" s="1"/>
  <c r="M1068" i="13" s="1"/>
  <c r="M1069" i="13" s="1"/>
  <c r="M1070" i="13" s="1"/>
  <c r="M1071" i="13" s="1"/>
  <c r="M1072" i="13" s="1"/>
  <c r="M1073" i="13" s="1"/>
  <c r="M1074" i="13" s="1"/>
  <c r="M1075" i="13" s="1"/>
  <c r="M1076" i="13" s="1"/>
  <c r="M1077" i="13" s="1"/>
  <c r="M1078" i="13" s="1"/>
  <c r="M1079" i="13" s="1"/>
  <c r="M1080" i="13" s="1"/>
  <c r="M1081" i="13" s="1"/>
  <c r="M1082" i="13" s="1"/>
  <c r="M1083" i="13" s="1"/>
  <c r="M1084" i="13" s="1"/>
  <c r="M1085" i="13" s="1"/>
  <c r="M1086" i="13" s="1"/>
  <c r="M1087" i="13" s="1"/>
  <c r="M1088" i="13" s="1"/>
  <c r="M1089" i="13" s="1"/>
  <c r="M1090" i="13" s="1"/>
  <c r="M1091" i="13" s="1"/>
  <c r="M1092" i="13" s="1"/>
  <c r="M1093" i="13" s="1"/>
  <c r="M1094" i="13" s="1"/>
  <c r="M1095" i="13" s="1"/>
  <c r="M1096" i="13" s="1"/>
  <c r="M1097" i="13" s="1"/>
  <c r="M1098" i="13" s="1"/>
  <c r="M1099" i="13" s="1"/>
  <c r="M1100" i="13" s="1"/>
  <c r="M1101" i="13" s="1"/>
  <c r="M1102" i="13" s="1"/>
  <c r="M1103" i="13" s="1"/>
  <c r="M1104" i="13" s="1"/>
  <c r="M1105" i="13" s="1"/>
  <c r="M1106" i="13" s="1"/>
  <c r="M1107" i="13" s="1"/>
  <c r="M1108" i="13" s="1"/>
  <c r="M1109" i="13" s="1"/>
  <c r="M1110" i="13" s="1"/>
  <c r="M1111" i="13" s="1"/>
  <c r="M1112" i="13" s="1"/>
  <c r="M1113" i="13" s="1"/>
  <c r="M1114" i="13" s="1"/>
  <c r="M1115" i="13" s="1"/>
  <c r="M1116" i="13" s="1"/>
  <c r="M1117" i="13" s="1"/>
  <c r="M1118" i="13" s="1"/>
  <c r="M1119" i="13" s="1"/>
  <c r="M1120" i="13" s="1"/>
  <c r="M1121" i="13" s="1"/>
  <c r="M1122" i="13" s="1"/>
  <c r="M1123" i="13" s="1"/>
  <c r="M1124" i="13" s="1"/>
  <c r="M1125" i="13" s="1"/>
  <c r="M1126" i="13" s="1"/>
  <c r="M1127" i="13" s="1"/>
  <c r="M1128" i="13" s="1"/>
  <c r="M1129" i="13" s="1"/>
  <c r="M1130" i="13" s="1"/>
  <c r="M1131" i="13" s="1"/>
  <c r="M1132" i="13" s="1"/>
  <c r="M1133" i="13" s="1"/>
  <c r="M1134" i="13" s="1"/>
  <c r="M1135" i="13" s="1"/>
  <c r="M1136" i="13" s="1"/>
  <c r="M1137" i="13" s="1"/>
  <c r="M1138" i="13" s="1"/>
  <c r="M1139" i="13" s="1"/>
  <c r="M1140" i="13" s="1"/>
  <c r="M1141" i="13" s="1"/>
  <c r="M1142" i="13" s="1"/>
  <c r="M1143" i="13" s="1"/>
  <c r="M1144" i="13" s="1"/>
  <c r="M1145" i="13" s="1"/>
  <c r="M1146" i="13" s="1"/>
  <c r="M1147" i="13" s="1"/>
  <c r="M1148" i="13" s="1"/>
  <c r="M1149" i="13" s="1"/>
  <c r="M1150" i="13" s="1"/>
  <c r="M1151" i="13" s="1"/>
  <c r="M1152" i="13" s="1"/>
  <c r="M1153" i="13" s="1"/>
  <c r="M1154" i="13" s="1"/>
  <c r="M1155" i="13" s="1"/>
  <c r="M1156" i="13" s="1"/>
  <c r="M1157" i="13" s="1"/>
  <c r="M1158" i="13" s="1"/>
  <c r="M1159" i="13" s="1"/>
  <c r="M1160" i="13" s="1"/>
  <c r="M1161" i="13" s="1"/>
  <c r="M1162" i="13" s="1"/>
  <c r="M1163" i="13" s="1"/>
  <c r="M1164" i="13" s="1"/>
  <c r="M1165" i="13" s="1"/>
  <c r="M1166" i="13" s="1"/>
  <c r="M1167" i="13" s="1"/>
  <c r="M1168" i="13" s="1"/>
  <c r="M1169" i="13" s="1"/>
  <c r="M1170" i="13" s="1"/>
  <c r="M1171" i="13" s="1"/>
  <c r="M1172" i="13" s="1"/>
  <c r="M1173" i="13" s="1"/>
  <c r="M1174" i="13" s="1"/>
  <c r="M1175" i="13" s="1"/>
  <c r="M1176" i="13" s="1"/>
  <c r="M1177" i="13" s="1"/>
  <c r="M1178" i="13" s="1"/>
  <c r="M1179" i="13" s="1"/>
  <c r="M1180" i="13" s="1"/>
  <c r="M1181" i="13" s="1"/>
  <c r="M1182" i="13" s="1"/>
  <c r="M1183" i="13" s="1"/>
  <c r="M1184" i="13" s="1"/>
  <c r="M1185" i="13" s="1"/>
  <c r="M1186" i="13" s="1"/>
  <c r="M1187" i="13" s="1"/>
  <c r="M1188" i="13" s="1"/>
  <c r="M1189" i="13" s="1"/>
  <c r="M1190" i="13" s="1"/>
  <c r="M1191" i="13" s="1"/>
  <c r="M1192" i="13" s="1"/>
  <c r="M1193" i="13" s="1"/>
  <c r="M1194" i="13" s="1"/>
  <c r="M1195" i="13" s="1"/>
  <c r="M1196" i="13" s="1"/>
  <c r="M1197" i="13" s="1"/>
  <c r="M1198" i="13" s="1"/>
  <c r="M1199" i="13" s="1"/>
  <c r="M1200" i="13" s="1"/>
  <c r="M1201" i="13" s="1"/>
  <c r="M1202" i="13" s="1"/>
  <c r="M1203" i="13" s="1"/>
  <c r="M1204" i="13" s="1"/>
  <c r="M1205" i="13" s="1"/>
  <c r="M1206" i="13" s="1"/>
  <c r="M1207" i="13" s="1"/>
  <c r="M1208" i="13" s="1"/>
  <c r="M1209" i="13" s="1"/>
  <c r="M1210" i="13" s="1"/>
  <c r="M1211" i="13" s="1"/>
  <c r="M1212" i="13" s="1"/>
  <c r="M1213" i="13" s="1"/>
  <c r="M1214" i="13" s="1"/>
  <c r="M1215" i="13" s="1"/>
  <c r="M1216" i="13" s="1"/>
  <c r="M1217" i="13" s="1"/>
  <c r="M1218" i="13" s="1"/>
  <c r="M1219" i="13" s="1"/>
  <c r="M1220" i="13" s="1"/>
  <c r="M1221" i="13" s="1"/>
  <c r="M1222" i="13" s="1"/>
  <c r="M1223" i="13" s="1"/>
  <c r="M1224" i="13" s="1"/>
  <c r="M1225" i="13" s="1"/>
  <c r="M1226" i="13" s="1"/>
  <c r="M1227" i="13" s="1"/>
  <c r="M1228" i="13" s="1"/>
  <c r="M1229" i="13" s="1"/>
  <c r="M1230" i="13" s="1"/>
  <c r="M1231" i="13" s="1"/>
  <c r="M1232" i="13" s="1"/>
  <c r="M1233" i="13" s="1"/>
  <c r="M1234" i="13" s="1"/>
  <c r="M1235" i="13" s="1"/>
  <c r="M1236" i="13" s="1"/>
  <c r="M1237" i="13" s="1"/>
  <c r="M1238" i="13" s="1"/>
  <c r="M1239" i="13" s="1"/>
  <c r="M1240" i="13" s="1"/>
  <c r="M1241" i="13" s="1"/>
  <c r="M1242" i="13" s="1"/>
  <c r="M1243" i="13" s="1"/>
  <c r="M1244" i="13" s="1"/>
  <c r="M1245" i="13" s="1"/>
  <c r="M1246" i="13" s="1"/>
  <c r="M1247" i="13" s="1"/>
  <c r="M1248" i="13" s="1"/>
  <c r="M1249" i="13" s="1"/>
  <c r="M1250" i="13" s="1"/>
  <c r="M1251" i="13" s="1"/>
  <c r="M1252" i="13" s="1"/>
  <c r="M1253" i="13" s="1"/>
  <c r="M1254" i="13" s="1"/>
  <c r="M1255" i="13" s="1"/>
  <c r="M1256" i="13" s="1"/>
  <c r="M1257" i="13" s="1"/>
  <c r="M1258" i="13" s="1"/>
  <c r="M1259" i="13" s="1"/>
  <c r="M1260" i="13" s="1"/>
  <c r="M1261" i="13" s="1"/>
  <c r="M1262" i="13" s="1"/>
  <c r="M1263" i="13" s="1"/>
  <c r="M1264" i="13" s="1"/>
  <c r="M1265" i="13" s="1"/>
  <c r="M1266" i="13" s="1"/>
  <c r="M1267" i="13" s="1"/>
  <c r="M1268" i="13" s="1"/>
  <c r="M1269" i="13" s="1"/>
  <c r="M1270" i="13" s="1"/>
  <c r="M1271" i="13" s="1"/>
  <c r="M1272" i="13" s="1"/>
  <c r="M1273" i="13" s="1"/>
  <c r="M1274" i="13" s="1"/>
  <c r="M1275" i="13" s="1"/>
  <c r="M1276" i="13" s="1"/>
  <c r="M1277" i="13" s="1"/>
  <c r="M1278" i="13" s="1"/>
  <c r="M1279" i="13" s="1"/>
  <c r="M1280" i="13" s="1"/>
  <c r="M1281" i="13" s="1"/>
  <c r="M1282" i="13" s="1"/>
  <c r="M1283" i="13" s="1"/>
  <c r="M1284" i="13" s="1"/>
  <c r="M1285" i="13" s="1"/>
  <c r="M1286" i="13" s="1"/>
  <c r="M1287" i="13" s="1"/>
  <c r="M1288" i="13" s="1"/>
  <c r="M1289" i="13" s="1"/>
  <c r="M1290" i="13" s="1"/>
  <c r="M1291" i="13" s="1"/>
  <c r="M1292" i="13" s="1"/>
  <c r="M1293" i="13" s="1"/>
  <c r="M1294" i="13" s="1"/>
  <c r="M1295" i="13" s="1"/>
  <c r="M1296" i="13" s="1"/>
  <c r="M1297" i="13" s="1"/>
  <c r="M1298" i="13" s="1"/>
  <c r="M1299" i="13" s="1"/>
  <c r="M1300" i="13" s="1"/>
  <c r="M1301" i="13" s="1"/>
  <c r="M1302" i="13" s="1"/>
  <c r="M1303" i="13" s="1"/>
  <c r="M1304" i="13" s="1"/>
  <c r="M1305" i="13" s="1"/>
  <c r="M1306" i="13" s="1"/>
  <c r="M1307" i="13" s="1"/>
  <c r="M1308" i="13" s="1"/>
  <c r="M1309" i="13" s="1"/>
  <c r="M1310" i="13" s="1"/>
  <c r="M1311" i="13" s="1"/>
  <c r="M1312" i="13" s="1"/>
  <c r="M1313" i="13" s="1"/>
  <c r="M1314" i="13" s="1"/>
  <c r="M1315" i="13" s="1"/>
  <c r="M1316" i="13" s="1"/>
  <c r="M1317" i="13" s="1"/>
  <c r="M1318" i="13" s="1"/>
  <c r="M1319" i="13" s="1"/>
  <c r="M1320" i="13" s="1"/>
  <c r="M1321" i="13" s="1"/>
  <c r="M1322" i="13" s="1"/>
  <c r="M1323" i="13" s="1"/>
  <c r="M1324" i="13" s="1"/>
  <c r="M1325" i="13" s="1"/>
  <c r="M1326" i="13" s="1"/>
  <c r="M1327" i="13" s="1"/>
  <c r="M1328" i="13" s="1"/>
  <c r="M1329" i="13" s="1"/>
  <c r="M1330" i="13" s="1"/>
  <c r="M1331" i="13" s="1"/>
  <c r="M1332" i="13" s="1"/>
  <c r="M1333" i="13" s="1"/>
  <c r="M1334" i="13" s="1"/>
  <c r="M1335" i="13" s="1"/>
  <c r="M1336" i="13" s="1"/>
  <c r="M1337" i="13" s="1"/>
  <c r="M1338" i="13" s="1"/>
  <c r="M1339" i="13" s="1"/>
  <c r="M1340" i="13" s="1"/>
  <c r="M1341" i="13" s="1"/>
  <c r="M1342" i="13" s="1"/>
  <c r="M1343" i="13" s="1"/>
  <c r="M1344" i="13" s="1"/>
  <c r="M1345" i="13" s="1"/>
  <c r="M1346" i="13" s="1"/>
  <c r="M1347" i="13" s="1"/>
  <c r="M1348" i="13" s="1"/>
  <c r="M1349" i="13" s="1"/>
  <c r="M1350" i="13" s="1"/>
  <c r="M1351" i="13" s="1"/>
  <c r="M1352" i="13" s="1"/>
  <c r="M1353" i="13" s="1"/>
  <c r="M1354" i="13" s="1"/>
  <c r="M1355" i="13" s="1"/>
  <c r="M1356" i="13" s="1"/>
  <c r="M1357" i="13" s="1"/>
  <c r="M1358" i="13" s="1"/>
  <c r="M1359" i="13" s="1"/>
  <c r="M1360" i="13" s="1"/>
  <c r="M1361" i="13" s="1"/>
  <c r="M1362" i="13" s="1"/>
  <c r="M1363" i="13" s="1"/>
  <c r="M1364" i="13" s="1"/>
  <c r="M1365" i="13" s="1"/>
  <c r="M1366" i="13" s="1"/>
  <c r="M1367" i="13" s="1"/>
  <c r="M1368" i="13" s="1"/>
  <c r="M1369" i="13" s="1"/>
  <c r="M1370" i="13" s="1"/>
  <c r="M1371" i="13" s="1"/>
  <c r="M1372" i="13" s="1"/>
  <c r="M1373" i="13" s="1"/>
  <c r="M1374" i="13" s="1"/>
  <c r="M1375" i="13" s="1"/>
  <c r="M1376" i="13" s="1"/>
  <c r="M1377" i="13" s="1"/>
  <c r="M1378" i="13" s="1"/>
  <c r="M1379" i="13" s="1"/>
  <c r="M1380" i="13" s="1"/>
  <c r="M1381" i="13" s="1"/>
  <c r="M1382" i="13" s="1"/>
  <c r="M1383" i="13" s="1"/>
  <c r="M1384" i="13" s="1"/>
  <c r="M1385" i="13" s="1"/>
  <c r="M1386" i="13" s="1"/>
  <c r="M1387" i="13" s="1"/>
  <c r="M1388" i="13" s="1"/>
  <c r="M1389" i="13" s="1"/>
  <c r="M1390" i="13" s="1"/>
  <c r="M1391" i="13" s="1"/>
  <c r="M1392" i="13" s="1"/>
  <c r="M1393" i="13" s="1"/>
  <c r="M1394" i="13" s="1"/>
  <c r="M1395" i="13" s="1"/>
  <c r="M1396" i="13" s="1"/>
  <c r="M1397" i="13" s="1"/>
  <c r="M1398" i="13" s="1"/>
  <c r="M1399" i="13" s="1"/>
  <c r="M1400" i="13" s="1"/>
  <c r="M1401" i="13" s="1"/>
  <c r="M1402" i="13" s="1"/>
  <c r="M1403" i="13" s="1"/>
  <c r="M1404" i="13" s="1"/>
  <c r="M1405" i="13" s="1"/>
  <c r="M1406" i="13" s="1"/>
  <c r="M1407" i="13" s="1"/>
  <c r="M1408" i="13" s="1"/>
  <c r="M1409" i="13" s="1"/>
  <c r="M1410" i="13" s="1"/>
  <c r="M1411" i="13" s="1"/>
  <c r="M1412" i="13" s="1"/>
  <c r="M1413" i="13" s="1"/>
  <c r="M1414" i="13" s="1"/>
  <c r="M1415" i="13" s="1"/>
  <c r="M1416" i="13" s="1"/>
  <c r="M1417" i="13" s="1"/>
  <c r="M1418" i="13" s="1"/>
  <c r="M1419" i="13" s="1"/>
  <c r="M1420" i="13" s="1"/>
  <c r="M1421" i="13" s="1"/>
  <c r="M1422" i="13" s="1"/>
  <c r="M1423" i="13" s="1"/>
  <c r="M1424" i="13" s="1"/>
  <c r="M1425" i="13" s="1"/>
  <c r="M1426" i="13" s="1"/>
  <c r="M1427" i="13" s="1"/>
  <c r="M1428" i="13" s="1"/>
  <c r="M1429" i="13" s="1"/>
  <c r="M1430" i="13" s="1"/>
  <c r="M1431" i="13" s="1"/>
  <c r="M1432" i="13" s="1"/>
  <c r="M1433" i="13" s="1"/>
  <c r="M1434" i="13" s="1"/>
  <c r="M1435" i="13" s="1"/>
  <c r="M1436" i="13" s="1"/>
  <c r="M1437" i="13" s="1"/>
  <c r="M1438" i="13" s="1"/>
  <c r="M1439" i="13" s="1"/>
  <c r="M1440" i="13" s="1"/>
  <c r="M1441" i="13" s="1"/>
  <c r="M1442" i="13" s="1"/>
  <c r="M1443" i="13" s="1"/>
  <c r="M1444" i="13" s="1"/>
  <c r="M1445" i="13" s="1"/>
  <c r="M1446" i="13" s="1"/>
  <c r="M1447" i="13" s="1"/>
  <c r="M1448" i="13" s="1"/>
  <c r="M1449" i="13" s="1"/>
  <c r="M1450" i="13" s="1"/>
  <c r="M1451" i="13" s="1"/>
  <c r="M1452" i="13" s="1"/>
  <c r="M1453" i="13" s="1"/>
  <c r="M1454" i="13" s="1"/>
  <c r="M1455" i="13" s="1"/>
  <c r="M1456" i="13" s="1"/>
  <c r="M1457" i="13" s="1"/>
  <c r="M1458" i="13" s="1"/>
  <c r="M1459" i="13" s="1"/>
  <c r="M1460" i="13" s="1"/>
  <c r="M1461" i="13" s="1"/>
  <c r="M1462" i="13" s="1"/>
  <c r="M1463" i="13" s="1"/>
  <c r="M1464" i="13" s="1"/>
  <c r="M1465" i="13" s="1"/>
  <c r="M1466" i="13" s="1"/>
  <c r="M1467" i="13" s="1"/>
  <c r="M1468" i="13" s="1"/>
  <c r="M1469" i="13" s="1"/>
  <c r="M1470" i="13" s="1"/>
  <c r="M1471" i="13" s="1"/>
  <c r="M1472" i="13" s="1"/>
  <c r="M1473" i="13" s="1"/>
  <c r="M1474" i="13" s="1"/>
  <c r="M1475" i="13" s="1"/>
  <c r="M1476" i="13" s="1"/>
  <c r="M1477" i="13" s="1"/>
  <c r="M1478" i="13" s="1"/>
  <c r="M1479" i="13" s="1"/>
  <c r="M1480" i="13" s="1"/>
  <c r="M1481" i="13" s="1"/>
  <c r="M1482" i="13" s="1"/>
  <c r="M1483" i="13" s="1"/>
  <c r="M1484" i="13" s="1"/>
  <c r="M1485" i="13" s="1"/>
  <c r="M1486" i="13" s="1"/>
  <c r="M1487" i="13" s="1"/>
  <c r="M1488" i="13" s="1"/>
  <c r="M1489" i="13" s="1"/>
  <c r="M1490" i="13" s="1"/>
  <c r="M1491" i="13" s="1"/>
  <c r="M1492" i="13" s="1"/>
  <c r="M1493" i="13" s="1"/>
  <c r="M1494" i="13" s="1"/>
  <c r="M1495" i="13" s="1"/>
  <c r="M1496" i="13" s="1"/>
  <c r="M1497" i="13" s="1"/>
  <c r="M1498" i="13" s="1"/>
  <c r="M1499" i="13" s="1"/>
  <c r="M1500" i="13" s="1"/>
  <c r="M1501" i="13" s="1"/>
  <c r="M1502" i="13" s="1"/>
  <c r="M1503" i="13" s="1"/>
  <c r="M1504" i="13" s="1"/>
  <c r="M1505" i="13" s="1"/>
  <c r="M1506" i="13" s="1"/>
  <c r="M1507" i="13" s="1"/>
  <c r="M1508" i="13" s="1"/>
  <c r="M1509" i="13" s="1"/>
  <c r="M1510" i="13" s="1"/>
  <c r="M1511" i="13" s="1"/>
  <c r="M1512" i="13" s="1"/>
  <c r="M1513" i="13" s="1"/>
  <c r="M1514" i="13" s="1"/>
  <c r="M1515" i="13" s="1"/>
  <c r="M1516" i="13" s="1"/>
  <c r="M1517" i="13" s="1"/>
  <c r="M1518" i="13" s="1"/>
  <c r="M1519" i="13" s="1"/>
  <c r="M1520" i="13" s="1"/>
  <c r="M1521" i="13" s="1"/>
  <c r="M1522" i="13" s="1"/>
  <c r="M1523" i="13" s="1"/>
  <c r="M1524" i="13" s="1"/>
  <c r="M1525" i="13" s="1"/>
  <c r="M1526" i="13" s="1"/>
  <c r="M1527" i="13" s="1"/>
  <c r="M1528" i="13" s="1"/>
  <c r="M1529" i="13" s="1"/>
  <c r="M1530" i="13" s="1"/>
  <c r="M1531" i="13" s="1"/>
  <c r="M1532" i="13" s="1"/>
  <c r="M1533" i="13" s="1"/>
  <c r="M1534" i="13" s="1"/>
  <c r="M1535" i="13" s="1"/>
  <c r="M1536" i="13" s="1"/>
  <c r="M1537" i="13" s="1"/>
  <c r="M1538" i="13" s="1"/>
  <c r="M1539" i="13" s="1"/>
  <c r="M1540" i="13" s="1"/>
  <c r="M1541" i="13" s="1"/>
  <c r="M1542" i="13" s="1"/>
  <c r="M1543" i="13" s="1"/>
  <c r="M1544" i="13" s="1"/>
  <c r="M1545" i="13" s="1"/>
  <c r="M1546" i="13" s="1"/>
  <c r="M1547" i="13" s="1"/>
  <c r="M1548" i="13" s="1"/>
  <c r="M1549" i="13" s="1"/>
  <c r="M1550" i="13" s="1"/>
  <c r="M1551" i="13" s="1"/>
  <c r="M1552" i="13" s="1"/>
  <c r="M1553" i="13" s="1"/>
  <c r="M1554" i="13" s="1"/>
  <c r="M1555" i="13" s="1"/>
  <c r="M1556" i="13" s="1"/>
  <c r="M1557" i="13" s="1"/>
  <c r="M1558" i="13" s="1"/>
  <c r="M1559" i="13" s="1"/>
  <c r="M1560" i="13" s="1"/>
  <c r="M1561" i="13" s="1"/>
  <c r="M1562" i="13" s="1"/>
  <c r="M1563" i="13" s="1"/>
  <c r="M1564" i="13" s="1"/>
  <c r="M1565" i="13" s="1"/>
  <c r="M1566" i="13" s="1"/>
  <c r="M1567" i="13" s="1"/>
  <c r="M1568" i="13" s="1"/>
  <c r="M1569" i="13" s="1"/>
  <c r="M1570" i="13" s="1"/>
  <c r="M1571" i="13" s="1"/>
  <c r="M1572" i="13" s="1"/>
  <c r="M1573" i="13" s="1"/>
  <c r="M1574" i="13" s="1"/>
  <c r="M1575" i="13" s="1"/>
  <c r="M1576" i="13" s="1"/>
  <c r="M1577" i="13" s="1"/>
  <c r="M1578" i="13" s="1"/>
  <c r="M1579" i="13" s="1"/>
  <c r="M1580" i="13" s="1"/>
  <c r="M1581" i="13" s="1"/>
  <c r="M1582" i="13" s="1"/>
  <c r="M1583" i="13" s="1"/>
  <c r="M1584" i="13" s="1"/>
  <c r="M1585" i="13" s="1"/>
  <c r="M1586" i="13" s="1"/>
  <c r="M1587" i="13" s="1"/>
  <c r="M1588" i="13" s="1"/>
  <c r="M1589" i="13" s="1"/>
  <c r="M1590" i="13" s="1"/>
  <c r="M1591" i="13" s="1"/>
  <c r="M1592" i="13" s="1"/>
  <c r="M1593" i="13" s="1"/>
  <c r="M1594" i="13" s="1"/>
  <c r="M1595" i="13" s="1"/>
  <c r="M1596" i="13" s="1"/>
  <c r="M1597" i="13" s="1"/>
  <c r="M1598" i="13" s="1"/>
  <c r="M1599" i="13" s="1"/>
  <c r="M1600" i="13" s="1"/>
  <c r="M1601" i="13" s="1"/>
  <c r="M1602" i="13" s="1"/>
  <c r="M1603" i="13" s="1"/>
  <c r="M1604" i="13" s="1"/>
  <c r="M1605" i="13" s="1"/>
  <c r="M1606" i="13" s="1"/>
  <c r="M1607" i="13" s="1"/>
  <c r="M1608" i="13" s="1"/>
  <c r="M1609" i="13" s="1"/>
  <c r="M1610" i="13" s="1"/>
  <c r="M1611" i="13" s="1"/>
  <c r="M1612" i="13" s="1"/>
  <c r="M1613" i="13" s="1"/>
  <c r="M1614" i="13" s="1"/>
  <c r="M1615" i="13" s="1"/>
  <c r="M1616" i="13" s="1"/>
  <c r="M1617" i="13" s="1"/>
  <c r="M1618" i="13" s="1"/>
  <c r="M1619" i="13" s="1"/>
  <c r="M1620" i="13" s="1"/>
  <c r="M1621" i="13" s="1"/>
  <c r="M1622" i="13" s="1"/>
  <c r="M1623" i="13" s="1"/>
  <c r="M1624" i="13" s="1"/>
  <c r="M1625" i="13" s="1"/>
  <c r="M1626" i="13" s="1"/>
  <c r="M1627" i="13" s="1"/>
  <c r="M1628" i="13" s="1"/>
  <c r="M1629" i="13" s="1"/>
  <c r="M1630" i="13" s="1"/>
  <c r="M1631" i="13" s="1"/>
  <c r="M1632" i="13" s="1"/>
  <c r="M1633" i="13" s="1"/>
  <c r="M1634" i="13" s="1"/>
  <c r="M1635" i="13" s="1"/>
  <c r="M1636" i="13" s="1"/>
  <c r="M1637" i="13" s="1"/>
  <c r="M1638" i="13" s="1"/>
  <c r="M1639" i="13" s="1"/>
  <c r="M1640" i="13" s="1"/>
  <c r="M1641" i="13" s="1"/>
  <c r="M1642" i="13" s="1"/>
  <c r="M1643" i="13" s="1"/>
  <c r="M1644" i="13" s="1"/>
  <c r="M1645" i="13" s="1"/>
  <c r="M1646" i="13" s="1"/>
  <c r="M1647" i="13" s="1"/>
  <c r="M1648" i="13" s="1"/>
  <c r="M1649" i="13" s="1"/>
  <c r="M1650" i="13" s="1"/>
  <c r="M1651" i="13" s="1"/>
  <c r="M1652" i="13" s="1"/>
  <c r="M1653" i="13" s="1"/>
  <c r="M1654" i="13" s="1"/>
  <c r="M1655" i="13" s="1"/>
  <c r="M1656" i="13" s="1"/>
  <c r="M1657" i="13" s="1"/>
  <c r="M1658" i="13" s="1"/>
  <c r="M1659" i="13" s="1"/>
  <c r="M1660" i="13" s="1"/>
  <c r="M1661" i="13" s="1"/>
  <c r="M1662" i="13" s="1"/>
  <c r="M1663" i="13" s="1"/>
  <c r="M1664" i="13" s="1"/>
  <c r="M1665" i="13" s="1"/>
  <c r="M1666" i="13" s="1"/>
  <c r="M1667" i="13" s="1"/>
  <c r="M1668" i="13" s="1"/>
  <c r="M1669" i="13" s="1"/>
  <c r="M1670" i="13" s="1"/>
  <c r="M1671" i="13" s="1"/>
  <c r="M1672" i="13" s="1"/>
  <c r="M1673" i="13" s="1"/>
  <c r="M1674" i="13" s="1"/>
  <c r="M1675" i="13" s="1"/>
  <c r="M1676" i="13" s="1"/>
  <c r="M1677" i="13" s="1"/>
  <c r="M1678" i="13" s="1"/>
  <c r="M1679" i="13" s="1"/>
  <c r="M1680" i="13" s="1"/>
  <c r="M1681" i="13" s="1"/>
  <c r="M1682" i="13" s="1"/>
  <c r="M1683" i="13" s="1"/>
  <c r="M1684" i="13" s="1"/>
  <c r="M1685" i="13" s="1"/>
  <c r="M1686" i="13" s="1"/>
  <c r="M1687" i="13" s="1"/>
  <c r="M1688" i="13" s="1"/>
  <c r="M1689" i="13" s="1"/>
  <c r="M1690" i="13" s="1"/>
  <c r="M1691" i="13" s="1"/>
  <c r="M1692" i="13" s="1"/>
  <c r="M1693" i="13" s="1"/>
  <c r="M1694" i="13" s="1"/>
  <c r="M1695" i="13" s="1"/>
  <c r="M1696" i="13" s="1"/>
  <c r="M1697" i="13" s="1"/>
  <c r="M1698" i="13" s="1"/>
  <c r="M1699" i="13" s="1"/>
  <c r="M1700" i="13" s="1"/>
  <c r="M1701" i="13" s="1"/>
  <c r="M1702" i="13" s="1"/>
  <c r="M1703" i="13" s="1"/>
  <c r="M1704" i="13" s="1"/>
  <c r="M1705" i="13" s="1"/>
  <c r="M1706" i="13" s="1"/>
  <c r="M1707" i="13" s="1"/>
  <c r="M1708" i="13" s="1"/>
  <c r="M1709" i="13" s="1"/>
  <c r="M1710" i="13" s="1"/>
  <c r="M1711" i="13" s="1"/>
  <c r="M1712" i="13" s="1"/>
  <c r="M1713" i="13" s="1"/>
  <c r="M1714" i="13" s="1"/>
  <c r="M1715" i="13" s="1"/>
  <c r="M1716" i="13" s="1"/>
  <c r="M1717" i="13" s="1"/>
  <c r="M1718" i="13" s="1"/>
  <c r="M1719" i="13" s="1"/>
  <c r="M1720" i="13" s="1"/>
  <c r="M1721" i="13" s="1"/>
  <c r="M1722" i="13" s="1"/>
  <c r="M1723" i="13" s="1"/>
  <c r="M1724" i="13" s="1"/>
  <c r="M1725" i="13" s="1"/>
  <c r="M1726" i="13" s="1"/>
  <c r="M1727" i="13" s="1"/>
  <c r="M1728" i="13" s="1"/>
  <c r="M1729" i="13" s="1"/>
  <c r="M1730" i="13" s="1"/>
  <c r="M1731" i="13" s="1"/>
  <c r="M1732" i="13" s="1"/>
  <c r="M1733" i="13" s="1"/>
  <c r="M1734" i="13" s="1"/>
  <c r="M1735" i="13" s="1"/>
  <c r="M1736" i="13" s="1"/>
  <c r="M1737" i="13" s="1"/>
  <c r="M1738" i="13" s="1"/>
  <c r="M1739" i="13" s="1"/>
  <c r="M1740" i="13" s="1"/>
  <c r="M1741" i="13" s="1"/>
  <c r="M1742" i="13" s="1"/>
  <c r="M1743" i="13" s="1"/>
  <c r="M1744" i="13" s="1"/>
  <c r="M1745" i="13" s="1"/>
  <c r="M1746" i="13" s="1"/>
  <c r="M1747" i="13" s="1"/>
  <c r="M1748" i="13" s="1"/>
  <c r="M1749" i="13" s="1"/>
  <c r="M1750" i="13" s="1"/>
  <c r="M1751" i="13" s="1"/>
  <c r="M1752" i="13" s="1"/>
  <c r="M1753" i="13" s="1"/>
  <c r="M1754" i="13" s="1"/>
  <c r="M1755" i="13" s="1"/>
  <c r="M1756" i="13" s="1"/>
  <c r="M1757" i="13" s="1"/>
  <c r="M1758" i="13" s="1"/>
  <c r="M1759" i="13" s="1"/>
  <c r="M1760" i="13" s="1"/>
  <c r="M1761" i="13" s="1"/>
  <c r="M1762" i="13" s="1"/>
  <c r="M1763" i="13" s="1"/>
  <c r="M1764" i="13" s="1"/>
  <c r="M1765" i="13" s="1"/>
  <c r="M1766" i="13" s="1"/>
  <c r="M1767" i="13" s="1"/>
  <c r="M1768" i="13" s="1"/>
  <c r="M1769" i="13" s="1"/>
  <c r="M1770" i="13" s="1"/>
  <c r="M1771" i="13" s="1"/>
  <c r="M1772" i="13" s="1"/>
  <c r="M1773" i="13" s="1"/>
  <c r="M1774" i="13" s="1"/>
  <c r="M1775" i="13" s="1"/>
  <c r="M1776" i="13" s="1"/>
  <c r="M1777" i="13" s="1"/>
  <c r="M1778" i="13" s="1"/>
  <c r="M1779" i="13" s="1"/>
  <c r="M1780" i="13" s="1"/>
  <c r="M1781" i="13" s="1"/>
  <c r="M1782" i="13" s="1"/>
  <c r="M1783" i="13" s="1"/>
  <c r="M1784" i="13" s="1"/>
  <c r="M1785" i="13" s="1"/>
  <c r="M1786" i="13" s="1"/>
  <c r="M1787" i="13" s="1"/>
  <c r="M1788" i="13" s="1"/>
  <c r="M1789" i="13" s="1"/>
  <c r="M1790" i="13" s="1"/>
  <c r="M1791" i="13" s="1"/>
  <c r="M1792" i="13" s="1"/>
  <c r="M1793" i="13" s="1"/>
  <c r="M1794" i="13" s="1"/>
  <c r="M1795" i="13" s="1"/>
  <c r="M1796" i="13" s="1"/>
  <c r="M1797" i="13" s="1"/>
  <c r="M1798" i="13" s="1"/>
  <c r="M1799" i="13" s="1"/>
  <c r="M1800" i="13" s="1"/>
  <c r="M1801" i="13" s="1"/>
  <c r="M1802" i="13" s="1"/>
  <c r="M1803" i="13" s="1"/>
  <c r="M1804" i="13" s="1"/>
  <c r="M1805" i="13" s="1"/>
  <c r="M1806" i="13" s="1"/>
  <c r="M1807" i="13" s="1"/>
  <c r="M1808" i="13" s="1"/>
  <c r="M1809" i="13" s="1"/>
  <c r="M1810" i="13" s="1"/>
  <c r="M1811" i="13" s="1"/>
  <c r="M1812" i="13" s="1"/>
  <c r="M1813" i="13" s="1"/>
  <c r="M1814" i="13" s="1"/>
  <c r="M1815" i="13" s="1"/>
  <c r="M1816" i="13" s="1"/>
  <c r="M1817" i="13" s="1"/>
  <c r="M1818" i="13" s="1"/>
  <c r="M1819" i="13" s="1"/>
  <c r="M1820" i="13" s="1"/>
  <c r="M1821" i="13" s="1"/>
  <c r="M1822" i="13" s="1"/>
  <c r="M1823" i="13" s="1"/>
  <c r="M1824" i="13" s="1"/>
  <c r="M1825" i="13" s="1"/>
  <c r="M1826" i="13" s="1"/>
  <c r="M1827" i="13" s="1"/>
  <c r="M1828" i="13" s="1"/>
  <c r="M1829" i="13" s="1"/>
  <c r="M1830" i="13" s="1"/>
  <c r="M1831" i="13" s="1"/>
  <c r="M1832" i="13" s="1"/>
  <c r="M1833" i="13" s="1"/>
  <c r="M1834" i="13" s="1"/>
  <c r="M1835" i="13" s="1"/>
  <c r="M1836" i="13" s="1"/>
  <c r="M1837" i="13" s="1"/>
  <c r="M1838" i="13" s="1"/>
  <c r="M1839" i="13" s="1"/>
  <c r="M1840" i="13" s="1"/>
  <c r="M1841" i="13" s="1"/>
  <c r="M1842" i="13" s="1"/>
  <c r="M1843" i="13" s="1"/>
  <c r="M1844" i="13" s="1"/>
  <c r="M1845" i="13" s="1"/>
  <c r="M1846" i="13" s="1"/>
  <c r="M1847" i="13" s="1"/>
  <c r="M1848" i="13" s="1"/>
  <c r="M1849" i="13" s="1"/>
  <c r="M1850" i="13" s="1"/>
  <c r="M1851" i="13" s="1"/>
  <c r="M1852" i="13" s="1"/>
  <c r="M1853" i="13" s="1"/>
  <c r="M1854" i="13" s="1"/>
  <c r="M1855" i="13" s="1"/>
  <c r="M1856" i="13" s="1"/>
  <c r="M1857" i="13" s="1"/>
  <c r="M1858" i="13" s="1"/>
  <c r="M1859" i="13" s="1"/>
  <c r="M1860" i="13" s="1"/>
  <c r="M1861" i="13" s="1"/>
  <c r="M1862" i="13" s="1"/>
  <c r="M1863" i="13" s="1"/>
  <c r="M1864" i="13" s="1"/>
  <c r="M1865" i="13" s="1"/>
  <c r="M1866" i="13" s="1"/>
  <c r="M1867" i="13" s="1"/>
  <c r="M1868" i="13" s="1"/>
  <c r="M1869" i="13" s="1"/>
  <c r="M1870" i="13" s="1"/>
  <c r="M1871" i="13" s="1"/>
  <c r="M1872" i="13" s="1"/>
  <c r="M1873" i="13" s="1"/>
  <c r="M1874" i="13" s="1"/>
  <c r="M1875" i="13" s="1"/>
  <c r="M1876" i="13" s="1"/>
  <c r="M1877" i="13" s="1"/>
  <c r="M1878" i="13" s="1"/>
  <c r="M1879" i="13" s="1"/>
  <c r="M1880" i="13" s="1"/>
  <c r="M1881" i="13" s="1"/>
  <c r="M1882" i="13" s="1"/>
  <c r="M1883" i="13" s="1"/>
  <c r="M1884" i="13" s="1"/>
  <c r="M1885" i="13" s="1"/>
  <c r="M1886" i="13" s="1"/>
  <c r="M1887" i="13" s="1"/>
  <c r="M1888" i="13" s="1"/>
  <c r="M1889" i="13" s="1"/>
  <c r="M1890" i="13" s="1"/>
  <c r="M1891" i="13" s="1"/>
  <c r="M1892" i="13" s="1"/>
  <c r="M1893" i="13" s="1"/>
  <c r="M1894" i="13" s="1"/>
  <c r="M1895" i="13" s="1"/>
  <c r="M1896" i="13" s="1"/>
  <c r="M1897" i="13" s="1"/>
  <c r="M1898" i="13" s="1"/>
  <c r="M1899" i="13" s="1"/>
  <c r="M1900" i="13" s="1"/>
  <c r="M1901" i="13" s="1"/>
  <c r="M1902" i="13" s="1"/>
  <c r="M1903" i="13" s="1"/>
  <c r="M1904" i="13" s="1"/>
  <c r="M1905" i="13" s="1"/>
  <c r="M1906" i="13" s="1"/>
  <c r="M1907" i="13" s="1"/>
  <c r="M1908" i="13" s="1"/>
  <c r="M1909" i="13" s="1"/>
  <c r="M1910" i="13" s="1"/>
  <c r="M1911" i="13" s="1"/>
  <c r="M1912" i="13" s="1"/>
  <c r="M1913" i="13" s="1"/>
  <c r="M1914" i="13" s="1"/>
  <c r="M1915" i="13" s="1"/>
  <c r="M1916" i="13" s="1"/>
  <c r="M1917" i="13" s="1"/>
  <c r="M1918" i="13" s="1"/>
  <c r="M1919" i="13" s="1"/>
  <c r="M1920" i="13" s="1"/>
  <c r="M1921" i="13" s="1"/>
  <c r="M1922" i="13" s="1"/>
  <c r="M1923" i="13" s="1"/>
  <c r="M1924" i="13" s="1"/>
  <c r="M1925" i="13" s="1"/>
  <c r="M1926" i="13" s="1"/>
  <c r="M1927" i="13" s="1"/>
  <c r="M1928" i="13" s="1"/>
  <c r="M1929" i="13" s="1"/>
  <c r="M1930" i="13" s="1"/>
  <c r="M1931" i="13" s="1"/>
  <c r="M1932" i="13" s="1"/>
  <c r="M1933" i="13" s="1"/>
  <c r="M1934" i="13" s="1"/>
  <c r="M1935" i="13" s="1"/>
  <c r="M1936" i="13" s="1"/>
  <c r="M1937" i="13" s="1"/>
  <c r="M1938" i="13" s="1"/>
  <c r="M1939" i="13" s="1"/>
  <c r="M1940" i="13" s="1"/>
  <c r="M1941" i="13" s="1"/>
  <c r="M1942" i="13" s="1"/>
  <c r="M1943" i="13" s="1"/>
  <c r="M1944" i="13" s="1"/>
  <c r="M1945" i="13" s="1"/>
  <c r="M1946" i="13" s="1"/>
  <c r="M1947" i="13" s="1"/>
  <c r="M1948" i="13" s="1"/>
  <c r="M1949" i="13" s="1"/>
  <c r="M1950" i="13" s="1"/>
  <c r="M1951" i="13" s="1"/>
  <c r="M1952" i="13" s="1"/>
  <c r="M1953" i="13" s="1"/>
  <c r="M1954" i="13" s="1"/>
  <c r="M1955" i="13" s="1"/>
  <c r="M1956" i="13" s="1"/>
  <c r="M1957" i="13" s="1"/>
  <c r="M1958" i="13" s="1"/>
  <c r="M1959" i="13" s="1"/>
  <c r="M1960" i="13" s="1"/>
  <c r="M1961" i="13" s="1"/>
  <c r="M1962" i="13" s="1"/>
  <c r="M1963" i="13" s="1"/>
  <c r="M1964" i="13" s="1"/>
  <c r="M1965" i="13" s="1"/>
  <c r="M1966" i="13" s="1"/>
  <c r="M1967" i="13" s="1"/>
  <c r="M1968" i="13" s="1"/>
  <c r="M1969" i="13" s="1"/>
  <c r="M1970" i="13" s="1"/>
  <c r="M1971" i="13" s="1"/>
  <c r="M1972" i="13" s="1"/>
  <c r="M1973" i="13" s="1"/>
  <c r="M1974" i="13" s="1"/>
  <c r="M1975" i="13" s="1"/>
  <c r="M1976" i="13" s="1"/>
  <c r="M1977" i="13" s="1"/>
  <c r="M1978" i="13" s="1"/>
  <c r="M1979" i="13" s="1"/>
  <c r="M1980" i="13" s="1"/>
  <c r="M1981" i="13" s="1"/>
  <c r="M1982" i="13" s="1"/>
  <c r="M1983" i="13" s="1"/>
  <c r="M1984" i="13" s="1"/>
  <c r="M1985" i="13" s="1"/>
  <c r="M1986" i="13" s="1"/>
  <c r="M1987" i="13" s="1"/>
  <c r="M1988" i="13" s="1"/>
  <c r="M1989" i="13" s="1"/>
  <c r="M1990" i="13" s="1"/>
  <c r="M1991" i="13" s="1"/>
  <c r="M1992" i="13" s="1"/>
  <c r="M1993" i="13" s="1"/>
  <c r="M1994" i="13" s="1"/>
  <c r="M1995" i="13" s="1"/>
  <c r="M1996" i="13" s="1"/>
  <c r="M1997" i="13" s="1"/>
  <c r="M1998" i="13" s="1"/>
  <c r="M1999" i="13" s="1"/>
  <c r="M2000" i="13" s="1"/>
  <c r="M2001" i="13" s="1"/>
  <c r="M2002" i="13" s="1"/>
  <c r="M2003" i="13" s="1"/>
  <c r="M2004" i="13" s="1"/>
  <c r="M2005" i="13" s="1"/>
  <c r="M2006" i="13" s="1"/>
  <c r="M2007" i="13" s="1"/>
  <c r="M2008" i="13" s="1"/>
  <c r="M2009" i="13" s="1"/>
  <c r="M2010" i="13" s="1"/>
  <c r="M2011" i="13" s="1"/>
  <c r="M2012" i="13" s="1"/>
  <c r="M2013" i="13" s="1"/>
  <c r="M2014" i="13" s="1"/>
  <c r="M2015" i="13" s="1"/>
  <c r="M2016" i="13" s="1"/>
  <c r="M2017" i="13" s="1"/>
  <c r="M2018" i="13" s="1"/>
  <c r="M2019" i="13" s="1"/>
  <c r="M2020" i="13" s="1"/>
  <c r="M2021" i="13" s="1"/>
  <c r="M2022" i="13" s="1"/>
  <c r="M2023" i="13" s="1"/>
  <c r="M2024" i="13" s="1"/>
  <c r="M2025" i="13" s="1"/>
  <c r="M2026" i="13" s="1"/>
  <c r="M2027" i="13" s="1"/>
  <c r="M2028" i="13" s="1"/>
  <c r="M2029" i="13" s="1"/>
  <c r="M2030" i="13" s="1"/>
  <c r="M2031" i="13" s="1"/>
  <c r="M2032" i="13" s="1"/>
  <c r="M2033" i="13" s="1"/>
  <c r="M2034" i="13" s="1"/>
  <c r="M2035" i="13" s="1"/>
  <c r="M2036" i="13" s="1"/>
  <c r="M2037" i="13" s="1"/>
  <c r="M2038" i="13" s="1"/>
  <c r="M2039" i="13" s="1"/>
  <c r="M2040" i="13" s="1"/>
  <c r="M2041" i="13" s="1"/>
  <c r="M2042" i="13" s="1"/>
  <c r="M2043" i="13" s="1"/>
  <c r="M2044" i="13" s="1"/>
  <c r="M2045" i="13" s="1"/>
  <c r="M2046" i="13" s="1"/>
  <c r="M2047" i="13" s="1"/>
  <c r="M2048" i="13" s="1"/>
  <c r="M2049" i="13" s="1"/>
  <c r="M2050" i="13" s="1"/>
  <c r="M2051" i="13" s="1"/>
  <c r="M2052" i="13" s="1"/>
  <c r="M2053" i="13" s="1"/>
  <c r="M2054" i="13" s="1"/>
  <c r="M2055" i="13" s="1"/>
  <c r="M2056" i="13" s="1"/>
  <c r="M2057" i="13" s="1"/>
  <c r="M2058" i="13" s="1"/>
  <c r="M2059" i="13" s="1"/>
  <c r="M2060" i="13" s="1"/>
  <c r="M2061" i="13" s="1"/>
  <c r="M2062" i="13" s="1"/>
  <c r="M2063" i="13" s="1"/>
  <c r="M2064" i="13" s="1"/>
  <c r="M2065" i="13" s="1"/>
  <c r="M2066" i="13" s="1"/>
  <c r="M2067" i="13" s="1"/>
  <c r="M2068" i="13" s="1"/>
  <c r="M2069" i="13" s="1"/>
  <c r="M2070" i="13" s="1"/>
  <c r="M2071" i="13" s="1"/>
  <c r="M2072" i="13" s="1"/>
  <c r="M2073" i="13" s="1"/>
  <c r="M2074" i="13" s="1"/>
  <c r="M2075" i="13" s="1"/>
  <c r="M2076" i="13" s="1"/>
  <c r="M2077" i="13" s="1"/>
  <c r="M2078" i="13" s="1"/>
  <c r="M2079" i="13" s="1"/>
  <c r="M2080" i="13" s="1"/>
  <c r="M2081" i="13" s="1"/>
  <c r="M2082" i="13" s="1"/>
  <c r="M2083" i="13" s="1"/>
  <c r="M2084" i="13" s="1"/>
  <c r="M2085" i="13" s="1"/>
  <c r="M2086" i="13" s="1"/>
  <c r="M2087" i="13" s="1"/>
  <c r="M2088" i="13" s="1"/>
  <c r="M2089" i="13" s="1"/>
  <c r="M2090" i="13" s="1"/>
  <c r="M2091" i="13" s="1"/>
  <c r="M2092" i="13" s="1"/>
  <c r="M2093" i="13" s="1"/>
  <c r="M2094" i="13" s="1"/>
  <c r="M2095" i="13" s="1"/>
  <c r="M2096" i="13" s="1"/>
  <c r="M2097" i="13" s="1"/>
  <c r="M2098" i="13" s="1"/>
  <c r="M2099" i="13" s="1"/>
  <c r="M2100" i="13" s="1"/>
  <c r="M2101" i="13" s="1"/>
  <c r="M2102" i="13" s="1"/>
  <c r="M2103" i="13" s="1"/>
  <c r="M2104" i="13" s="1"/>
  <c r="M2105" i="13" s="1"/>
  <c r="M2106" i="13" s="1"/>
  <c r="M2107" i="13" s="1"/>
  <c r="M2108" i="13" s="1"/>
  <c r="M2109" i="13" s="1"/>
  <c r="M2110" i="13" s="1"/>
  <c r="M2111" i="13" s="1"/>
  <c r="M2112" i="13" s="1"/>
  <c r="M2113" i="13" s="1"/>
  <c r="M2114" i="13" s="1"/>
  <c r="M2115" i="13" s="1"/>
  <c r="M2116" i="13" s="1"/>
  <c r="M2117" i="13" s="1"/>
  <c r="M2118" i="13" s="1"/>
  <c r="M2119" i="13" s="1"/>
  <c r="M2120" i="13" s="1"/>
  <c r="M2121" i="13" s="1"/>
  <c r="M2122" i="13" s="1"/>
  <c r="M2123" i="13" s="1"/>
  <c r="M2124" i="13" s="1"/>
  <c r="M2125" i="13" s="1"/>
  <c r="M2126" i="13" s="1"/>
  <c r="M2127" i="13" s="1"/>
  <c r="M2128" i="13" s="1"/>
  <c r="M2129" i="13" s="1"/>
  <c r="M2130" i="13" s="1"/>
  <c r="M2131" i="13" s="1"/>
  <c r="M2132" i="13" s="1"/>
  <c r="M2133" i="13" s="1"/>
  <c r="M2134" i="13" s="1"/>
  <c r="M2135" i="13" s="1"/>
  <c r="M2136" i="13" s="1"/>
  <c r="M2137" i="13" s="1"/>
  <c r="M2138" i="13" s="1"/>
  <c r="M2139" i="13" s="1"/>
  <c r="M2140" i="13" s="1"/>
  <c r="M2141" i="13" s="1"/>
  <c r="M2142" i="13" s="1"/>
  <c r="M2143" i="13" s="1"/>
  <c r="M2144" i="13" s="1"/>
  <c r="M2145" i="13" s="1"/>
  <c r="M2146" i="13" s="1"/>
  <c r="M2147" i="13" s="1"/>
  <c r="M2148" i="13" s="1"/>
  <c r="M2149" i="13" s="1"/>
  <c r="M2150" i="13" s="1"/>
  <c r="M2151" i="13" s="1"/>
  <c r="M2152" i="13" s="1"/>
  <c r="M2153" i="13" s="1"/>
  <c r="M2154" i="13" s="1"/>
  <c r="M2155" i="13" s="1"/>
  <c r="M2156" i="13" s="1"/>
  <c r="M2157" i="13" s="1"/>
  <c r="M2158" i="13" s="1"/>
  <c r="M2159" i="13" s="1"/>
  <c r="M2160" i="13" s="1"/>
  <c r="M2161" i="13" s="1"/>
  <c r="M2162" i="13" s="1"/>
  <c r="M2163" i="13" s="1"/>
  <c r="M2164" i="13" s="1"/>
  <c r="M2165" i="13" s="1"/>
  <c r="M2166" i="13" s="1"/>
  <c r="M2167" i="13" s="1"/>
  <c r="M2168" i="13" s="1"/>
  <c r="M2169" i="13" s="1"/>
  <c r="M2170" i="13" s="1"/>
  <c r="M2171" i="13" s="1"/>
  <c r="M2172" i="13" s="1"/>
  <c r="M2173" i="13" s="1"/>
  <c r="M2174" i="13" s="1"/>
  <c r="M2175" i="13" s="1"/>
  <c r="M2176" i="13" s="1"/>
  <c r="M2177" i="13" s="1"/>
  <c r="M2178" i="13" s="1"/>
  <c r="M2179" i="13" s="1"/>
  <c r="M2180" i="13" s="1"/>
  <c r="M2181" i="13" s="1"/>
  <c r="M2182" i="13" s="1"/>
  <c r="M2183" i="13" s="1"/>
  <c r="M2184" i="13" s="1"/>
  <c r="M2185" i="13" s="1"/>
  <c r="M2186" i="13" s="1"/>
  <c r="M2187" i="13" s="1"/>
  <c r="M2188" i="13" s="1"/>
  <c r="M2189" i="13" s="1"/>
  <c r="M2190" i="13" s="1"/>
  <c r="M2191" i="13" s="1"/>
  <c r="M2192" i="13" s="1"/>
  <c r="M2193" i="13" s="1"/>
  <c r="M2194" i="13" s="1"/>
  <c r="M2195" i="13" s="1"/>
  <c r="M2196" i="13" s="1"/>
  <c r="M2197" i="13" s="1"/>
  <c r="M2198" i="13" s="1"/>
  <c r="M2199" i="13" s="1"/>
  <c r="M2200" i="13" s="1"/>
  <c r="M2201" i="13" s="1"/>
  <c r="M2202" i="13" s="1"/>
  <c r="M2203" i="13" s="1"/>
  <c r="M2204" i="13" s="1"/>
  <c r="M2205" i="13" s="1"/>
  <c r="M2206" i="13" s="1"/>
  <c r="M2207" i="13" s="1"/>
  <c r="M2208" i="13" s="1"/>
  <c r="M2209" i="13" s="1"/>
  <c r="M2210" i="13" s="1"/>
  <c r="M2211" i="13" s="1"/>
  <c r="M2212" i="13" s="1"/>
  <c r="M2213" i="13" s="1"/>
  <c r="M2214" i="13" s="1"/>
  <c r="M2215" i="13" s="1"/>
  <c r="M2216" i="13" s="1"/>
  <c r="M2217" i="13" s="1"/>
  <c r="M2218" i="13" s="1"/>
  <c r="M2219" i="13" s="1"/>
  <c r="M2220" i="13" s="1"/>
  <c r="M2221" i="13" s="1"/>
  <c r="M2222" i="13" s="1"/>
  <c r="M2223" i="13" s="1"/>
  <c r="M2224" i="13" s="1"/>
  <c r="M2225" i="13" s="1"/>
  <c r="M2226" i="13" s="1"/>
  <c r="M2227" i="13" s="1"/>
  <c r="M2228" i="13" s="1"/>
  <c r="M2229" i="13" s="1"/>
  <c r="M2230" i="13" s="1"/>
  <c r="M2231" i="13" s="1"/>
  <c r="M2232" i="13" s="1"/>
  <c r="M2233" i="13" s="1"/>
  <c r="M2234" i="13" s="1"/>
  <c r="M2235" i="13" s="1"/>
  <c r="M2236" i="13" s="1"/>
  <c r="M2237" i="13" s="1"/>
  <c r="M2238" i="13" s="1"/>
  <c r="M2239" i="13" s="1"/>
  <c r="M2240" i="13" s="1"/>
  <c r="M2241" i="13" s="1"/>
  <c r="M2242" i="13" s="1"/>
  <c r="M2243" i="13" s="1"/>
  <c r="M2244" i="13" s="1"/>
  <c r="M2245" i="13" s="1"/>
  <c r="M2246" i="13" s="1"/>
  <c r="M2247" i="13" s="1"/>
  <c r="M2248" i="13" s="1"/>
  <c r="M2249" i="13" s="1"/>
  <c r="M2250" i="13" s="1"/>
  <c r="M2251" i="13" s="1"/>
  <c r="M2252" i="13" s="1"/>
  <c r="M2253" i="13" s="1"/>
  <c r="M2254" i="13" s="1"/>
  <c r="M2255" i="13" s="1"/>
  <c r="M2256" i="13" s="1"/>
  <c r="M2257" i="13" s="1"/>
  <c r="M2258" i="13" s="1"/>
  <c r="M2259" i="13" s="1"/>
  <c r="M2260" i="13" s="1"/>
  <c r="M2261" i="13" s="1"/>
  <c r="M2262" i="13" s="1"/>
  <c r="M2263" i="13" s="1"/>
  <c r="M2264" i="13" s="1"/>
  <c r="M2265" i="13" s="1"/>
  <c r="M2266" i="13" s="1"/>
  <c r="M2267" i="13" s="1"/>
  <c r="M2268" i="13" s="1"/>
  <c r="M2269" i="13" s="1"/>
  <c r="M2270" i="13" s="1"/>
  <c r="M2271" i="13" s="1"/>
  <c r="M2272" i="13" s="1"/>
  <c r="M2273" i="13" s="1"/>
  <c r="M2274" i="13" s="1"/>
  <c r="M2275" i="13" s="1"/>
  <c r="M2276" i="13" s="1"/>
  <c r="M2277" i="13" s="1"/>
  <c r="M2278" i="13" s="1"/>
  <c r="M2279" i="13" s="1"/>
  <c r="M2280" i="13" s="1"/>
  <c r="M2281" i="13" s="1"/>
  <c r="M2282" i="13" s="1"/>
  <c r="M2283" i="13" s="1"/>
  <c r="M2284" i="13" s="1"/>
  <c r="M2285" i="13" s="1"/>
  <c r="M2286" i="13" s="1"/>
  <c r="M2287" i="13" s="1"/>
  <c r="M2288" i="13" s="1"/>
  <c r="M2289" i="13" s="1"/>
  <c r="M2290" i="13" s="1"/>
  <c r="M2291" i="13" s="1"/>
  <c r="M2292" i="13" s="1"/>
  <c r="M2293" i="13" s="1"/>
  <c r="M2294" i="13" s="1"/>
  <c r="M2295" i="13" s="1"/>
  <c r="M2296" i="13" s="1"/>
  <c r="M2297" i="13" s="1"/>
  <c r="M2298" i="13" s="1"/>
  <c r="M2299" i="13" s="1"/>
  <c r="M2300" i="13" s="1"/>
  <c r="M2301" i="13" s="1"/>
  <c r="M2302" i="13" s="1"/>
  <c r="M2303" i="13" s="1"/>
  <c r="M2304" i="13" s="1"/>
  <c r="M2305" i="13" s="1"/>
  <c r="M2306" i="13" s="1"/>
  <c r="M2307" i="13" s="1"/>
  <c r="M2308" i="13" s="1"/>
  <c r="M2309" i="13" s="1"/>
  <c r="M2310" i="13" s="1"/>
  <c r="M2311" i="13" s="1"/>
  <c r="M2312" i="13" s="1"/>
  <c r="M2313" i="13" s="1"/>
  <c r="M2314" i="13" s="1"/>
  <c r="M2315" i="13" s="1"/>
  <c r="M2316" i="13" s="1"/>
  <c r="M2317" i="13" s="1"/>
  <c r="M2318" i="13" s="1"/>
  <c r="M2319" i="13" s="1"/>
  <c r="M2320" i="13" s="1"/>
  <c r="M2321" i="13" s="1"/>
  <c r="M2322" i="13" s="1"/>
  <c r="M2323" i="13" s="1"/>
  <c r="M2324" i="13" s="1"/>
  <c r="M2325" i="13" s="1"/>
  <c r="M2326" i="13" s="1"/>
  <c r="M2327" i="13" s="1"/>
  <c r="M2328" i="13" s="1"/>
  <c r="M2329" i="13" s="1"/>
  <c r="M2330" i="13" s="1"/>
  <c r="M2331" i="13" s="1"/>
  <c r="M2332" i="13" s="1"/>
  <c r="M2333" i="13" s="1"/>
  <c r="M2334" i="13" s="1"/>
  <c r="M2335" i="13" s="1"/>
  <c r="M2336" i="13" s="1"/>
  <c r="M2337" i="13" s="1"/>
  <c r="M2338" i="13" s="1"/>
  <c r="M2339" i="13" s="1"/>
  <c r="M2340" i="13" s="1"/>
  <c r="M2341" i="13" s="1"/>
  <c r="M2342" i="13" s="1"/>
  <c r="M2343" i="13" s="1"/>
  <c r="M2344" i="13" s="1"/>
  <c r="M2345" i="13" s="1"/>
  <c r="M2346" i="13" s="1"/>
  <c r="M2347" i="13" s="1"/>
  <c r="M2348" i="13" s="1"/>
  <c r="M2349" i="13" s="1"/>
  <c r="M2350" i="13" s="1"/>
  <c r="M2351" i="13" s="1"/>
  <c r="M2352" i="13" s="1"/>
  <c r="M2353" i="13" s="1"/>
  <c r="M2354" i="13" s="1"/>
  <c r="M2355" i="13" s="1"/>
  <c r="M2356" i="13" s="1"/>
  <c r="M2357" i="13" s="1"/>
  <c r="M2358" i="13" s="1"/>
  <c r="M2359" i="13" s="1"/>
  <c r="M2360" i="13" s="1"/>
  <c r="M2361" i="13" s="1"/>
  <c r="M2362" i="13" s="1"/>
  <c r="M2363" i="13" s="1"/>
  <c r="M2364" i="13" s="1"/>
  <c r="M2365" i="13" s="1"/>
  <c r="M2366" i="13" s="1"/>
  <c r="M2367" i="13" s="1"/>
  <c r="M2368" i="13" s="1"/>
  <c r="M2369" i="13" s="1"/>
  <c r="M2370" i="13" s="1"/>
  <c r="M2371" i="13" s="1"/>
  <c r="M2372" i="13" s="1"/>
  <c r="M2373" i="13" s="1"/>
  <c r="M2374" i="13" s="1"/>
  <c r="M2375" i="13" s="1"/>
  <c r="M2376" i="13" s="1"/>
  <c r="M2377" i="13" s="1"/>
  <c r="M2378" i="13" s="1"/>
  <c r="M2379" i="13" s="1"/>
  <c r="M2380" i="13" s="1"/>
  <c r="M2381" i="13" s="1"/>
  <c r="M2382" i="13" s="1"/>
  <c r="M2383" i="13" s="1"/>
  <c r="M2384" i="13" s="1"/>
  <c r="M2385" i="13" s="1"/>
  <c r="M2386" i="13" s="1"/>
  <c r="M2387" i="13" s="1"/>
  <c r="M2388" i="13" s="1"/>
  <c r="M2389" i="13" s="1"/>
  <c r="M2390" i="13" s="1"/>
  <c r="M2391" i="13" s="1"/>
  <c r="M2392" i="13" s="1"/>
  <c r="M2393" i="13" s="1"/>
  <c r="M2394" i="13" s="1"/>
  <c r="M2395" i="13" s="1"/>
  <c r="M2396" i="13" s="1"/>
  <c r="M2397" i="13" s="1"/>
  <c r="M2398" i="13" s="1"/>
  <c r="M2399" i="13" s="1"/>
  <c r="M2400" i="13" s="1"/>
  <c r="M2401" i="13" s="1"/>
  <c r="M2402" i="13" s="1"/>
  <c r="M2403" i="13" s="1"/>
  <c r="M2404" i="13" s="1"/>
  <c r="M2405" i="13" s="1"/>
  <c r="M2406" i="13" s="1"/>
  <c r="M2407" i="13" s="1"/>
  <c r="M2408" i="13" s="1"/>
  <c r="M2409" i="13" s="1"/>
  <c r="M2410" i="13" s="1"/>
  <c r="M2411" i="13" s="1"/>
  <c r="M2412" i="13" s="1"/>
  <c r="M2413" i="13" s="1"/>
  <c r="M2414" i="13" s="1"/>
  <c r="M2415" i="13" s="1"/>
  <c r="M2416" i="13" s="1"/>
  <c r="M2417" i="13" s="1"/>
  <c r="M2418" i="13" s="1"/>
  <c r="M2419" i="13" s="1"/>
  <c r="M2420" i="13" s="1"/>
  <c r="M2421" i="13" s="1"/>
  <c r="M2422" i="13" s="1"/>
  <c r="M2423" i="13" s="1"/>
  <c r="M2424" i="13" s="1"/>
  <c r="M2425" i="13" s="1"/>
  <c r="M2426" i="13" s="1"/>
  <c r="M2427" i="13" s="1"/>
  <c r="M2428" i="13" s="1"/>
  <c r="M2429" i="13" s="1"/>
  <c r="M2430" i="13" s="1"/>
  <c r="M2431" i="13" s="1"/>
  <c r="M2432" i="13" s="1"/>
  <c r="M2433" i="13" s="1"/>
  <c r="M2434" i="13" s="1"/>
  <c r="M2435" i="13" s="1"/>
  <c r="M2436" i="13" s="1"/>
  <c r="M2437" i="13" s="1"/>
  <c r="M2438" i="13" s="1"/>
  <c r="M2439" i="13" s="1"/>
  <c r="M2440" i="13" s="1"/>
  <c r="M2441" i="13" s="1"/>
  <c r="M2442" i="13" s="1"/>
  <c r="M2443" i="13" s="1"/>
  <c r="M2444" i="13" s="1"/>
  <c r="M2445" i="13" s="1"/>
  <c r="M2446" i="13" s="1"/>
  <c r="M2447" i="13" s="1"/>
  <c r="M2448" i="13" s="1"/>
  <c r="M2449" i="13" s="1"/>
  <c r="M2450" i="13" s="1"/>
  <c r="M2451" i="13" s="1"/>
  <c r="M2452" i="13" s="1"/>
  <c r="M2453" i="13" s="1"/>
  <c r="M2454" i="13" s="1"/>
  <c r="M2455" i="13" s="1"/>
  <c r="M2456" i="13" s="1"/>
  <c r="M2457" i="13" s="1"/>
  <c r="M2458" i="13" s="1"/>
  <c r="M2459" i="13" s="1"/>
  <c r="M2460" i="13" s="1"/>
  <c r="M2461" i="13" s="1"/>
  <c r="M2462" i="13" s="1"/>
  <c r="M2463" i="13" s="1"/>
  <c r="M2464" i="13" s="1"/>
  <c r="M2465" i="13" s="1"/>
  <c r="M2466" i="13" s="1"/>
  <c r="M2467" i="13" s="1"/>
  <c r="M2468" i="13" s="1"/>
  <c r="M2469" i="13" s="1"/>
  <c r="M2470" i="13" s="1"/>
  <c r="M2471" i="13" s="1"/>
  <c r="M2472" i="13" s="1"/>
  <c r="M2473" i="13" s="1"/>
  <c r="M2474" i="13" s="1"/>
  <c r="M2475" i="13" s="1"/>
  <c r="M2476" i="13" s="1"/>
  <c r="M2477" i="13" s="1"/>
  <c r="M2478" i="13" s="1"/>
  <c r="M2479" i="13" s="1"/>
  <c r="M2480" i="13" s="1"/>
  <c r="M2481" i="13" s="1"/>
  <c r="M2482" i="13" s="1"/>
  <c r="M2483" i="13" s="1"/>
  <c r="M2484" i="13" s="1"/>
  <c r="M2485" i="13" s="1"/>
  <c r="M2486" i="13" s="1"/>
  <c r="M2487" i="13" s="1"/>
  <c r="M2488" i="13" s="1"/>
  <c r="M2489" i="13" s="1"/>
  <c r="M2490" i="13" s="1"/>
  <c r="M2491" i="13" s="1"/>
  <c r="M2492" i="13" s="1"/>
  <c r="M2493" i="13" s="1"/>
  <c r="M2494" i="13" s="1"/>
  <c r="M2495" i="13" s="1"/>
  <c r="M2496" i="13" s="1"/>
  <c r="M2497" i="13" s="1"/>
  <c r="M2498" i="13" s="1"/>
  <c r="M2499" i="13" s="1"/>
  <c r="M2500" i="13" s="1"/>
  <c r="M2501" i="13" s="1"/>
  <c r="M2502" i="13" s="1"/>
  <c r="M2503" i="13" s="1"/>
  <c r="M2504" i="13" s="1"/>
  <c r="M2505" i="13" s="1"/>
  <c r="M2506" i="13" s="1"/>
  <c r="M2507" i="13" s="1"/>
  <c r="M2508" i="13" s="1"/>
  <c r="M2509" i="13" s="1"/>
  <c r="M2510" i="13" s="1"/>
  <c r="M2511" i="13" s="1"/>
  <c r="M2512" i="13" s="1"/>
  <c r="M2513" i="13" s="1"/>
  <c r="M2514" i="13" s="1"/>
  <c r="M2515" i="13" s="1"/>
  <c r="M2516" i="13" s="1"/>
  <c r="M2517" i="13" s="1"/>
  <c r="M2518" i="13" s="1"/>
  <c r="M2519" i="13" s="1"/>
  <c r="M2520" i="13" s="1"/>
  <c r="M2521" i="13" s="1"/>
  <c r="M2522" i="13" s="1"/>
  <c r="M2523" i="13" s="1"/>
  <c r="M2524" i="13" s="1"/>
  <c r="M2525" i="13" s="1"/>
  <c r="M2526" i="13" s="1"/>
  <c r="M2527" i="13" s="1"/>
  <c r="M2528" i="13" s="1"/>
  <c r="M2529" i="13" s="1"/>
  <c r="M2530" i="13" s="1"/>
  <c r="M2531" i="13" s="1"/>
  <c r="M2532" i="13" s="1"/>
  <c r="M2533" i="13" s="1"/>
  <c r="M2534" i="13" s="1"/>
  <c r="M2535" i="13" s="1"/>
  <c r="M2536" i="13" s="1"/>
  <c r="M2537" i="13" s="1"/>
  <c r="M2538" i="13" s="1"/>
  <c r="M2539" i="13" s="1"/>
  <c r="M2540" i="13" s="1"/>
  <c r="M2541" i="13" s="1"/>
  <c r="M2542" i="13" s="1"/>
  <c r="M2543" i="13" s="1"/>
  <c r="M2544" i="13" s="1"/>
  <c r="M2545" i="13" s="1"/>
  <c r="M2546" i="13" s="1"/>
  <c r="M2547" i="13" s="1"/>
  <c r="M2548" i="13" s="1"/>
  <c r="M2549" i="13" s="1"/>
  <c r="M2550" i="13" s="1"/>
  <c r="M2551" i="13" s="1"/>
  <c r="M2552" i="13" s="1"/>
  <c r="M2553" i="13" s="1"/>
  <c r="M2554" i="13" s="1"/>
  <c r="M2555" i="13" s="1"/>
  <c r="M2556" i="13" s="1"/>
  <c r="M2557" i="13" s="1"/>
  <c r="M2558" i="13" s="1"/>
  <c r="M2559" i="13" s="1"/>
  <c r="M2560" i="13" s="1"/>
  <c r="M2561" i="13" s="1"/>
  <c r="M2562" i="13" s="1"/>
  <c r="M2563" i="13" s="1"/>
  <c r="M2564" i="13" s="1"/>
  <c r="M2565" i="13" s="1"/>
  <c r="M2566" i="13" s="1"/>
  <c r="M2567" i="13" s="1"/>
  <c r="M2568" i="13" s="1"/>
  <c r="M2569" i="13" s="1"/>
  <c r="M2570" i="13" s="1"/>
  <c r="M2571" i="13" s="1"/>
  <c r="M2572" i="13" s="1"/>
  <c r="M2573" i="13" s="1"/>
  <c r="M2574" i="13" s="1"/>
  <c r="M2575" i="13" s="1"/>
  <c r="M2576" i="13" s="1"/>
  <c r="M2577" i="13" s="1"/>
  <c r="M2578" i="13" s="1"/>
  <c r="M2579" i="13" s="1"/>
  <c r="M2580" i="13" s="1"/>
  <c r="M2581" i="13" s="1"/>
  <c r="M2582" i="13" s="1"/>
  <c r="M2583" i="13" s="1"/>
  <c r="M2584" i="13" s="1"/>
  <c r="M2585" i="13" s="1"/>
  <c r="M2586" i="13" s="1"/>
  <c r="M2587" i="13" s="1"/>
  <c r="M2588" i="13" s="1"/>
  <c r="M2589" i="13" s="1"/>
  <c r="M2590" i="13" s="1"/>
  <c r="M2591" i="13" s="1"/>
  <c r="M2592" i="13" s="1"/>
  <c r="M2593" i="13" s="1"/>
  <c r="M2594" i="13" s="1"/>
  <c r="M2595" i="13" s="1"/>
  <c r="M2596" i="13" s="1"/>
  <c r="M2597" i="13" s="1"/>
  <c r="M2598" i="13" s="1"/>
  <c r="M2599" i="13" s="1"/>
  <c r="M2600" i="13" s="1"/>
  <c r="M2601" i="13" s="1"/>
  <c r="M2602" i="13" s="1"/>
  <c r="M2603" i="13" s="1"/>
  <c r="M2604" i="13" s="1"/>
  <c r="M2605" i="13" s="1"/>
  <c r="M2606" i="13" s="1"/>
  <c r="M2607" i="13" s="1"/>
  <c r="M2608" i="13" s="1"/>
  <c r="M2609" i="13" s="1"/>
  <c r="M2610" i="13" s="1"/>
  <c r="M2611" i="13" s="1"/>
  <c r="M2612" i="13" s="1"/>
  <c r="M2613" i="13" s="1"/>
  <c r="M2614" i="13" s="1"/>
  <c r="M2615" i="13" s="1"/>
  <c r="M2616" i="13" s="1"/>
  <c r="M2617" i="13" s="1"/>
  <c r="M2618" i="13" s="1"/>
  <c r="M2619" i="13" s="1"/>
  <c r="M2620" i="13" s="1"/>
  <c r="M2621" i="13" s="1"/>
  <c r="M2622" i="13" s="1"/>
  <c r="M2623" i="13" s="1"/>
  <c r="M2624" i="13" s="1"/>
  <c r="M2625" i="13" s="1"/>
  <c r="M2626" i="13" s="1"/>
  <c r="M2627" i="13" s="1"/>
  <c r="M2628" i="13" s="1"/>
  <c r="M2629" i="13" s="1"/>
  <c r="M2630" i="13" s="1"/>
  <c r="M2631" i="13" s="1"/>
  <c r="M2632" i="13" s="1"/>
  <c r="M2633" i="13" s="1"/>
  <c r="M2634" i="13" s="1"/>
  <c r="M2635" i="13" s="1"/>
  <c r="M2636" i="13" s="1"/>
  <c r="M2637" i="13" s="1"/>
  <c r="M2638" i="13" s="1"/>
  <c r="M2639" i="13" s="1"/>
  <c r="M2640" i="13" s="1"/>
  <c r="M2641" i="13" s="1"/>
  <c r="M2642" i="13" s="1"/>
  <c r="M2643" i="13" s="1"/>
  <c r="M2644" i="13" s="1"/>
  <c r="M2645" i="13" s="1"/>
  <c r="M2646" i="13" s="1"/>
  <c r="M2647" i="13" s="1"/>
  <c r="M2648" i="13" s="1"/>
  <c r="M2649" i="13" s="1"/>
  <c r="M2650" i="13" s="1"/>
  <c r="M2651" i="13" s="1"/>
  <c r="M2652" i="13" s="1"/>
  <c r="M2653" i="13" s="1"/>
  <c r="M2654" i="13" s="1"/>
  <c r="M2655" i="13" s="1"/>
  <c r="M2656" i="13" s="1"/>
  <c r="M2657" i="13" s="1"/>
  <c r="M2658" i="13" s="1"/>
  <c r="M2659" i="13" s="1"/>
  <c r="M2660" i="13" s="1"/>
  <c r="M2661" i="13" s="1"/>
  <c r="M2662" i="13" s="1"/>
  <c r="M2663" i="13" s="1"/>
  <c r="M2664" i="13" s="1"/>
  <c r="M2665" i="13" s="1"/>
  <c r="M2666" i="13" s="1"/>
  <c r="M2667" i="13" s="1"/>
  <c r="M2668" i="13" s="1"/>
  <c r="M2669" i="13" s="1"/>
  <c r="M2670" i="13" s="1"/>
  <c r="M2671" i="13" s="1"/>
  <c r="M2672" i="13" s="1"/>
  <c r="M2673" i="13" s="1"/>
  <c r="M2674" i="13" s="1"/>
  <c r="M2675" i="13" s="1"/>
  <c r="M2676" i="13" s="1"/>
  <c r="M2677" i="13" s="1"/>
  <c r="M2678" i="13" s="1"/>
  <c r="M2679" i="13" s="1"/>
  <c r="M2680" i="13" s="1"/>
  <c r="M2681" i="13" s="1"/>
  <c r="M2682" i="13" s="1"/>
  <c r="M2683" i="13" s="1"/>
  <c r="M2684" i="13" s="1"/>
  <c r="M2685" i="13" s="1"/>
  <c r="M2686" i="13" s="1"/>
  <c r="M2687" i="13" s="1"/>
  <c r="M2688" i="13" s="1"/>
  <c r="M2689" i="13" s="1"/>
  <c r="M2690" i="13" s="1"/>
  <c r="M2691" i="13" s="1"/>
  <c r="M2692" i="13" s="1"/>
  <c r="M2693" i="13" s="1"/>
  <c r="M2694" i="13" s="1"/>
  <c r="M2695" i="13" s="1"/>
  <c r="M2696" i="13" s="1"/>
  <c r="M2697" i="13" s="1"/>
  <c r="M2698" i="13" s="1"/>
  <c r="M2699" i="13" s="1"/>
  <c r="M2700" i="13" s="1"/>
  <c r="M2701" i="13" s="1"/>
  <c r="M2702" i="13" s="1"/>
  <c r="M2703" i="13" s="1"/>
  <c r="M2704" i="13" s="1"/>
  <c r="M2705" i="13" s="1"/>
  <c r="M2706" i="13" s="1"/>
  <c r="M2707" i="13" s="1"/>
  <c r="M2708" i="13" s="1"/>
  <c r="M2709" i="13" s="1"/>
  <c r="M2710" i="13" s="1"/>
  <c r="M2711" i="13" s="1"/>
  <c r="M2712" i="13" s="1"/>
  <c r="M2713" i="13" s="1"/>
  <c r="M2714" i="13" s="1"/>
  <c r="M2715" i="13" s="1"/>
  <c r="M2716" i="13" s="1"/>
  <c r="M2717" i="13" s="1"/>
  <c r="M2718" i="13" s="1"/>
  <c r="M2719" i="13" s="1"/>
  <c r="M2720" i="13" s="1"/>
  <c r="M2721" i="13" s="1"/>
  <c r="M2722" i="13" s="1"/>
  <c r="M2723" i="13" s="1"/>
  <c r="M2724" i="13" s="1"/>
  <c r="M2725" i="13" s="1"/>
  <c r="M2726" i="13" s="1"/>
  <c r="M2727" i="13" s="1"/>
  <c r="M2728" i="13" s="1"/>
  <c r="M2729" i="13" s="1"/>
  <c r="M2730" i="13" s="1"/>
  <c r="S12" i="13"/>
  <c r="S13" i="13" s="1"/>
  <c r="S14" i="13" s="1"/>
  <c r="S15" i="13" s="1"/>
  <c r="S16" i="13" s="1"/>
  <c r="S17" i="13" s="1"/>
  <c r="S18" i="13" s="1"/>
  <c r="S19" i="13" s="1"/>
  <c r="S20" i="13" s="1"/>
  <c r="S21" i="13" s="1"/>
  <c r="S22" i="13" s="1"/>
  <c r="S23" i="13" s="1"/>
  <c r="S24" i="13" s="1"/>
  <c r="S25" i="13" s="1"/>
  <c r="S26" i="13" s="1"/>
  <c r="S27" i="13" s="1"/>
  <c r="S28" i="13" s="1"/>
  <c r="S29" i="13" s="1"/>
  <c r="S30" i="13" s="1"/>
  <c r="S31" i="13" s="1"/>
  <c r="S32" i="13" s="1"/>
  <c r="S33" i="13" s="1"/>
  <c r="S34" i="13" s="1"/>
  <c r="S35" i="13" s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52" i="13" s="1"/>
  <c r="S53" i="13" s="1"/>
  <c r="S54" i="13" s="1"/>
  <c r="S55" i="13" s="1"/>
  <c r="S56" i="13" s="1"/>
  <c r="S57" i="13" s="1"/>
  <c r="S58" i="13" s="1"/>
  <c r="S59" i="13" s="1"/>
  <c r="S60" i="13" s="1"/>
  <c r="S61" i="13" s="1"/>
  <c r="S62" i="13" s="1"/>
  <c r="S63" i="13" s="1"/>
  <c r="S64" i="13" s="1"/>
  <c r="S65" i="13" s="1"/>
  <c r="S66" i="13" s="1"/>
  <c r="S67" i="13" s="1"/>
  <c r="S68" i="13" s="1"/>
  <c r="S69" i="13" s="1"/>
  <c r="S70" i="13" s="1"/>
  <c r="S71" i="13" s="1"/>
  <c r="S72" i="13" s="1"/>
  <c r="S73" i="13" s="1"/>
  <c r="S74" i="13" s="1"/>
  <c r="S75" i="13" s="1"/>
  <c r="S76" i="13" s="1"/>
  <c r="S77" i="13" s="1"/>
  <c r="S78" i="13" s="1"/>
  <c r="S79" i="13" s="1"/>
  <c r="S80" i="13" s="1"/>
  <c r="S81" i="13" s="1"/>
  <c r="S82" i="13" s="1"/>
  <c r="S83" i="13" s="1"/>
  <c r="S84" i="13" s="1"/>
  <c r="S85" i="13" s="1"/>
  <c r="S86" i="13" s="1"/>
  <c r="S87" i="13" s="1"/>
  <c r="S88" i="13" s="1"/>
  <c r="S89" i="13" s="1"/>
  <c r="S90" i="13" s="1"/>
  <c r="S91" i="13" s="1"/>
  <c r="S92" i="13" s="1"/>
  <c r="S93" i="13" s="1"/>
  <c r="S94" i="13" s="1"/>
  <c r="S95" i="13" s="1"/>
  <c r="S96" i="13" s="1"/>
  <c r="S97" i="13" s="1"/>
  <c r="S98" i="13" s="1"/>
  <c r="S99" i="13" s="1"/>
  <c r="S100" i="13" s="1"/>
  <c r="S101" i="13" s="1"/>
  <c r="S102" i="13" s="1"/>
  <c r="S103" i="13" s="1"/>
  <c r="S104" i="13" s="1"/>
  <c r="S105" i="13" s="1"/>
  <c r="S106" i="13" s="1"/>
  <c r="S107" i="13" s="1"/>
  <c r="S108" i="13" s="1"/>
  <c r="S109" i="13" s="1"/>
  <c r="S110" i="13" s="1"/>
  <c r="S111" i="13" s="1"/>
  <c r="S112" i="13" s="1"/>
  <c r="S113" i="13" s="1"/>
  <c r="S114" i="13" s="1"/>
  <c r="S115" i="13" s="1"/>
  <c r="S116" i="13" s="1"/>
  <c r="S117" i="13" s="1"/>
  <c r="S118" i="13" s="1"/>
  <c r="S119" i="13" s="1"/>
  <c r="S120" i="13" s="1"/>
  <c r="S121" i="13" s="1"/>
  <c r="S122" i="13" s="1"/>
  <c r="S123" i="13" s="1"/>
  <c r="S124" i="13" s="1"/>
  <c r="S125" i="13" s="1"/>
  <c r="S126" i="13" s="1"/>
  <c r="S127" i="13" s="1"/>
  <c r="S128" i="13" s="1"/>
  <c r="S129" i="13" s="1"/>
  <c r="S130" i="13" s="1"/>
  <c r="S131" i="13" s="1"/>
  <c r="S132" i="13" s="1"/>
  <c r="S133" i="13" s="1"/>
  <c r="S134" i="13" s="1"/>
  <c r="S135" i="13" s="1"/>
  <c r="S136" i="13" s="1"/>
  <c r="S137" i="13" s="1"/>
  <c r="S138" i="13" s="1"/>
  <c r="S139" i="13" s="1"/>
  <c r="S140" i="13" s="1"/>
  <c r="S141" i="13" s="1"/>
  <c r="S142" i="13" s="1"/>
  <c r="S143" i="13" s="1"/>
  <c r="S144" i="13" s="1"/>
  <c r="S145" i="13" s="1"/>
  <c r="S146" i="13" s="1"/>
  <c r="S147" i="13" s="1"/>
  <c r="S148" i="13" s="1"/>
  <c r="S149" i="13" s="1"/>
  <c r="S150" i="13" s="1"/>
  <c r="S151" i="13" s="1"/>
  <c r="S152" i="13" s="1"/>
  <c r="S153" i="13" s="1"/>
  <c r="S154" i="13" s="1"/>
  <c r="S155" i="13" s="1"/>
  <c r="S156" i="13" s="1"/>
  <c r="S157" i="13" s="1"/>
  <c r="S158" i="13" s="1"/>
  <c r="S159" i="13" s="1"/>
  <c r="S160" i="13" s="1"/>
  <c r="S161" i="13" s="1"/>
  <c r="S162" i="13" s="1"/>
  <c r="S163" i="13" s="1"/>
  <c r="S164" i="13" s="1"/>
  <c r="S165" i="13" s="1"/>
  <c r="S166" i="13" s="1"/>
  <c r="S167" i="13" s="1"/>
  <c r="S168" i="13" s="1"/>
  <c r="S169" i="13" s="1"/>
  <c r="S170" i="13" s="1"/>
  <c r="S171" i="13" s="1"/>
  <c r="S172" i="13" s="1"/>
  <c r="S173" i="13" s="1"/>
  <c r="S174" i="13" s="1"/>
  <c r="S175" i="13" s="1"/>
  <c r="S176" i="13" s="1"/>
  <c r="S177" i="13" s="1"/>
  <c r="S178" i="13" s="1"/>
  <c r="S179" i="13" s="1"/>
  <c r="S180" i="13" s="1"/>
  <c r="S181" i="13" s="1"/>
  <c r="S182" i="13" s="1"/>
  <c r="S183" i="13" s="1"/>
  <c r="S184" i="13" s="1"/>
  <c r="S185" i="13" s="1"/>
  <c r="S186" i="13" s="1"/>
  <c r="S187" i="13" s="1"/>
  <c r="S188" i="13" s="1"/>
  <c r="S189" i="13" s="1"/>
  <c r="S190" i="13" s="1"/>
  <c r="S191" i="13" s="1"/>
  <c r="S192" i="13" s="1"/>
  <c r="S193" i="13" s="1"/>
  <c r="S194" i="13" s="1"/>
  <c r="S195" i="13" s="1"/>
  <c r="S196" i="13" s="1"/>
  <c r="S197" i="13" s="1"/>
  <c r="S198" i="13" s="1"/>
  <c r="S199" i="13" s="1"/>
  <c r="S200" i="13" s="1"/>
  <c r="S201" i="13" s="1"/>
  <c r="S202" i="13" s="1"/>
  <c r="S203" i="13" s="1"/>
  <c r="S204" i="13" s="1"/>
  <c r="S205" i="13" s="1"/>
  <c r="S206" i="13" s="1"/>
  <c r="S207" i="13" s="1"/>
  <c r="S208" i="13" s="1"/>
  <c r="S209" i="13" s="1"/>
  <c r="S210" i="13" s="1"/>
  <c r="S211" i="13" s="1"/>
  <c r="S212" i="13" s="1"/>
  <c r="S213" i="13" s="1"/>
  <c r="S214" i="13" s="1"/>
  <c r="S215" i="13" s="1"/>
  <c r="S216" i="13" s="1"/>
  <c r="S217" i="13" s="1"/>
  <c r="S218" i="13" s="1"/>
  <c r="S219" i="13" s="1"/>
  <c r="S220" i="13" s="1"/>
  <c r="S221" i="13" s="1"/>
  <c r="S222" i="13" s="1"/>
  <c r="S223" i="13" s="1"/>
  <c r="S224" i="13" s="1"/>
  <c r="S225" i="13" s="1"/>
  <c r="S226" i="13" s="1"/>
  <c r="S227" i="13" s="1"/>
  <c r="S228" i="13" s="1"/>
  <c r="S229" i="13" s="1"/>
  <c r="S230" i="13" s="1"/>
  <c r="S231" i="13" s="1"/>
  <c r="S232" i="13" s="1"/>
  <c r="S233" i="13" s="1"/>
  <c r="S234" i="13" s="1"/>
  <c r="S235" i="13" s="1"/>
  <c r="S236" i="13" s="1"/>
  <c r="S237" i="13" s="1"/>
  <c r="S238" i="13" s="1"/>
  <c r="S239" i="13" s="1"/>
  <c r="S240" i="13" s="1"/>
  <c r="S241" i="13" s="1"/>
  <c r="S242" i="13" s="1"/>
  <c r="S243" i="13" s="1"/>
  <c r="S244" i="13" s="1"/>
  <c r="S245" i="13" s="1"/>
  <c r="S246" i="13" s="1"/>
  <c r="S247" i="13" s="1"/>
  <c r="S248" i="13" s="1"/>
  <c r="S249" i="13" s="1"/>
  <c r="S250" i="13" s="1"/>
  <c r="S251" i="13" s="1"/>
  <c r="S252" i="13" s="1"/>
  <c r="S253" i="13" s="1"/>
  <c r="S254" i="13" s="1"/>
  <c r="S255" i="13" s="1"/>
  <c r="S256" i="13" s="1"/>
  <c r="S257" i="13" s="1"/>
  <c r="S258" i="13" s="1"/>
  <c r="S259" i="13" s="1"/>
  <c r="S260" i="13" s="1"/>
  <c r="S261" i="13" s="1"/>
  <c r="S262" i="13" s="1"/>
  <c r="S263" i="13" s="1"/>
  <c r="S264" i="13" s="1"/>
  <c r="S265" i="13" s="1"/>
  <c r="S266" i="13" s="1"/>
  <c r="S267" i="13" s="1"/>
  <c r="S268" i="13" s="1"/>
  <c r="S269" i="13" s="1"/>
  <c r="S270" i="13" s="1"/>
  <c r="S271" i="13" s="1"/>
  <c r="S272" i="13" s="1"/>
  <c r="S273" i="13" s="1"/>
  <c r="S274" i="13" s="1"/>
  <c r="S275" i="13" s="1"/>
  <c r="S276" i="13" s="1"/>
  <c r="S277" i="13" s="1"/>
  <c r="S278" i="13" s="1"/>
  <c r="S279" i="13" s="1"/>
  <c r="S280" i="13" s="1"/>
  <c r="S281" i="13" s="1"/>
  <c r="S282" i="13" s="1"/>
  <c r="S283" i="13" s="1"/>
  <c r="S284" i="13" s="1"/>
  <c r="S285" i="13" s="1"/>
  <c r="S286" i="13" s="1"/>
  <c r="S287" i="13" s="1"/>
  <c r="S288" i="13" s="1"/>
  <c r="S289" i="13" s="1"/>
  <c r="S290" i="13" s="1"/>
  <c r="S291" i="13" s="1"/>
  <c r="S292" i="13" s="1"/>
  <c r="S293" i="13" s="1"/>
  <c r="S294" i="13" s="1"/>
  <c r="S295" i="13" s="1"/>
  <c r="S296" i="13" s="1"/>
  <c r="S297" i="13" s="1"/>
  <c r="S298" i="13" s="1"/>
  <c r="S299" i="13" s="1"/>
  <c r="S300" i="13" s="1"/>
  <c r="S301" i="13" s="1"/>
  <c r="S302" i="13" s="1"/>
  <c r="S303" i="13" s="1"/>
  <c r="S304" i="13" s="1"/>
  <c r="S305" i="13" s="1"/>
  <c r="S306" i="13" s="1"/>
  <c r="S307" i="13" s="1"/>
  <c r="S308" i="13" s="1"/>
  <c r="S309" i="13" s="1"/>
  <c r="S310" i="13" s="1"/>
  <c r="S311" i="13" s="1"/>
  <c r="S312" i="13" s="1"/>
  <c r="S313" i="13" s="1"/>
  <c r="S314" i="13" s="1"/>
  <c r="S315" i="13" s="1"/>
  <c r="S316" i="13" s="1"/>
  <c r="S317" i="13" s="1"/>
  <c r="S318" i="13" s="1"/>
  <c r="S319" i="13" s="1"/>
  <c r="S320" i="13" s="1"/>
  <c r="S321" i="13" s="1"/>
  <c r="S322" i="13" s="1"/>
  <c r="S323" i="13" s="1"/>
  <c r="S324" i="13" s="1"/>
  <c r="S325" i="13" s="1"/>
  <c r="S326" i="13" s="1"/>
  <c r="S327" i="13" s="1"/>
  <c r="S328" i="13" s="1"/>
  <c r="S329" i="13" s="1"/>
  <c r="S330" i="13" s="1"/>
  <c r="S331" i="13" s="1"/>
  <c r="S332" i="13" s="1"/>
  <c r="S333" i="13" s="1"/>
  <c r="S334" i="13" s="1"/>
  <c r="S335" i="13" s="1"/>
  <c r="S336" i="13" s="1"/>
  <c r="S337" i="13" s="1"/>
  <c r="S338" i="13" s="1"/>
  <c r="S339" i="13" s="1"/>
  <c r="S340" i="13" s="1"/>
  <c r="S341" i="13" s="1"/>
  <c r="S342" i="13" s="1"/>
  <c r="S343" i="13" s="1"/>
  <c r="S344" i="13" s="1"/>
  <c r="S345" i="13" s="1"/>
  <c r="S346" i="13" s="1"/>
  <c r="S347" i="13" s="1"/>
  <c r="S348" i="13" s="1"/>
  <c r="S349" i="13" s="1"/>
  <c r="S350" i="13" s="1"/>
  <c r="S351" i="13" s="1"/>
  <c r="S352" i="13" s="1"/>
  <c r="S353" i="13" s="1"/>
  <c r="S354" i="13" s="1"/>
  <c r="S355" i="13" s="1"/>
  <c r="S356" i="13" s="1"/>
  <c r="S357" i="13" s="1"/>
  <c r="S358" i="13" s="1"/>
  <c r="S359" i="13" s="1"/>
  <c r="S360" i="13" s="1"/>
  <c r="S361" i="13" s="1"/>
  <c r="S362" i="13" s="1"/>
  <c r="S363" i="13" s="1"/>
  <c r="S364" i="13" s="1"/>
  <c r="S365" i="13" s="1"/>
  <c r="S366" i="13" s="1"/>
  <c r="S367" i="13" s="1"/>
  <c r="S368" i="13" s="1"/>
  <c r="S369" i="13" s="1"/>
  <c r="S370" i="13" s="1"/>
  <c r="S371" i="13" s="1"/>
  <c r="S372" i="13" s="1"/>
  <c r="S373" i="13" s="1"/>
  <c r="S374" i="13" s="1"/>
  <c r="S375" i="13" s="1"/>
  <c r="S376" i="13" s="1"/>
  <c r="S377" i="13" s="1"/>
  <c r="S378" i="13" s="1"/>
  <c r="S379" i="13" s="1"/>
  <c r="S380" i="13" s="1"/>
  <c r="S381" i="13" s="1"/>
  <c r="S382" i="13" s="1"/>
  <c r="S383" i="13" s="1"/>
  <c r="S384" i="13" s="1"/>
  <c r="S385" i="13" s="1"/>
  <c r="S386" i="13" s="1"/>
  <c r="S387" i="13" s="1"/>
  <c r="S388" i="13" s="1"/>
  <c r="S389" i="13" s="1"/>
  <c r="S390" i="13" s="1"/>
  <c r="S391" i="13" s="1"/>
  <c r="S392" i="13" s="1"/>
  <c r="S393" i="13" s="1"/>
  <c r="S394" i="13" s="1"/>
  <c r="S395" i="13" s="1"/>
  <c r="S396" i="13" s="1"/>
  <c r="S397" i="13" s="1"/>
  <c r="S398" i="13" s="1"/>
  <c r="S399" i="13" s="1"/>
  <c r="S400" i="13" s="1"/>
  <c r="S401" i="13" s="1"/>
  <c r="S402" i="13" s="1"/>
  <c r="S403" i="13" s="1"/>
  <c r="S404" i="13" s="1"/>
  <c r="S405" i="13" s="1"/>
  <c r="S406" i="13" s="1"/>
  <c r="S407" i="13" s="1"/>
  <c r="S408" i="13" s="1"/>
  <c r="S409" i="13" s="1"/>
  <c r="S410" i="13" s="1"/>
  <c r="S411" i="13" s="1"/>
  <c r="S412" i="13" s="1"/>
  <c r="S413" i="13" s="1"/>
  <c r="S414" i="13" s="1"/>
  <c r="S415" i="13" s="1"/>
  <c r="S416" i="13" s="1"/>
  <c r="S417" i="13" s="1"/>
  <c r="S418" i="13" s="1"/>
  <c r="S419" i="13" s="1"/>
  <c r="S420" i="13" s="1"/>
  <c r="S421" i="13" s="1"/>
  <c r="S422" i="13" s="1"/>
  <c r="S423" i="13" s="1"/>
  <c r="S424" i="13" s="1"/>
  <c r="S425" i="13" s="1"/>
  <c r="S426" i="13" s="1"/>
  <c r="S427" i="13" s="1"/>
  <c r="S428" i="13" s="1"/>
  <c r="S429" i="13" s="1"/>
  <c r="S430" i="13" s="1"/>
  <c r="S431" i="13" s="1"/>
  <c r="S432" i="13" s="1"/>
  <c r="S433" i="13" s="1"/>
  <c r="S434" i="13" s="1"/>
  <c r="S435" i="13" s="1"/>
  <c r="S436" i="13" s="1"/>
  <c r="S437" i="13" s="1"/>
  <c r="S438" i="13" s="1"/>
  <c r="S439" i="13" s="1"/>
  <c r="S440" i="13" s="1"/>
  <c r="S441" i="13" s="1"/>
  <c r="S442" i="13" s="1"/>
  <c r="S443" i="13" s="1"/>
  <c r="S444" i="13" s="1"/>
  <c r="S445" i="13" s="1"/>
  <c r="S446" i="13" s="1"/>
  <c r="S447" i="13" s="1"/>
  <c r="S448" i="13" s="1"/>
  <c r="S449" i="13" s="1"/>
  <c r="S450" i="13" s="1"/>
  <c r="S451" i="13" s="1"/>
  <c r="S452" i="13" s="1"/>
  <c r="S453" i="13" s="1"/>
  <c r="S454" i="13" s="1"/>
  <c r="S455" i="13" s="1"/>
  <c r="S456" i="13" s="1"/>
  <c r="S457" i="13" s="1"/>
  <c r="S458" i="13" s="1"/>
  <c r="S459" i="13" s="1"/>
  <c r="S460" i="13" s="1"/>
  <c r="S461" i="13" s="1"/>
  <c r="S462" i="13" s="1"/>
  <c r="S463" i="13" s="1"/>
  <c r="S464" i="13" s="1"/>
  <c r="S465" i="13" s="1"/>
  <c r="S466" i="13" s="1"/>
  <c r="S467" i="13" s="1"/>
  <c r="S468" i="13" s="1"/>
  <c r="S469" i="13" s="1"/>
  <c r="S470" i="13" s="1"/>
  <c r="S471" i="13" s="1"/>
  <c r="S472" i="13" s="1"/>
  <c r="S473" i="13" s="1"/>
  <c r="S474" i="13" s="1"/>
  <c r="S475" i="13" s="1"/>
  <c r="S476" i="13" s="1"/>
  <c r="S477" i="13" s="1"/>
  <c r="S478" i="13" s="1"/>
  <c r="S479" i="13" s="1"/>
  <c r="S480" i="13" s="1"/>
  <c r="S481" i="13" s="1"/>
  <c r="S482" i="13" s="1"/>
  <c r="S483" i="13" s="1"/>
  <c r="S484" i="13" s="1"/>
  <c r="S485" i="13" s="1"/>
  <c r="S486" i="13" s="1"/>
  <c r="S487" i="13" s="1"/>
  <c r="S488" i="13" s="1"/>
  <c r="S489" i="13" s="1"/>
  <c r="S490" i="13" s="1"/>
  <c r="S491" i="13" s="1"/>
  <c r="S492" i="13" s="1"/>
  <c r="S493" i="13" s="1"/>
  <c r="S494" i="13" s="1"/>
  <c r="S495" i="13" s="1"/>
  <c r="S496" i="13" s="1"/>
  <c r="S497" i="13" s="1"/>
  <c r="S498" i="13" s="1"/>
  <c r="S499" i="13" s="1"/>
  <c r="S500" i="13" s="1"/>
  <c r="S501" i="13" s="1"/>
  <c r="S502" i="13" s="1"/>
  <c r="S503" i="13" s="1"/>
  <c r="S504" i="13" s="1"/>
  <c r="S505" i="13" s="1"/>
  <c r="S506" i="13" s="1"/>
  <c r="S507" i="13" s="1"/>
  <c r="S508" i="13" s="1"/>
  <c r="S509" i="13" s="1"/>
  <c r="S510" i="13" s="1"/>
  <c r="S511" i="13" s="1"/>
  <c r="S512" i="13" s="1"/>
  <c r="S513" i="13" s="1"/>
  <c r="S514" i="13" s="1"/>
  <c r="S515" i="13" s="1"/>
  <c r="S516" i="13" s="1"/>
  <c r="S517" i="13" s="1"/>
  <c r="S518" i="13" s="1"/>
  <c r="S519" i="13" s="1"/>
  <c r="S520" i="13" s="1"/>
  <c r="S521" i="13" s="1"/>
  <c r="S522" i="13" s="1"/>
  <c r="S523" i="13" s="1"/>
  <c r="S524" i="13" s="1"/>
  <c r="S525" i="13" s="1"/>
  <c r="S526" i="13" s="1"/>
  <c r="S527" i="13" s="1"/>
  <c r="S528" i="13" s="1"/>
  <c r="S529" i="13" s="1"/>
  <c r="S530" i="13" s="1"/>
  <c r="S531" i="13" s="1"/>
  <c r="S532" i="13" s="1"/>
  <c r="S533" i="13" s="1"/>
  <c r="S534" i="13" s="1"/>
  <c r="S535" i="13" s="1"/>
  <c r="S536" i="13" s="1"/>
  <c r="S537" i="13" s="1"/>
  <c r="S538" i="13" s="1"/>
  <c r="S539" i="13" s="1"/>
  <c r="S540" i="13" s="1"/>
  <c r="S541" i="13" s="1"/>
  <c r="S542" i="13" s="1"/>
  <c r="S543" i="13" s="1"/>
  <c r="S544" i="13" s="1"/>
  <c r="S545" i="13" s="1"/>
  <c r="S546" i="13" s="1"/>
  <c r="S547" i="13" s="1"/>
  <c r="S548" i="13" s="1"/>
  <c r="S549" i="13" s="1"/>
  <c r="S550" i="13" s="1"/>
  <c r="S551" i="13" s="1"/>
  <c r="S552" i="13" s="1"/>
  <c r="S553" i="13" s="1"/>
  <c r="S554" i="13" s="1"/>
  <c r="S555" i="13" s="1"/>
  <c r="S556" i="13" s="1"/>
  <c r="S557" i="13" s="1"/>
  <c r="S558" i="13" s="1"/>
  <c r="S559" i="13" s="1"/>
  <c r="S560" i="13" s="1"/>
  <c r="S561" i="13" s="1"/>
  <c r="S562" i="13" s="1"/>
  <c r="S563" i="13" s="1"/>
  <c r="S564" i="13" s="1"/>
  <c r="S565" i="13" s="1"/>
  <c r="S566" i="13" s="1"/>
  <c r="S567" i="13" s="1"/>
  <c r="S568" i="13" s="1"/>
  <c r="S569" i="13" s="1"/>
  <c r="S570" i="13" s="1"/>
  <c r="S571" i="13" s="1"/>
  <c r="S572" i="13" s="1"/>
  <c r="S573" i="13" s="1"/>
  <c r="S574" i="13" s="1"/>
  <c r="S575" i="13" s="1"/>
  <c r="S576" i="13" s="1"/>
  <c r="S577" i="13" s="1"/>
  <c r="S578" i="13" s="1"/>
  <c r="S579" i="13" s="1"/>
  <c r="S580" i="13" s="1"/>
  <c r="S581" i="13" s="1"/>
  <c r="S582" i="13" s="1"/>
  <c r="S583" i="13" s="1"/>
  <c r="S584" i="13" s="1"/>
  <c r="S585" i="13" s="1"/>
  <c r="S586" i="13" s="1"/>
  <c r="S587" i="13" s="1"/>
  <c r="S588" i="13" s="1"/>
  <c r="S589" i="13" s="1"/>
  <c r="S590" i="13" s="1"/>
  <c r="S591" i="13" s="1"/>
  <c r="S592" i="13" s="1"/>
  <c r="S593" i="13" s="1"/>
  <c r="S594" i="13" s="1"/>
  <c r="S595" i="13" s="1"/>
  <c r="S596" i="13" s="1"/>
  <c r="S597" i="13" s="1"/>
  <c r="S598" i="13" s="1"/>
  <c r="S599" i="13" s="1"/>
  <c r="S600" i="13" s="1"/>
  <c r="S601" i="13" s="1"/>
  <c r="S602" i="13" s="1"/>
  <c r="S603" i="13" s="1"/>
  <c r="S604" i="13" s="1"/>
  <c r="S605" i="13" s="1"/>
  <c r="S606" i="13" s="1"/>
  <c r="S607" i="13" s="1"/>
  <c r="S608" i="13" s="1"/>
  <c r="S609" i="13" s="1"/>
  <c r="S610" i="13" s="1"/>
  <c r="S611" i="13" s="1"/>
  <c r="S612" i="13" s="1"/>
  <c r="S613" i="13" s="1"/>
  <c r="S614" i="13" s="1"/>
  <c r="S615" i="13" s="1"/>
  <c r="S616" i="13" s="1"/>
  <c r="S617" i="13" s="1"/>
  <c r="S618" i="13" s="1"/>
  <c r="S619" i="13" s="1"/>
  <c r="S620" i="13" s="1"/>
  <c r="S621" i="13" s="1"/>
  <c r="S622" i="13" s="1"/>
  <c r="S623" i="13" s="1"/>
  <c r="S624" i="13" s="1"/>
  <c r="S625" i="13" s="1"/>
  <c r="S626" i="13" s="1"/>
  <c r="S627" i="13" s="1"/>
  <c r="S628" i="13" s="1"/>
  <c r="S629" i="13" s="1"/>
  <c r="S630" i="13" s="1"/>
  <c r="S631" i="13" s="1"/>
  <c r="S632" i="13" s="1"/>
  <c r="S633" i="13" s="1"/>
  <c r="S634" i="13" s="1"/>
  <c r="S635" i="13" s="1"/>
  <c r="S636" i="13" s="1"/>
  <c r="S637" i="13" s="1"/>
  <c r="S638" i="13" s="1"/>
  <c r="S639" i="13" s="1"/>
  <c r="S640" i="13" s="1"/>
  <c r="S641" i="13" s="1"/>
  <c r="S642" i="13" s="1"/>
  <c r="S643" i="13" s="1"/>
  <c r="S644" i="13" s="1"/>
  <c r="S645" i="13" s="1"/>
  <c r="S646" i="13" s="1"/>
  <c r="S647" i="13" s="1"/>
  <c r="S648" i="13" s="1"/>
  <c r="S649" i="13" s="1"/>
  <c r="S650" i="13" s="1"/>
  <c r="S651" i="13" s="1"/>
  <c r="S652" i="13" s="1"/>
  <c r="S653" i="13" s="1"/>
  <c r="S654" i="13" s="1"/>
  <c r="S655" i="13" s="1"/>
  <c r="S656" i="13" s="1"/>
  <c r="S657" i="13" s="1"/>
  <c r="S658" i="13" s="1"/>
  <c r="S659" i="13" s="1"/>
  <c r="S660" i="13" s="1"/>
  <c r="S661" i="13" s="1"/>
  <c r="S662" i="13" s="1"/>
  <c r="S663" i="13" s="1"/>
  <c r="S664" i="13" s="1"/>
  <c r="S665" i="13" s="1"/>
  <c r="S666" i="13" s="1"/>
  <c r="S667" i="13" s="1"/>
  <c r="S668" i="13" s="1"/>
  <c r="S669" i="13" s="1"/>
  <c r="S670" i="13" s="1"/>
  <c r="S671" i="13" s="1"/>
  <c r="S672" i="13" s="1"/>
  <c r="S673" i="13" s="1"/>
  <c r="S674" i="13" s="1"/>
  <c r="S675" i="13" s="1"/>
  <c r="S676" i="13" s="1"/>
  <c r="S677" i="13" s="1"/>
  <c r="S678" i="13" s="1"/>
  <c r="S679" i="13" s="1"/>
  <c r="S680" i="13" s="1"/>
  <c r="S681" i="13" s="1"/>
  <c r="S682" i="13" s="1"/>
  <c r="S683" i="13" s="1"/>
  <c r="S684" i="13" s="1"/>
  <c r="S685" i="13" s="1"/>
  <c r="S686" i="13" s="1"/>
  <c r="S687" i="13" s="1"/>
  <c r="S688" i="13" s="1"/>
  <c r="S689" i="13" s="1"/>
  <c r="S690" i="13" s="1"/>
  <c r="S691" i="13" s="1"/>
  <c r="S692" i="13" s="1"/>
  <c r="S693" i="13" s="1"/>
  <c r="S694" i="13" s="1"/>
  <c r="S695" i="13" s="1"/>
  <c r="S696" i="13" s="1"/>
  <c r="S697" i="13" s="1"/>
  <c r="S698" i="13" s="1"/>
  <c r="S699" i="13" s="1"/>
  <c r="S700" i="13" s="1"/>
  <c r="S701" i="13" s="1"/>
  <c r="S702" i="13" s="1"/>
  <c r="S703" i="13" s="1"/>
  <c r="S704" i="13" s="1"/>
  <c r="S705" i="13" s="1"/>
  <c r="S706" i="13" s="1"/>
  <c r="S707" i="13" s="1"/>
  <c r="S708" i="13" s="1"/>
  <c r="S709" i="13" s="1"/>
  <c r="S710" i="13" s="1"/>
  <c r="S711" i="13" s="1"/>
  <c r="S712" i="13" s="1"/>
  <c r="S713" i="13" s="1"/>
  <c r="S714" i="13" s="1"/>
  <c r="S715" i="13" s="1"/>
  <c r="S716" i="13" s="1"/>
  <c r="S717" i="13" s="1"/>
  <c r="S718" i="13" s="1"/>
  <c r="S719" i="13" s="1"/>
  <c r="S720" i="13" s="1"/>
  <c r="S721" i="13" s="1"/>
  <c r="S722" i="13" s="1"/>
  <c r="S723" i="13" s="1"/>
  <c r="S724" i="13" s="1"/>
  <c r="S725" i="13" s="1"/>
  <c r="S726" i="13" s="1"/>
  <c r="S727" i="13" s="1"/>
  <c r="S728" i="13" s="1"/>
  <c r="S729" i="13" s="1"/>
  <c r="S730" i="13" s="1"/>
  <c r="S731" i="13" s="1"/>
  <c r="S732" i="13" s="1"/>
  <c r="S733" i="13" s="1"/>
  <c r="S734" i="13" s="1"/>
  <c r="S735" i="13" s="1"/>
  <c r="S736" i="13" s="1"/>
  <c r="S737" i="13" s="1"/>
  <c r="S738" i="13" s="1"/>
  <c r="S739" i="13" s="1"/>
  <c r="S740" i="13" s="1"/>
  <c r="S741" i="13" s="1"/>
  <c r="S742" i="13" s="1"/>
  <c r="S743" i="13" s="1"/>
  <c r="S744" i="13" s="1"/>
  <c r="S745" i="13" s="1"/>
  <c r="S746" i="13" s="1"/>
  <c r="S747" i="13" s="1"/>
  <c r="S748" i="13" s="1"/>
  <c r="S749" i="13" s="1"/>
  <c r="S750" i="13" s="1"/>
  <c r="S751" i="13" s="1"/>
  <c r="S752" i="13" s="1"/>
  <c r="S753" i="13" s="1"/>
  <c r="S754" i="13" s="1"/>
  <c r="S755" i="13" s="1"/>
  <c r="S756" i="13" s="1"/>
  <c r="S757" i="13" s="1"/>
  <c r="S758" i="13" s="1"/>
  <c r="S759" i="13" s="1"/>
  <c r="S760" i="13" s="1"/>
  <c r="S761" i="13" s="1"/>
  <c r="S762" i="13" s="1"/>
  <c r="S763" i="13" s="1"/>
  <c r="S764" i="13" s="1"/>
  <c r="S765" i="13" s="1"/>
  <c r="S766" i="13" s="1"/>
  <c r="S767" i="13" s="1"/>
  <c r="S768" i="13" s="1"/>
  <c r="S769" i="13" s="1"/>
  <c r="S770" i="13" s="1"/>
  <c r="S771" i="13" s="1"/>
  <c r="S772" i="13" s="1"/>
  <c r="S773" i="13" s="1"/>
  <c r="S774" i="13" s="1"/>
  <c r="S775" i="13" s="1"/>
  <c r="S776" i="13" s="1"/>
  <c r="S777" i="13" s="1"/>
  <c r="S778" i="13" s="1"/>
  <c r="S779" i="13" s="1"/>
  <c r="S780" i="13" s="1"/>
  <c r="S781" i="13" s="1"/>
  <c r="S782" i="13" s="1"/>
  <c r="S783" i="13" s="1"/>
  <c r="S784" i="13" s="1"/>
  <c r="S785" i="13" s="1"/>
  <c r="S786" i="13" s="1"/>
  <c r="S787" i="13" s="1"/>
  <c r="S788" i="13" s="1"/>
  <c r="S789" i="13" s="1"/>
  <c r="S790" i="13" s="1"/>
  <c r="S791" i="13" s="1"/>
  <c r="S792" i="13" s="1"/>
  <c r="S793" i="13" s="1"/>
  <c r="S794" i="13" s="1"/>
  <c r="S795" i="13" s="1"/>
  <c r="S796" i="13" s="1"/>
  <c r="S797" i="13" s="1"/>
  <c r="S798" i="13" s="1"/>
  <c r="S799" i="13" s="1"/>
  <c r="S800" i="13" s="1"/>
  <c r="S801" i="13" s="1"/>
  <c r="S802" i="13" s="1"/>
  <c r="S803" i="13" s="1"/>
  <c r="S804" i="13" s="1"/>
  <c r="S805" i="13" s="1"/>
  <c r="S806" i="13" s="1"/>
  <c r="S807" i="13" s="1"/>
  <c r="S808" i="13" s="1"/>
  <c r="S809" i="13" s="1"/>
  <c r="S810" i="13" s="1"/>
  <c r="S811" i="13" s="1"/>
  <c r="S812" i="13" s="1"/>
  <c r="S813" i="13" s="1"/>
  <c r="S814" i="13" s="1"/>
  <c r="S815" i="13" s="1"/>
  <c r="S816" i="13" s="1"/>
  <c r="S817" i="13" s="1"/>
  <c r="S818" i="13" s="1"/>
  <c r="S819" i="13" s="1"/>
  <c r="S820" i="13" s="1"/>
  <c r="S821" i="13" s="1"/>
  <c r="S822" i="13" s="1"/>
  <c r="S823" i="13" s="1"/>
  <c r="S824" i="13" s="1"/>
  <c r="S825" i="13" s="1"/>
  <c r="S826" i="13" s="1"/>
  <c r="S827" i="13" s="1"/>
  <c r="S828" i="13" s="1"/>
  <c r="S829" i="13" s="1"/>
  <c r="S830" i="13" s="1"/>
  <c r="S831" i="13" s="1"/>
  <c r="S832" i="13" s="1"/>
  <c r="S833" i="13" s="1"/>
  <c r="S834" i="13" s="1"/>
  <c r="S835" i="13" s="1"/>
  <c r="S836" i="13" s="1"/>
  <c r="S837" i="13" s="1"/>
  <c r="S838" i="13" s="1"/>
  <c r="S839" i="13" s="1"/>
  <c r="S840" i="13" s="1"/>
  <c r="S841" i="13" s="1"/>
  <c r="S842" i="13" s="1"/>
  <c r="S843" i="13" s="1"/>
  <c r="S844" i="13" s="1"/>
  <c r="S845" i="13" s="1"/>
  <c r="S846" i="13" s="1"/>
  <c r="S847" i="13" s="1"/>
  <c r="S848" i="13" s="1"/>
  <c r="S849" i="13" s="1"/>
  <c r="S850" i="13" s="1"/>
  <c r="S851" i="13" s="1"/>
  <c r="S852" i="13" s="1"/>
  <c r="S853" i="13" s="1"/>
  <c r="S854" i="13" s="1"/>
  <c r="S855" i="13" s="1"/>
  <c r="S856" i="13" s="1"/>
  <c r="S857" i="13" s="1"/>
  <c r="S858" i="13" s="1"/>
  <c r="S859" i="13" s="1"/>
  <c r="S860" i="13" s="1"/>
  <c r="S861" i="13" s="1"/>
  <c r="S862" i="13" s="1"/>
  <c r="S863" i="13" s="1"/>
  <c r="S864" i="13" s="1"/>
  <c r="S865" i="13" s="1"/>
  <c r="S866" i="13" s="1"/>
  <c r="S867" i="13" s="1"/>
  <c r="S868" i="13" s="1"/>
  <c r="S869" i="13" s="1"/>
  <c r="S870" i="13" s="1"/>
  <c r="S871" i="13" s="1"/>
  <c r="S872" i="13" s="1"/>
  <c r="S873" i="13" s="1"/>
  <c r="S874" i="13" s="1"/>
  <c r="S875" i="13" s="1"/>
  <c r="S876" i="13" s="1"/>
  <c r="S877" i="13" s="1"/>
  <c r="S878" i="13" s="1"/>
  <c r="S879" i="13" s="1"/>
  <c r="S880" i="13" s="1"/>
  <c r="S881" i="13" s="1"/>
  <c r="S882" i="13" s="1"/>
  <c r="S883" i="13" s="1"/>
  <c r="S884" i="13" s="1"/>
  <c r="S885" i="13" s="1"/>
  <c r="S886" i="13" s="1"/>
  <c r="S887" i="13" s="1"/>
  <c r="S888" i="13" s="1"/>
  <c r="S889" i="13" s="1"/>
  <c r="S890" i="13" s="1"/>
  <c r="S891" i="13" s="1"/>
  <c r="S892" i="13" s="1"/>
  <c r="S893" i="13" s="1"/>
  <c r="S894" i="13" s="1"/>
  <c r="S895" i="13" s="1"/>
  <c r="S896" i="13" s="1"/>
  <c r="S897" i="13" s="1"/>
  <c r="S898" i="13" s="1"/>
  <c r="S899" i="13" s="1"/>
  <c r="S900" i="13" s="1"/>
  <c r="S901" i="13" s="1"/>
  <c r="S902" i="13" s="1"/>
  <c r="S903" i="13" s="1"/>
  <c r="S904" i="13" s="1"/>
  <c r="S905" i="13" s="1"/>
  <c r="S906" i="13" s="1"/>
  <c r="S907" i="13" s="1"/>
  <c r="S908" i="13" s="1"/>
  <c r="S909" i="13" s="1"/>
  <c r="S910" i="13" s="1"/>
  <c r="S911" i="13" s="1"/>
  <c r="S912" i="13" s="1"/>
  <c r="S913" i="13" s="1"/>
  <c r="S914" i="13" s="1"/>
  <c r="S915" i="13" s="1"/>
  <c r="S916" i="13" s="1"/>
  <c r="S917" i="13" s="1"/>
  <c r="S918" i="13" s="1"/>
  <c r="S919" i="13" s="1"/>
  <c r="S920" i="13" s="1"/>
  <c r="S921" i="13" s="1"/>
  <c r="S922" i="13" s="1"/>
  <c r="S923" i="13" s="1"/>
  <c r="S924" i="13" s="1"/>
  <c r="S925" i="13" s="1"/>
  <c r="S926" i="13" s="1"/>
  <c r="S927" i="13" s="1"/>
  <c r="S928" i="13" s="1"/>
  <c r="S929" i="13" s="1"/>
  <c r="S930" i="13" s="1"/>
  <c r="S931" i="13" s="1"/>
  <c r="S932" i="13" s="1"/>
  <c r="S933" i="13" s="1"/>
  <c r="S934" i="13" s="1"/>
  <c r="S935" i="13" s="1"/>
  <c r="S936" i="13" s="1"/>
  <c r="S937" i="13" s="1"/>
  <c r="S938" i="13" s="1"/>
  <c r="S939" i="13" s="1"/>
  <c r="S940" i="13" s="1"/>
  <c r="S941" i="13" s="1"/>
  <c r="S942" i="13" s="1"/>
  <c r="S943" i="13" s="1"/>
  <c r="S944" i="13" s="1"/>
  <c r="S945" i="13" s="1"/>
  <c r="S946" i="13" s="1"/>
  <c r="S947" i="13" s="1"/>
  <c r="S948" i="13" s="1"/>
  <c r="S949" i="13" s="1"/>
  <c r="S950" i="13" s="1"/>
  <c r="S951" i="13" s="1"/>
  <c r="S952" i="13" s="1"/>
  <c r="S953" i="13" s="1"/>
  <c r="S954" i="13" s="1"/>
  <c r="S955" i="13" s="1"/>
  <c r="S956" i="13" s="1"/>
  <c r="S957" i="13" s="1"/>
  <c r="S958" i="13" s="1"/>
  <c r="S959" i="13" s="1"/>
  <c r="S960" i="13" s="1"/>
  <c r="S961" i="13" s="1"/>
  <c r="S962" i="13" s="1"/>
  <c r="S963" i="13" s="1"/>
  <c r="S964" i="13" s="1"/>
  <c r="S965" i="13" s="1"/>
  <c r="S966" i="13" s="1"/>
  <c r="S967" i="13" s="1"/>
  <c r="S968" i="13" s="1"/>
  <c r="S969" i="13" s="1"/>
  <c r="S970" i="13" s="1"/>
  <c r="S971" i="13" s="1"/>
  <c r="S972" i="13" s="1"/>
  <c r="S973" i="13" s="1"/>
  <c r="S974" i="13" s="1"/>
  <c r="S975" i="13" s="1"/>
  <c r="S976" i="13" s="1"/>
  <c r="S977" i="13" s="1"/>
  <c r="S978" i="13" s="1"/>
  <c r="S979" i="13" s="1"/>
  <c r="S980" i="13" s="1"/>
  <c r="S981" i="13" s="1"/>
  <c r="S982" i="13" s="1"/>
  <c r="S983" i="13" s="1"/>
  <c r="S984" i="13" s="1"/>
  <c r="S985" i="13" s="1"/>
  <c r="S986" i="13" s="1"/>
  <c r="S987" i="13" s="1"/>
  <c r="S988" i="13" s="1"/>
  <c r="S989" i="13" s="1"/>
  <c r="S990" i="13" s="1"/>
  <c r="S991" i="13" s="1"/>
  <c r="S992" i="13" s="1"/>
  <c r="S993" i="13" s="1"/>
  <c r="S994" i="13" s="1"/>
  <c r="S995" i="13" s="1"/>
  <c r="S996" i="13" s="1"/>
  <c r="S997" i="13" s="1"/>
  <c r="S998" i="13" s="1"/>
  <c r="S999" i="13" s="1"/>
  <c r="S1000" i="13" s="1"/>
  <c r="S1001" i="13" s="1"/>
  <c r="S1002" i="13" s="1"/>
  <c r="S1003" i="13" s="1"/>
  <c r="S1004" i="13" s="1"/>
  <c r="S1005" i="13" s="1"/>
  <c r="S1006" i="13" s="1"/>
  <c r="S1007" i="13" s="1"/>
  <c r="S1008" i="13" s="1"/>
  <c r="S1009" i="13" s="1"/>
  <c r="S1010" i="13" s="1"/>
  <c r="S1011" i="13" s="1"/>
  <c r="S1012" i="13" s="1"/>
  <c r="S1013" i="13" s="1"/>
  <c r="S1014" i="13" s="1"/>
  <c r="S1015" i="13" s="1"/>
  <c r="S1016" i="13" s="1"/>
  <c r="S1017" i="13" s="1"/>
  <c r="S1018" i="13" s="1"/>
  <c r="S1019" i="13" s="1"/>
  <c r="S1020" i="13" s="1"/>
  <c r="S1021" i="13" s="1"/>
  <c r="S1022" i="13" s="1"/>
  <c r="S1023" i="13" s="1"/>
  <c r="S1024" i="13" s="1"/>
  <c r="S1025" i="13" s="1"/>
  <c r="S1026" i="13" s="1"/>
  <c r="S1027" i="13" s="1"/>
  <c r="S1028" i="13" s="1"/>
  <c r="S1029" i="13" s="1"/>
  <c r="S1030" i="13" s="1"/>
  <c r="S1031" i="13" s="1"/>
  <c r="S1032" i="13" s="1"/>
  <c r="S1033" i="13" s="1"/>
  <c r="S1034" i="13" s="1"/>
  <c r="S1035" i="13" s="1"/>
  <c r="S1036" i="13" s="1"/>
  <c r="S1037" i="13" s="1"/>
  <c r="S1038" i="13" s="1"/>
  <c r="S1039" i="13" s="1"/>
  <c r="S1040" i="13" s="1"/>
  <c r="S1041" i="13" s="1"/>
  <c r="S1042" i="13" s="1"/>
  <c r="S1043" i="13" s="1"/>
  <c r="S1044" i="13" s="1"/>
  <c r="S1045" i="13" s="1"/>
  <c r="S1046" i="13" s="1"/>
  <c r="S1047" i="13" s="1"/>
  <c r="S1048" i="13" s="1"/>
  <c r="S1049" i="13" s="1"/>
  <c r="S1050" i="13" s="1"/>
  <c r="S1051" i="13" s="1"/>
  <c r="S1052" i="13" s="1"/>
  <c r="S1053" i="13" s="1"/>
  <c r="S1054" i="13" s="1"/>
  <c r="S1055" i="13" s="1"/>
  <c r="S1056" i="13" s="1"/>
  <c r="S1057" i="13" s="1"/>
  <c r="S1058" i="13" s="1"/>
  <c r="S1059" i="13" s="1"/>
  <c r="S1060" i="13" s="1"/>
  <c r="S1061" i="13" s="1"/>
  <c r="S1062" i="13" s="1"/>
  <c r="S1063" i="13" s="1"/>
  <c r="S1064" i="13" s="1"/>
  <c r="S1065" i="13" s="1"/>
  <c r="S1066" i="13" s="1"/>
  <c r="S1067" i="13" s="1"/>
  <c r="S1068" i="13" s="1"/>
  <c r="S1069" i="13" s="1"/>
  <c r="S1070" i="13" s="1"/>
  <c r="S1071" i="13" s="1"/>
  <c r="S1072" i="13" s="1"/>
  <c r="S1073" i="13" s="1"/>
  <c r="S1074" i="13" s="1"/>
  <c r="S1075" i="13" s="1"/>
  <c r="S1076" i="13" s="1"/>
  <c r="S1077" i="13" s="1"/>
  <c r="S1078" i="13" s="1"/>
  <c r="S1079" i="13" s="1"/>
  <c r="S1080" i="13" s="1"/>
  <c r="S1081" i="13" s="1"/>
  <c r="S1082" i="13" s="1"/>
  <c r="S1083" i="13" s="1"/>
  <c r="S1084" i="13" s="1"/>
  <c r="S1085" i="13" s="1"/>
  <c r="S1086" i="13" s="1"/>
  <c r="S1087" i="13" s="1"/>
  <c r="S1088" i="13" s="1"/>
  <c r="S1089" i="13" s="1"/>
  <c r="S1090" i="13" s="1"/>
  <c r="S1091" i="13" s="1"/>
  <c r="S1092" i="13" s="1"/>
  <c r="S1093" i="13" s="1"/>
  <c r="S1094" i="13" s="1"/>
  <c r="S1095" i="13" s="1"/>
  <c r="S1096" i="13" s="1"/>
  <c r="S1097" i="13" s="1"/>
  <c r="S1098" i="13" s="1"/>
  <c r="S1099" i="13" s="1"/>
  <c r="S1100" i="13" s="1"/>
  <c r="S1101" i="13" s="1"/>
  <c r="S1102" i="13" s="1"/>
  <c r="S1103" i="13" s="1"/>
  <c r="S1104" i="13" s="1"/>
  <c r="S1105" i="13" s="1"/>
  <c r="S1106" i="13" s="1"/>
  <c r="S1107" i="13" s="1"/>
  <c r="S1108" i="13" s="1"/>
  <c r="S1109" i="13" s="1"/>
  <c r="S1110" i="13" s="1"/>
  <c r="S1111" i="13" s="1"/>
  <c r="S1112" i="13" s="1"/>
  <c r="S1113" i="13" s="1"/>
  <c r="S1114" i="13" s="1"/>
  <c r="S1115" i="13" s="1"/>
  <c r="S1116" i="13" s="1"/>
  <c r="S1117" i="13" s="1"/>
  <c r="S1118" i="13" s="1"/>
  <c r="S1119" i="13" s="1"/>
  <c r="S1120" i="13" s="1"/>
  <c r="S1121" i="13" s="1"/>
  <c r="S1122" i="13" s="1"/>
  <c r="S1123" i="13" s="1"/>
  <c r="S1124" i="13" s="1"/>
  <c r="S1125" i="13" s="1"/>
  <c r="S1126" i="13" s="1"/>
  <c r="S1127" i="13" s="1"/>
  <c r="S1128" i="13" s="1"/>
  <c r="S1129" i="13" s="1"/>
  <c r="S1130" i="13" s="1"/>
  <c r="S1131" i="13" s="1"/>
  <c r="S1132" i="13" s="1"/>
  <c r="S1133" i="13" s="1"/>
  <c r="S1134" i="13" s="1"/>
  <c r="S1135" i="13" s="1"/>
  <c r="S1136" i="13" s="1"/>
  <c r="S1137" i="13" s="1"/>
  <c r="S1138" i="13" s="1"/>
  <c r="S1139" i="13" s="1"/>
  <c r="S1140" i="13" s="1"/>
  <c r="S1141" i="13" s="1"/>
  <c r="S1142" i="13" s="1"/>
  <c r="S1143" i="13" s="1"/>
  <c r="S1144" i="13" s="1"/>
  <c r="S1145" i="13" s="1"/>
  <c r="S1146" i="13" s="1"/>
  <c r="S1147" i="13" s="1"/>
  <c r="S1148" i="13" s="1"/>
  <c r="S1149" i="13" s="1"/>
  <c r="S1150" i="13" s="1"/>
  <c r="S1151" i="13" s="1"/>
  <c r="S1152" i="13" s="1"/>
  <c r="S1153" i="13" s="1"/>
  <c r="S1154" i="13" s="1"/>
  <c r="S1155" i="13" s="1"/>
  <c r="S1156" i="13" s="1"/>
  <c r="S1157" i="13" s="1"/>
  <c r="S1158" i="13" s="1"/>
  <c r="S1159" i="13" s="1"/>
  <c r="S1160" i="13" s="1"/>
  <c r="S1161" i="13" s="1"/>
  <c r="S1162" i="13" s="1"/>
  <c r="S1163" i="13" s="1"/>
  <c r="S1164" i="13" s="1"/>
  <c r="S1165" i="13" s="1"/>
  <c r="S1166" i="13" s="1"/>
  <c r="S1167" i="13" s="1"/>
  <c r="S1168" i="13" s="1"/>
  <c r="S1169" i="13" s="1"/>
  <c r="S1170" i="13" s="1"/>
  <c r="S1171" i="13" s="1"/>
  <c r="S1172" i="13" s="1"/>
  <c r="S1173" i="13" s="1"/>
  <c r="S1174" i="13" s="1"/>
  <c r="S1175" i="13" s="1"/>
  <c r="S1176" i="13" s="1"/>
  <c r="S1177" i="13" s="1"/>
  <c r="S1178" i="13" s="1"/>
  <c r="S1179" i="13" s="1"/>
  <c r="S1180" i="13" s="1"/>
  <c r="S1181" i="13" s="1"/>
  <c r="S1182" i="13" s="1"/>
  <c r="S1183" i="13" s="1"/>
  <c r="S1184" i="13" s="1"/>
  <c r="S1185" i="13" s="1"/>
  <c r="S1186" i="13" s="1"/>
  <c r="S1187" i="13" s="1"/>
  <c r="S1188" i="13" s="1"/>
  <c r="S1189" i="13" s="1"/>
  <c r="S1190" i="13" s="1"/>
  <c r="S1191" i="13" s="1"/>
  <c r="S1192" i="13" s="1"/>
  <c r="S1193" i="13" s="1"/>
  <c r="S1194" i="13" s="1"/>
  <c r="S1195" i="13" s="1"/>
  <c r="S1196" i="13" s="1"/>
  <c r="S1197" i="13" s="1"/>
  <c r="S1198" i="13" s="1"/>
  <c r="S1199" i="13" s="1"/>
  <c r="S1200" i="13" s="1"/>
  <c r="S1201" i="13" s="1"/>
  <c r="S1202" i="13" s="1"/>
  <c r="S1203" i="13" s="1"/>
  <c r="S1204" i="13" s="1"/>
  <c r="S1205" i="13" s="1"/>
  <c r="S1206" i="13" s="1"/>
  <c r="S1207" i="13" s="1"/>
  <c r="S1208" i="13" s="1"/>
  <c r="S1209" i="13" s="1"/>
  <c r="S1210" i="13" s="1"/>
  <c r="S1211" i="13" s="1"/>
  <c r="S1212" i="13" s="1"/>
  <c r="S1213" i="13" s="1"/>
  <c r="S1214" i="13" s="1"/>
  <c r="S1215" i="13" s="1"/>
  <c r="S1216" i="13" s="1"/>
  <c r="S1217" i="13" s="1"/>
  <c r="S1218" i="13" s="1"/>
  <c r="S1219" i="13" s="1"/>
  <c r="S1220" i="13" s="1"/>
  <c r="S1221" i="13" s="1"/>
  <c r="S1222" i="13" s="1"/>
  <c r="S1223" i="13" s="1"/>
  <c r="S1224" i="13" s="1"/>
  <c r="S1225" i="13" s="1"/>
  <c r="S1226" i="13" s="1"/>
  <c r="S1227" i="13" s="1"/>
  <c r="S1228" i="13" s="1"/>
  <c r="S1229" i="13" s="1"/>
  <c r="S1230" i="13" s="1"/>
  <c r="S1231" i="13" s="1"/>
  <c r="S1232" i="13" s="1"/>
  <c r="S1233" i="13" s="1"/>
  <c r="S1234" i="13" s="1"/>
  <c r="S1235" i="13" s="1"/>
  <c r="S1236" i="13" s="1"/>
  <c r="S1237" i="13" s="1"/>
  <c r="S1238" i="13" s="1"/>
  <c r="S1239" i="13" s="1"/>
  <c r="S1240" i="13" s="1"/>
  <c r="S1241" i="13" s="1"/>
  <c r="S1242" i="13" s="1"/>
  <c r="S1243" i="13" s="1"/>
  <c r="S1244" i="13" s="1"/>
  <c r="S1245" i="13" s="1"/>
  <c r="S1246" i="13" s="1"/>
  <c r="S1247" i="13" s="1"/>
  <c r="S1248" i="13" s="1"/>
  <c r="S1249" i="13" s="1"/>
  <c r="S1250" i="13" s="1"/>
  <c r="S1251" i="13" s="1"/>
  <c r="S1252" i="13" s="1"/>
  <c r="S1253" i="13" s="1"/>
  <c r="S1254" i="13" s="1"/>
  <c r="S1255" i="13" s="1"/>
  <c r="S1256" i="13" s="1"/>
  <c r="S1257" i="13" s="1"/>
  <c r="S1258" i="13" s="1"/>
  <c r="S1259" i="13" s="1"/>
  <c r="S1260" i="13" s="1"/>
  <c r="S1261" i="13" s="1"/>
  <c r="S1262" i="13" s="1"/>
  <c r="S1263" i="13" s="1"/>
  <c r="S1264" i="13" s="1"/>
  <c r="S1265" i="13" s="1"/>
  <c r="S1266" i="13" s="1"/>
  <c r="S1267" i="13" s="1"/>
  <c r="S1268" i="13" s="1"/>
  <c r="S1269" i="13" s="1"/>
  <c r="S1270" i="13" s="1"/>
  <c r="S1271" i="13" s="1"/>
  <c r="S1272" i="13" s="1"/>
  <c r="S1273" i="13" s="1"/>
  <c r="S1274" i="13" s="1"/>
  <c r="S1275" i="13" s="1"/>
  <c r="S1276" i="13" s="1"/>
  <c r="S1277" i="13" s="1"/>
  <c r="S1278" i="13" s="1"/>
  <c r="S1279" i="13" s="1"/>
  <c r="S1280" i="13" s="1"/>
  <c r="S1281" i="13" s="1"/>
  <c r="S1282" i="13" s="1"/>
  <c r="S1283" i="13" s="1"/>
  <c r="S1284" i="13" s="1"/>
  <c r="S1285" i="13" s="1"/>
  <c r="S1286" i="13" s="1"/>
  <c r="S1287" i="13" s="1"/>
  <c r="S1288" i="13" s="1"/>
  <c r="S1289" i="13" s="1"/>
  <c r="S1290" i="13" s="1"/>
  <c r="S1291" i="13" s="1"/>
  <c r="S1292" i="13" s="1"/>
  <c r="S1293" i="13" s="1"/>
  <c r="S1294" i="13" s="1"/>
  <c r="S1295" i="13" s="1"/>
  <c r="S1296" i="13" s="1"/>
  <c r="S1297" i="13" s="1"/>
  <c r="S1298" i="13" s="1"/>
  <c r="S1299" i="13" s="1"/>
  <c r="S1300" i="13" s="1"/>
  <c r="S1301" i="13" s="1"/>
  <c r="S1302" i="13" s="1"/>
  <c r="S1303" i="13" s="1"/>
  <c r="S1304" i="13" s="1"/>
  <c r="S1305" i="13" s="1"/>
  <c r="S1306" i="13" s="1"/>
  <c r="S1307" i="13" s="1"/>
  <c r="S1308" i="13" s="1"/>
  <c r="S1309" i="13" s="1"/>
  <c r="S1310" i="13" s="1"/>
  <c r="S1311" i="13" s="1"/>
  <c r="S1312" i="13" s="1"/>
  <c r="S1313" i="13" s="1"/>
  <c r="S1314" i="13" s="1"/>
  <c r="S1315" i="13" s="1"/>
  <c r="S1316" i="13" s="1"/>
  <c r="S1317" i="13" s="1"/>
  <c r="S1318" i="13" s="1"/>
  <c r="S1319" i="13" s="1"/>
  <c r="S1320" i="13" s="1"/>
  <c r="S1321" i="13" s="1"/>
  <c r="S1322" i="13" s="1"/>
  <c r="S1323" i="13" s="1"/>
  <c r="S1324" i="13" s="1"/>
  <c r="S1325" i="13" s="1"/>
  <c r="S1326" i="13" s="1"/>
  <c r="S1327" i="13" s="1"/>
  <c r="S1328" i="13" s="1"/>
  <c r="S1329" i="13" s="1"/>
  <c r="S1330" i="13" s="1"/>
  <c r="S1331" i="13" s="1"/>
  <c r="S1332" i="13" s="1"/>
  <c r="S1333" i="13" s="1"/>
  <c r="S1334" i="13" s="1"/>
  <c r="S1335" i="13" s="1"/>
  <c r="S1336" i="13" s="1"/>
  <c r="S1337" i="13" s="1"/>
  <c r="S1338" i="13" s="1"/>
  <c r="S1339" i="13" s="1"/>
  <c r="S1340" i="13" s="1"/>
  <c r="S1341" i="13" s="1"/>
  <c r="S1342" i="13" s="1"/>
  <c r="S1343" i="13" s="1"/>
  <c r="S1344" i="13" s="1"/>
  <c r="S1345" i="13" s="1"/>
  <c r="S1346" i="13" s="1"/>
  <c r="S1347" i="13" s="1"/>
  <c r="S1348" i="13" s="1"/>
  <c r="S1349" i="13" s="1"/>
  <c r="S1350" i="13" s="1"/>
  <c r="S1351" i="13" s="1"/>
  <c r="S1352" i="13" s="1"/>
  <c r="S1353" i="13" s="1"/>
  <c r="S1354" i="13" s="1"/>
  <c r="S1355" i="13" s="1"/>
  <c r="S1356" i="13" s="1"/>
  <c r="S1357" i="13" s="1"/>
  <c r="S1358" i="13" s="1"/>
  <c r="S1359" i="13" s="1"/>
  <c r="S1360" i="13" s="1"/>
  <c r="S1361" i="13" s="1"/>
  <c r="S1362" i="13" s="1"/>
  <c r="S1363" i="13" s="1"/>
  <c r="S1364" i="13" s="1"/>
  <c r="S1365" i="13" s="1"/>
  <c r="S1366" i="13" s="1"/>
  <c r="S1367" i="13" s="1"/>
  <c r="S1368" i="13" s="1"/>
  <c r="S1369" i="13" s="1"/>
  <c r="S1370" i="13" s="1"/>
  <c r="S1371" i="13" s="1"/>
  <c r="S1372" i="13" s="1"/>
  <c r="S1373" i="13" s="1"/>
  <c r="S1374" i="13" s="1"/>
  <c r="S1375" i="13" s="1"/>
  <c r="S1376" i="13" s="1"/>
  <c r="S1377" i="13" s="1"/>
  <c r="S1378" i="13" s="1"/>
  <c r="S1379" i="13" s="1"/>
  <c r="S1380" i="13" s="1"/>
  <c r="S1381" i="13" s="1"/>
  <c r="S1382" i="13" s="1"/>
  <c r="S1383" i="13" s="1"/>
  <c r="S1384" i="13" s="1"/>
  <c r="S1385" i="13" s="1"/>
  <c r="S1386" i="13" s="1"/>
  <c r="S1387" i="13" s="1"/>
  <c r="S1388" i="13" s="1"/>
  <c r="S1389" i="13" s="1"/>
  <c r="S1390" i="13" s="1"/>
  <c r="S1391" i="13" s="1"/>
  <c r="S1392" i="13" s="1"/>
  <c r="S1393" i="13" s="1"/>
  <c r="S1394" i="13" s="1"/>
  <c r="S1395" i="13" s="1"/>
  <c r="S1396" i="13" s="1"/>
  <c r="S1397" i="13" s="1"/>
  <c r="S1398" i="13" s="1"/>
  <c r="S1399" i="13" s="1"/>
  <c r="S1400" i="13" s="1"/>
  <c r="S1401" i="13" s="1"/>
  <c r="S1402" i="13" s="1"/>
  <c r="S1403" i="13" s="1"/>
  <c r="S1404" i="13" s="1"/>
  <c r="S1405" i="13" s="1"/>
  <c r="S1406" i="13" s="1"/>
  <c r="S1407" i="13" s="1"/>
  <c r="S1408" i="13" s="1"/>
  <c r="S1409" i="13" s="1"/>
  <c r="S1410" i="13" s="1"/>
  <c r="S1411" i="13" s="1"/>
  <c r="S1412" i="13" s="1"/>
  <c r="S1413" i="13" s="1"/>
  <c r="S1414" i="13" s="1"/>
  <c r="S1415" i="13" s="1"/>
  <c r="S1416" i="13" s="1"/>
  <c r="S1417" i="13" s="1"/>
  <c r="S1418" i="13" s="1"/>
  <c r="S1419" i="13" s="1"/>
  <c r="S1420" i="13" s="1"/>
  <c r="S1421" i="13" s="1"/>
  <c r="S1422" i="13" s="1"/>
  <c r="S1423" i="13" s="1"/>
  <c r="S1424" i="13" s="1"/>
  <c r="S1425" i="13" s="1"/>
  <c r="S1426" i="13" s="1"/>
  <c r="S1427" i="13" s="1"/>
  <c r="S1428" i="13" s="1"/>
  <c r="S1429" i="13" s="1"/>
  <c r="S1430" i="13" s="1"/>
  <c r="S1431" i="13" s="1"/>
  <c r="S1432" i="13" s="1"/>
  <c r="S1433" i="13" s="1"/>
  <c r="S1434" i="13" s="1"/>
  <c r="S1435" i="13" s="1"/>
  <c r="S1436" i="13" s="1"/>
  <c r="S1437" i="13" s="1"/>
  <c r="S1438" i="13" s="1"/>
  <c r="S1439" i="13" s="1"/>
  <c r="S1440" i="13" s="1"/>
  <c r="S1441" i="13" s="1"/>
  <c r="S1442" i="13" s="1"/>
  <c r="S1443" i="13" s="1"/>
  <c r="S1444" i="13" s="1"/>
  <c r="S1445" i="13" s="1"/>
  <c r="S1446" i="13" s="1"/>
  <c r="S1447" i="13" s="1"/>
  <c r="S1448" i="13" s="1"/>
  <c r="S1449" i="13" s="1"/>
  <c r="S1450" i="13" s="1"/>
  <c r="S1451" i="13" s="1"/>
  <c r="S1452" i="13" s="1"/>
  <c r="S1453" i="13" s="1"/>
  <c r="S1454" i="13" s="1"/>
  <c r="S1455" i="13" s="1"/>
  <c r="S1456" i="13" s="1"/>
  <c r="S1457" i="13" s="1"/>
  <c r="S1458" i="13" s="1"/>
  <c r="S1459" i="13" s="1"/>
  <c r="S1460" i="13" s="1"/>
  <c r="S1461" i="13" s="1"/>
  <c r="S1462" i="13" s="1"/>
  <c r="S1463" i="13" s="1"/>
  <c r="S1464" i="13" s="1"/>
  <c r="S1465" i="13" s="1"/>
  <c r="S1466" i="13" s="1"/>
  <c r="S1467" i="13" s="1"/>
  <c r="S1468" i="13" s="1"/>
  <c r="S1469" i="13" s="1"/>
  <c r="S1470" i="13" s="1"/>
  <c r="S1471" i="13" s="1"/>
  <c r="S1472" i="13" s="1"/>
  <c r="S1473" i="13" s="1"/>
  <c r="S1474" i="13" s="1"/>
  <c r="S1475" i="13" s="1"/>
  <c r="S1476" i="13" s="1"/>
  <c r="S1477" i="13" s="1"/>
  <c r="S1478" i="13" s="1"/>
  <c r="S1479" i="13" s="1"/>
  <c r="S1480" i="13" s="1"/>
  <c r="S1481" i="13" s="1"/>
  <c r="S1482" i="13" s="1"/>
  <c r="S1483" i="13" s="1"/>
  <c r="S1484" i="13" s="1"/>
  <c r="S1485" i="13" s="1"/>
  <c r="S1486" i="13" s="1"/>
  <c r="S1487" i="13" s="1"/>
  <c r="S1488" i="13" s="1"/>
  <c r="S1489" i="13" s="1"/>
  <c r="S1490" i="13" s="1"/>
  <c r="S1491" i="13" s="1"/>
  <c r="S1492" i="13" s="1"/>
  <c r="S1493" i="13" s="1"/>
  <c r="S1494" i="13" s="1"/>
  <c r="S1495" i="13" s="1"/>
  <c r="S1496" i="13" s="1"/>
  <c r="S1497" i="13" s="1"/>
  <c r="S1498" i="13" s="1"/>
  <c r="S1499" i="13" s="1"/>
  <c r="S1500" i="13" s="1"/>
  <c r="S1501" i="13" s="1"/>
  <c r="S1502" i="13" s="1"/>
  <c r="S1503" i="13" s="1"/>
  <c r="S1504" i="13" s="1"/>
  <c r="S1505" i="13" s="1"/>
  <c r="S1506" i="13" s="1"/>
  <c r="S1507" i="13" s="1"/>
  <c r="S1508" i="13" s="1"/>
  <c r="S1509" i="13" s="1"/>
  <c r="S1510" i="13" s="1"/>
  <c r="S1511" i="13" s="1"/>
  <c r="S1512" i="13" s="1"/>
  <c r="S1513" i="13" s="1"/>
  <c r="S1514" i="13" s="1"/>
  <c r="S1515" i="13" s="1"/>
  <c r="S1516" i="13" s="1"/>
  <c r="S1517" i="13" s="1"/>
  <c r="S1518" i="13" s="1"/>
  <c r="S1519" i="13" s="1"/>
  <c r="S1520" i="13" s="1"/>
  <c r="S1521" i="13" s="1"/>
  <c r="S1522" i="13" s="1"/>
  <c r="S1523" i="13" s="1"/>
  <c r="S1524" i="13" s="1"/>
  <c r="S1525" i="13" s="1"/>
  <c r="S1526" i="13" s="1"/>
  <c r="S1527" i="13" s="1"/>
  <c r="S1528" i="13" s="1"/>
  <c r="S1529" i="13" s="1"/>
  <c r="S1530" i="13" s="1"/>
  <c r="S1531" i="13" s="1"/>
  <c r="S1532" i="13" s="1"/>
  <c r="S1533" i="13" s="1"/>
  <c r="S1534" i="13" s="1"/>
  <c r="S1535" i="13" s="1"/>
  <c r="S1536" i="13" s="1"/>
  <c r="S1537" i="13" s="1"/>
  <c r="S1538" i="13" s="1"/>
  <c r="S1539" i="13" s="1"/>
  <c r="S1540" i="13" s="1"/>
  <c r="S1541" i="13" s="1"/>
  <c r="S1542" i="13" s="1"/>
  <c r="S1543" i="13" s="1"/>
  <c r="S1544" i="13" s="1"/>
  <c r="S1545" i="13" s="1"/>
  <c r="S1546" i="13" s="1"/>
  <c r="S1547" i="13" s="1"/>
  <c r="S1548" i="13" s="1"/>
  <c r="S1549" i="13" s="1"/>
  <c r="S1550" i="13" s="1"/>
  <c r="S1551" i="13" s="1"/>
  <c r="S1552" i="13" s="1"/>
  <c r="S1553" i="13" s="1"/>
  <c r="S1554" i="13" s="1"/>
  <c r="S1555" i="13" s="1"/>
  <c r="S1556" i="13" s="1"/>
  <c r="S1557" i="13" s="1"/>
  <c r="S1558" i="13" s="1"/>
  <c r="S1559" i="13" s="1"/>
  <c r="S1560" i="13" s="1"/>
  <c r="S1561" i="13" s="1"/>
  <c r="S1562" i="13" s="1"/>
  <c r="S1563" i="13" s="1"/>
  <c r="S1564" i="13" s="1"/>
  <c r="S1565" i="13" s="1"/>
  <c r="S1566" i="13" s="1"/>
  <c r="S1567" i="13" s="1"/>
  <c r="S1568" i="13" s="1"/>
  <c r="S1569" i="13" s="1"/>
  <c r="S1570" i="13" s="1"/>
  <c r="S1571" i="13" s="1"/>
  <c r="S1572" i="13" s="1"/>
  <c r="S1573" i="13" s="1"/>
  <c r="S1574" i="13" s="1"/>
  <c r="S1575" i="13" s="1"/>
  <c r="S1576" i="13" s="1"/>
  <c r="S1577" i="13" s="1"/>
  <c r="S1578" i="13" s="1"/>
  <c r="S1579" i="13" s="1"/>
  <c r="S1580" i="13" s="1"/>
  <c r="S1581" i="13" s="1"/>
  <c r="S1582" i="13" s="1"/>
  <c r="S1583" i="13" s="1"/>
  <c r="S1584" i="13" s="1"/>
  <c r="S1585" i="13" s="1"/>
  <c r="S1586" i="13" s="1"/>
  <c r="S1587" i="13" s="1"/>
  <c r="S1588" i="13" s="1"/>
  <c r="S1589" i="13" s="1"/>
  <c r="S1590" i="13" s="1"/>
  <c r="S1591" i="13" s="1"/>
  <c r="S1592" i="13" s="1"/>
  <c r="S1593" i="13" s="1"/>
  <c r="S1594" i="13" s="1"/>
  <c r="S1595" i="13" s="1"/>
  <c r="S1596" i="13" s="1"/>
  <c r="S1597" i="13" s="1"/>
  <c r="S1598" i="13" s="1"/>
  <c r="S1599" i="13" s="1"/>
  <c r="S1600" i="13" s="1"/>
  <c r="S1601" i="13" s="1"/>
  <c r="S1602" i="13" s="1"/>
  <c r="S1603" i="13" s="1"/>
  <c r="S1604" i="13" s="1"/>
  <c r="S1605" i="13" s="1"/>
  <c r="S1606" i="13" s="1"/>
  <c r="S1607" i="13" s="1"/>
  <c r="S1608" i="13" s="1"/>
  <c r="S1609" i="13" s="1"/>
  <c r="S1610" i="13" s="1"/>
  <c r="S1611" i="13" s="1"/>
  <c r="S1612" i="13" s="1"/>
  <c r="S1613" i="13" s="1"/>
  <c r="S1614" i="13" s="1"/>
  <c r="S1615" i="13" s="1"/>
  <c r="S1616" i="13" s="1"/>
  <c r="S1617" i="13" s="1"/>
  <c r="S1618" i="13" s="1"/>
  <c r="S1619" i="13" s="1"/>
  <c r="S1620" i="13" s="1"/>
  <c r="S1621" i="13" s="1"/>
  <c r="S1622" i="13" s="1"/>
  <c r="S1623" i="13" s="1"/>
  <c r="S1624" i="13" s="1"/>
  <c r="S1625" i="13" s="1"/>
  <c r="S1626" i="13" s="1"/>
  <c r="S1627" i="13" s="1"/>
  <c r="S1628" i="13" s="1"/>
  <c r="S1629" i="13" s="1"/>
  <c r="S1630" i="13" s="1"/>
  <c r="S1631" i="13" s="1"/>
  <c r="S1632" i="13" s="1"/>
  <c r="S1633" i="13" s="1"/>
  <c r="S1634" i="13" s="1"/>
  <c r="S1635" i="13" s="1"/>
  <c r="S1636" i="13" s="1"/>
  <c r="S1637" i="13" s="1"/>
  <c r="S1638" i="13" s="1"/>
  <c r="S1639" i="13" s="1"/>
  <c r="S1640" i="13" s="1"/>
  <c r="S1641" i="13" s="1"/>
  <c r="S1642" i="13" s="1"/>
  <c r="S1643" i="13" s="1"/>
  <c r="S1644" i="13" s="1"/>
  <c r="S1645" i="13" s="1"/>
  <c r="S1646" i="13" s="1"/>
  <c r="S1647" i="13" s="1"/>
  <c r="S1648" i="13" s="1"/>
  <c r="S1649" i="13" s="1"/>
  <c r="S1650" i="13" s="1"/>
  <c r="S1651" i="13" s="1"/>
  <c r="S1652" i="13" s="1"/>
  <c r="S1653" i="13" s="1"/>
  <c r="S1654" i="13" s="1"/>
  <c r="S1655" i="13" s="1"/>
  <c r="S1656" i="13" s="1"/>
  <c r="S1657" i="13" s="1"/>
  <c r="S1658" i="13" s="1"/>
  <c r="S1659" i="13" s="1"/>
  <c r="S1660" i="13" s="1"/>
  <c r="S1661" i="13" s="1"/>
  <c r="S1662" i="13" s="1"/>
  <c r="S1663" i="13" s="1"/>
  <c r="S1664" i="13" s="1"/>
  <c r="S1665" i="13" s="1"/>
  <c r="S1666" i="13" s="1"/>
  <c r="S1667" i="13" s="1"/>
  <c r="S1668" i="13" s="1"/>
  <c r="S1669" i="13" s="1"/>
  <c r="S1670" i="13" s="1"/>
  <c r="S1671" i="13" s="1"/>
  <c r="S1672" i="13" s="1"/>
  <c r="S1673" i="13" s="1"/>
  <c r="S1674" i="13" s="1"/>
  <c r="S1675" i="13" s="1"/>
  <c r="S1676" i="13" s="1"/>
  <c r="S1677" i="13" s="1"/>
  <c r="S1678" i="13" s="1"/>
  <c r="S1679" i="13" s="1"/>
  <c r="S1680" i="13" s="1"/>
  <c r="S1681" i="13" s="1"/>
  <c r="S1682" i="13" s="1"/>
  <c r="S1683" i="13" s="1"/>
  <c r="S1684" i="13" s="1"/>
  <c r="S1685" i="13" s="1"/>
  <c r="S1686" i="13" s="1"/>
  <c r="S1687" i="13" s="1"/>
  <c r="S1688" i="13" s="1"/>
  <c r="S1689" i="13" s="1"/>
  <c r="S1690" i="13" s="1"/>
  <c r="S1691" i="13" s="1"/>
  <c r="S1692" i="13" s="1"/>
  <c r="S1693" i="13" s="1"/>
  <c r="S1694" i="13" s="1"/>
  <c r="S1695" i="13" s="1"/>
  <c r="S1696" i="13" s="1"/>
  <c r="S1697" i="13" s="1"/>
  <c r="S1698" i="13" s="1"/>
  <c r="S1699" i="13" s="1"/>
  <c r="S1700" i="13" s="1"/>
  <c r="S1701" i="13" s="1"/>
  <c r="S1702" i="13" s="1"/>
  <c r="S1703" i="13" s="1"/>
  <c r="S1704" i="13" s="1"/>
  <c r="S1705" i="13" s="1"/>
  <c r="S1706" i="13" s="1"/>
  <c r="S1707" i="13" s="1"/>
  <c r="S1708" i="13" s="1"/>
  <c r="S1709" i="13" s="1"/>
  <c r="S1710" i="13" s="1"/>
  <c r="S1711" i="13" s="1"/>
  <c r="S1712" i="13" s="1"/>
  <c r="S1713" i="13" s="1"/>
  <c r="S1714" i="13" s="1"/>
  <c r="S1715" i="13" s="1"/>
  <c r="S1716" i="13" s="1"/>
  <c r="S1717" i="13" s="1"/>
  <c r="S1718" i="13" s="1"/>
  <c r="S1719" i="13" s="1"/>
  <c r="S1720" i="13" s="1"/>
  <c r="S1721" i="13" s="1"/>
  <c r="S1722" i="13" s="1"/>
  <c r="S1723" i="13" s="1"/>
  <c r="S1724" i="13" s="1"/>
  <c r="S1725" i="13" s="1"/>
  <c r="S1726" i="13" s="1"/>
  <c r="S1727" i="13" s="1"/>
  <c r="S1728" i="13" s="1"/>
  <c r="S1729" i="13" s="1"/>
  <c r="S1730" i="13" s="1"/>
  <c r="S1731" i="13" s="1"/>
  <c r="S1732" i="13" s="1"/>
  <c r="S1733" i="13" s="1"/>
  <c r="S1734" i="13" s="1"/>
  <c r="S1735" i="13" s="1"/>
  <c r="S1736" i="13" s="1"/>
  <c r="S1737" i="13" s="1"/>
  <c r="S1738" i="13" s="1"/>
  <c r="S1739" i="13" s="1"/>
  <c r="S1740" i="13" s="1"/>
  <c r="S1741" i="13" s="1"/>
  <c r="S1742" i="13" s="1"/>
  <c r="S1743" i="13" s="1"/>
  <c r="S1744" i="13" s="1"/>
  <c r="S1745" i="13" s="1"/>
  <c r="S1746" i="13" s="1"/>
  <c r="S1747" i="13" s="1"/>
  <c r="S1748" i="13" s="1"/>
  <c r="S1749" i="13" s="1"/>
  <c r="S1750" i="13" s="1"/>
  <c r="S1751" i="13" s="1"/>
  <c r="S1752" i="13" s="1"/>
  <c r="S1753" i="13" s="1"/>
  <c r="S1754" i="13" s="1"/>
  <c r="S1755" i="13" s="1"/>
  <c r="S1756" i="13" s="1"/>
  <c r="S1757" i="13" s="1"/>
  <c r="S1758" i="13" s="1"/>
  <c r="S1759" i="13" s="1"/>
  <c r="S1760" i="13" s="1"/>
  <c r="S1761" i="13" s="1"/>
  <c r="S1762" i="13" s="1"/>
  <c r="S1763" i="13" s="1"/>
  <c r="S1764" i="13" s="1"/>
  <c r="S1765" i="13" s="1"/>
  <c r="S1766" i="13" s="1"/>
  <c r="S1767" i="13" s="1"/>
  <c r="S1768" i="13" s="1"/>
  <c r="S1769" i="13" s="1"/>
  <c r="S1770" i="13" s="1"/>
  <c r="S1771" i="13" s="1"/>
  <c r="S1772" i="13" s="1"/>
  <c r="S1773" i="13" s="1"/>
  <c r="S1774" i="13" s="1"/>
  <c r="S1775" i="13" s="1"/>
  <c r="S1776" i="13" s="1"/>
  <c r="S1777" i="13" s="1"/>
  <c r="S1778" i="13" s="1"/>
  <c r="S1779" i="13" s="1"/>
  <c r="S1780" i="13" s="1"/>
  <c r="S1781" i="13" s="1"/>
  <c r="S1782" i="13" s="1"/>
  <c r="S1783" i="13" s="1"/>
  <c r="S1784" i="13" s="1"/>
  <c r="S1785" i="13" s="1"/>
  <c r="S1786" i="13" s="1"/>
  <c r="S1787" i="13" s="1"/>
  <c r="S1788" i="13" s="1"/>
  <c r="S1789" i="13" s="1"/>
  <c r="S1790" i="13" s="1"/>
  <c r="S1791" i="13" s="1"/>
  <c r="S1792" i="13" s="1"/>
  <c r="S1793" i="13" s="1"/>
  <c r="S1794" i="13" s="1"/>
  <c r="S1795" i="13" s="1"/>
  <c r="S1796" i="13" s="1"/>
  <c r="S1797" i="13" s="1"/>
  <c r="S1798" i="13" s="1"/>
  <c r="S1799" i="13" s="1"/>
  <c r="S1800" i="13" s="1"/>
  <c r="S1801" i="13" s="1"/>
  <c r="S1802" i="13" s="1"/>
  <c r="S1803" i="13" s="1"/>
  <c r="S1804" i="13" s="1"/>
  <c r="S1805" i="13" s="1"/>
  <c r="S1806" i="13" s="1"/>
  <c r="S1807" i="13" s="1"/>
  <c r="S1808" i="13" s="1"/>
  <c r="S1809" i="13" s="1"/>
  <c r="S1810" i="13" s="1"/>
  <c r="S1811" i="13" s="1"/>
  <c r="S1812" i="13" s="1"/>
  <c r="S1813" i="13" s="1"/>
  <c r="S1814" i="13" s="1"/>
  <c r="S1815" i="13" s="1"/>
  <c r="S1816" i="13" s="1"/>
  <c r="S1817" i="13" s="1"/>
  <c r="S1818" i="13" s="1"/>
  <c r="S1819" i="13" s="1"/>
  <c r="S1820" i="13" s="1"/>
  <c r="S1821" i="13" s="1"/>
  <c r="S1822" i="13" s="1"/>
  <c r="S1823" i="13" s="1"/>
  <c r="S1824" i="13" s="1"/>
  <c r="S1825" i="13" s="1"/>
  <c r="S1826" i="13" s="1"/>
  <c r="S1827" i="13" s="1"/>
  <c r="S1828" i="13" s="1"/>
  <c r="S1829" i="13" s="1"/>
  <c r="S1830" i="13" s="1"/>
  <c r="S1831" i="13" s="1"/>
  <c r="S1832" i="13" s="1"/>
  <c r="S1833" i="13" s="1"/>
  <c r="S1834" i="13" s="1"/>
  <c r="S1835" i="13" s="1"/>
  <c r="S1836" i="13" s="1"/>
  <c r="S1837" i="13" s="1"/>
  <c r="S1838" i="13" s="1"/>
  <c r="S1839" i="13" s="1"/>
  <c r="S1840" i="13" s="1"/>
  <c r="S1841" i="13" s="1"/>
  <c r="S1842" i="13" s="1"/>
  <c r="S1843" i="13" s="1"/>
  <c r="S1844" i="13" s="1"/>
  <c r="S1845" i="13" s="1"/>
  <c r="S1846" i="13" s="1"/>
  <c r="S1847" i="13" s="1"/>
  <c r="S1848" i="13" s="1"/>
  <c r="S1849" i="13" s="1"/>
  <c r="S1850" i="13" s="1"/>
  <c r="S1851" i="13" s="1"/>
  <c r="S1852" i="13" s="1"/>
  <c r="S1853" i="13" s="1"/>
  <c r="S1854" i="13" s="1"/>
  <c r="S1855" i="13" s="1"/>
  <c r="S1856" i="13" s="1"/>
  <c r="S1857" i="13" s="1"/>
  <c r="S1858" i="13" s="1"/>
  <c r="S1859" i="13" s="1"/>
  <c r="S1860" i="13" s="1"/>
  <c r="S1861" i="13" s="1"/>
  <c r="S1862" i="13" s="1"/>
  <c r="S1863" i="13" s="1"/>
  <c r="S1864" i="13" s="1"/>
  <c r="S1865" i="13" s="1"/>
  <c r="S1866" i="13" s="1"/>
  <c r="S1867" i="13" s="1"/>
  <c r="S1868" i="13" s="1"/>
  <c r="S1869" i="13" s="1"/>
  <c r="S1870" i="13" s="1"/>
  <c r="S1871" i="13" s="1"/>
  <c r="S1872" i="13" s="1"/>
  <c r="S1873" i="13" s="1"/>
  <c r="S1874" i="13" s="1"/>
  <c r="S1875" i="13" s="1"/>
  <c r="S1876" i="13" s="1"/>
  <c r="S1877" i="13" s="1"/>
  <c r="S1878" i="13" s="1"/>
  <c r="S1879" i="13" s="1"/>
  <c r="S1880" i="13" s="1"/>
  <c r="S1881" i="13" s="1"/>
  <c r="S1882" i="13" s="1"/>
  <c r="S1883" i="13" s="1"/>
  <c r="S1884" i="13" s="1"/>
  <c r="S1885" i="13" s="1"/>
  <c r="S1886" i="13" s="1"/>
  <c r="S1887" i="13" s="1"/>
  <c r="S1888" i="13" s="1"/>
  <c r="S1889" i="13" s="1"/>
  <c r="S1890" i="13" s="1"/>
  <c r="S1891" i="13" s="1"/>
  <c r="S1892" i="13" s="1"/>
  <c r="S1893" i="13" s="1"/>
  <c r="S1894" i="13" s="1"/>
  <c r="S1895" i="13" s="1"/>
  <c r="S1896" i="13" s="1"/>
  <c r="S1897" i="13" s="1"/>
  <c r="S1898" i="13" s="1"/>
  <c r="S1899" i="13" s="1"/>
  <c r="S1900" i="13" s="1"/>
  <c r="S1901" i="13" s="1"/>
  <c r="S1902" i="13" s="1"/>
  <c r="S1903" i="13" s="1"/>
  <c r="S1904" i="13" s="1"/>
  <c r="S1905" i="13" s="1"/>
  <c r="S1906" i="13" s="1"/>
  <c r="S1907" i="13" s="1"/>
  <c r="S1908" i="13" s="1"/>
  <c r="S1909" i="13" s="1"/>
  <c r="S1910" i="13" s="1"/>
  <c r="S1911" i="13" s="1"/>
  <c r="S1912" i="13" s="1"/>
  <c r="S1913" i="13" s="1"/>
  <c r="S1914" i="13" s="1"/>
  <c r="S1915" i="13" s="1"/>
  <c r="S1916" i="13" s="1"/>
  <c r="S1917" i="13" s="1"/>
  <c r="S1918" i="13" s="1"/>
  <c r="S1919" i="13" s="1"/>
  <c r="S1920" i="13" s="1"/>
  <c r="S1921" i="13" s="1"/>
  <c r="S1922" i="13" s="1"/>
  <c r="S1923" i="13" s="1"/>
  <c r="S1924" i="13" s="1"/>
  <c r="S1925" i="13" s="1"/>
  <c r="S1926" i="13" s="1"/>
  <c r="S1927" i="13" s="1"/>
  <c r="S1928" i="13" s="1"/>
  <c r="S1929" i="13" s="1"/>
  <c r="S1930" i="13" s="1"/>
  <c r="S1931" i="13" s="1"/>
  <c r="S1932" i="13" s="1"/>
  <c r="S1933" i="13" s="1"/>
  <c r="S1934" i="13" s="1"/>
  <c r="S1935" i="13" s="1"/>
  <c r="S1936" i="13" s="1"/>
  <c r="S1937" i="13" s="1"/>
  <c r="S1938" i="13" s="1"/>
  <c r="S1939" i="13" s="1"/>
  <c r="S1940" i="13" s="1"/>
  <c r="S1941" i="13" s="1"/>
  <c r="S1942" i="13" s="1"/>
  <c r="S1943" i="13" s="1"/>
  <c r="S1944" i="13" s="1"/>
  <c r="S1945" i="13" s="1"/>
  <c r="S1946" i="13" s="1"/>
  <c r="S1947" i="13" s="1"/>
  <c r="S1948" i="13" s="1"/>
  <c r="S1949" i="13" s="1"/>
  <c r="S1950" i="13" s="1"/>
  <c r="S1951" i="13" s="1"/>
  <c r="S1952" i="13" s="1"/>
  <c r="S1953" i="13" s="1"/>
  <c r="S1954" i="13" s="1"/>
  <c r="S1955" i="13" s="1"/>
  <c r="S1956" i="13" s="1"/>
  <c r="S1957" i="13" s="1"/>
  <c r="S1958" i="13" s="1"/>
  <c r="S1959" i="13" s="1"/>
  <c r="S1960" i="13" s="1"/>
  <c r="S1961" i="13" s="1"/>
  <c r="S1962" i="13" s="1"/>
  <c r="S1963" i="13" s="1"/>
  <c r="S1964" i="13" s="1"/>
  <c r="S1965" i="13" s="1"/>
  <c r="S1966" i="13" s="1"/>
  <c r="S1967" i="13" s="1"/>
  <c r="S1968" i="13" s="1"/>
  <c r="S1969" i="13" s="1"/>
  <c r="S1970" i="13" s="1"/>
  <c r="S1971" i="13" s="1"/>
  <c r="S1972" i="13" s="1"/>
  <c r="S1973" i="13" s="1"/>
  <c r="S1974" i="13" s="1"/>
  <c r="S1975" i="13" s="1"/>
  <c r="S1976" i="13" s="1"/>
  <c r="S1977" i="13" s="1"/>
  <c r="S1978" i="13" s="1"/>
  <c r="S1979" i="13" s="1"/>
  <c r="S1980" i="13" s="1"/>
  <c r="S1981" i="13" s="1"/>
  <c r="S1982" i="13" s="1"/>
  <c r="S1983" i="13" s="1"/>
  <c r="S1984" i="13" s="1"/>
  <c r="S1985" i="13" s="1"/>
  <c r="S1986" i="13" s="1"/>
  <c r="S1987" i="13" s="1"/>
  <c r="S1988" i="13" s="1"/>
  <c r="S1989" i="13" s="1"/>
  <c r="S1990" i="13" s="1"/>
  <c r="S1991" i="13" s="1"/>
  <c r="S1992" i="13" s="1"/>
  <c r="S1993" i="13" s="1"/>
  <c r="S1994" i="13" s="1"/>
  <c r="S1995" i="13" s="1"/>
  <c r="S1996" i="13" s="1"/>
  <c r="S1997" i="13" s="1"/>
  <c r="S1998" i="13" s="1"/>
  <c r="S1999" i="13" s="1"/>
  <c r="S2000" i="13" s="1"/>
  <c r="S2001" i="13" s="1"/>
  <c r="S2002" i="13" s="1"/>
  <c r="S2003" i="13" s="1"/>
  <c r="S2004" i="13" s="1"/>
  <c r="S2005" i="13" s="1"/>
  <c r="S2006" i="13" s="1"/>
  <c r="S2007" i="13" s="1"/>
  <c r="S2008" i="13" s="1"/>
  <c r="S2009" i="13" s="1"/>
  <c r="S2010" i="13" s="1"/>
  <c r="S2011" i="13" s="1"/>
  <c r="S2012" i="13" s="1"/>
  <c r="S2013" i="13" s="1"/>
  <c r="S2014" i="13" s="1"/>
  <c r="S2015" i="13" s="1"/>
  <c r="S2016" i="13" s="1"/>
  <c r="S2017" i="13" s="1"/>
  <c r="S2018" i="13" s="1"/>
  <c r="S2019" i="13" s="1"/>
  <c r="S2020" i="13" s="1"/>
  <c r="S2021" i="13" s="1"/>
  <c r="S2022" i="13" s="1"/>
  <c r="S2023" i="13" s="1"/>
  <c r="S2024" i="13" s="1"/>
  <c r="S2025" i="13" s="1"/>
  <c r="S2026" i="13" s="1"/>
  <c r="S2027" i="13" s="1"/>
  <c r="S2028" i="13" s="1"/>
  <c r="S2029" i="13" s="1"/>
  <c r="S2030" i="13" s="1"/>
  <c r="S2031" i="13" s="1"/>
  <c r="S2032" i="13" s="1"/>
  <c r="S2033" i="13" s="1"/>
  <c r="S2034" i="13" s="1"/>
  <c r="S2035" i="13" s="1"/>
  <c r="S2036" i="13" s="1"/>
  <c r="S2037" i="13" s="1"/>
  <c r="S2038" i="13" s="1"/>
  <c r="S2039" i="13" s="1"/>
  <c r="S2040" i="13" s="1"/>
  <c r="S2041" i="13" s="1"/>
  <c r="S2042" i="13" s="1"/>
  <c r="S2043" i="13" s="1"/>
  <c r="S2044" i="13" s="1"/>
  <c r="S2045" i="13" s="1"/>
  <c r="S2046" i="13" s="1"/>
  <c r="S2047" i="13" s="1"/>
  <c r="S2048" i="13" s="1"/>
  <c r="S2049" i="13" s="1"/>
  <c r="S2050" i="13" s="1"/>
  <c r="S2051" i="13" s="1"/>
  <c r="S2052" i="13" s="1"/>
  <c r="S2053" i="13" s="1"/>
  <c r="S2054" i="13" s="1"/>
  <c r="S2055" i="13" s="1"/>
  <c r="S2056" i="13" s="1"/>
  <c r="S2057" i="13" s="1"/>
  <c r="S2058" i="13" s="1"/>
  <c r="S2059" i="13" s="1"/>
  <c r="S2060" i="13" s="1"/>
  <c r="S2061" i="13" s="1"/>
  <c r="S2062" i="13" s="1"/>
  <c r="S2063" i="13" s="1"/>
  <c r="S2064" i="13" s="1"/>
  <c r="S2065" i="13" s="1"/>
  <c r="S2066" i="13" s="1"/>
  <c r="S2067" i="13" s="1"/>
  <c r="S2068" i="13" s="1"/>
  <c r="S2069" i="13" s="1"/>
  <c r="S2070" i="13" s="1"/>
  <c r="S2071" i="13" s="1"/>
  <c r="S2072" i="13" s="1"/>
  <c r="S2073" i="13" s="1"/>
  <c r="S2074" i="13" s="1"/>
  <c r="S2075" i="13" s="1"/>
  <c r="S2076" i="13" s="1"/>
  <c r="S2077" i="13" s="1"/>
  <c r="S2078" i="13" s="1"/>
  <c r="S2079" i="13" s="1"/>
  <c r="S2080" i="13" s="1"/>
  <c r="S2081" i="13" s="1"/>
  <c r="S2082" i="13" s="1"/>
  <c r="S2083" i="13" s="1"/>
  <c r="S2084" i="13" s="1"/>
  <c r="S2085" i="13" s="1"/>
  <c r="S2086" i="13" s="1"/>
  <c r="S2087" i="13" s="1"/>
  <c r="S2088" i="13" s="1"/>
  <c r="S2089" i="13" s="1"/>
  <c r="S2090" i="13" s="1"/>
  <c r="S2091" i="13" s="1"/>
  <c r="S2092" i="13" s="1"/>
  <c r="S2093" i="13" s="1"/>
  <c r="S2094" i="13" s="1"/>
  <c r="S2095" i="13" s="1"/>
  <c r="S2096" i="13" s="1"/>
  <c r="S2097" i="13" s="1"/>
  <c r="S2098" i="13" s="1"/>
  <c r="S2099" i="13" s="1"/>
  <c r="S2100" i="13" s="1"/>
  <c r="S2101" i="13" s="1"/>
  <c r="S2102" i="13" s="1"/>
  <c r="S2103" i="13" s="1"/>
  <c r="S2104" i="13" s="1"/>
  <c r="S2105" i="13" s="1"/>
  <c r="S2106" i="13" s="1"/>
  <c r="S2107" i="13" s="1"/>
  <c r="S2108" i="13" s="1"/>
  <c r="S2109" i="13" s="1"/>
  <c r="S2110" i="13" s="1"/>
  <c r="S2111" i="13" s="1"/>
  <c r="S2112" i="13" s="1"/>
  <c r="S2113" i="13" s="1"/>
  <c r="S2114" i="13" s="1"/>
  <c r="S2115" i="13" s="1"/>
  <c r="S2116" i="13" s="1"/>
  <c r="S2117" i="13" s="1"/>
  <c r="S2118" i="13" s="1"/>
  <c r="S2119" i="13" s="1"/>
  <c r="S2120" i="13" s="1"/>
  <c r="S2121" i="13" s="1"/>
  <c r="S2122" i="13" s="1"/>
  <c r="S2123" i="13" s="1"/>
  <c r="S2124" i="13" s="1"/>
  <c r="S2125" i="13" s="1"/>
  <c r="S2126" i="13" s="1"/>
  <c r="S2127" i="13" s="1"/>
  <c r="S2128" i="13" s="1"/>
  <c r="S2129" i="13" s="1"/>
  <c r="S2130" i="13" s="1"/>
  <c r="S2131" i="13" s="1"/>
  <c r="S2132" i="13" s="1"/>
  <c r="S2133" i="13" s="1"/>
  <c r="S2134" i="13" s="1"/>
  <c r="S2135" i="13" s="1"/>
  <c r="S2136" i="13" s="1"/>
  <c r="S2137" i="13" s="1"/>
  <c r="S2138" i="13" s="1"/>
  <c r="S2139" i="13" s="1"/>
  <c r="S2140" i="13" s="1"/>
  <c r="S2141" i="13" s="1"/>
  <c r="S2142" i="13" s="1"/>
  <c r="S2143" i="13" s="1"/>
  <c r="S2144" i="13" s="1"/>
  <c r="S2145" i="13" s="1"/>
  <c r="S2146" i="13" s="1"/>
  <c r="S2147" i="13" s="1"/>
  <c r="S2148" i="13" s="1"/>
  <c r="S2149" i="13" s="1"/>
  <c r="S2150" i="13" s="1"/>
  <c r="S2151" i="13" s="1"/>
  <c r="S2152" i="13" s="1"/>
  <c r="S2153" i="13" s="1"/>
  <c r="S2154" i="13" s="1"/>
  <c r="S2155" i="13" s="1"/>
  <c r="S2156" i="13" s="1"/>
  <c r="S2157" i="13" s="1"/>
  <c r="S2158" i="13" s="1"/>
  <c r="S2159" i="13" s="1"/>
  <c r="S2160" i="13" s="1"/>
  <c r="S2161" i="13" s="1"/>
  <c r="S2162" i="13" s="1"/>
  <c r="S2163" i="13" s="1"/>
  <c r="S2164" i="13" s="1"/>
  <c r="S2165" i="13" s="1"/>
  <c r="S2166" i="13" s="1"/>
  <c r="S2167" i="13" s="1"/>
  <c r="S2168" i="13" s="1"/>
  <c r="S2169" i="13" s="1"/>
  <c r="S2170" i="13" s="1"/>
  <c r="S2171" i="13" s="1"/>
  <c r="S2172" i="13" s="1"/>
  <c r="S2173" i="13" s="1"/>
  <c r="S2174" i="13" s="1"/>
  <c r="S2175" i="13" s="1"/>
  <c r="S2176" i="13" s="1"/>
  <c r="S2177" i="13" s="1"/>
  <c r="S2178" i="13" s="1"/>
  <c r="S2179" i="13" s="1"/>
  <c r="S2180" i="13" s="1"/>
  <c r="S2181" i="13" s="1"/>
  <c r="S2182" i="13" s="1"/>
  <c r="S2183" i="13" s="1"/>
  <c r="S2184" i="13" s="1"/>
  <c r="S2185" i="13" s="1"/>
  <c r="S2186" i="13" s="1"/>
  <c r="S2187" i="13" s="1"/>
  <c r="S2188" i="13" s="1"/>
  <c r="S2189" i="13" s="1"/>
  <c r="S2190" i="13" s="1"/>
  <c r="S2191" i="13" s="1"/>
  <c r="S2192" i="13" s="1"/>
  <c r="S2193" i="13" s="1"/>
  <c r="S2194" i="13" s="1"/>
  <c r="S2195" i="13" s="1"/>
  <c r="S2196" i="13" s="1"/>
  <c r="S2197" i="13" s="1"/>
  <c r="S2198" i="13" s="1"/>
  <c r="S2199" i="13" s="1"/>
  <c r="S2200" i="13" s="1"/>
  <c r="S2201" i="13" s="1"/>
  <c r="S2202" i="13" s="1"/>
  <c r="S2203" i="13" s="1"/>
  <c r="S2204" i="13" s="1"/>
  <c r="S2205" i="13" s="1"/>
  <c r="S2206" i="13" s="1"/>
  <c r="S2207" i="13" s="1"/>
  <c r="S2208" i="13" s="1"/>
  <c r="S2209" i="13" s="1"/>
  <c r="S2210" i="13" s="1"/>
  <c r="S2211" i="13" s="1"/>
  <c r="S2212" i="13" s="1"/>
  <c r="S2213" i="13" s="1"/>
  <c r="S2214" i="13" s="1"/>
  <c r="S2215" i="13" s="1"/>
  <c r="S2216" i="13" s="1"/>
  <c r="S2217" i="13" s="1"/>
  <c r="S2218" i="13" s="1"/>
  <c r="S2219" i="13" s="1"/>
  <c r="S2220" i="13" s="1"/>
  <c r="S2221" i="13" s="1"/>
  <c r="S2222" i="13" s="1"/>
  <c r="S2223" i="13" s="1"/>
  <c r="S2224" i="13" s="1"/>
  <c r="S2225" i="13" s="1"/>
  <c r="S2226" i="13" s="1"/>
  <c r="S2227" i="13" s="1"/>
  <c r="S2228" i="13" s="1"/>
  <c r="S2229" i="13" s="1"/>
  <c r="S2230" i="13" s="1"/>
  <c r="S2231" i="13" s="1"/>
  <c r="S2232" i="13" s="1"/>
  <c r="S2233" i="13" s="1"/>
  <c r="S2234" i="13" s="1"/>
  <c r="S2235" i="13" s="1"/>
  <c r="S2236" i="13" s="1"/>
  <c r="S2237" i="13" s="1"/>
  <c r="S2238" i="13" s="1"/>
  <c r="S2239" i="13" s="1"/>
  <c r="S2240" i="13" s="1"/>
  <c r="S2241" i="13" s="1"/>
  <c r="S2242" i="13" s="1"/>
  <c r="S2243" i="13" s="1"/>
  <c r="S2244" i="13" s="1"/>
  <c r="S2245" i="13" s="1"/>
  <c r="S2246" i="13" s="1"/>
  <c r="S2247" i="13" s="1"/>
  <c r="S2248" i="13" s="1"/>
  <c r="S2249" i="13" s="1"/>
  <c r="S2250" i="13" s="1"/>
  <c r="S2251" i="13" s="1"/>
  <c r="S2252" i="13" s="1"/>
  <c r="S2253" i="13" s="1"/>
  <c r="S2254" i="13" s="1"/>
  <c r="S2255" i="13" s="1"/>
  <c r="S2256" i="13" s="1"/>
  <c r="S2257" i="13" s="1"/>
  <c r="S2258" i="13" s="1"/>
  <c r="S2259" i="13" s="1"/>
  <c r="S2260" i="13" s="1"/>
  <c r="S2261" i="13" s="1"/>
  <c r="S2262" i="13" s="1"/>
  <c r="S2263" i="13" s="1"/>
  <c r="S2264" i="13" s="1"/>
  <c r="S2265" i="13" s="1"/>
  <c r="S2266" i="13" s="1"/>
  <c r="S2267" i="13" s="1"/>
  <c r="S2268" i="13" s="1"/>
  <c r="S2269" i="13" s="1"/>
  <c r="S2270" i="13" s="1"/>
  <c r="S2271" i="13" s="1"/>
  <c r="S2272" i="13" s="1"/>
  <c r="S2273" i="13" s="1"/>
  <c r="S2274" i="13" s="1"/>
  <c r="S2275" i="13" s="1"/>
  <c r="S2276" i="13" s="1"/>
  <c r="S2277" i="13" s="1"/>
  <c r="S2278" i="13" s="1"/>
  <c r="S2279" i="13" s="1"/>
  <c r="S2280" i="13" s="1"/>
  <c r="S2281" i="13" s="1"/>
  <c r="S2282" i="13" s="1"/>
  <c r="S2283" i="13" s="1"/>
  <c r="S2284" i="13" s="1"/>
  <c r="S2285" i="13" s="1"/>
  <c r="S2286" i="13" s="1"/>
  <c r="S2287" i="13" s="1"/>
  <c r="S2288" i="13" s="1"/>
  <c r="S2289" i="13" s="1"/>
  <c r="S2290" i="13" s="1"/>
  <c r="S2291" i="13" s="1"/>
  <c r="S2292" i="13" s="1"/>
  <c r="S2293" i="13" s="1"/>
  <c r="S2294" i="13" s="1"/>
  <c r="S2295" i="13" s="1"/>
  <c r="S2296" i="13" s="1"/>
  <c r="S2297" i="13" s="1"/>
  <c r="S2298" i="13" s="1"/>
  <c r="S2299" i="13" s="1"/>
  <c r="S2300" i="13" s="1"/>
  <c r="S2301" i="13" s="1"/>
  <c r="S2302" i="13" s="1"/>
  <c r="S2303" i="13" s="1"/>
  <c r="S2304" i="13" s="1"/>
  <c r="S2305" i="13" s="1"/>
  <c r="S2306" i="13" s="1"/>
  <c r="S2307" i="13" s="1"/>
  <c r="S2308" i="13" s="1"/>
  <c r="S2309" i="13" s="1"/>
  <c r="S2310" i="13" s="1"/>
  <c r="S2311" i="13" s="1"/>
  <c r="S2312" i="13" s="1"/>
  <c r="S2313" i="13" s="1"/>
  <c r="S2314" i="13" s="1"/>
  <c r="S2315" i="13" s="1"/>
  <c r="S2316" i="13" s="1"/>
  <c r="S2317" i="13" s="1"/>
  <c r="S2318" i="13" s="1"/>
  <c r="S2319" i="13" s="1"/>
  <c r="S2320" i="13" s="1"/>
  <c r="S2321" i="13" s="1"/>
  <c r="S2322" i="13" s="1"/>
  <c r="S2323" i="13" s="1"/>
  <c r="S2324" i="13" s="1"/>
  <c r="S2325" i="13" s="1"/>
  <c r="S2326" i="13" s="1"/>
  <c r="S2327" i="13" s="1"/>
  <c r="S2328" i="13" s="1"/>
  <c r="S2329" i="13" s="1"/>
  <c r="S2330" i="13" s="1"/>
  <c r="S2331" i="13" s="1"/>
  <c r="S2332" i="13" s="1"/>
  <c r="S2333" i="13" s="1"/>
  <c r="S2334" i="13" s="1"/>
  <c r="S2335" i="13" s="1"/>
  <c r="S2336" i="13" s="1"/>
  <c r="S2337" i="13" s="1"/>
  <c r="S2338" i="13" s="1"/>
  <c r="S2339" i="13" s="1"/>
  <c r="S2340" i="13" s="1"/>
  <c r="S2341" i="13" s="1"/>
  <c r="S2342" i="13" s="1"/>
  <c r="S2343" i="13" s="1"/>
  <c r="S2344" i="13" s="1"/>
  <c r="S2345" i="13" s="1"/>
  <c r="S2346" i="13" s="1"/>
  <c r="S2347" i="13" s="1"/>
  <c r="S2348" i="13" s="1"/>
  <c r="S2349" i="13" s="1"/>
  <c r="S2350" i="13" s="1"/>
  <c r="S2351" i="13" s="1"/>
  <c r="S2352" i="13" s="1"/>
  <c r="S2353" i="13" s="1"/>
  <c r="S2354" i="13" s="1"/>
  <c r="S2355" i="13" s="1"/>
  <c r="S2356" i="13" s="1"/>
  <c r="S2357" i="13" s="1"/>
  <c r="S2358" i="13" s="1"/>
  <c r="S2359" i="13" s="1"/>
  <c r="S2360" i="13" s="1"/>
  <c r="S2361" i="13" s="1"/>
  <c r="S2362" i="13" s="1"/>
  <c r="S2363" i="13" s="1"/>
  <c r="S2364" i="13" s="1"/>
  <c r="S2365" i="13" s="1"/>
  <c r="S2366" i="13" s="1"/>
  <c r="S2367" i="13" s="1"/>
  <c r="S2368" i="13" s="1"/>
  <c r="S2369" i="13" s="1"/>
  <c r="S2370" i="13" s="1"/>
  <c r="S2371" i="13" s="1"/>
  <c r="S2372" i="13" s="1"/>
  <c r="S2373" i="13" s="1"/>
  <c r="S2374" i="13" s="1"/>
  <c r="S2375" i="13" s="1"/>
  <c r="S2376" i="13" s="1"/>
  <c r="S2377" i="13" s="1"/>
  <c r="S2378" i="13" s="1"/>
  <c r="S2379" i="13" s="1"/>
  <c r="S2380" i="13" s="1"/>
  <c r="S2381" i="13" s="1"/>
  <c r="S2382" i="13" s="1"/>
  <c r="S2383" i="13" s="1"/>
  <c r="S2384" i="13" s="1"/>
  <c r="S2385" i="13" s="1"/>
  <c r="S2386" i="13" s="1"/>
  <c r="S2387" i="13" s="1"/>
  <c r="S2388" i="13" s="1"/>
  <c r="S2389" i="13" s="1"/>
  <c r="S2390" i="13" s="1"/>
  <c r="S2391" i="13" s="1"/>
  <c r="S2392" i="13" s="1"/>
  <c r="S2393" i="13" s="1"/>
  <c r="S2394" i="13" s="1"/>
  <c r="S2395" i="13" s="1"/>
  <c r="S2396" i="13" s="1"/>
  <c r="S2397" i="13" s="1"/>
  <c r="S2398" i="13" s="1"/>
  <c r="S2399" i="13" s="1"/>
  <c r="S2400" i="13" s="1"/>
  <c r="S2401" i="13" s="1"/>
  <c r="S2402" i="13" s="1"/>
  <c r="S2403" i="13" s="1"/>
  <c r="S2404" i="13" s="1"/>
  <c r="S2405" i="13" s="1"/>
  <c r="S2406" i="13" s="1"/>
  <c r="S2407" i="13" s="1"/>
  <c r="S2408" i="13" s="1"/>
  <c r="S2409" i="13" s="1"/>
  <c r="S2410" i="13" s="1"/>
  <c r="S2411" i="13" s="1"/>
  <c r="S2412" i="13" s="1"/>
  <c r="S2413" i="13" s="1"/>
  <c r="S2414" i="13" s="1"/>
  <c r="S2415" i="13" s="1"/>
  <c r="S2416" i="13" s="1"/>
  <c r="S2417" i="13" s="1"/>
  <c r="S2418" i="13" s="1"/>
  <c r="S2419" i="13" s="1"/>
  <c r="S2420" i="13" s="1"/>
  <c r="S2421" i="13" s="1"/>
  <c r="S2422" i="13" s="1"/>
  <c r="S2423" i="13" s="1"/>
  <c r="S2424" i="13" s="1"/>
  <c r="S2425" i="13" s="1"/>
  <c r="S2426" i="13" s="1"/>
  <c r="S2427" i="13" s="1"/>
  <c r="S2428" i="13" s="1"/>
  <c r="S2429" i="13" s="1"/>
  <c r="S2430" i="13" s="1"/>
  <c r="S2431" i="13" s="1"/>
  <c r="S2432" i="13" s="1"/>
  <c r="S2433" i="13" s="1"/>
  <c r="S2434" i="13" s="1"/>
  <c r="S2435" i="13" s="1"/>
  <c r="S2436" i="13" s="1"/>
  <c r="S2437" i="13" s="1"/>
  <c r="S2438" i="13" s="1"/>
  <c r="S2439" i="13" s="1"/>
  <c r="S2440" i="13" s="1"/>
  <c r="S2441" i="13" s="1"/>
  <c r="S2442" i="13" s="1"/>
  <c r="S2443" i="13" s="1"/>
  <c r="S2444" i="13" s="1"/>
  <c r="S2445" i="13" s="1"/>
  <c r="S2446" i="13" s="1"/>
  <c r="S2447" i="13" s="1"/>
  <c r="S2448" i="13" s="1"/>
  <c r="S2449" i="13" s="1"/>
  <c r="S2450" i="13" s="1"/>
  <c r="S2451" i="13" s="1"/>
  <c r="S2452" i="13" s="1"/>
  <c r="S2453" i="13" s="1"/>
  <c r="S2454" i="13" s="1"/>
  <c r="S2455" i="13" s="1"/>
  <c r="S2456" i="13" s="1"/>
  <c r="S2457" i="13" s="1"/>
  <c r="S2458" i="13" s="1"/>
  <c r="S2459" i="13" s="1"/>
  <c r="S2460" i="13" s="1"/>
  <c r="S2461" i="13" s="1"/>
  <c r="S2462" i="13" s="1"/>
  <c r="S2463" i="13" s="1"/>
  <c r="S2464" i="13" s="1"/>
  <c r="S2465" i="13" s="1"/>
  <c r="S2466" i="13" s="1"/>
  <c r="S2467" i="13" s="1"/>
  <c r="S2468" i="13" s="1"/>
  <c r="S2469" i="13" s="1"/>
  <c r="S2470" i="13" s="1"/>
  <c r="S2471" i="13" s="1"/>
  <c r="S2472" i="13" s="1"/>
  <c r="S2473" i="13" s="1"/>
  <c r="S2474" i="13" s="1"/>
  <c r="S2475" i="13" s="1"/>
  <c r="S2476" i="13" s="1"/>
  <c r="S2477" i="13" s="1"/>
  <c r="S2478" i="13" s="1"/>
  <c r="S2479" i="13" s="1"/>
  <c r="S2480" i="13" s="1"/>
  <c r="S2481" i="13" s="1"/>
  <c r="S2482" i="13" s="1"/>
  <c r="S2483" i="13" s="1"/>
  <c r="S2484" i="13" s="1"/>
  <c r="S2485" i="13" s="1"/>
  <c r="S2486" i="13" s="1"/>
  <c r="S2487" i="13" s="1"/>
  <c r="S2488" i="13" s="1"/>
  <c r="S2489" i="13" s="1"/>
  <c r="S2490" i="13" s="1"/>
  <c r="S2491" i="13" s="1"/>
  <c r="S2492" i="13" s="1"/>
  <c r="S2493" i="13" s="1"/>
  <c r="S2494" i="13" s="1"/>
  <c r="S2495" i="13" s="1"/>
  <c r="S2496" i="13" s="1"/>
  <c r="S2497" i="13" s="1"/>
  <c r="S2498" i="13" s="1"/>
  <c r="S2499" i="13" s="1"/>
  <c r="S2500" i="13" s="1"/>
  <c r="S2501" i="13" s="1"/>
  <c r="S2502" i="13" s="1"/>
  <c r="S2503" i="13" s="1"/>
  <c r="S2504" i="13" s="1"/>
  <c r="S2505" i="13" s="1"/>
  <c r="S2506" i="13" s="1"/>
  <c r="S2507" i="13" s="1"/>
  <c r="S2508" i="13" s="1"/>
  <c r="S2509" i="13" s="1"/>
  <c r="S2510" i="13" s="1"/>
  <c r="S2511" i="13" s="1"/>
  <c r="S2512" i="13" s="1"/>
  <c r="S2513" i="13" s="1"/>
  <c r="S2514" i="13" s="1"/>
  <c r="S2515" i="13" s="1"/>
  <c r="S2516" i="13" s="1"/>
  <c r="S2517" i="13" s="1"/>
  <c r="S2518" i="13" s="1"/>
  <c r="S2519" i="13" s="1"/>
  <c r="S2520" i="13" s="1"/>
  <c r="S2521" i="13" s="1"/>
  <c r="S2522" i="13" s="1"/>
  <c r="S2523" i="13" s="1"/>
  <c r="S2524" i="13" s="1"/>
  <c r="S2525" i="13" s="1"/>
  <c r="S2526" i="13" s="1"/>
  <c r="S2527" i="13" s="1"/>
  <c r="S2528" i="13" s="1"/>
  <c r="S2529" i="13" s="1"/>
  <c r="S2530" i="13" s="1"/>
  <c r="S2531" i="13" s="1"/>
  <c r="S2532" i="13" s="1"/>
  <c r="S2533" i="13" s="1"/>
  <c r="S2534" i="13" s="1"/>
  <c r="S2535" i="13" s="1"/>
  <c r="S2536" i="13" s="1"/>
  <c r="S2537" i="13" s="1"/>
  <c r="S2538" i="13" s="1"/>
  <c r="S2539" i="13" s="1"/>
  <c r="S2540" i="13" s="1"/>
  <c r="S2541" i="13" s="1"/>
  <c r="S2542" i="13" s="1"/>
  <c r="S2543" i="13" s="1"/>
  <c r="S2544" i="13" s="1"/>
  <c r="S2545" i="13" s="1"/>
  <c r="S2546" i="13" s="1"/>
  <c r="S2547" i="13" s="1"/>
  <c r="S2548" i="13" s="1"/>
  <c r="S2549" i="13" s="1"/>
  <c r="S2550" i="13" s="1"/>
  <c r="S2551" i="13" s="1"/>
  <c r="S2552" i="13" s="1"/>
  <c r="S2553" i="13" s="1"/>
  <c r="S2554" i="13" s="1"/>
  <c r="S2555" i="13" s="1"/>
  <c r="S2556" i="13" s="1"/>
  <c r="S2557" i="13" s="1"/>
  <c r="S2558" i="13" s="1"/>
  <c r="S2559" i="13" s="1"/>
  <c r="S2560" i="13" s="1"/>
  <c r="S2561" i="13" s="1"/>
  <c r="S2562" i="13" s="1"/>
  <c r="S2563" i="13" s="1"/>
  <c r="S2564" i="13" s="1"/>
  <c r="S2565" i="13" s="1"/>
  <c r="S2566" i="13" s="1"/>
  <c r="S2567" i="13" s="1"/>
  <c r="S2568" i="13" s="1"/>
  <c r="S2569" i="13" s="1"/>
  <c r="S2570" i="13" s="1"/>
  <c r="S2571" i="13" s="1"/>
  <c r="S2572" i="13" s="1"/>
  <c r="S2573" i="13" s="1"/>
  <c r="S2574" i="13" s="1"/>
  <c r="S2575" i="13" s="1"/>
  <c r="S2576" i="13" s="1"/>
  <c r="S2577" i="13" s="1"/>
  <c r="S2578" i="13" s="1"/>
  <c r="S2579" i="13" s="1"/>
  <c r="S2580" i="13" s="1"/>
  <c r="S2581" i="13" s="1"/>
  <c r="S2582" i="13" s="1"/>
  <c r="S2583" i="13" s="1"/>
  <c r="S2584" i="13" s="1"/>
  <c r="S2585" i="13" s="1"/>
  <c r="S2586" i="13" s="1"/>
  <c r="S2587" i="13" s="1"/>
  <c r="S2588" i="13" s="1"/>
  <c r="S2589" i="13" s="1"/>
  <c r="S2590" i="13" s="1"/>
  <c r="S2591" i="13" s="1"/>
  <c r="S2592" i="13" s="1"/>
  <c r="S2593" i="13" s="1"/>
  <c r="S2594" i="13" s="1"/>
  <c r="S2595" i="13" s="1"/>
  <c r="S2596" i="13" s="1"/>
  <c r="S2597" i="13" s="1"/>
  <c r="S2598" i="13" s="1"/>
  <c r="S2599" i="13" s="1"/>
  <c r="S2600" i="13" s="1"/>
  <c r="S2601" i="13" s="1"/>
  <c r="S2602" i="13" s="1"/>
  <c r="S2603" i="13" s="1"/>
  <c r="S2604" i="13" s="1"/>
  <c r="S2605" i="13" s="1"/>
  <c r="S2606" i="13" s="1"/>
  <c r="S2607" i="13" s="1"/>
  <c r="S2608" i="13" s="1"/>
  <c r="S2609" i="13" s="1"/>
  <c r="S2610" i="13" s="1"/>
  <c r="S2611" i="13" s="1"/>
  <c r="S2612" i="13" s="1"/>
  <c r="S2613" i="13" s="1"/>
  <c r="S2614" i="13" s="1"/>
  <c r="S2615" i="13" s="1"/>
  <c r="S2616" i="13" s="1"/>
  <c r="S2617" i="13" s="1"/>
  <c r="S2618" i="13" s="1"/>
  <c r="S2619" i="13" s="1"/>
  <c r="S2620" i="13" s="1"/>
  <c r="S2621" i="13" s="1"/>
  <c r="S2622" i="13" s="1"/>
  <c r="S2623" i="13" s="1"/>
  <c r="S2624" i="13" s="1"/>
  <c r="S2625" i="13" s="1"/>
  <c r="S2626" i="13" s="1"/>
  <c r="S2627" i="13" s="1"/>
  <c r="S2628" i="13" s="1"/>
  <c r="S2629" i="13" s="1"/>
  <c r="S2630" i="13" s="1"/>
  <c r="S2631" i="13" s="1"/>
  <c r="S2632" i="13" s="1"/>
  <c r="S2633" i="13" s="1"/>
  <c r="S2634" i="13" s="1"/>
  <c r="S2635" i="13" s="1"/>
  <c r="S2636" i="13" s="1"/>
  <c r="S2637" i="13" s="1"/>
  <c r="S2638" i="13" s="1"/>
  <c r="S2639" i="13" s="1"/>
  <c r="S2640" i="13" s="1"/>
  <c r="S2641" i="13" s="1"/>
  <c r="S2642" i="13" s="1"/>
  <c r="S2643" i="13" s="1"/>
  <c r="S2644" i="13" s="1"/>
  <c r="S2645" i="13" s="1"/>
  <c r="S2646" i="13" s="1"/>
  <c r="S2647" i="13" s="1"/>
  <c r="S2648" i="13" s="1"/>
  <c r="S2649" i="13" s="1"/>
  <c r="S2650" i="13" s="1"/>
  <c r="S2651" i="13" s="1"/>
  <c r="S2652" i="13" s="1"/>
  <c r="S2653" i="13" s="1"/>
  <c r="S2654" i="13" s="1"/>
  <c r="S2655" i="13" s="1"/>
  <c r="S2656" i="13" s="1"/>
  <c r="S2657" i="13" s="1"/>
  <c r="S2658" i="13" s="1"/>
  <c r="S2659" i="13" s="1"/>
  <c r="S2660" i="13" s="1"/>
  <c r="S2661" i="13" s="1"/>
  <c r="S2662" i="13" s="1"/>
  <c r="S2663" i="13" s="1"/>
  <c r="S2664" i="13" s="1"/>
  <c r="S2665" i="13" s="1"/>
  <c r="S2666" i="13" s="1"/>
  <c r="S2667" i="13" s="1"/>
  <c r="S2668" i="13" s="1"/>
  <c r="S2669" i="13" s="1"/>
  <c r="S2670" i="13" s="1"/>
  <c r="S2671" i="13" s="1"/>
  <c r="S2672" i="13" s="1"/>
  <c r="S2673" i="13" s="1"/>
  <c r="S2674" i="13" s="1"/>
  <c r="S2675" i="13" s="1"/>
  <c r="S2676" i="13" s="1"/>
  <c r="S2677" i="13" s="1"/>
  <c r="S2678" i="13" s="1"/>
  <c r="S2679" i="13" s="1"/>
  <c r="S2680" i="13" s="1"/>
  <c r="S2681" i="13" s="1"/>
  <c r="S2682" i="13" s="1"/>
  <c r="S2683" i="13" s="1"/>
  <c r="S2684" i="13" s="1"/>
  <c r="S2685" i="13" s="1"/>
  <c r="S2686" i="13" s="1"/>
  <c r="S2687" i="13" s="1"/>
  <c r="S2688" i="13" s="1"/>
  <c r="S2689" i="13" s="1"/>
  <c r="S2690" i="13" s="1"/>
  <c r="S2691" i="13" s="1"/>
  <c r="S2692" i="13" s="1"/>
  <c r="S2693" i="13" s="1"/>
  <c r="S2694" i="13" s="1"/>
  <c r="S2695" i="13" s="1"/>
  <c r="S2696" i="13" s="1"/>
  <c r="S2697" i="13" s="1"/>
  <c r="S2698" i="13" s="1"/>
  <c r="S2699" i="13" s="1"/>
  <c r="S2700" i="13" s="1"/>
  <c r="S2701" i="13" s="1"/>
  <c r="S2702" i="13" s="1"/>
  <c r="S2703" i="13" s="1"/>
  <c r="S2704" i="13" s="1"/>
  <c r="S2705" i="13" s="1"/>
  <c r="S2706" i="13" s="1"/>
  <c r="S2707" i="13" s="1"/>
  <c r="S2708" i="13" s="1"/>
  <c r="S2709" i="13" s="1"/>
  <c r="S2710" i="13" s="1"/>
  <c r="S2711" i="13" s="1"/>
  <c r="S2712" i="13" s="1"/>
  <c r="S2713" i="13" s="1"/>
  <c r="S2714" i="13" s="1"/>
  <c r="S2715" i="13" s="1"/>
  <c r="S2716" i="13" s="1"/>
  <c r="S2717" i="13" s="1"/>
  <c r="S2718" i="13" s="1"/>
  <c r="S2719" i="13" s="1"/>
  <c r="S2720" i="13" s="1"/>
  <c r="S2721" i="13" s="1"/>
  <c r="S2722" i="13" s="1"/>
  <c r="S2723" i="13" s="1"/>
  <c r="S2724" i="13" s="1"/>
  <c r="S2725" i="13" s="1"/>
  <c r="S2726" i="13" s="1"/>
  <c r="S2727" i="13" s="1"/>
  <c r="S2728" i="13" s="1"/>
  <c r="S2729" i="13" s="1"/>
  <c r="S2730" i="13" s="1"/>
  <c r="P12" i="13"/>
  <c r="P13" i="13" s="1"/>
  <c r="P14" i="13" s="1"/>
  <c r="P15" i="13" s="1"/>
  <c r="P16" i="13" s="1"/>
  <c r="P17" i="13" s="1"/>
  <c r="P18" i="13" s="1"/>
  <c r="P19" i="13" s="1"/>
  <c r="P20" i="13" s="1"/>
  <c r="P21" i="13" s="1"/>
  <c r="P22" i="13" s="1"/>
  <c r="P23" i="13" s="1"/>
  <c r="P24" i="13" s="1"/>
  <c r="P25" i="13" s="1"/>
  <c r="P26" i="13" s="1"/>
  <c r="P27" i="13" s="1"/>
  <c r="P28" i="13" s="1"/>
  <c r="P29" i="13" s="1"/>
  <c r="P30" i="13" s="1"/>
  <c r="P31" i="13" s="1"/>
  <c r="P32" i="13" s="1"/>
  <c r="P33" i="13" s="1"/>
  <c r="P34" i="13" s="1"/>
  <c r="P35" i="13" s="1"/>
  <c r="P36" i="13" s="1"/>
  <c r="P37" i="13" s="1"/>
  <c r="P38" i="13" s="1"/>
  <c r="P39" i="13" s="1"/>
  <c r="P40" i="13" s="1"/>
  <c r="P41" i="13" s="1"/>
  <c r="P42" i="13" s="1"/>
  <c r="P43" i="13" s="1"/>
  <c r="P44" i="13" s="1"/>
  <c r="P45" i="13" s="1"/>
  <c r="P46" i="13" s="1"/>
  <c r="P47" i="13" s="1"/>
  <c r="P48" i="13" s="1"/>
  <c r="P49" i="13" s="1"/>
  <c r="P50" i="13" s="1"/>
  <c r="P51" i="13" s="1"/>
  <c r="P52" i="13" s="1"/>
  <c r="P53" i="13" s="1"/>
  <c r="P54" i="13" s="1"/>
  <c r="P55" i="13" s="1"/>
  <c r="P56" i="13" s="1"/>
  <c r="P57" i="13" s="1"/>
  <c r="P58" i="13" s="1"/>
  <c r="P59" i="13" s="1"/>
  <c r="P60" i="13" s="1"/>
  <c r="P61" i="13" s="1"/>
  <c r="P62" i="13" s="1"/>
  <c r="P63" i="13" s="1"/>
  <c r="P64" i="13" s="1"/>
  <c r="P65" i="13" s="1"/>
  <c r="P66" i="13" s="1"/>
  <c r="P67" i="13" s="1"/>
  <c r="P68" i="13" s="1"/>
  <c r="P69" i="13" s="1"/>
  <c r="P70" i="13" s="1"/>
  <c r="P71" i="13" s="1"/>
  <c r="P72" i="13" s="1"/>
  <c r="P73" i="13" s="1"/>
  <c r="P74" i="13" s="1"/>
  <c r="P75" i="13" s="1"/>
  <c r="P76" i="13" s="1"/>
  <c r="P77" i="13" s="1"/>
  <c r="P78" i="13" s="1"/>
  <c r="P79" i="13" s="1"/>
  <c r="P80" i="13" s="1"/>
  <c r="P81" i="13" s="1"/>
  <c r="P82" i="13" s="1"/>
  <c r="P83" i="13" s="1"/>
  <c r="P84" i="13" s="1"/>
  <c r="P85" i="13" s="1"/>
  <c r="P86" i="13" s="1"/>
  <c r="P87" i="13" s="1"/>
  <c r="P88" i="13" s="1"/>
  <c r="P89" i="13" s="1"/>
  <c r="P90" i="13" s="1"/>
  <c r="P91" i="13" s="1"/>
  <c r="P92" i="13" s="1"/>
  <c r="P93" i="13" s="1"/>
  <c r="P94" i="13" s="1"/>
  <c r="P95" i="13" s="1"/>
  <c r="P96" i="13" s="1"/>
  <c r="P97" i="13" s="1"/>
  <c r="P98" i="13" s="1"/>
  <c r="P99" i="13" s="1"/>
  <c r="P100" i="13" s="1"/>
  <c r="P101" i="13" s="1"/>
  <c r="P102" i="13" s="1"/>
  <c r="P103" i="13" s="1"/>
  <c r="P104" i="13" s="1"/>
  <c r="P105" i="13" s="1"/>
  <c r="P106" i="13" s="1"/>
  <c r="P107" i="13" s="1"/>
  <c r="P108" i="13" s="1"/>
  <c r="P109" i="13" s="1"/>
  <c r="P110" i="13" s="1"/>
  <c r="P111" i="13" s="1"/>
  <c r="P112" i="13" s="1"/>
  <c r="P113" i="13" s="1"/>
  <c r="P114" i="13" s="1"/>
  <c r="P115" i="13" s="1"/>
  <c r="P116" i="13" s="1"/>
  <c r="P117" i="13" s="1"/>
  <c r="P118" i="13" s="1"/>
  <c r="P119" i="13" s="1"/>
  <c r="P120" i="13" s="1"/>
  <c r="P121" i="13" s="1"/>
  <c r="P122" i="13" s="1"/>
  <c r="P123" i="13" s="1"/>
  <c r="P124" i="13" s="1"/>
  <c r="P125" i="13" s="1"/>
  <c r="P126" i="13" s="1"/>
  <c r="P127" i="13" s="1"/>
  <c r="P128" i="13" s="1"/>
  <c r="P129" i="13" s="1"/>
  <c r="P130" i="13" s="1"/>
  <c r="P131" i="13" s="1"/>
  <c r="P132" i="13" s="1"/>
  <c r="P133" i="13" s="1"/>
  <c r="P134" i="13" s="1"/>
  <c r="P135" i="13" s="1"/>
  <c r="P136" i="13" s="1"/>
  <c r="P137" i="13" s="1"/>
  <c r="P138" i="13" s="1"/>
  <c r="P139" i="13" s="1"/>
  <c r="P140" i="13" s="1"/>
  <c r="P141" i="13" s="1"/>
  <c r="P142" i="13" s="1"/>
  <c r="P143" i="13" s="1"/>
  <c r="P144" i="13" s="1"/>
  <c r="P145" i="13" s="1"/>
  <c r="P146" i="13" s="1"/>
  <c r="P147" i="13" s="1"/>
  <c r="P148" i="13" s="1"/>
  <c r="P149" i="13" s="1"/>
  <c r="P150" i="13" s="1"/>
  <c r="P151" i="13" s="1"/>
  <c r="P152" i="13" s="1"/>
  <c r="P153" i="13" s="1"/>
  <c r="P154" i="13" s="1"/>
  <c r="P155" i="13" s="1"/>
  <c r="P156" i="13" s="1"/>
  <c r="P157" i="13" s="1"/>
  <c r="P158" i="13" s="1"/>
  <c r="P159" i="13" s="1"/>
  <c r="P160" i="13" s="1"/>
  <c r="P161" i="13" s="1"/>
  <c r="P162" i="13" s="1"/>
  <c r="P163" i="13" s="1"/>
  <c r="P164" i="13" s="1"/>
  <c r="P165" i="13" s="1"/>
  <c r="P166" i="13" s="1"/>
  <c r="P167" i="13" s="1"/>
  <c r="P168" i="13" s="1"/>
  <c r="P169" i="13" s="1"/>
  <c r="P170" i="13" s="1"/>
  <c r="P171" i="13" s="1"/>
  <c r="P172" i="13" s="1"/>
  <c r="P173" i="13" s="1"/>
  <c r="P174" i="13" s="1"/>
  <c r="P175" i="13" s="1"/>
  <c r="P176" i="13" s="1"/>
  <c r="P177" i="13" s="1"/>
  <c r="P178" i="13" s="1"/>
  <c r="P179" i="13" s="1"/>
  <c r="P180" i="13" s="1"/>
  <c r="P181" i="13" s="1"/>
  <c r="P182" i="13" s="1"/>
  <c r="P183" i="13" s="1"/>
  <c r="P184" i="13" s="1"/>
  <c r="P185" i="13" s="1"/>
  <c r="P186" i="13" s="1"/>
  <c r="P187" i="13" s="1"/>
  <c r="P188" i="13" s="1"/>
  <c r="P189" i="13" s="1"/>
  <c r="P190" i="13" s="1"/>
  <c r="P191" i="13" s="1"/>
  <c r="P192" i="13" s="1"/>
  <c r="P193" i="13" s="1"/>
  <c r="P194" i="13" s="1"/>
  <c r="P195" i="13" s="1"/>
  <c r="P196" i="13" s="1"/>
  <c r="P197" i="13" s="1"/>
  <c r="P198" i="13" s="1"/>
  <c r="P199" i="13" s="1"/>
  <c r="P200" i="13" s="1"/>
  <c r="P201" i="13" s="1"/>
  <c r="P202" i="13" s="1"/>
  <c r="P203" i="13" s="1"/>
  <c r="P204" i="13" s="1"/>
  <c r="P205" i="13" s="1"/>
  <c r="P206" i="13" s="1"/>
  <c r="P207" i="13" s="1"/>
  <c r="P208" i="13" s="1"/>
  <c r="P209" i="13" s="1"/>
  <c r="P210" i="13" s="1"/>
  <c r="P211" i="13" s="1"/>
  <c r="P212" i="13" s="1"/>
  <c r="P213" i="13" s="1"/>
  <c r="P214" i="13" s="1"/>
  <c r="P215" i="13" s="1"/>
  <c r="P216" i="13" s="1"/>
  <c r="P217" i="13" s="1"/>
  <c r="P218" i="13" s="1"/>
  <c r="P219" i="13" s="1"/>
  <c r="P220" i="13" s="1"/>
  <c r="P221" i="13" s="1"/>
  <c r="P222" i="13" s="1"/>
  <c r="P223" i="13" s="1"/>
  <c r="P224" i="13" s="1"/>
  <c r="P225" i="13" s="1"/>
  <c r="P226" i="13" s="1"/>
  <c r="P227" i="13" s="1"/>
  <c r="P228" i="13" s="1"/>
  <c r="P229" i="13" s="1"/>
  <c r="P230" i="13" s="1"/>
  <c r="P231" i="13" s="1"/>
  <c r="P232" i="13" s="1"/>
  <c r="P233" i="13" s="1"/>
  <c r="P234" i="13" s="1"/>
  <c r="P235" i="13" s="1"/>
  <c r="P236" i="13" s="1"/>
  <c r="P237" i="13" s="1"/>
  <c r="P238" i="13" s="1"/>
  <c r="P239" i="13" s="1"/>
  <c r="P240" i="13" s="1"/>
  <c r="P241" i="13" s="1"/>
  <c r="P242" i="13" s="1"/>
  <c r="P243" i="13" s="1"/>
  <c r="P244" i="13" s="1"/>
  <c r="P245" i="13" s="1"/>
  <c r="P246" i="13" s="1"/>
  <c r="P247" i="13" s="1"/>
  <c r="P248" i="13" s="1"/>
  <c r="P249" i="13" s="1"/>
  <c r="P250" i="13" s="1"/>
  <c r="P251" i="13" s="1"/>
  <c r="P252" i="13" s="1"/>
  <c r="P253" i="13" s="1"/>
  <c r="P254" i="13" s="1"/>
  <c r="P255" i="13" s="1"/>
  <c r="P256" i="13" s="1"/>
  <c r="P257" i="13" s="1"/>
  <c r="P258" i="13" s="1"/>
  <c r="P259" i="13" s="1"/>
  <c r="P260" i="13" s="1"/>
  <c r="P261" i="13" s="1"/>
  <c r="P262" i="13" s="1"/>
  <c r="P263" i="13" s="1"/>
  <c r="P264" i="13" s="1"/>
  <c r="P265" i="13" s="1"/>
  <c r="P266" i="13" s="1"/>
  <c r="P267" i="13" s="1"/>
  <c r="P268" i="13" s="1"/>
  <c r="P269" i="13" s="1"/>
  <c r="P270" i="13" s="1"/>
  <c r="P271" i="13" s="1"/>
  <c r="P272" i="13" s="1"/>
  <c r="P273" i="13" s="1"/>
  <c r="P274" i="13" s="1"/>
  <c r="P275" i="13" s="1"/>
  <c r="P276" i="13" s="1"/>
  <c r="P277" i="13" s="1"/>
  <c r="P278" i="13" s="1"/>
  <c r="P279" i="13" s="1"/>
  <c r="P280" i="13" s="1"/>
  <c r="P281" i="13" s="1"/>
  <c r="P282" i="13" s="1"/>
  <c r="P283" i="13" s="1"/>
  <c r="P284" i="13" s="1"/>
  <c r="P285" i="13" s="1"/>
  <c r="P286" i="13" s="1"/>
  <c r="P287" i="13" s="1"/>
  <c r="P288" i="13" s="1"/>
  <c r="P289" i="13" s="1"/>
  <c r="P290" i="13" s="1"/>
  <c r="P291" i="13" s="1"/>
  <c r="P292" i="13" s="1"/>
  <c r="P293" i="13" s="1"/>
  <c r="P294" i="13" s="1"/>
  <c r="P295" i="13" s="1"/>
  <c r="P296" i="13" s="1"/>
  <c r="P297" i="13" s="1"/>
  <c r="P298" i="13" s="1"/>
  <c r="P299" i="13" s="1"/>
  <c r="P300" i="13" s="1"/>
  <c r="P301" i="13" s="1"/>
  <c r="P302" i="13" s="1"/>
  <c r="P303" i="13" s="1"/>
  <c r="P304" i="13" s="1"/>
  <c r="P305" i="13" s="1"/>
  <c r="P306" i="13" s="1"/>
  <c r="P307" i="13" s="1"/>
  <c r="P308" i="13" s="1"/>
  <c r="P309" i="13" s="1"/>
  <c r="P310" i="13" s="1"/>
  <c r="P311" i="13" s="1"/>
  <c r="P312" i="13" s="1"/>
  <c r="P313" i="13" s="1"/>
  <c r="P314" i="13" s="1"/>
  <c r="P315" i="13" s="1"/>
  <c r="P316" i="13" s="1"/>
  <c r="P317" i="13" s="1"/>
  <c r="P318" i="13" s="1"/>
  <c r="P319" i="13" s="1"/>
  <c r="P320" i="13" s="1"/>
  <c r="P321" i="13" s="1"/>
  <c r="P322" i="13" s="1"/>
  <c r="P323" i="13" s="1"/>
  <c r="P324" i="13" s="1"/>
  <c r="P325" i="13" s="1"/>
  <c r="P326" i="13" s="1"/>
  <c r="P327" i="13" s="1"/>
  <c r="P328" i="13" s="1"/>
  <c r="P329" i="13" s="1"/>
  <c r="P330" i="13" s="1"/>
  <c r="P331" i="13" s="1"/>
  <c r="P332" i="13" s="1"/>
  <c r="P333" i="13" s="1"/>
  <c r="P334" i="13" s="1"/>
  <c r="P335" i="13" s="1"/>
  <c r="P336" i="13" s="1"/>
  <c r="P337" i="13" s="1"/>
  <c r="P338" i="13" s="1"/>
  <c r="P339" i="13" s="1"/>
  <c r="P340" i="13" s="1"/>
  <c r="P341" i="13" s="1"/>
  <c r="P342" i="13" s="1"/>
  <c r="P343" i="13" s="1"/>
  <c r="P344" i="13" s="1"/>
  <c r="P345" i="13" s="1"/>
  <c r="P346" i="13" s="1"/>
  <c r="P347" i="13" s="1"/>
  <c r="P348" i="13" s="1"/>
  <c r="P349" i="13" s="1"/>
  <c r="P350" i="13" s="1"/>
  <c r="P351" i="13" s="1"/>
  <c r="P352" i="13" s="1"/>
  <c r="P353" i="13" s="1"/>
  <c r="P354" i="13" s="1"/>
  <c r="P355" i="13" s="1"/>
  <c r="P356" i="13" s="1"/>
  <c r="P357" i="13" s="1"/>
  <c r="P358" i="13" s="1"/>
  <c r="P359" i="13" s="1"/>
  <c r="P360" i="13" s="1"/>
  <c r="P361" i="13" s="1"/>
  <c r="P362" i="13" s="1"/>
  <c r="P363" i="13" s="1"/>
  <c r="P364" i="13" s="1"/>
  <c r="P365" i="13" s="1"/>
  <c r="P366" i="13" s="1"/>
  <c r="P367" i="13" s="1"/>
  <c r="P368" i="13" s="1"/>
  <c r="P369" i="13" s="1"/>
  <c r="P370" i="13" s="1"/>
  <c r="P371" i="13" s="1"/>
  <c r="P372" i="13" s="1"/>
  <c r="P373" i="13" s="1"/>
  <c r="P374" i="13" s="1"/>
  <c r="P375" i="13" s="1"/>
  <c r="P376" i="13" s="1"/>
  <c r="P377" i="13" s="1"/>
  <c r="P378" i="13" s="1"/>
  <c r="P379" i="13" s="1"/>
  <c r="P380" i="13" s="1"/>
  <c r="P381" i="13" s="1"/>
  <c r="P382" i="13" s="1"/>
  <c r="P383" i="13" s="1"/>
  <c r="P384" i="13" s="1"/>
  <c r="P385" i="13" s="1"/>
  <c r="P386" i="13" s="1"/>
  <c r="P387" i="13" s="1"/>
  <c r="P388" i="13" s="1"/>
  <c r="P389" i="13" s="1"/>
  <c r="P390" i="13" s="1"/>
  <c r="P391" i="13" s="1"/>
  <c r="P392" i="13" s="1"/>
  <c r="P393" i="13" s="1"/>
  <c r="P394" i="13" s="1"/>
  <c r="P395" i="13" s="1"/>
  <c r="P396" i="13" s="1"/>
  <c r="P397" i="13" s="1"/>
  <c r="P398" i="13" s="1"/>
  <c r="P399" i="13" s="1"/>
  <c r="P400" i="13" s="1"/>
  <c r="P401" i="13" s="1"/>
  <c r="P402" i="13" s="1"/>
  <c r="P403" i="13" s="1"/>
  <c r="P404" i="13" s="1"/>
  <c r="P405" i="13" s="1"/>
  <c r="P406" i="13" s="1"/>
  <c r="P407" i="13" s="1"/>
  <c r="P408" i="13" s="1"/>
  <c r="P409" i="13" s="1"/>
  <c r="P410" i="13" s="1"/>
  <c r="P411" i="13" s="1"/>
  <c r="P412" i="13" s="1"/>
  <c r="P413" i="13" s="1"/>
  <c r="P414" i="13" s="1"/>
  <c r="P415" i="13" s="1"/>
  <c r="P416" i="13" s="1"/>
  <c r="P417" i="13" s="1"/>
  <c r="P418" i="13" s="1"/>
  <c r="P419" i="13" s="1"/>
  <c r="P420" i="13" s="1"/>
  <c r="P421" i="13" s="1"/>
  <c r="P422" i="13" s="1"/>
  <c r="P423" i="13" s="1"/>
  <c r="P424" i="13" s="1"/>
  <c r="P425" i="13" s="1"/>
  <c r="P426" i="13" s="1"/>
  <c r="P427" i="13" s="1"/>
  <c r="P428" i="13" s="1"/>
  <c r="P429" i="13" s="1"/>
  <c r="P430" i="13" s="1"/>
  <c r="P431" i="13" s="1"/>
  <c r="P432" i="13" s="1"/>
  <c r="P433" i="13" s="1"/>
  <c r="P434" i="13" s="1"/>
  <c r="P435" i="13" s="1"/>
  <c r="P436" i="13" s="1"/>
  <c r="P437" i="13" s="1"/>
  <c r="P438" i="13" s="1"/>
  <c r="P439" i="13" s="1"/>
  <c r="P440" i="13" s="1"/>
  <c r="P441" i="13" s="1"/>
  <c r="P442" i="13" s="1"/>
  <c r="P443" i="13" s="1"/>
  <c r="P444" i="13" s="1"/>
  <c r="P445" i="13" s="1"/>
  <c r="P446" i="13" s="1"/>
  <c r="P447" i="13" s="1"/>
  <c r="P448" i="13" s="1"/>
  <c r="P449" i="13" s="1"/>
  <c r="P450" i="13" s="1"/>
  <c r="P451" i="13" s="1"/>
  <c r="P452" i="13" s="1"/>
  <c r="P453" i="13" s="1"/>
  <c r="P454" i="13" s="1"/>
  <c r="P455" i="13" s="1"/>
  <c r="P456" i="13" s="1"/>
  <c r="P457" i="13" s="1"/>
  <c r="P458" i="13" s="1"/>
  <c r="P459" i="13" s="1"/>
  <c r="P460" i="13" s="1"/>
  <c r="P461" i="13" s="1"/>
  <c r="P462" i="13" s="1"/>
  <c r="P463" i="13" s="1"/>
  <c r="P464" i="13" s="1"/>
  <c r="P465" i="13" s="1"/>
  <c r="P466" i="13" s="1"/>
  <c r="P467" i="13" s="1"/>
  <c r="P468" i="13" s="1"/>
  <c r="P469" i="13" s="1"/>
  <c r="P470" i="13" s="1"/>
  <c r="P471" i="13" s="1"/>
  <c r="P472" i="13" s="1"/>
  <c r="P473" i="13" s="1"/>
  <c r="P474" i="13" s="1"/>
  <c r="P475" i="13" s="1"/>
  <c r="P476" i="13" s="1"/>
  <c r="P477" i="13" s="1"/>
  <c r="P478" i="13" s="1"/>
  <c r="P479" i="13" s="1"/>
  <c r="P480" i="13" s="1"/>
  <c r="P481" i="13" s="1"/>
  <c r="P482" i="13" s="1"/>
  <c r="P483" i="13" s="1"/>
  <c r="P484" i="13" s="1"/>
  <c r="P485" i="13" s="1"/>
  <c r="P486" i="13" s="1"/>
  <c r="P487" i="13" s="1"/>
  <c r="P488" i="13" s="1"/>
  <c r="P489" i="13" s="1"/>
  <c r="P490" i="13" s="1"/>
  <c r="P491" i="13" s="1"/>
  <c r="P492" i="13" s="1"/>
  <c r="P493" i="13" s="1"/>
  <c r="P494" i="13" s="1"/>
  <c r="P495" i="13" s="1"/>
  <c r="P496" i="13" s="1"/>
  <c r="P497" i="13" s="1"/>
  <c r="P498" i="13" s="1"/>
  <c r="P499" i="13" s="1"/>
  <c r="P500" i="13" s="1"/>
  <c r="P501" i="13" s="1"/>
  <c r="P502" i="13" s="1"/>
  <c r="P503" i="13" s="1"/>
  <c r="P504" i="13" s="1"/>
  <c r="P505" i="13" s="1"/>
  <c r="P506" i="13" s="1"/>
  <c r="P507" i="13" s="1"/>
  <c r="P508" i="13" s="1"/>
  <c r="P509" i="13" s="1"/>
  <c r="P510" i="13" s="1"/>
  <c r="P511" i="13" s="1"/>
  <c r="P512" i="13" s="1"/>
  <c r="P513" i="13" s="1"/>
  <c r="P514" i="13" s="1"/>
  <c r="P515" i="13" s="1"/>
  <c r="P516" i="13" s="1"/>
  <c r="P517" i="13" s="1"/>
  <c r="P518" i="13" s="1"/>
  <c r="P519" i="13" s="1"/>
  <c r="P520" i="13" s="1"/>
  <c r="P521" i="13" s="1"/>
  <c r="P522" i="13" s="1"/>
  <c r="P523" i="13" s="1"/>
  <c r="P524" i="13" s="1"/>
  <c r="P525" i="13" s="1"/>
  <c r="P526" i="13" s="1"/>
  <c r="P527" i="13" s="1"/>
  <c r="P528" i="13" s="1"/>
  <c r="P529" i="13" s="1"/>
  <c r="P530" i="13" s="1"/>
  <c r="P531" i="13" s="1"/>
  <c r="P532" i="13" s="1"/>
  <c r="P533" i="13" s="1"/>
  <c r="P534" i="13" s="1"/>
  <c r="P535" i="13" s="1"/>
  <c r="P536" i="13" s="1"/>
  <c r="P537" i="13" s="1"/>
  <c r="P538" i="13" s="1"/>
  <c r="P539" i="13" s="1"/>
  <c r="P540" i="13" s="1"/>
  <c r="P541" i="13" s="1"/>
  <c r="P542" i="13" s="1"/>
  <c r="P543" i="13" s="1"/>
  <c r="P544" i="13" s="1"/>
  <c r="P545" i="13" s="1"/>
  <c r="P546" i="13" s="1"/>
  <c r="P547" i="13" s="1"/>
  <c r="P548" i="13" s="1"/>
  <c r="P549" i="13" s="1"/>
  <c r="P550" i="13" s="1"/>
  <c r="P551" i="13" s="1"/>
  <c r="P552" i="13" s="1"/>
  <c r="P553" i="13" s="1"/>
  <c r="P554" i="13" s="1"/>
  <c r="P555" i="13" s="1"/>
  <c r="P556" i="13" s="1"/>
  <c r="P557" i="13" s="1"/>
  <c r="P558" i="13" s="1"/>
  <c r="P559" i="13" s="1"/>
  <c r="P560" i="13" s="1"/>
  <c r="P561" i="13" s="1"/>
  <c r="P562" i="13" s="1"/>
  <c r="P563" i="13" s="1"/>
  <c r="P564" i="13" s="1"/>
  <c r="P565" i="13" s="1"/>
  <c r="P566" i="13" s="1"/>
  <c r="P567" i="13" s="1"/>
  <c r="P568" i="13" s="1"/>
  <c r="P569" i="13" s="1"/>
  <c r="P570" i="13" s="1"/>
  <c r="P571" i="13" s="1"/>
  <c r="P572" i="13" s="1"/>
  <c r="P573" i="13" s="1"/>
  <c r="P574" i="13" s="1"/>
  <c r="P575" i="13" s="1"/>
  <c r="P576" i="13" s="1"/>
  <c r="P577" i="13" s="1"/>
  <c r="P578" i="13" s="1"/>
  <c r="P579" i="13" s="1"/>
  <c r="P580" i="13" s="1"/>
  <c r="P581" i="13" s="1"/>
  <c r="P582" i="13" s="1"/>
  <c r="P583" i="13" s="1"/>
  <c r="P584" i="13" s="1"/>
  <c r="P585" i="13" s="1"/>
  <c r="P586" i="13" s="1"/>
  <c r="P587" i="13" s="1"/>
  <c r="P588" i="13" s="1"/>
  <c r="P589" i="13" s="1"/>
  <c r="P590" i="13" s="1"/>
  <c r="P591" i="13" s="1"/>
  <c r="P592" i="13" s="1"/>
  <c r="P593" i="13" s="1"/>
  <c r="P594" i="13" s="1"/>
  <c r="P595" i="13" s="1"/>
  <c r="P596" i="13" s="1"/>
  <c r="P597" i="13" s="1"/>
  <c r="P598" i="13" s="1"/>
  <c r="P599" i="13" s="1"/>
  <c r="P600" i="13" s="1"/>
  <c r="P601" i="13" s="1"/>
  <c r="P602" i="13" s="1"/>
  <c r="P603" i="13" s="1"/>
  <c r="P604" i="13" s="1"/>
  <c r="P605" i="13" s="1"/>
  <c r="P606" i="13" s="1"/>
  <c r="P607" i="13" s="1"/>
  <c r="P608" i="13" s="1"/>
  <c r="P609" i="13" s="1"/>
  <c r="P610" i="13" s="1"/>
  <c r="P611" i="13" s="1"/>
  <c r="P612" i="13" s="1"/>
  <c r="P613" i="13" s="1"/>
  <c r="P614" i="13" s="1"/>
  <c r="P615" i="13" s="1"/>
  <c r="P616" i="13" s="1"/>
  <c r="P617" i="13" s="1"/>
  <c r="P618" i="13" s="1"/>
  <c r="P619" i="13" s="1"/>
  <c r="P620" i="13" s="1"/>
  <c r="P621" i="13" s="1"/>
  <c r="P622" i="13" s="1"/>
  <c r="P623" i="13" s="1"/>
  <c r="P624" i="13" s="1"/>
  <c r="P625" i="13" s="1"/>
  <c r="P626" i="13" s="1"/>
  <c r="P627" i="13" s="1"/>
  <c r="P628" i="13" s="1"/>
  <c r="P629" i="13" s="1"/>
  <c r="P630" i="13" s="1"/>
  <c r="P631" i="13" s="1"/>
  <c r="P632" i="13" s="1"/>
  <c r="P633" i="13" s="1"/>
  <c r="P634" i="13" s="1"/>
  <c r="P635" i="13" s="1"/>
  <c r="P636" i="13" s="1"/>
  <c r="P637" i="13" s="1"/>
  <c r="P638" i="13" s="1"/>
  <c r="P639" i="13" s="1"/>
  <c r="P640" i="13" s="1"/>
  <c r="P641" i="13" s="1"/>
  <c r="P642" i="13" s="1"/>
  <c r="P643" i="13" s="1"/>
  <c r="P644" i="13" s="1"/>
  <c r="P645" i="13" s="1"/>
  <c r="P646" i="13" s="1"/>
  <c r="P647" i="13" s="1"/>
  <c r="P648" i="13" s="1"/>
  <c r="P649" i="13" s="1"/>
  <c r="P650" i="13" s="1"/>
  <c r="P651" i="13" s="1"/>
  <c r="P652" i="13" s="1"/>
  <c r="P653" i="13" s="1"/>
  <c r="P654" i="13" s="1"/>
  <c r="P655" i="13" s="1"/>
  <c r="P656" i="13" s="1"/>
  <c r="P657" i="13" s="1"/>
  <c r="P658" i="13" s="1"/>
  <c r="P659" i="13" s="1"/>
  <c r="P660" i="13" s="1"/>
  <c r="P661" i="13" s="1"/>
  <c r="P662" i="13" s="1"/>
  <c r="P663" i="13" s="1"/>
  <c r="P664" i="13" s="1"/>
  <c r="P665" i="13" s="1"/>
  <c r="P666" i="13" s="1"/>
  <c r="P667" i="13" s="1"/>
  <c r="P668" i="13" s="1"/>
  <c r="P669" i="13" s="1"/>
  <c r="P670" i="13" s="1"/>
  <c r="P671" i="13" s="1"/>
  <c r="P672" i="13" s="1"/>
  <c r="P673" i="13" s="1"/>
  <c r="P674" i="13" s="1"/>
  <c r="P675" i="13" s="1"/>
  <c r="P676" i="13" s="1"/>
  <c r="P677" i="13" s="1"/>
  <c r="P678" i="13" s="1"/>
  <c r="P679" i="13" s="1"/>
  <c r="P680" i="13" s="1"/>
  <c r="P681" i="13" s="1"/>
  <c r="P682" i="13" s="1"/>
  <c r="P683" i="13" s="1"/>
  <c r="P684" i="13" s="1"/>
  <c r="P685" i="13" s="1"/>
  <c r="P686" i="13" s="1"/>
  <c r="P687" i="13" s="1"/>
  <c r="P688" i="13" s="1"/>
  <c r="P689" i="13" s="1"/>
  <c r="P690" i="13" s="1"/>
  <c r="P691" i="13" s="1"/>
  <c r="P692" i="13" s="1"/>
  <c r="P693" i="13" s="1"/>
  <c r="P694" i="13" s="1"/>
  <c r="P695" i="13" s="1"/>
  <c r="P696" i="13" s="1"/>
  <c r="P697" i="13" s="1"/>
  <c r="P698" i="13" s="1"/>
  <c r="P699" i="13" s="1"/>
  <c r="P700" i="13" s="1"/>
  <c r="P701" i="13" s="1"/>
  <c r="P702" i="13" s="1"/>
  <c r="P703" i="13" s="1"/>
  <c r="P704" i="13" s="1"/>
  <c r="P705" i="13" s="1"/>
  <c r="P706" i="13" s="1"/>
  <c r="P707" i="13" s="1"/>
  <c r="P708" i="13" s="1"/>
  <c r="P709" i="13" s="1"/>
  <c r="P710" i="13" s="1"/>
  <c r="P711" i="13" s="1"/>
  <c r="P712" i="13" s="1"/>
  <c r="P713" i="13" s="1"/>
  <c r="P714" i="13" s="1"/>
  <c r="P715" i="13" s="1"/>
  <c r="P716" i="13" s="1"/>
  <c r="P717" i="13" s="1"/>
  <c r="P718" i="13" s="1"/>
  <c r="P719" i="13" s="1"/>
  <c r="P720" i="13" s="1"/>
  <c r="P721" i="13" s="1"/>
  <c r="P722" i="13" s="1"/>
  <c r="P723" i="13" s="1"/>
  <c r="P724" i="13" s="1"/>
  <c r="P725" i="13" s="1"/>
  <c r="P726" i="13" s="1"/>
  <c r="P727" i="13" s="1"/>
  <c r="P728" i="13" s="1"/>
  <c r="P729" i="13" s="1"/>
  <c r="P730" i="13" s="1"/>
  <c r="P731" i="13" s="1"/>
  <c r="P732" i="13" s="1"/>
  <c r="P733" i="13" s="1"/>
  <c r="P734" i="13" s="1"/>
  <c r="P735" i="13" s="1"/>
  <c r="P736" i="13" s="1"/>
  <c r="P737" i="13" s="1"/>
  <c r="P738" i="13" s="1"/>
  <c r="P739" i="13" s="1"/>
  <c r="P740" i="13" s="1"/>
  <c r="P741" i="13" s="1"/>
  <c r="P742" i="13" s="1"/>
  <c r="P743" i="13" s="1"/>
  <c r="P744" i="13" s="1"/>
  <c r="P745" i="13" s="1"/>
  <c r="P746" i="13" s="1"/>
  <c r="P747" i="13" s="1"/>
  <c r="P748" i="13" s="1"/>
  <c r="P749" i="13" s="1"/>
  <c r="P750" i="13" s="1"/>
  <c r="P751" i="13" s="1"/>
  <c r="P752" i="13" s="1"/>
  <c r="P753" i="13" s="1"/>
  <c r="P754" i="13" s="1"/>
  <c r="P755" i="13" s="1"/>
  <c r="P756" i="13" s="1"/>
  <c r="P757" i="13" s="1"/>
  <c r="P758" i="13" s="1"/>
  <c r="P759" i="13" s="1"/>
  <c r="P760" i="13" s="1"/>
  <c r="P761" i="13" s="1"/>
  <c r="P762" i="13" s="1"/>
  <c r="P763" i="13" s="1"/>
  <c r="P764" i="13" s="1"/>
  <c r="P765" i="13" s="1"/>
  <c r="P766" i="13" s="1"/>
  <c r="P767" i="13" s="1"/>
  <c r="P768" i="13" s="1"/>
  <c r="P769" i="13" s="1"/>
  <c r="P770" i="13" s="1"/>
  <c r="P771" i="13" s="1"/>
  <c r="P772" i="13" s="1"/>
  <c r="P773" i="13" s="1"/>
  <c r="P774" i="13" s="1"/>
  <c r="P775" i="13" s="1"/>
  <c r="P776" i="13" s="1"/>
  <c r="P777" i="13" s="1"/>
  <c r="P778" i="13" s="1"/>
  <c r="P779" i="13" s="1"/>
  <c r="P780" i="13" s="1"/>
  <c r="P781" i="13" s="1"/>
  <c r="P782" i="13" s="1"/>
  <c r="P783" i="13" s="1"/>
  <c r="P784" i="13" s="1"/>
  <c r="P785" i="13" s="1"/>
  <c r="P786" i="13" s="1"/>
  <c r="P787" i="13" s="1"/>
  <c r="P788" i="13" s="1"/>
  <c r="P789" i="13" s="1"/>
  <c r="P790" i="13" s="1"/>
  <c r="P791" i="13" s="1"/>
  <c r="P792" i="13" s="1"/>
  <c r="P793" i="13" s="1"/>
  <c r="P794" i="13" s="1"/>
  <c r="P795" i="13" s="1"/>
  <c r="P796" i="13" s="1"/>
  <c r="P797" i="13" s="1"/>
  <c r="P798" i="13" s="1"/>
  <c r="P799" i="13" s="1"/>
  <c r="P800" i="13" s="1"/>
  <c r="P801" i="13" s="1"/>
  <c r="P802" i="13" s="1"/>
  <c r="P803" i="13" s="1"/>
  <c r="P804" i="13" s="1"/>
  <c r="P805" i="13" s="1"/>
  <c r="P806" i="13" s="1"/>
  <c r="P807" i="13" s="1"/>
  <c r="P808" i="13" s="1"/>
  <c r="P809" i="13" s="1"/>
  <c r="P810" i="13" s="1"/>
  <c r="P811" i="13" s="1"/>
  <c r="P812" i="13" s="1"/>
  <c r="P813" i="13" s="1"/>
  <c r="P814" i="13" s="1"/>
  <c r="P815" i="13" s="1"/>
  <c r="P816" i="13" s="1"/>
  <c r="P817" i="13" s="1"/>
  <c r="P818" i="13" s="1"/>
  <c r="P819" i="13" s="1"/>
  <c r="P820" i="13" s="1"/>
  <c r="P821" i="13" s="1"/>
  <c r="P822" i="13" s="1"/>
  <c r="P823" i="13" s="1"/>
  <c r="P824" i="13" s="1"/>
  <c r="P825" i="13" s="1"/>
  <c r="P826" i="13" s="1"/>
  <c r="P827" i="13" s="1"/>
  <c r="P828" i="13" s="1"/>
  <c r="P829" i="13" s="1"/>
  <c r="P830" i="13" s="1"/>
  <c r="P831" i="13" s="1"/>
  <c r="P832" i="13" s="1"/>
  <c r="P833" i="13" s="1"/>
  <c r="P834" i="13" s="1"/>
  <c r="P835" i="13" s="1"/>
  <c r="P836" i="13" s="1"/>
  <c r="P837" i="13" s="1"/>
  <c r="P838" i="13" s="1"/>
  <c r="P839" i="13" s="1"/>
  <c r="P840" i="13" s="1"/>
  <c r="P841" i="13" s="1"/>
  <c r="P842" i="13" s="1"/>
  <c r="P843" i="13" s="1"/>
  <c r="P844" i="13" s="1"/>
  <c r="P845" i="13" s="1"/>
  <c r="P846" i="13" s="1"/>
  <c r="P847" i="13" s="1"/>
  <c r="P848" i="13" s="1"/>
  <c r="P849" i="13" s="1"/>
  <c r="P850" i="13" s="1"/>
  <c r="P851" i="13" s="1"/>
  <c r="P852" i="13" s="1"/>
  <c r="P853" i="13" s="1"/>
  <c r="P854" i="13" s="1"/>
  <c r="P855" i="13" s="1"/>
  <c r="P856" i="13" s="1"/>
  <c r="P857" i="13" s="1"/>
  <c r="P858" i="13" s="1"/>
  <c r="P859" i="13" s="1"/>
  <c r="P860" i="13" s="1"/>
  <c r="P861" i="13" s="1"/>
  <c r="P862" i="13" s="1"/>
  <c r="P863" i="13" s="1"/>
  <c r="P864" i="13" s="1"/>
  <c r="P865" i="13" s="1"/>
  <c r="P866" i="13" s="1"/>
  <c r="P867" i="13" s="1"/>
  <c r="P868" i="13" s="1"/>
  <c r="P869" i="13" s="1"/>
  <c r="P870" i="13" s="1"/>
  <c r="P871" i="13" s="1"/>
  <c r="P872" i="13" s="1"/>
  <c r="P873" i="13" s="1"/>
  <c r="P874" i="13" s="1"/>
  <c r="P875" i="13" s="1"/>
  <c r="P876" i="13" s="1"/>
  <c r="P877" i="13" s="1"/>
  <c r="P878" i="13" s="1"/>
  <c r="P879" i="13" s="1"/>
  <c r="P880" i="13" s="1"/>
  <c r="P881" i="13" s="1"/>
  <c r="P882" i="13" s="1"/>
  <c r="P883" i="13" s="1"/>
  <c r="P884" i="13" s="1"/>
  <c r="P885" i="13" s="1"/>
  <c r="P886" i="13" s="1"/>
  <c r="P887" i="13" s="1"/>
  <c r="P888" i="13" s="1"/>
  <c r="P889" i="13" s="1"/>
  <c r="P890" i="13" s="1"/>
  <c r="P891" i="13" s="1"/>
  <c r="P892" i="13" s="1"/>
  <c r="P893" i="13" s="1"/>
  <c r="P894" i="13" s="1"/>
  <c r="P895" i="13" s="1"/>
  <c r="P896" i="13" s="1"/>
  <c r="P897" i="13" s="1"/>
  <c r="P898" i="13" s="1"/>
  <c r="P899" i="13" s="1"/>
  <c r="P900" i="13" s="1"/>
  <c r="P901" i="13" s="1"/>
  <c r="P902" i="13" s="1"/>
  <c r="P903" i="13" s="1"/>
  <c r="P904" i="13" s="1"/>
  <c r="P905" i="13" s="1"/>
  <c r="P906" i="13" s="1"/>
  <c r="P907" i="13" s="1"/>
  <c r="P908" i="13" s="1"/>
  <c r="P909" i="13" s="1"/>
  <c r="P910" i="13" s="1"/>
  <c r="P911" i="13" s="1"/>
  <c r="P912" i="13" s="1"/>
  <c r="P913" i="13" s="1"/>
  <c r="P914" i="13" s="1"/>
  <c r="P915" i="13" s="1"/>
  <c r="P916" i="13" s="1"/>
  <c r="P917" i="13" s="1"/>
  <c r="P918" i="13" s="1"/>
  <c r="P919" i="13" s="1"/>
  <c r="P920" i="13" s="1"/>
  <c r="P921" i="13" s="1"/>
  <c r="P922" i="13" s="1"/>
  <c r="P923" i="13" s="1"/>
  <c r="P924" i="13" s="1"/>
  <c r="P925" i="13" s="1"/>
  <c r="P926" i="13" s="1"/>
  <c r="P927" i="13" s="1"/>
  <c r="P928" i="13" s="1"/>
  <c r="P929" i="13" s="1"/>
  <c r="P930" i="13" s="1"/>
  <c r="P931" i="13" s="1"/>
  <c r="P932" i="13" s="1"/>
  <c r="P933" i="13" s="1"/>
  <c r="P934" i="13" s="1"/>
  <c r="P935" i="13" s="1"/>
  <c r="P936" i="13" s="1"/>
  <c r="P937" i="13" s="1"/>
  <c r="P938" i="13" s="1"/>
  <c r="P939" i="13" s="1"/>
  <c r="P940" i="13" s="1"/>
  <c r="P941" i="13" s="1"/>
  <c r="P942" i="13" s="1"/>
  <c r="P943" i="13" s="1"/>
  <c r="P944" i="13" s="1"/>
  <c r="P945" i="13" s="1"/>
  <c r="P946" i="13" s="1"/>
  <c r="P947" i="13" s="1"/>
  <c r="P948" i="13" s="1"/>
  <c r="P949" i="13" s="1"/>
  <c r="P950" i="13" s="1"/>
  <c r="P951" i="13" s="1"/>
  <c r="P952" i="13" s="1"/>
  <c r="P953" i="13" s="1"/>
  <c r="P954" i="13" s="1"/>
  <c r="P955" i="13" s="1"/>
  <c r="P956" i="13" s="1"/>
  <c r="P957" i="13" s="1"/>
  <c r="P958" i="13" s="1"/>
  <c r="P959" i="13" s="1"/>
  <c r="P960" i="13" s="1"/>
  <c r="P961" i="13" s="1"/>
  <c r="P962" i="13" s="1"/>
  <c r="P963" i="13" s="1"/>
  <c r="P964" i="13" s="1"/>
  <c r="P965" i="13" s="1"/>
  <c r="P966" i="13" s="1"/>
  <c r="P967" i="13" s="1"/>
  <c r="P968" i="13" s="1"/>
  <c r="P969" i="13" s="1"/>
  <c r="P970" i="13" s="1"/>
  <c r="P971" i="13" s="1"/>
  <c r="P972" i="13" s="1"/>
  <c r="P973" i="13" s="1"/>
  <c r="P974" i="13" s="1"/>
  <c r="P975" i="13" s="1"/>
  <c r="P976" i="13" s="1"/>
  <c r="P977" i="13" s="1"/>
  <c r="P978" i="13" s="1"/>
  <c r="P979" i="13" s="1"/>
  <c r="P980" i="13" s="1"/>
  <c r="P981" i="13" s="1"/>
  <c r="P982" i="13" s="1"/>
  <c r="P983" i="13" s="1"/>
  <c r="P984" i="13" s="1"/>
  <c r="P985" i="13" s="1"/>
  <c r="P986" i="13" s="1"/>
  <c r="P987" i="13" s="1"/>
  <c r="P988" i="13" s="1"/>
  <c r="P989" i="13" s="1"/>
  <c r="P990" i="13" s="1"/>
  <c r="P991" i="13" s="1"/>
  <c r="P992" i="13" s="1"/>
  <c r="P993" i="13" s="1"/>
  <c r="P994" i="13" s="1"/>
  <c r="P995" i="13" s="1"/>
  <c r="P996" i="13" s="1"/>
  <c r="P997" i="13" s="1"/>
  <c r="P998" i="13" s="1"/>
  <c r="P999" i="13" s="1"/>
  <c r="P1000" i="13" s="1"/>
  <c r="P1001" i="13" s="1"/>
  <c r="P1002" i="13" s="1"/>
  <c r="P1003" i="13" s="1"/>
  <c r="P1004" i="13" s="1"/>
  <c r="P1005" i="13" s="1"/>
  <c r="P1006" i="13" s="1"/>
  <c r="P1007" i="13" s="1"/>
  <c r="P1008" i="13" s="1"/>
  <c r="P1009" i="13" s="1"/>
  <c r="P1010" i="13" s="1"/>
  <c r="P1011" i="13" s="1"/>
  <c r="P1012" i="13" s="1"/>
  <c r="P1013" i="13" s="1"/>
  <c r="P1014" i="13" s="1"/>
  <c r="P1015" i="13" s="1"/>
  <c r="P1016" i="13" s="1"/>
  <c r="P1017" i="13" s="1"/>
  <c r="P1018" i="13" s="1"/>
  <c r="P1019" i="13" s="1"/>
  <c r="P1020" i="13" s="1"/>
  <c r="P1021" i="13" s="1"/>
  <c r="P1022" i="13" s="1"/>
  <c r="P1023" i="13" s="1"/>
  <c r="P1024" i="13" s="1"/>
  <c r="P1025" i="13" s="1"/>
  <c r="P1026" i="13" s="1"/>
  <c r="P1027" i="13" s="1"/>
  <c r="P1028" i="13" s="1"/>
  <c r="P1029" i="13" s="1"/>
  <c r="P1030" i="13" s="1"/>
  <c r="P1031" i="13" s="1"/>
  <c r="P1032" i="13" s="1"/>
  <c r="P1033" i="13" s="1"/>
  <c r="P1034" i="13" s="1"/>
  <c r="P1035" i="13" s="1"/>
  <c r="P1036" i="13" s="1"/>
  <c r="P1037" i="13" s="1"/>
  <c r="P1038" i="13" s="1"/>
  <c r="P1039" i="13" s="1"/>
  <c r="P1040" i="13" s="1"/>
  <c r="P1041" i="13" s="1"/>
  <c r="P1042" i="13" s="1"/>
  <c r="P1043" i="13" s="1"/>
  <c r="P1044" i="13" s="1"/>
  <c r="P1045" i="13" s="1"/>
  <c r="P1046" i="13" s="1"/>
  <c r="P1047" i="13" s="1"/>
  <c r="P1048" i="13" s="1"/>
  <c r="P1049" i="13" s="1"/>
  <c r="P1050" i="13" s="1"/>
  <c r="P1051" i="13" s="1"/>
  <c r="P1052" i="13" s="1"/>
  <c r="P1053" i="13" s="1"/>
  <c r="P1054" i="13" s="1"/>
  <c r="P1055" i="13" s="1"/>
  <c r="P1056" i="13" s="1"/>
  <c r="P1057" i="13" s="1"/>
  <c r="P1058" i="13" s="1"/>
  <c r="P1059" i="13" s="1"/>
  <c r="P1060" i="13" s="1"/>
  <c r="P1061" i="13" s="1"/>
  <c r="P1062" i="13" s="1"/>
  <c r="P1063" i="13" s="1"/>
  <c r="P1064" i="13" s="1"/>
  <c r="P1065" i="13" s="1"/>
  <c r="P1066" i="13" s="1"/>
  <c r="P1067" i="13" s="1"/>
  <c r="P1068" i="13" s="1"/>
  <c r="P1069" i="13" s="1"/>
  <c r="P1070" i="13" s="1"/>
  <c r="P1071" i="13" s="1"/>
  <c r="P1072" i="13" s="1"/>
  <c r="P1073" i="13" s="1"/>
  <c r="P1074" i="13" s="1"/>
  <c r="P1075" i="13" s="1"/>
  <c r="P1076" i="13" s="1"/>
  <c r="P1077" i="13" s="1"/>
  <c r="P1078" i="13" s="1"/>
  <c r="P1079" i="13" s="1"/>
  <c r="P1080" i="13" s="1"/>
  <c r="P1081" i="13" s="1"/>
  <c r="P1082" i="13" s="1"/>
  <c r="P1083" i="13" s="1"/>
  <c r="P1084" i="13" s="1"/>
  <c r="P1085" i="13" s="1"/>
  <c r="P1086" i="13" s="1"/>
  <c r="P1087" i="13" s="1"/>
  <c r="P1088" i="13" s="1"/>
  <c r="P1089" i="13" s="1"/>
  <c r="P1090" i="13" s="1"/>
  <c r="P1091" i="13" s="1"/>
  <c r="P1092" i="13" s="1"/>
  <c r="P1093" i="13" s="1"/>
  <c r="P1094" i="13" s="1"/>
  <c r="P1095" i="13" s="1"/>
  <c r="P1096" i="13" s="1"/>
  <c r="P1097" i="13" s="1"/>
  <c r="P1098" i="13" s="1"/>
  <c r="P1099" i="13" s="1"/>
  <c r="P1100" i="13" s="1"/>
  <c r="P1101" i="13" s="1"/>
  <c r="P1102" i="13" s="1"/>
  <c r="P1103" i="13" s="1"/>
  <c r="P1104" i="13" s="1"/>
  <c r="P1105" i="13" s="1"/>
  <c r="P1106" i="13" s="1"/>
  <c r="P1107" i="13" s="1"/>
  <c r="P1108" i="13" s="1"/>
  <c r="P1109" i="13" s="1"/>
  <c r="P1110" i="13" s="1"/>
  <c r="P1111" i="13" s="1"/>
  <c r="P1112" i="13" s="1"/>
  <c r="P1113" i="13" s="1"/>
  <c r="P1114" i="13" s="1"/>
  <c r="P1115" i="13" s="1"/>
  <c r="P1116" i="13" s="1"/>
  <c r="P1117" i="13" s="1"/>
  <c r="P1118" i="13" s="1"/>
  <c r="P1119" i="13" s="1"/>
  <c r="P1120" i="13" s="1"/>
  <c r="P1121" i="13" s="1"/>
  <c r="P1122" i="13" s="1"/>
  <c r="P1123" i="13" s="1"/>
  <c r="P1124" i="13" s="1"/>
  <c r="P1125" i="13" s="1"/>
  <c r="P1126" i="13" s="1"/>
  <c r="P1127" i="13" s="1"/>
  <c r="P1128" i="13" s="1"/>
  <c r="P1129" i="13" s="1"/>
  <c r="P1130" i="13" s="1"/>
  <c r="P1131" i="13" s="1"/>
  <c r="P1132" i="13" s="1"/>
  <c r="P1133" i="13" s="1"/>
  <c r="P1134" i="13" s="1"/>
  <c r="P1135" i="13" s="1"/>
  <c r="P1136" i="13" s="1"/>
  <c r="P1137" i="13" s="1"/>
  <c r="P1138" i="13" s="1"/>
  <c r="P1139" i="13" s="1"/>
  <c r="P1140" i="13" s="1"/>
  <c r="P1141" i="13" s="1"/>
  <c r="P1142" i="13" s="1"/>
  <c r="P1143" i="13" s="1"/>
  <c r="P1144" i="13" s="1"/>
  <c r="P1145" i="13" s="1"/>
  <c r="P1146" i="13" s="1"/>
  <c r="P1147" i="13" s="1"/>
  <c r="P1148" i="13" s="1"/>
  <c r="P1149" i="13" s="1"/>
  <c r="P1150" i="13" s="1"/>
  <c r="P1151" i="13" s="1"/>
  <c r="P1152" i="13" s="1"/>
  <c r="P1153" i="13" s="1"/>
  <c r="P1154" i="13" s="1"/>
  <c r="P1155" i="13" s="1"/>
  <c r="P1156" i="13" s="1"/>
  <c r="P1157" i="13" s="1"/>
  <c r="P1158" i="13" s="1"/>
  <c r="P1159" i="13" s="1"/>
  <c r="P1160" i="13" s="1"/>
  <c r="P1161" i="13" s="1"/>
  <c r="P1162" i="13" s="1"/>
  <c r="P1163" i="13" s="1"/>
  <c r="P1164" i="13" s="1"/>
  <c r="P1165" i="13" s="1"/>
  <c r="P1166" i="13" s="1"/>
  <c r="P1167" i="13" s="1"/>
  <c r="P1168" i="13" s="1"/>
  <c r="P1169" i="13" s="1"/>
  <c r="P1170" i="13" s="1"/>
  <c r="P1171" i="13" s="1"/>
  <c r="P1172" i="13" s="1"/>
  <c r="P1173" i="13" s="1"/>
  <c r="P1174" i="13" s="1"/>
  <c r="P1175" i="13" s="1"/>
  <c r="P1176" i="13" s="1"/>
  <c r="P1177" i="13" s="1"/>
  <c r="P1178" i="13" s="1"/>
  <c r="P1179" i="13" s="1"/>
  <c r="P1180" i="13" s="1"/>
  <c r="P1181" i="13" s="1"/>
  <c r="P1182" i="13" s="1"/>
  <c r="P1183" i="13" s="1"/>
  <c r="P1184" i="13" s="1"/>
  <c r="P1185" i="13" s="1"/>
  <c r="P1186" i="13" s="1"/>
  <c r="P1187" i="13" s="1"/>
  <c r="P1188" i="13" s="1"/>
  <c r="P1189" i="13" s="1"/>
  <c r="P1190" i="13" s="1"/>
  <c r="P1191" i="13" s="1"/>
  <c r="P1192" i="13" s="1"/>
  <c r="P1193" i="13" s="1"/>
  <c r="P1194" i="13" s="1"/>
  <c r="P1195" i="13" s="1"/>
  <c r="P1196" i="13" s="1"/>
  <c r="P1197" i="13" s="1"/>
  <c r="P1198" i="13" s="1"/>
  <c r="P1199" i="13" s="1"/>
  <c r="P1200" i="13" s="1"/>
  <c r="P1201" i="13" s="1"/>
  <c r="P1202" i="13" s="1"/>
  <c r="P1203" i="13" s="1"/>
  <c r="P1204" i="13" s="1"/>
  <c r="P1205" i="13" s="1"/>
  <c r="P1206" i="13" s="1"/>
  <c r="P1207" i="13" s="1"/>
  <c r="P1208" i="13" s="1"/>
  <c r="P1209" i="13" s="1"/>
  <c r="P1210" i="13" s="1"/>
  <c r="P1211" i="13" s="1"/>
  <c r="P1212" i="13" s="1"/>
  <c r="P1213" i="13" s="1"/>
  <c r="P1214" i="13" s="1"/>
  <c r="P1215" i="13" s="1"/>
  <c r="P1216" i="13" s="1"/>
  <c r="P1217" i="13" s="1"/>
  <c r="P1218" i="13" s="1"/>
  <c r="P1219" i="13" s="1"/>
  <c r="P1220" i="13" s="1"/>
  <c r="P1221" i="13" s="1"/>
  <c r="P1222" i="13" s="1"/>
  <c r="P1223" i="13" s="1"/>
  <c r="P1224" i="13" s="1"/>
  <c r="P1225" i="13" s="1"/>
  <c r="P1226" i="13" s="1"/>
  <c r="P1227" i="13" s="1"/>
  <c r="P1228" i="13" s="1"/>
  <c r="P1229" i="13" s="1"/>
  <c r="P1230" i="13" s="1"/>
  <c r="P1231" i="13" s="1"/>
  <c r="P1232" i="13" s="1"/>
  <c r="P1233" i="13" s="1"/>
  <c r="P1234" i="13" s="1"/>
  <c r="P1235" i="13" s="1"/>
  <c r="P1236" i="13" s="1"/>
  <c r="P1237" i="13" s="1"/>
  <c r="P1238" i="13" s="1"/>
  <c r="P1239" i="13" s="1"/>
  <c r="P1240" i="13" s="1"/>
  <c r="P1241" i="13" s="1"/>
  <c r="P1242" i="13" s="1"/>
  <c r="P1243" i="13" s="1"/>
  <c r="P1244" i="13" s="1"/>
  <c r="P1245" i="13" s="1"/>
  <c r="P1246" i="13" s="1"/>
  <c r="P1247" i="13" s="1"/>
  <c r="P1248" i="13" s="1"/>
  <c r="P1249" i="13" s="1"/>
  <c r="P1250" i="13" s="1"/>
  <c r="P1251" i="13" s="1"/>
  <c r="P1252" i="13" s="1"/>
  <c r="P1253" i="13" s="1"/>
  <c r="P1254" i="13" s="1"/>
  <c r="P1255" i="13" s="1"/>
  <c r="P1256" i="13" s="1"/>
  <c r="P1257" i="13" s="1"/>
  <c r="P1258" i="13" s="1"/>
  <c r="P1259" i="13" s="1"/>
  <c r="P1260" i="13" s="1"/>
  <c r="P1261" i="13" s="1"/>
  <c r="P1262" i="13" s="1"/>
  <c r="P1263" i="13" s="1"/>
  <c r="P1264" i="13" s="1"/>
  <c r="P1265" i="13" s="1"/>
  <c r="P1266" i="13" s="1"/>
  <c r="P1267" i="13" s="1"/>
  <c r="P1268" i="13" s="1"/>
  <c r="P1269" i="13" s="1"/>
  <c r="P1270" i="13" s="1"/>
  <c r="P1271" i="13" s="1"/>
  <c r="P1272" i="13" s="1"/>
  <c r="P1273" i="13" s="1"/>
  <c r="P1274" i="13" s="1"/>
  <c r="P1275" i="13" s="1"/>
  <c r="P1276" i="13" s="1"/>
  <c r="P1277" i="13" s="1"/>
  <c r="P1278" i="13" s="1"/>
  <c r="P1279" i="13" s="1"/>
  <c r="P1280" i="13" s="1"/>
  <c r="P1281" i="13" s="1"/>
  <c r="P1282" i="13" s="1"/>
  <c r="P1283" i="13" s="1"/>
  <c r="P1284" i="13" s="1"/>
  <c r="P1285" i="13" s="1"/>
  <c r="P1286" i="13" s="1"/>
  <c r="P1287" i="13" s="1"/>
  <c r="P1288" i="13" s="1"/>
  <c r="P1289" i="13" s="1"/>
  <c r="P1290" i="13" s="1"/>
  <c r="P1291" i="13" s="1"/>
  <c r="P1292" i="13" s="1"/>
  <c r="P1293" i="13" s="1"/>
  <c r="P1294" i="13" s="1"/>
  <c r="P1295" i="13" s="1"/>
  <c r="P1296" i="13" s="1"/>
  <c r="P1297" i="13" s="1"/>
  <c r="P1298" i="13" s="1"/>
  <c r="P1299" i="13" s="1"/>
  <c r="P1300" i="13" s="1"/>
  <c r="P1301" i="13" s="1"/>
  <c r="P1302" i="13" s="1"/>
  <c r="P1303" i="13" s="1"/>
  <c r="P1304" i="13" s="1"/>
  <c r="P1305" i="13" s="1"/>
  <c r="P1306" i="13" s="1"/>
  <c r="P1307" i="13" s="1"/>
  <c r="P1308" i="13" s="1"/>
  <c r="P1309" i="13" s="1"/>
  <c r="P1310" i="13" s="1"/>
  <c r="P1311" i="13" s="1"/>
  <c r="P1312" i="13" s="1"/>
  <c r="P1313" i="13" s="1"/>
  <c r="P1314" i="13" s="1"/>
  <c r="P1315" i="13" s="1"/>
  <c r="P1316" i="13" s="1"/>
  <c r="P1317" i="13" s="1"/>
  <c r="P1318" i="13" s="1"/>
  <c r="P1319" i="13" s="1"/>
  <c r="P1320" i="13" s="1"/>
  <c r="P1321" i="13" s="1"/>
  <c r="P1322" i="13" s="1"/>
  <c r="P1323" i="13" s="1"/>
  <c r="P1324" i="13" s="1"/>
  <c r="P1325" i="13" s="1"/>
  <c r="P1326" i="13" s="1"/>
  <c r="P1327" i="13" s="1"/>
  <c r="P1328" i="13" s="1"/>
  <c r="P1329" i="13" s="1"/>
  <c r="P1330" i="13" s="1"/>
  <c r="P1331" i="13" s="1"/>
  <c r="P1332" i="13" s="1"/>
  <c r="P1333" i="13" s="1"/>
  <c r="P1334" i="13" s="1"/>
  <c r="P1335" i="13" s="1"/>
  <c r="P1336" i="13" s="1"/>
  <c r="P1337" i="13" s="1"/>
  <c r="P1338" i="13" s="1"/>
  <c r="P1339" i="13" s="1"/>
  <c r="P1340" i="13" s="1"/>
  <c r="P1341" i="13" s="1"/>
  <c r="P1342" i="13" s="1"/>
  <c r="P1343" i="13" s="1"/>
  <c r="P1344" i="13" s="1"/>
  <c r="P1345" i="13" s="1"/>
  <c r="P1346" i="13" s="1"/>
  <c r="P1347" i="13" s="1"/>
  <c r="P1348" i="13" s="1"/>
  <c r="P1349" i="13" s="1"/>
  <c r="P1350" i="13" s="1"/>
  <c r="P1351" i="13" s="1"/>
  <c r="P1352" i="13" s="1"/>
  <c r="P1353" i="13" s="1"/>
  <c r="P1354" i="13" s="1"/>
  <c r="P1355" i="13" s="1"/>
  <c r="P1356" i="13" s="1"/>
  <c r="P1357" i="13" s="1"/>
  <c r="P1358" i="13" s="1"/>
  <c r="P1359" i="13" s="1"/>
  <c r="P1360" i="13" s="1"/>
  <c r="P1361" i="13" s="1"/>
  <c r="P1362" i="13" s="1"/>
  <c r="P1363" i="13" s="1"/>
  <c r="P1364" i="13" s="1"/>
  <c r="P1365" i="13" s="1"/>
  <c r="P1366" i="13" s="1"/>
  <c r="P1367" i="13" s="1"/>
  <c r="P1368" i="13" s="1"/>
  <c r="P1369" i="13" s="1"/>
  <c r="P1370" i="13" s="1"/>
  <c r="P1371" i="13" s="1"/>
  <c r="P1372" i="13" s="1"/>
  <c r="P1373" i="13" s="1"/>
  <c r="P1374" i="13" s="1"/>
  <c r="P1375" i="13" s="1"/>
  <c r="P1376" i="13" s="1"/>
  <c r="P1377" i="13" s="1"/>
  <c r="P1378" i="13" s="1"/>
  <c r="P1379" i="13" s="1"/>
  <c r="P1380" i="13" s="1"/>
  <c r="P1381" i="13" s="1"/>
  <c r="P1382" i="13" s="1"/>
  <c r="P1383" i="13" s="1"/>
  <c r="P1384" i="13" s="1"/>
  <c r="P1385" i="13" s="1"/>
  <c r="P1386" i="13" s="1"/>
  <c r="P1387" i="13" s="1"/>
  <c r="P1388" i="13" s="1"/>
  <c r="P1389" i="13" s="1"/>
  <c r="P1390" i="13" s="1"/>
  <c r="P1391" i="13" s="1"/>
  <c r="P1392" i="13" s="1"/>
  <c r="P1393" i="13" s="1"/>
  <c r="P1394" i="13" s="1"/>
  <c r="P1395" i="13" s="1"/>
  <c r="P1396" i="13" s="1"/>
  <c r="P1397" i="13" s="1"/>
  <c r="P1398" i="13" s="1"/>
  <c r="P1399" i="13" s="1"/>
  <c r="P1400" i="13" s="1"/>
  <c r="P1401" i="13" s="1"/>
  <c r="P1402" i="13" s="1"/>
  <c r="P1403" i="13" s="1"/>
  <c r="P1404" i="13" s="1"/>
  <c r="P1405" i="13" s="1"/>
  <c r="P1406" i="13" s="1"/>
  <c r="P1407" i="13" s="1"/>
  <c r="P1408" i="13" s="1"/>
  <c r="P1409" i="13" s="1"/>
  <c r="P1410" i="13" s="1"/>
  <c r="P1411" i="13" s="1"/>
  <c r="P1412" i="13" s="1"/>
  <c r="P1413" i="13" s="1"/>
  <c r="P1414" i="13" s="1"/>
  <c r="P1415" i="13" s="1"/>
  <c r="P1416" i="13" s="1"/>
  <c r="P1417" i="13" s="1"/>
  <c r="P1418" i="13" s="1"/>
  <c r="P1419" i="13" s="1"/>
  <c r="P1420" i="13" s="1"/>
  <c r="P1421" i="13" s="1"/>
  <c r="P1422" i="13" s="1"/>
  <c r="P1423" i="13" s="1"/>
  <c r="P1424" i="13" s="1"/>
  <c r="P1425" i="13" s="1"/>
  <c r="P1426" i="13" s="1"/>
  <c r="P1427" i="13" s="1"/>
  <c r="P1428" i="13" s="1"/>
  <c r="P1429" i="13" s="1"/>
  <c r="P1430" i="13" s="1"/>
  <c r="P1431" i="13" s="1"/>
  <c r="P1432" i="13" s="1"/>
  <c r="P1433" i="13" s="1"/>
  <c r="P1434" i="13" s="1"/>
  <c r="P1435" i="13" s="1"/>
  <c r="P1436" i="13" s="1"/>
  <c r="P1437" i="13" s="1"/>
  <c r="P1438" i="13" s="1"/>
  <c r="P1439" i="13" s="1"/>
  <c r="P1440" i="13" s="1"/>
  <c r="P1441" i="13" s="1"/>
  <c r="P1442" i="13" s="1"/>
  <c r="P1443" i="13" s="1"/>
  <c r="P1444" i="13" s="1"/>
  <c r="P1445" i="13" s="1"/>
  <c r="P1446" i="13" s="1"/>
  <c r="P1447" i="13" s="1"/>
  <c r="P1448" i="13" s="1"/>
  <c r="P1449" i="13" s="1"/>
  <c r="P1450" i="13" s="1"/>
  <c r="P1451" i="13" s="1"/>
  <c r="P1452" i="13" s="1"/>
  <c r="P1453" i="13" s="1"/>
  <c r="P1454" i="13" s="1"/>
  <c r="P1455" i="13" s="1"/>
  <c r="P1456" i="13" s="1"/>
  <c r="P1457" i="13" s="1"/>
  <c r="P1458" i="13" s="1"/>
  <c r="P1459" i="13" s="1"/>
  <c r="P1460" i="13" s="1"/>
  <c r="P1461" i="13" s="1"/>
  <c r="P1462" i="13" s="1"/>
  <c r="P1463" i="13" s="1"/>
  <c r="P1464" i="13" s="1"/>
  <c r="P1465" i="13" s="1"/>
  <c r="P1466" i="13" s="1"/>
  <c r="P1467" i="13" s="1"/>
  <c r="P1468" i="13" s="1"/>
  <c r="P1469" i="13" s="1"/>
  <c r="P1470" i="13" s="1"/>
  <c r="P1471" i="13" s="1"/>
  <c r="P1472" i="13" s="1"/>
  <c r="P1473" i="13" s="1"/>
  <c r="P1474" i="13" s="1"/>
  <c r="P1475" i="13" s="1"/>
  <c r="P1476" i="13" s="1"/>
  <c r="P1477" i="13" s="1"/>
  <c r="P1478" i="13" s="1"/>
  <c r="P1479" i="13" s="1"/>
  <c r="P1480" i="13" s="1"/>
  <c r="P1481" i="13" s="1"/>
  <c r="P1482" i="13" s="1"/>
  <c r="P1483" i="13" s="1"/>
  <c r="P1484" i="13" s="1"/>
  <c r="P1485" i="13" s="1"/>
  <c r="P1486" i="13" s="1"/>
  <c r="P1487" i="13" s="1"/>
  <c r="P1488" i="13" s="1"/>
  <c r="P1489" i="13" s="1"/>
  <c r="P1490" i="13" s="1"/>
  <c r="P1491" i="13" s="1"/>
  <c r="P1492" i="13" s="1"/>
  <c r="P1493" i="13" s="1"/>
  <c r="P1494" i="13" s="1"/>
  <c r="P1495" i="13" s="1"/>
  <c r="P1496" i="13" s="1"/>
  <c r="P1497" i="13" s="1"/>
  <c r="P1498" i="13" s="1"/>
  <c r="P1499" i="13" s="1"/>
  <c r="P1500" i="13" s="1"/>
  <c r="P1501" i="13" s="1"/>
  <c r="P1502" i="13" s="1"/>
  <c r="P1503" i="13" s="1"/>
  <c r="P1504" i="13" s="1"/>
  <c r="P1505" i="13" s="1"/>
  <c r="P1506" i="13" s="1"/>
  <c r="P1507" i="13" s="1"/>
  <c r="P1508" i="13" s="1"/>
  <c r="P1509" i="13" s="1"/>
  <c r="P1510" i="13" s="1"/>
  <c r="P1511" i="13" s="1"/>
  <c r="P1512" i="13" s="1"/>
  <c r="P1513" i="13" s="1"/>
  <c r="P1514" i="13" s="1"/>
  <c r="P1515" i="13" s="1"/>
  <c r="P1516" i="13" s="1"/>
  <c r="P1517" i="13" s="1"/>
  <c r="P1518" i="13" s="1"/>
  <c r="P1519" i="13" s="1"/>
  <c r="P1520" i="13" s="1"/>
  <c r="P1521" i="13" s="1"/>
  <c r="P1522" i="13" s="1"/>
  <c r="P1523" i="13" s="1"/>
  <c r="P1524" i="13" s="1"/>
  <c r="P1525" i="13" s="1"/>
  <c r="P1526" i="13" s="1"/>
  <c r="P1527" i="13" s="1"/>
  <c r="P1528" i="13" s="1"/>
  <c r="P1529" i="13" s="1"/>
  <c r="P1530" i="13" s="1"/>
  <c r="P1531" i="13" s="1"/>
  <c r="P1532" i="13" s="1"/>
  <c r="P1533" i="13" s="1"/>
  <c r="P1534" i="13" s="1"/>
  <c r="P1535" i="13" s="1"/>
  <c r="P1536" i="13" s="1"/>
  <c r="P1537" i="13" s="1"/>
  <c r="P1538" i="13" s="1"/>
  <c r="P1539" i="13" s="1"/>
  <c r="P1540" i="13" s="1"/>
  <c r="P1541" i="13" s="1"/>
  <c r="P1542" i="13" s="1"/>
  <c r="P1543" i="13" s="1"/>
  <c r="P1544" i="13" s="1"/>
  <c r="P1545" i="13" s="1"/>
  <c r="P1546" i="13" s="1"/>
  <c r="P1547" i="13" s="1"/>
  <c r="P1548" i="13" s="1"/>
  <c r="P1549" i="13" s="1"/>
  <c r="P1550" i="13" s="1"/>
  <c r="P1551" i="13" s="1"/>
  <c r="P1552" i="13" s="1"/>
  <c r="P1553" i="13" s="1"/>
  <c r="P1554" i="13" s="1"/>
  <c r="P1555" i="13" s="1"/>
  <c r="P1556" i="13" s="1"/>
  <c r="P1557" i="13" s="1"/>
  <c r="P1558" i="13" s="1"/>
  <c r="P1559" i="13" s="1"/>
  <c r="P1560" i="13" s="1"/>
  <c r="P1561" i="13" s="1"/>
  <c r="P1562" i="13" s="1"/>
  <c r="P1563" i="13" s="1"/>
  <c r="P1564" i="13" s="1"/>
  <c r="P1565" i="13" s="1"/>
  <c r="P1566" i="13" s="1"/>
  <c r="P1567" i="13" s="1"/>
  <c r="P1568" i="13" s="1"/>
  <c r="P1569" i="13" s="1"/>
  <c r="P1570" i="13" s="1"/>
  <c r="P1571" i="13" s="1"/>
  <c r="P1572" i="13" s="1"/>
  <c r="P1573" i="13" s="1"/>
  <c r="P1574" i="13" s="1"/>
  <c r="P1575" i="13" s="1"/>
  <c r="P1576" i="13" s="1"/>
  <c r="P1577" i="13" s="1"/>
  <c r="P1578" i="13" s="1"/>
  <c r="P1579" i="13" s="1"/>
  <c r="P1580" i="13" s="1"/>
  <c r="P1581" i="13" s="1"/>
  <c r="P1582" i="13" s="1"/>
  <c r="P1583" i="13" s="1"/>
  <c r="P1584" i="13" s="1"/>
  <c r="P1585" i="13" s="1"/>
  <c r="P1586" i="13" s="1"/>
  <c r="P1587" i="13" s="1"/>
  <c r="P1588" i="13" s="1"/>
  <c r="P1589" i="13" s="1"/>
  <c r="P1590" i="13" s="1"/>
  <c r="P1591" i="13" s="1"/>
  <c r="P1592" i="13" s="1"/>
  <c r="P1593" i="13" s="1"/>
  <c r="P1594" i="13" s="1"/>
  <c r="P1595" i="13" s="1"/>
  <c r="P1596" i="13" s="1"/>
  <c r="P1597" i="13" s="1"/>
  <c r="P1598" i="13" s="1"/>
  <c r="P1599" i="13" s="1"/>
  <c r="P1600" i="13" s="1"/>
  <c r="P1601" i="13" s="1"/>
  <c r="P1602" i="13" s="1"/>
  <c r="P1603" i="13" s="1"/>
  <c r="P1604" i="13" s="1"/>
  <c r="P1605" i="13" s="1"/>
  <c r="P1606" i="13" s="1"/>
  <c r="P1607" i="13" s="1"/>
  <c r="P1608" i="13" s="1"/>
  <c r="P1609" i="13" s="1"/>
  <c r="P1610" i="13" s="1"/>
  <c r="P1611" i="13" s="1"/>
  <c r="P1612" i="13" s="1"/>
  <c r="P1613" i="13" s="1"/>
  <c r="P1614" i="13" s="1"/>
  <c r="P1615" i="13" s="1"/>
  <c r="P1616" i="13" s="1"/>
  <c r="P1617" i="13" s="1"/>
  <c r="P1618" i="13" s="1"/>
  <c r="P1619" i="13" s="1"/>
  <c r="P1620" i="13" s="1"/>
  <c r="P1621" i="13" s="1"/>
  <c r="P1622" i="13" s="1"/>
  <c r="P1623" i="13" s="1"/>
  <c r="P1624" i="13" s="1"/>
  <c r="P1625" i="13" s="1"/>
  <c r="P1626" i="13" s="1"/>
  <c r="P1627" i="13" s="1"/>
  <c r="P1628" i="13" s="1"/>
  <c r="P1629" i="13" s="1"/>
  <c r="P1630" i="13" s="1"/>
  <c r="P1631" i="13" s="1"/>
  <c r="P1632" i="13" s="1"/>
  <c r="P1633" i="13" s="1"/>
  <c r="P1634" i="13" s="1"/>
  <c r="P1635" i="13" s="1"/>
  <c r="P1636" i="13" s="1"/>
  <c r="P1637" i="13" s="1"/>
  <c r="P1638" i="13" s="1"/>
  <c r="P1639" i="13" s="1"/>
  <c r="P1640" i="13" s="1"/>
  <c r="P1641" i="13" s="1"/>
  <c r="P1642" i="13" s="1"/>
  <c r="P1643" i="13" s="1"/>
  <c r="P1644" i="13" s="1"/>
  <c r="P1645" i="13" s="1"/>
  <c r="P1646" i="13" s="1"/>
  <c r="P1647" i="13" s="1"/>
  <c r="P1648" i="13" s="1"/>
  <c r="P1649" i="13" s="1"/>
  <c r="P1650" i="13" s="1"/>
  <c r="P1651" i="13" s="1"/>
  <c r="P1652" i="13" s="1"/>
  <c r="P1653" i="13" s="1"/>
  <c r="P1654" i="13" s="1"/>
  <c r="P1655" i="13" s="1"/>
  <c r="P1656" i="13" s="1"/>
  <c r="P1657" i="13" s="1"/>
  <c r="P1658" i="13" s="1"/>
  <c r="P1659" i="13" s="1"/>
  <c r="P1660" i="13" s="1"/>
  <c r="P1661" i="13" s="1"/>
  <c r="P1662" i="13" s="1"/>
  <c r="P1663" i="13" s="1"/>
  <c r="P1664" i="13" s="1"/>
  <c r="P1665" i="13" s="1"/>
  <c r="P1666" i="13" s="1"/>
  <c r="P1667" i="13" s="1"/>
  <c r="P1668" i="13" s="1"/>
  <c r="P1669" i="13" s="1"/>
  <c r="P1670" i="13" s="1"/>
  <c r="P1671" i="13" s="1"/>
  <c r="P1672" i="13" s="1"/>
  <c r="P1673" i="13" s="1"/>
  <c r="P1674" i="13" s="1"/>
  <c r="P1675" i="13" s="1"/>
  <c r="P1676" i="13" s="1"/>
  <c r="P1677" i="13" s="1"/>
  <c r="P1678" i="13" s="1"/>
  <c r="P1679" i="13" s="1"/>
  <c r="P1680" i="13" s="1"/>
  <c r="P1681" i="13" s="1"/>
  <c r="P1682" i="13" s="1"/>
  <c r="P1683" i="13" s="1"/>
  <c r="P1684" i="13" s="1"/>
  <c r="P1685" i="13" s="1"/>
  <c r="P1686" i="13" s="1"/>
  <c r="P1687" i="13" s="1"/>
  <c r="P1688" i="13" s="1"/>
  <c r="P1689" i="13" s="1"/>
  <c r="P1690" i="13" s="1"/>
  <c r="P1691" i="13" s="1"/>
  <c r="P1692" i="13" s="1"/>
  <c r="P1693" i="13" s="1"/>
  <c r="P1694" i="13" s="1"/>
  <c r="P1695" i="13" s="1"/>
  <c r="P1696" i="13" s="1"/>
  <c r="P1697" i="13" s="1"/>
  <c r="P1698" i="13" s="1"/>
  <c r="P1699" i="13" s="1"/>
  <c r="P1700" i="13" s="1"/>
  <c r="P1701" i="13" s="1"/>
  <c r="P1702" i="13" s="1"/>
  <c r="P1703" i="13" s="1"/>
  <c r="P1704" i="13" s="1"/>
  <c r="P1705" i="13" s="1"/>
  <c r="P1706" i="13" s="1"/>
  <c r="P1707" i="13" s="1"/>
  <c r="P1708" i="13" s="1"/>
  <c r="P1709" i="13" s="1"/>
  <c r="P1710" i="13" s="1"/>
  <c r="P1711" i="13" s="1"/>
  <c r="P1712" i="13" s="1"/>
  <c r="P1713" i="13" s="1"/>
  <c r="P1714" i="13" s="1"/>
  <c r="P1715" i="13" s="1"/>
  <c r="P1716" i="13" s="1"/>
  <c r="P1717" i="13" s="1"/>
  <c r="P1718" i="13" s="1"/>
  <c r="P1719" i="13" s="1"/>
  <c r="P1720" i="13" s="1"/>
  <c r="P1721" i="13" s="1"/>
  <c r="P1722" i="13" s="1"/>
  <c r="P1723" i="13" s="1"/>
  <c r="P1724" i="13" s="1"/>
  <c r="P1725" i="13" s="1"/>
  <c r="P1726" i="13" s="1"/>
  <c r="P1727" i="13" s="1"/>
  <c r="P1728" i="13" s="1"/>
  <c r="P1729" i="13" s="1"/>
  <c r="P1730" i="13" s="1"/>
  <c r="P1731" i="13" s="1"/>
  <c r="P1732" i="13" s="1"/>
  <c r="P1733" i="13" s="1"/>
  <c r="P1734" i="13" s="1"/>
  <c r="P1735" i="13" s="1"/>
  <c r="P1736" i="13" s="1"/>
  <c r="P1737" i="13" s="1"/>
  <c r="P1738" i="13" s="1"/>
  <c r="P1739" i="13" s="1"/>
  <c r="P1740" i="13" s="1"/>
  <c r="P1741" i="13" s="1"/>
  <c r="P1742" i="13" s="1"/>
  <c r="P1743" i="13" s="1"/>
  <c r="P1744" i="13" s="1"/>
  <c r="P1745" i="13" s="1"/>
  <c r="P1746" i="13" s="1"/>
  <c r="P1747" i="13" s="1"/>
  <c r="P1748" i="13" s="1"/>
  <c r="P1749" i="13" s="1"/>
  <c r="P1750" i="13" s="1"/>
  <c r="P1751" i="13" s="1"/>
  <c r="P1752" i="13" s="1"/>
  <c r="P1753" i="13" s="1"/>
  <c r="P1754" i="13" s="1"/>
  <c r="P1755" i="13" s="1"/>
  <c r="P1756" i="13" s="1"/>
  <c r="P1757" i="13" s="1"/>
  <c r="P1758" i="13" s="1"/>
  <c r="P1759" i="13" s="1"/>
  <c r="P1760" i="13" s="1"/>
  <c r="P1761" i="13" s="1"/>
  <c r="P1762" i="13" s="1"/>
  <c r="P1763" i="13" s="1"/>
  <c r="P1764" i="13" s="1"/>
  <c r="P1765" i="13" s="1"/>
  <c r="P1766" i="13" s="1"/>
  <c r="P1767" i="13" s="1"/>
  <c r="P1768" i="13" s="1"/>
  <c r="P1769" i="13" s="1"/>
  <c r="P1770" i="13" s="1"/>
  <c r="P1771" i="13" s="1"/>
  <c r="P1772" i="13" s="1"/>
  <c r="P1773" i="13" s="1"/>
  <c r="P1774" i="13" s="1"/>
  <c r="P1775" i="13" s="1"/>
  <c r="P1776" i="13" s="1"/>
  <c r="P1777" i="13" s="1"/>
  <c r="P1778" i="13" s="1"/>
  <c r="P1779" i="13" s="1"/>
  <c r="P1780" i="13" s="1"/>
  <c r="P1781" i="13" s="1"/>
  <c r="P1782" i="13" s="1"/>
  <c r="P1783" i="13" s="1"/>
  <c r="P1784" i="13" s="1"/>
  <c r="P1785" i="13" s="1"/>
  <c r="P1786" i="13" s="1"/>
  <c r="P1787" i="13" s="1"/>
  <c r="P1788" i="13" s="1"/>
  <c r="P1789" i="13" s="1"/>
  <c r="P1790" i="13" s="1"/>
  <c r="P1791" i="13" s="1"/>
  <c r="P1792" i="13" s="1"/>
  <c r="P1793" i="13" s="1"/>
  <c r="P1794" i="13" s="1"/>
  <c r="P1795" i="13" s="1"/>
  <c r="P1796" i="13" s="1"/>
  <c r="P1797" i="13" s="1"/>
  <c r="P1798" i="13" s="1"/>
  <c r="P1799" i="13" s="1"/>
  <c r="P1800" i="13" s="1"/>
  <c r="P1801" i="13" s="1"/>
  <c r="P1802" i="13" s="1"/>
  <c r="P1803" i="13" s="1"/>
  <c r="P1804" i="13" s="1"/>
  <c r="P1805" i="13" s="1"/>
  <c r="P1806" i="13" s="1"/>
  <c r="P1807" i="13" s="1"/>
  <c r="P1808" i="13" s="1"/>
  <c r="P1809" i="13" s="1"/>
  <c r="P1810" i="13" s="1"/>
  <c r="P1811" i="13" s="1"/>
  <c r="P1812" i="13" s="1"/>
  <c r="P1813" i="13" s="1"/>
  <c r="P1814" i="13" s="1"/>
  <c r="P1815" i="13" s="1"/>
  <c r="P1816" i="13" s="1"/>
  <c r="P1817" i="13" s="1"/>
  <c r="P1818" i="13" s="1"/>
  <c r="P1819" i="13" s="1"/>
  <c r="P1820" i="13" s="1"/>
  <c r="P1821" i="13" s="1"/>
  <c r="P1822" i="13" s="1"/>
  <c r="P1823" i="13" s="1"/>
  <c r="P1824" i="13" s="1"/>
  <c r="P1825" i="13" s="1"/>
  <c r="P1826" i="13" s="1"/>
  <c r="P1827" i="13" s="1"/>
  <c r="P1828" i="13" s="1"/>
  <c r="P1829" i="13" s="1"/>
  <c r="P1830" i="13" s="1"/>
  <c r="P1831" i="13" s="1"/>
  <c r="P1832" i="13" s="1"/>
  <c r="P1833" i="13" s="1"/>
  <c r="P1834" i="13" s="1"/>
  <c r="P1835" i="13" s="1"/>
  <c r="P1836" i="13" s="1"/>
  <c r="P1837" i="13" s="1"/>
  <c r="P1838" i="13" s="1"/>
  <c r="P1839" i="13" s="1"/>
  <c r="P1840" i="13" s="1"/>
  <c r="P1841" i="13" s="1"/>
  <c r="P1842" i="13" s="1"/>
  <c r="P1843" i="13" s="1"/>
  <c r="P1844" i="13" s="1"/>
  <c r="P1845" i="13" s="1"/>
  <c r="P1846" i="13" s="1"/>
  <c r="P1847" i="13" s="1"/>
  <c r="P1848" i="13" s="1"/>
  <c r="P1849" i="13" s="1"/>
  <c r="P1850" i="13" s="1"/>
  <c r="P1851" i="13" s="1"/>
  <c r="P1852" i="13" s="1"/>
  <c r="P1853" i="13" s="1"/>
  <c r="P1854" i="13" s="1"/>
  <c r="P1855" i="13" s="1"/>
  <c r="P1856" i="13" s="1"/>
  <c r="P1857" i="13" s="1"/>
  <c r="P1858" i="13" s="1"/>
  <c r="P1859" i="13" s="1"/>
  <c r="P1860" i="13" s="1"/>
  <c r="P1861" i="13" s="1"/>
  <c r="P1862" i="13" s="1"/>
  <c r="P1863" i="13" s="1"/>
  <c r="P1864" i="13" s="1"/>
  <c r="P1865" i="13" s="1"/>
  <c r="P1866" i="13" s="1"/>
  <c r="P1867" i="13" s="1"/>
  <c r="P1868" i="13" s="1"/>
  <c r="P1869" i="13" s="1"/>
  <c r="P1870" i="13" s="1"/>
  <c r="P1871" i="13" s="1"/>
  <c r="P1872" i="13" s="1"/>
  <c r="P1873" i="13" s="1"/>
  <c r="P1874" i="13" s="1"/>
  <c r="P1875" i="13" s="1"/>
  <c r="P1876" i="13" s="1"/>
  <c r="P1877" i="13" s="1"/>
  <c r="P1878" i="13" s="1"/>
  <c r="P1879" i="13" s="1"/>
  <c r="P1880" i="13" s="1"/>
  <c r="P1881" i="13" s="1"/>
  <c r="P1882" i="13" s="1"/>
  <c r="P1883" i="13" s="1"/>
  <c r="P1884" i="13" s="1"/>
  <c r="P1885" i="13" s="1"/>
  <c r="P1886" i="13" s="1"/>
  <c r="P1887" i="13" s="1"/>
  <c r="P1888" i="13" s="1"/>
  <c r="P1889" i="13" s="1"/>
  <c r="P1890" i="13" s="1"/>
  <c r="P1891" i="13" s="1"/>
  <c r="P1892" i="13" s="1"/>
  <c r="P1893" i="13" s="1"/>
  <c r="P1894" i="13" s="1"/>
  <c r="P1895" i="13" s="1"/>
  <c r="P1896" i="13" s="1"/>
  <c r="P1897" i="13" s="1"/>
  <c r="P1898" i="13" s="1"/>
  <c r="P1899" i="13" s="1"/>
  <c r="P1900" i="13" s="1"/>
  <c r="P1901" i="13" s="1"/>
  <c r="P1902" i="13" s="1"/>
  <c r="P1903" i="13" s="1"/>
  <c r="P1904" i="13" s="1"/>
  <c r="P1905" i="13" s="1"/>
  <c r="P1906" i="13" s="1"/>
  <c r="P1907" i="13" s="1"/>
  <c r="P1908" i="13" s="1"/>
  <c r="P1909" i="13" s="1"/>
  <c r="P1910" i="13" s="1"/>
  <c r="P1911" i="13" s="1"/>
  <c r="P1912" i="13" s="1"/>
  <c r="P1913" i="13" s="1"/>
  <c r="P1914" i="13" s="1"/>
  <c r="P1915" i="13" s="1"/>
  <c r="P1916" i="13" s="1"/>
  <c r="P1917" i="13" s="1"/>
  <c r="P1918" i="13" s="1"/>
  <c r="P1919" i="13" s="1"/>
  <c r="P1920" i="13" s="1"/>
  <c r="P1921" i="13" s="1"/>
  <c r="P1922" i="13" s="1"/>
  <c r="P1923" i="13" s="1"/>
  <c r="P1924" i="13" s="1"/>
  <c r="P1925" i="13" s="1"/>
  <c r="P1926" i="13" s="1"/>
  <c r="P1927" i="13" s="1"/>
  <c r="P1928" i="13" s="1"/>
  <c r="P1929" i="13" s="1"/>
  <c r="P1930" i="13" s="1"/>
  <c r="P1931" i="13" s="1"/>
  <c r="P1932" i="13" s="1"/>
  <c r="P1933" i="13" s="1"/>
  <c r="P1934" i="13" s="1"/>
  <c r="P1935" i="13" s="1"/>
  <c r="P1936" i="13" s="1"/>
  <c r="P1937" i="13" s="1"/>
  <c r="P1938" i="13" s="1"/>
  <c r="P1939" i="13" s="1"/>
  <c r="P1940" i="13" s="1"/>
  <c r="P1941" i="13" s="1"/>
  <c r="P1942" i="13" s="1"/>
  <c r="P1943" i="13" s="1"/>
  <c r="P1944" i="13" s="1"/>
  <c r="P1945" i="13" s="1"/>
  <c r="P1946" i="13" s="1"/>
  <c r="P1947" i="13" s="1"/>
  <c r="P1948" i="13" s="1"/>
  <c r="P1949" i="13" s="1"/>
  <c r="P1950" i="13" s="1"/>
  <c r="P1951" i="13" s="1"/>
  <c r="P1952" i="13" s="1"/>
  <c r="P1953" i="13" s="1"/>
  <c r="P1954" i="13" s="1"/>
  <c r="P1955" i="13" s="1"/>
  <c r="P1956" i="13" s="1"/>
  <c r="P1957" i="13" s="1"/>
  <c r="P1958" i="13" s="1"/>
  <c r="P1959" i="13" s="1"/>
  <c r="P1960" i="13" s="1"/>
  <c r="P1961" i="13" s="1"/>
  <c r="P1962" i="13" s="1"/>
  <c r="P1963" i="13" s="1"/>
  <c r="P1964" i="13" s="1"/>
  <c r="P1965" i="13" s="1"/>
  <c r="P1966" i="13" s="1"/>
  <c r="P1967" i="13" s="1"/>
  <c r="P1968" i="13" s="1"/>
  <c r="P1969" i="13" s="1"/>
  <c r="P1970" i="13" s="1"/>
  <c r="P1971" i="13" s="1"/>
  <c r="P1972" i="13" s="1"/>
  <c r="P1973" i="13" s="1"/>
  <c r="P1974" i="13" s="1"/>
  <c r="P1975" i="13" s="1"/>
  <c r="P1976" i="13" s="1"/>
  <c r="P1977" i="13" s="1"/>
  <c r="P1978" i="13" s="1"/>
  <c r="P1979" i="13" s="1"/>
  <c r="P1980" i="13" s="1"/>
  <c r="P1981" i="13" s="1"/>
  <c r="P1982" i="13" s="1"/>
  <c r="P1983" i="13" s="1"/>
  <c r="P1984" i="13" s="1"/>
  <c r="P1985" i="13" s="1"/>
  <c r="P1986" i="13" s="1"/>
  <c r="P1987" i="13" s="1"/>
  <c r="P1988" i="13" s="1"/>
  <c r="P1989" i="13" s="1"/>
  <c r="P1990" i="13" s="1"/>
  <c r="P1991" i="13" s="1"/>
  <c r="P1992" i="13" s="1"/>
  <c r="P1993" i="13" s="1"/>
  <c r="P1994" i="13" s="1"/>
  <c r="P1995" i="13" s="1"/>
  <c r="P1996" i="13" s="1"/>
  <c r="P1997" i="13" s="1"/>
  <c r="P1998" i="13" s="1"/>
  <c r="P1999" i="13" s="1"/>
  <c r="P2000" i="13" s="1"/>
  <c r="P2001" i="13" s="1"/>
  <c r="P2002" i="13" s="1"/>
  <c r="P2003" i="13" s="1"/>
  <c r="P2004" i="13" s="1"/>
  <c r="P2005" i="13" s="1"/>
  <c r="P2006" i="13" s="1"/>
  <c r="P2007" i="13" s="1"/>
  <c r="P2008" i="13" s="1"/>
  <c r="P2009" i="13" s="1"/>
  <c r="P2010" i="13" s="1"/>
  <c r="P2011" i="13" s="1"/>
  <c r="P2012" i="13" s="1"/>
  <c r="P2013" i="13" s="1"/>
  <c r="P2014" i="13" s="1"/>
  <c r="P2015" i="13" s="1"/>
  <c r="P2016" i="13" s="1"/>
  <c r="P2017" i="13" s="1"/>
  <c r="P2018" i="13" s="1"/>
  <c r="P2019" i="13" s="1"/>
  <c r="P2020" i="13" s="1"/>
  <c r="P2021" i="13" s="1"/>
  <c r="P2022" i="13" s="1"/>
  <c r="P2023" i="13" s="1"/>
  <c r="P2024" i="13" s="1"/>
  <c r="P2025" i="13" s="1"/>
  <c r="P2026" i="13" s="1"/>
  <c r="P2027" i="13" s="1"/>
  <c r="P2028" i="13" s="1"/>
  <c r="P2029" i="13" s="1"/>
  <c r="P2030" i="13" s="1"/>
  <c r="P2031" i="13" s="1"/>
  <c r="P2032" i="13" s="1"/>
  <c r="P2033" i="13" s="1"/>
  <c r="P2034" i="13" s="1"/>
  <c r="P2035" i="13" s="1"/>
  <c r="P2036" i="13" s="1"/>
  <c r="P2037" i="13" s="1"/>
  <c r="P2038" i="13" s="1"/>
  <c r="P2039" i="13" s="1"/>
  <c r="P2040" i="13" s="1"/>
  <c r="P2041" i="13" s="1"/>
  <c r="P2042" i="13" s="1"/>
  <c r="P2043" i="13" s="1"/>
  <c r="P2044" i="13" s="1"/>
  <c r="P2045" i="13" s="1"/>
  <c r="P2046" i="13" s="1"/>
  <c r="P2047" i="13" s="1"/>
  <c r="P2048" i="13" s="1"/>
  <c r="P2049" i="13" s="1"/>
  <c r="P2050" i="13" s="1"/>
  <c r="P2051" i="13" s="1"/>
  <c r="P2052" i="13" s="1"/>
  <c r="P2053" i="13" s="1"/>
  <c r="P2054" i="13" s="1"/>
  <c r="P2055" i="13" s="1"/>
  <c r="P2056" i="13" s="1"/>
  <c r="P2057" i="13" s="1"/>
  <c r="P2058" i="13" s="1"/>
  <c r="P2059" i="13" s="1"/>
  <c r="P2060" i="13" s="1"/>
  <c r="P2061" i="13" s="1"/>
  <c r="P2062" i="13" s="1"/>
  <c r="P2063" i="13" s="1"/>
  <c r="P2064" i="13" s="1"/>
  <c r="P2065" i="13" s="1"/>
  <c r="P2066" i="13" s="1"/>
  <c r="P2067" i="13" s="1"/>
  <c r="P2068" i="13" s="1"/>
  <c r="P2069" i="13" s="1"/>
  <c r="P2070" i="13" s="1"/>
  <c r="P2071" i="13" s="1"/>
  <c r="P2072" i="13" s="1"/>
  <c r="P2073" i="13" s="1"/>
  <c r="P2074" i="13" s="1"/>
  <c r="P2075" i="13" s="1"/>
  <c r="P2076" i="13" s="1"/>
  <c r="P2077" i="13" s="1"/>
  <c r="P2078" i="13" s="1"/>
  <c r="P2079" i="13" s="1"/>
  <c r="P2080" i="13" s="1"/>
  <c r="P2081" i="13" s="1"/>
  <c r="P2082" i="13" s="1"/>
  <c r="P2083" i="13" s="1"/>
  <c r="P2084" i="13" s="1"/>
  <c r="P2085" i="13" s="1"/>
  <c r="P2086" i="13" s="1"/>
  <c r="P2087" i="13" s="1"/>
  <c r="P2088" i="13" s="1"/>
  <c r="P2089" i="13" s="1"/>
  <c r="P2090" i="13" s="1"/>
  <c r="P2091" i="13" s="1"/>
  <c r="P2092" i="13" s="1"/>
  <c r="P2093" i="13" s="1"/>
  <c r="P2094" i="13" s="1"/>
  <c r="P2095" i="13" s="1"/>
  <c r="P2096" i="13" s="1"/>
  <c r="P2097" i="13" s="1"/>
  <c r="P2098" i="13" s="1"/>
  <c r="P2099" i="13" s="1"/>
  <c r="P2100" i="13" s="1"/>
  <c r="P2101" i="13" s="1"/>
  <c r="P2102" i="13" s="1"/>
  <c r="P2103" i="13" s="1"/>
  <c r="P2104" i="13" s="1"/>
  <c r="P2105" i="13" s="1"/>
  <c r="P2106" i="13" s="1"/>
  <c r="P2107" i="13" s="1"/>
  <c r="P2108" i="13" s="1"/>
  <c r="P2109" i="13" s="1"/>
  <c r="P2110" i="13" s="1"/>
  <c r="P2111" i="13" s="1"/>
  <c r="P2112" i="13" s="1"/>
  <c r="P2113" i="13" s="1"/>
  <c r="P2114" i="13" s="1"/>
  <c r="P2115" i="13" s="1"/>
  <c r="P2116" i="13" s="1"/>
  <c r="P2117" i="13" s="1"/>
  <c r="P2118" i="13" s="1"/>
  <c r="P2119" i="13" s="1"/>
  <c r="P2120" i="13" s="1"/>
  <c r="P2121" i="13" s="1"/>
  <c r="P2122" i="13" s="1"/>
  <c r="P2123" i="13" s="1"/>
  <c r="P2124" i="13" s="1"/>
  <c r="P2125" i="13" s="1"/>
  <c r="P2126" i="13" s="1"/>
  <c r="P2127" i="13" s="1"/>
  <c r="P2128" i="13" s="1"/>
  <c r="P2129" i="13" s="1"/>
  <c r="P2130" i="13" s="1"/>
  <c r="P2131" i="13" s="1"/>
  <c r="P2132" i="13" s="1"/>
  <c r="P2133" i="13" s="1"/>
  <c r="P2134" i="13" s="1"/>
  <c r="P2135" i="13" s="1"/>
  <c r="P2136" i="13" s="1"/>
  <c r="P2137" i="13" s="1"/>
  <c r="P2138" i="13" s="1"/>
  <c r="P2139" i="13" s="1"/>
  <c r="P2140" i="13" s="1"/>
  <c r="P2141" i="13" s="1"/>
  <c r="P2142" i="13" s="1"/>
  <c r="P2143" i="13" s="1"/>
  <c r="P2144" i="13" s="1"/>
  <c r="P2145" i="13" s="1"/>
  <c r="P2146" i="13" s="1"/>
  <c r="P2147" i="13" s="1"/>
  <c r="P2148" i="13" s="1"/>
  <c r="P2149" i="13" s="1"/>
  <c r="P2150" i="13" s="1"/>
  <c r="P2151" i="13" s="1"/>
  <c r="P2152" i="13" s="1"/>
  <c r="P2153" i="13" s="1"/>
  <c r="P2154" i="13" s="1"/>
  <c r="P2155" i="13" s="1"/>
  <c r="P2156" i="13" s="1"/>
  <c r="P2157" i="13" s="1"/>
  <c r="P2158" i="13" s="1"/>
  <c r="P2159" i="13" s="1"/>
  <c r="P2160" i="13" s="1"/>
  <c r="P2161" i="13" s="1"/>
  <c r="P2162" i="13" s="1"/>
  <c r="P2163" i="13" s="1"/>
  <c r="P2164" i="13" s="1"/>
  <c r="P2165" i="13" s="1"/>
  <c r="P2166" i="13" s="1"/>
  <c r="P2167" i="13" s="1"/>
  <c r="P2168" i="13" s="1"/>
  <c r="P2169" i="13" s="1"/>
  <c r="P2170" i="13" s="1"/>
  <c r="P2171" i="13" s="1"/>
  <c r="P2172" i="13" s="1"/>
  <c r="P2173" i="13" s="1"/>
  <c r="P2174" i="13" s="1"/>
  <c r="P2175" i="13" s="1"/>
  <c r="P2176" i="13" s="1"/>
  <c r="P2177" i="13" s="1"/>
  <c r="P2178" i="13" s="1"/>
  <c r="P2179" i="13" s="1"/>
  <c r="P2180" i="13" s="1"/>
  <c r="P2181" i="13" s="1"/>
  <c r="P2182" i="13" s="1"/>
  <c r="P2183" i="13" s="1"/>
  <c r="P2184" i="13" s="1"/>
  <c r="P2185" i="13" s="1"/>
  <c r="P2186" i="13" s="1"/>
  <c r="P2187" i="13" s="1"/>
  <c r="P2188" i="13" s="1"/>
  <c r="P2189" i="13" s="1"/>
  <c r="P2190" i="13" s="1"/>
  <c r="P2191" i="13" s="1"/>
  <c r="P2192" i="13" s="1"/>
  <c r="P2193" i="13" s="1"/>
  <c r="P2194" i="13" s="1"/>
  <c r="P2195" i="13" s="1"/>
  <c r="P2196" i="13" s="1"/>
  <c r="P2197" i="13" s="1"/>
  <c r="P2198" i="13" s="1"/>
  <c r="P2199" i="13" s="1"/>
  <c r="P2200" i="13" s="1"/>
  <c r="P2201" i="13" s="1"/>
  <c r="P2202" i="13" s="1"/>
  <c r="P2203" i="13" s="1"/>
  <c r="P2204" i="13" s="1"/>
  <c r="P2205" i="13" s="1"/>
  <c r="P2206" i="13" s="1"/>
  <c r="P2207" i="13" s="1"/>
  <c r="P2208" i="13" s="1"/>
  <c r="P2209" i="13" s="1"/>
  <c r="P2210" i="13" s="1"/>
  <c r="P2211" i="13" s="1"/>
  <c r="P2212" i="13" s="1"/>
  <c r="P2213" i="13" s="1"/>
  <c r="P2214" i="13" s="1"/>
  <c r="P2215" i="13" s="1"/>
  <c r="P2216" i="13" s="1"/>
  <c r="P2217" i="13" s="1"/>
  <c r="P2218" i="13" s="1"/>
  <c r="P2219" i="13" s="1"/>
  <c r="P2220" i="13" s="1"/>
  <c r="P2221" i="13" s="1"/>
  <c r="P2222" i="13" s="1"/>
  <c r="P2223" i="13" s="1"/>
  <c r="P2224" i="13" s="1"/>
  <c r="P2225" i="13" s="1"/>
  <c r="P2226" i="13" s="1"/>
  <c r="P2227" i="13" s="1"/>
  <c r="P2228" i="13" s="1"/>
  <c r="P2229" i="13" s="1"/>
  <c r="P2230" i="13" s="1"/>
  <c r="P2231" i="13" s="1"/>
  <c r="P2232" i="13" s="1"/>
  <c r="P2233" i="13" s="1"/>
  <c r="P2234" i="13" s="1"/>
  <c r="P2235" i="13" s="1"/>
  <c r="P2236" i="13" s="1"/>
  <c r="P2237" i="13" s="1"/>
  <c r="P2238" i="13" s="1"/>
  <c r="P2239" i="13" s="1"/>
  <c r="P2240" i="13" s="1"/>
  <c r="P2241" i="13" s="1"/>
  <c r="P2242" i="13" s="1"/>
  <c r="P2243" i="13" s="1"/>
  <c r="P2244" i="13" s="1"/>
  <c r="P2245" i="13" s="1"/>
  <c r="P2246" i="13" s="1"/>
  <c r="P2247" i="13" s="1"/>
  <c r="P2248" i="13" s="1"/>
  <c r="P2249" i="13" s="1"/>
  <c r="P2250" i="13" s="1"/>
  <c r="P2251" i="13" s="1"/>
  <c r="P2252" i="13" s="1"/>
  <c r="P2253" i="13" s="1"/>
  <c r="P2254" i="13" s="1"/>
  <c r="P2255" i="13" s="1"/>
  <c r="P2256" i="13" s="1"/>
  <c r="P2257" i="13" s="1"/>
  <c r="P2258" i="13" s="1"/>
  <c r="P2259" i="13" s="1"/>
  <c r="P2260" i="13" s="1"/>
  <c r="P2261" i="13" s="1"/>
  <c r="P2262" i="13" s="1"/>
  <c r="P2263" i="13" s="1"/>
  <c r="P2264" i="13" s="1"/>
  <c r="P2265" i="13" s="1"/>
  <c r="P2266" i="13" s="1"/>
  <c r="P2267" i="13" s="1"/>
  <c r="P2268" i="13" s="1"/>
  <c r="P2269" i="13" s="1"/>
  <c r="P2270" i="13" s="1"/>
  <c r="P2271" i="13" s="1"/>
  <c r="P2272" i="13" s="1"/>
  <c r="P2273" i="13" s="1"/>
  <c r="P2274" i="13" s="1"/>
  <c r="P2275" i="13" s="1"/>
  <c r="P2276" i="13" s="1"/>
  <c r="P2277" i="13" s="1"/>
  <c r="P2278" i="13" s="1"/>
  <c r="P2279" i="13" s="1"/>
  <c r="P2280" i="13" s="1"/>
  <c r="P2281" i="13" s="1"/>
  <c r="P2282" i="13" s="1"/>
  <c r="P2283" i="13" s="1"/>
  <c r="P2284" i="13" s="1"/>
  <c r="P2285" i="13" s="1"/>
  <c r="P2286" i="13" s="1"/>
  <c r="P2287" i="13" s="1"/>
  <c r="P2288" i="13" s="1"/>
  <c r="P2289" i="13" s="1"/>
  <c r="P2290" i="13" s="1"/>
  <c r="P2291" i="13" s="1"/>
  <c r="P2292" i="13" s="1"/>
  <c r="P2293" i="13" s="1"/>
  <c r="P2294" i="13" s="1"/>
  <c r="P2295" i="13" s="1"/>
  <c r="P2296" i="13" s="1"/>
  <c r="P2297" i="13" s="1"/>
  <c r="P2298" i="13" s="1"/>
  <c r="P2299" i="13" s="1"/>
  <c r="P2300" i="13" s="1"/>
  <c r="P2301" i="13" s="1"/>
  <c r="P2302" i="13" s="1"/>
  <c r="P2303" i="13" s="1"/>
  <c r="P2304" i="13" s="1"/>
  <c r="P2305" i="13" s="1"/>
  <c r="P2306" i="13" s="1"/>
  <c r="P2307" i="13" s="1"/>
  <c r="P2308" i="13" s="1"/>
  <c r="P2309" i="13" s="1"/>
  <c r="P2310" i="13" s="1"/>
  <c r="P2311" i="13" s="1"/>
  <c r="P2312" i="13" s="1"/>
  <c r="P2313" i="13" s="1"/>
  <c r="P2314" i="13" s="1"/>
  <c r="P2315" i="13" s="1"/>
  <c r="P2316" i="13" s="1"/>
  <c r="P2317" i="13" s="1"/>
  <c r="P2318" i="13" s="1"/>
  <c r="P2319" i="13" s="1"/>
  <c r="P2320" i="13" s="1"/>
  <c r="P2321" i="13" s="1"/>
  <c r="P2322" i="13" s="1"/>
  <c r="P2323" i="13" s="1"/>
  <c r="P2324" i="13" s="1"/>
  <c r="P2325" i="13" s="1"/>
  <c r="P2326" i="13" s="1"/>
  <c r="P2327" i="13" s="1"/>
  <c r="P2328" i="13" s="1"/>
  <c r="P2329" i="13" s="1"/>
  <c r="P2330" i="13" s="1"/>
  <c r="P2331" i="13" s="1"/>
  <c r="P2332" i="13" s="1"/>
  <c r="P2333" i="13" s="1"/>
  <c r="P2334" i="13" s="1"/>
  <c r="P2335" i="13" s="1"/>
  <c r="P2336" i="13" s="1"/>
  <c r="P2337" i="13" s="1"/>
  <c r="P2338" i="13" s="1"/>
  <c r="P2339" i="13" s="1"/>
  <c r="P2340" i="13" s="1"/>
  <c r="P2341" i="13" s="1"/>
  <c r="P2342" i="13" s="1"/>
  <c r="P2343" i="13" s="1"/>
  <c r="P2344" i="13" s="1"/>
  <c r="P2345" i="13" s="1"/>
  <c r="P2346" i="13" s="1"/>
  <c r="P2347" i="13" s="1"/>
  <c r="P2348" i="13" s="1"/>
  <c r="P2349" i="13" s="1"/>
  <c r="P2350" i="13" s="1"/>
  <c r="P2351" i="13" s="1"/>
  <c r="P2352" i="13" s="1"/>
  <c r="P2353" i="13" s="1"/>
  <c r="P2354" i="13" s="1"/>
  <c r="P2355" i="13" s="1"/>
  <c r="P2356" i="13" s="1"/>
  <c r="P2357" i="13" s="1"/>
  <c r="P2358" i="13" s="1"/>
  <c r="P2359" i="13" s="1"/>
  <c r="P2360" i="13" s="1"/>
  <c r="P2361" i="13" s="1"/>
  <c r="P2362" i="13" s="1"/>
  <c r="P2363" i="13" s="1"/>
  <c r="P2364" i="13" s="1"/>
  <c r="P2365" i="13" s="1"/>
  <c r="P2366" i="13" s="1"/>
  <c r="P2367" i="13" s="1"/>
  <c r="P2368" i="13" s="1"/>
  <c r="P2369" i="13" s="1"/>
  <c r="P2370" i="13" s="1"/>
  <c r="P2371" i="13" s="1"/>
  <c r="P2372" i="13" s="1"/>
  <c r="P2373" i="13" s="1"/>
  <c r="P2374" i="13" s="1"/>
  <c r="P2375" i="13" s="1"/>
  <c r="P2376" i="13" s="1"/>
  <c r="P2377" i="13" s="1"/>
  <c r="P2378" i="13" s="1"/>
  <c r="P2379" i="13" s="1"/>
  <c r="P2380" i="13" s="1"/>
  <c r="P2381" i="13" s="1"/>
  <c r="P2382" i="13" s="1"/>
  <c r="P2383" i="13" s="1"/>
  <c r="P2384" i="13" s="1"/>
  <c r="P2385" i="13" s="1"/>
  <c r="P2386" i="13" s="1"/>
  <c r="P2387" i="13" s="1"/>
  <c r="P2388" i="13" s="1"/>
  <c r="P2389" i="13" s="1"/>
  <c r="P2390" i="13" s="1"/>
  <c r="P2391" i="13" s="1"/>
  <c r="P2392" i="13" s="1"/>
  <c r="P2393" i="13" s="1"/>
  <c r="P2394" i="13" s="1"/>
  <c r="P2395" i="13" s="1"/>
  <c r="P2396" i="13" s="1"/>
  <c r="P2397" i="13" s="1"/>
  <c r="P2398" i="13" s="1"/>
  <c r="P2399" i="13" s="1"/>
  <c r="P2400" i="13" s="1"/>
  <c r="P2401" i="13" s="1"/>
  <c r="P2402" i="13" s="1"/>
  <c r="P2403" i="13" s="1"/>
  <c r="P2404" i="13" s="1"/>
  <c r="P2405" i="13" s="1"/>
  <c r="P2406" i="13" s="1"/>
  <c r="P2407" i="13" s="1"/>
  <c r="P2408" i="13" s="1"/>
  <c r="P2409" i="13" s="1"/>
  <c r="P2410" i="13" s="1"/>
  <c r="P2411" i="13" s="1"/>
  <c r="P2412" i="13" s="1"/>
  <c r="P2413" i="13" s="1"/>
  <c r="P2414" i="13" s="1"/>
  <c r="P2415" i="13" s="1"/>
  <c r="P2416" i="13" s="1"/>
  <c r="P2417" i="13" s="1"/>
  <c r="P2418" i="13" s="1"/>
  <c r="P2419" i="13" s="1"/>
  <c r="P2420" i="13" s="1"/>
  <c r="P2421" i="13" s="1"/>
  <c r="P2422" i="13" s="1"/>
  <c r="P2423" i="13" s="1"/>
  <c r="P2424" i="13" s="1"/>
  <c r="P2425" i="13" s="1"/>
  <c r="P2426" i="13" s="1"/>
  <c r="P2427" i="13" s="1"/>
  <c r="P2428" i="13" s="1"/>
  <c r="P2429" i="13" s="1"/>
  <c r="P2430" i="13" s="1"/>
  <c r="P2431" i="13" s="1"/>
  <c r="P2432" i="13" s="1"/>
  <c r="P2433" i="13" s="1"/>
  <c r="P2434" i="13" s="1"/>
  <c r="P2435" i="13" s="1"/>
  <c r="P2436" i="13" s="1"/>
  <c r="P2437" i="13" s="1"/>
  <c r="P2438" i="13" s="1"/>
  <c r="P2439" i="13" s="1"/>
  <c r="P2440" i="13" s="1"/>
  <c r="P2441" i="13" s="1"/>
  <c r="P2442" i="13" s="1"/>
  <c r="P2443" i="13" s="1"/>
  <c r="P2444" i="13" s="1"/>
  <c r="P2445" i="13" s="1"/>
  <c r="P2446" i="13" s="1"/>
  <c r="P2447" i="13" s="1"/>
  <c r="P2448" i="13" s="1"/>
  <c r="P2449" i="13" s="1"/>
  <c r="P2450" i="13" s="1"/>
  <c r="P2451" i="13" s="1"/>
  <c r="P2452" i="13" s="1"/>
  <c r="P2453" i="13" s="1"/>
  <c r="P2454" i="13" s="1"/>
  <c r="P2455" i="13" s="1"/>
  <c r="P2456" i="13" s="1"/>
  <c r="P2457" i="13" s="1"/>
  <c r="P2458" i="13" s="1"/>
  <c r="P2459" i="13" s="1"/>
  <c r="P2460" i="13" s="1"/>
  <c r="P2461" i="13" s="1"/>
  <c r="P2462" i="13" s="1"/>
  <c r="P2463" i="13" s="1"/>
  <c r="P2464" i="13" s="1"/>
  <c r="P2465" i="13" s="1"/>
  <c r="P2466" i="13" s="1"/>
  <c r="P2467" i="13" s="1"/>
  <c r="P2468" i="13" s="1"/>
  <c r="P2469" i="13" s="1"/>
  <c r="P2470" i="13" s="1"/>
  <c r="P2471" i="13" s="1"/>
  <c r="P2472" i="13" s="1"/>
  <c r="P2473" i="13" s="1"/>
  <c r="P2474" i="13" s="1"/>
  <c r="P2475" i="13" s="1"/>
  <c r="P2476" i="13" s="1"/>
  <c r="P2477" i="13" s="1"/>
  <c r="P2478" i="13" s="1"/>
  <c r="P2479" i="13" s="1"/>
  <c r="P2480" i="13" s="1"/>
  <c r="P2481" i="13" s="1"/>
  <c r="P2482" i="13" s="1"/>
  <c r="P2483" i="13" s="1"/>
  <c r="P2484" i="13" s="1"/>
  <c r="P2485" i="13" s="1"/>
  <c r="P2486" i="13" s="1"/>
  <c r="P2487" i="13" s="1"/>
  <c r="P2488" i="13" s="1"/>
  <c r="P2489" i="13" s="1"/>
  <c r="P2490" i="13" s="1"/>
  <c r="P2491" i="13" s="1"/>
  <c r="P2492" i="13" s="1"/>
  <c r="P2493" i="13" s="1"/>
  <c r="P2494" i="13" s="1"/>
  <c r="P2495" i="13" s="1"/>
  <c r="P2496" i="13" s="1"/>
  <c r="P2497" i="13" s="1"/>
  <c r="P2498" i="13" s="1"/>
  <c r="P2499" i="13" s="1"/>
  <c r="P2500" i="13" s="1"/>
  <c r="P2501" i="13" s="1"/>
  <c r="P2502" i="13" s="1"/>
  <c r="P2503" i="13" s="1"/>
  <c r="P2504" i="13" s="1"/>
  <c r="P2505" i="13" s="1"/>
  <c r="P2506" i="13" s="1"/>
  <c r="P2507" i="13" s="1"/>
  <c r="P2508" i="13" s="1"/>
  <c r="P2509" i="13" s="1"/>
  <c r="P2510" i="13" s="1"/>
  <c r="P2511" i="13" s="1"/>
  <c r="P2512" i="13" s="1"/>
  <c r="P2513" i="13" s="1"/>
  <c r="P2514" i="13" s="1"/>
  <c r="P2515" i="13" s="1"/>
  <c r="P2516" i="13" s="1"/>
  <c r="P2517" i="13" s="1"/>
  <c r="P2518" i="13" s="1"/>
  <c r="P2519" i="13" s="1"/>
  <c r="P2520" i="13" s="1"/>
  <c r="P2521" i="13" s="1"/>
  <c r="P2522" i="13" s="1"/>
  <c r="P2523" i="13" s="1"/>
  <c r="P2524" i="13" s="1"/>
  <c r="P2525" i="13" s="1"/>
  <c r="P2526" i="13" s="1"/>
  <c r="P2527" i="13" s="1"/>
  <c r="P2528" i="13" s="1"/>
  <c r="P2529" i="13" s="1"/>
  <c r="P2530" i="13" s="1"/>
  <c r="P2531" i="13" s="1"/>
  <c r="P2532" i="13" s="1"/>
  <c r="P2533" i="13" s="1"/>
  <c r="P2534" i="13" s="1"/>
  <c r="P2535" i="13" s="1"/>
  <c r="P2536" i="13" s="1"/>
  <c r="P2537" i="13" s="1"/>
  <c r="P2538" i="13" s="1"/>
  <c r="P2539" i="13" s="1"/>
  <c r="P2540" i="13" s="1"/>
  <c r="P2541" i="13" s="1"/>
  <c r="P2542" i="13" s="1"/>
  <c r="P2543" i="13" s="1"/>
  <c r="P2544" i="13" s="1"/>
  <c r="P2545" i="13" s="1"/>
  <c r="P2546" i="13" s="1"/>
  <c r="P2547" i="13" s="1"/>
  <c r="P2548" i="13" s="1"/>
  <c r="P2549" i="13" s="1"/>
  <c r="P2550" i="13" s="1"/>
  <c r="P2551" i="13" s="1"/>
  <c r="P2552" i="13" s="1"/>
  <c r="P2553" i="13" s="1"/>
  <c r="P2554" i="13" s="1"/>
  <c r="P2555" i="13" s="1"/>
  <c r="P2556" i="13" s="1"/>
  <c r="P2557" i="13" s="1"/>
  <c r="P2558" i="13" s="1"/>
  <c r="P2559" i="13" s="1"/>
  <c r="P2560" i="13" s="1"/>
  <c r="P2561" i="13" s="1"/>
  <c r="P2562" i="13" s="1"/>
  <c r="P2563" i="13" s="1"/>
  <c r="P2564" i="13" s="1"/>
  <c r="P2565" i="13" s="1"/>
  <c r="P2566" i="13" s="1"/>
  <c r="P2567" i="13" s="1"/>
  <c r="P2568" i="13" s="1"/>
  <c r="P2569" i="13" s="1"/>
  <c r="P2570" i="13" s="1"/>
  <c r="P2571" i="13" s="1"/>
  <c r="P2572" i="13" s="1"/>
  <c r="P2573" i="13" s="1"/>
  <c r="P2574" i="13" s="1"/>
  <c r="P2575" i="13" s="1"/>
  <c r="P2576" i="13" s="1"/>
  <c r="P2577" i="13" s="1"/>
  <c r="P2578" i="13" s="1"/>
  <c r="P2579" i="13" s="1"/>
  <c r="P2580" i="13" s="1"/>
  <c r="P2581" i="13" s="1"/>
  <c r="P2582" i="13" s="1"/>
  <c r="P2583" i="13" s="1"/>
  <c r="P2584" i="13" s="1"/>
  <c r="P2585" i="13" s="1"/>
  <c r="P2586" i="13" s="1"/>
  <c r="P2587" i="13" s="1"/>
  <c r="P2588" i="13" s="1"/>
  <c r="P2589" i="13" s="1"/>
  <c r="P2590" i="13" s="1"/>
  <c r="P2591" i="13" s="1"/>
  <c r="P2592" i="13" s="1"/>
  <c r="P2593" i="13" s="1"/>
  <c r="P2594" i="13" s="1"/>
  <c r="P2595" i="13" s="1"/>
  <c r="P2596" i="13" s="1"/>
  <c r="P2597" i="13" s="1"/>
  <c r="P2598" i="13" s="1"/>
  <c r="P2599" i="13" s="1"/>
  <c r="P2600" i="13" s="1"/>
  <c r="P2601" i="13" s="1"/>
  <c r="P2602" i="13" s="1"/>
  <c r="P2603" i="13" s="1"/>
  <c r="P2604" i="13" s="1"/>
  <c r="P2605" i="13" s="1"/>
  <c r="P2606" i="13" s="1"/>
  <c r="P2607" i="13" s="1"/>
  <c r="P2608" i="13" s="1"/>
  <c r="P2609" i="13" s="1"/>
  <c r="P2610" i="13" s="1"/>
  <c r="P2611" i="13" s="1"/>
  <c r="P2612" i="13" s="1"/>
  <c r="P2613" i="13" s="1"/>
  <c r="P2614" i="13" s="1"/>
  <c r="P2615" i="13" s="1"/>
  <c r="P2616" i="13" s="1"/>
  <c r="P2617" i="13" s="1"/>
  <c r="P2618" i="13" s="1"/>
  <c r="P2619" i="13" s="1"/>
  <c r="P2620" i="13" s="1"/>
  <c r="P2621" i="13" s="1"/>
  <c r="P2622" i="13" s="1"/>
  <c r="P2623" i="13" s="1"/>
  <c r="P2624" i="13" s="1"/>
  <c r="P2625" i="13" s="1"/>
  <c r="P2626" i="13" s="1"/>
  <c r="P2627" i="13" s="1"/>
  <c r="P2628" i="13" s="1"/>
  <c r="P2629" i="13" s="1"/>
  <c r="P2630" i="13" s="1"/>
  <c r="P2631" i="13" s="1"/>
  <c r="P2632" i="13" s="1"/>
  <c r="P2633" i="13" s="1"/>
  <c r="P2634" i="13" s="1"/>
  <c r="P2635" i="13" s="1"/>
  <c r="P2636" i="13" s="1"/>
  <c r="P2637" i="13" s="1"/>
  <c r="P2638" i="13" s="1"/>
  <c r="P2639" i="13" s="1"/>
  <c r="P2640" i="13" s="1"/>
  <c r="P2641" i="13" s="1"/>
  <c r="P2642" i="13" s="1"/>
  <c r="P2643" i="13" s="1"/>
  <c r="P2644" i="13" s="1"/>
  <c r="P2645" i="13" s="1"/>
  <c r="P2646" i="13" s="1"/>
  <c r="P2647" i="13" s="1"/>
  <c r="P2648" i="13" s="1"/>
  <c r="P2649" i="13" s="1"/>
  <c r="P2650" i="13" s="1"/>
  <c r="P2651" i="13" s="1"/>
  <c r="P2652" i="13" s="1"/>
  <c r="P2653" i="13" s="1"/>
  <c r="P2654" i="13" s="1"/>
  <c r="P2655" i="13" s="1"/>
  <c r="P2656" i="13" s="1"/>
  <c r="P2657" i="13" s="1"/>
  <c r="P2658" i="13" s="1"/>
  <c r="P2659" i="13" s="1"/>
  <c r="P2660" i="13" s="1"/>
  <c r="P2661" i="13" s="1"/>
  <c r="P2662" i="13" s="1"/>
  <c r="P2663" i="13" s="1"/>
  <c r="P2664" i="13" s="1"/>
  <c r="P2665" i="13" s="1"/>
  <c r="P2666" i="13" s="1"/>
  <c r="P2667" i="13" s="1"/>
  <c r="P2668" i="13" s="1"/>
  <c r="P2669" i="13" s="1"/>
  <c r="P2670" i="13" s="1"/>
  <c r="P2671" i="13" s="1"/>
  <c r="P2672" i="13" s="1"/>
  <c r="P2673" i="13" s="1"/>
  <c r="P2674" i="13" s="1"/>
  <c r="P2675" i="13" s="1"/>
  <c r="P2676" i="13" s="1"/>
  <c r="P2677" i="13" s="1"/>
  <c r="P2678" i="13" s="1"/>
  <c r="P2679" i="13" s="1"/>
  <c r="P2680" i="13" s="1"/>
  <c r="P2681" i="13" s="1"/>
  <c r="P2682" i="13" s="1"/>
  <c r="P2683" i="13" s="1"/>
  <c r="P2684" i="13" s="1"/>
  <c r="P2685" i="13" s="1"/>
  <c r="P2686" i="13" s="1"/>
  <c r="P2687" i="13" s="1"/>
  <c r="P2688" i="13" s="1"/>
  <c r="P2689" i="13" s="1"/>
  <c r="P2690" i="13" s="1"/>
  <c r="P2691" i="13" s="1"/>
  <c r="P2692" i="13" s="1"/>
  <c r="P2693" i="13" s="1"/>
  <c r="P2694" i="13" s="1"/>
  <c r="P2695" i="13" s="1"/>
  <c r="P2696" i="13" s="1"/>
  <c r="P2697" i="13" s="1"/>
  <c r="P2698" i="13" s="1"/>
  <c r="P2699" i="13" s="1"/>
  <c r="P2700" i="13" s="1"/>
  <c r="P2701" i="13" s="1"/>
  <c r="P2702" i="13" s="1"/>
  <c r="P2703" i="13" s="1"/>
  <c r="P2704" i="13" s="1"/>
  <c r="P2705" i="13" s="1"/>
  <c r="P2706" i="13" s="1"/>
  <c r="P2707" i="13" s="1"/>
  <c r="P2708" i="13" s="1"/>
  <c r="P2709" i="13" s="1"/>
  <c r="P2710" i="13" s="1"/>
  <c r="P2711" i="13" s="1"/>
  <c r="P2712" i="13" s="1"/>
  <c r="P2713" i="13" s="1"/>
  <c r="P2714" i="13" s="1"/>
  <c r="P2715" i="13" s="1"/>
  <c r="P2716" i="13" s="1"/>
  <c r="P2717" i="13" s="1"/>
  <c r="P2718" i="13" s="1"/>
  <c r="P2719" i="13" s="1"/>
  <c r="P2720" i="13" s="1"/>
  <c r="P2721" i="13" s="1"/>
  <c r="P2722" i="13" s="1"/>
  <c r="P2723" i="13" s="1"/>
  <c r="P2724" i="13" s="1"/>
  <c r="P2725" i="13" s="1"/>
  <c r="P2726" i="13" s="1"/>
  <c r="P2727" i="13" s="1"/>
  <c r="P2728" i="13" s="1"/>
  <c r="P2729" i="13" s="1"/>
  <c r="P2730" i="13" s="1"/>
  <c r="AI23" i="7"/>
  <c r="E12" i="13"/>
  <c r="AI35" i="7"/>
  <c r="M21" i="1"/>
  <c r="M28" i="1"/>
  <c r="M29" i="5"/>
  <c r="M27" i="1"/>
  <c r="M25" i="5"/>
  <c r="M28" i="5"/>
  <c r="M26" i="1"/>
  <c r="M22" i="5"/>
  <c r="J9" i="5"/>
  <c r="M32" i="5"/>
  <c r="M33" i="5"/>
  <c r="M21" i="17"/>
  <c r="AI27" i="7"/>
  <c r="AC34" i="16"/>
  <c r="AC27" i="16"/>
  <c r="AC37" i="16"/>
  <c r="AC31" i="16"/>
  <c r="K30" i="16"/>
  <c r="AC26" i="16"/>
  <c r="AC35" i="16"/>
  <c r="G35" i="16"/>
  <c r="G27" i="16"/>
  <c r="G30" i="16"/>
  <c r="K27" i="16"/>
  <c r="K31" i="16"/>
  <c r="K34" i="16"/>
  <c r="K37" i="16"/>
  <c r="G31" i="16"/>
  <c r="G37" i="16"/>
  <c r="G34" i="16"/>
  <c r="K35" i="16"/>
  <c r="G26" i="16"/>
  <c r="AC30" i="16"/>
  <c r="M23" i="5"/>
  <c r="M32" i="1"/>
  <c r="M23" i="1"/>
  <c r="M50" i="14"/>
  <c r="M34" i="14"/>
  <c r="M39" i="14"/>
  <c r="M55" i="14"/>
  <c r="M32" i="14"/>
  <c r="M46" i="14"/>
  <c r="M48" i="14"/>
  <c r="M35" i="5"/>
  <c r="M31" i="1"/>
  <c r="M20" i="14"/>
  <c r="M38" i="14"/>
  <c r="M43" i="14"/>
  <c r="M52" i="14"/>
  <c r="M31" i="14"/>
  <c r="M36" i="14"/>
  <c r="M44" i="14"/>
  <c r="M30" i="1"/>
  <c r="M31" i="5"/>
  <c r="M25" i="1"/>
  <c r="M35" i="14"/>
  <c r="M26" i="14"/>
  <c r="M47" i="14"/>
  <c r="M24" i="14"/>
  <c r="M27" i="14"/>
  <c r="M40" i="14"/>
  <c r="M22" i="1"/>
  <c r="M27" i="5"/>
  <c r="M33" i="1"/>
  <c r="M24" i="1"/>
  <c r="M28" i="14"/>
  <c r="M30" i="14"/>
  <c r="M42" i="14"/>
  <c r="M51" i="14"/>
  <c r="M23" i="14"/>
  <c r="AH37" i="7"/>
  <c r="AI37" i="7"/>
  <c r="AH25" i="7"/>
  <c r="AI25" i="7"/>
  <c r="AH31" i="7"/>
  <c r="AI31" i="7"/>
  <c r="K26" i="16"/>
  <c r="AH33" i="7"/>
  <c r="AI33" i="7"/>
  <c r="M30" i="5"/>
  <c r="M49" i="14"/>
  <c r="M33" i="14"/>
  <c r="M23" i="17"/>
  <c r="M27" i="17"/>
  <c r="M31" i="17"/>
  <c r="M35" i="17"/>
  <c r="M26" i="5"/>
  <c r="M45" i="14"/>
  <c r="M29" i="14"/>
  <c r="M21" i="14"/>
  <c r="M24" i="17"/>
  <c r="M28" i="17"/>
  <c r="M32" i="17"/>
  <c r="M21" i="5"/>
  <c r="M41" i="14"/>
  <c r="M25" i="14"/>
  <c r="J9" i="1"/>
  <c r="M25" i="17"/>
  <c r="M29" i="17"/>
  <c r="M33" i="17"/>
  <c r="M19" i="1"/>
  <c r="M34" i="5"/>
  <c r="M53" i="14"/>
  <c r="M37" i="14"/>
  <c r="M22" i="14"/>
  <c r="M22" i="17"/>
  <c r="M26" i="17"/>
  <c r="M30" i="17"/>
  <c r="M34" i="17"/>
  <c r="AH34" i="7"/>
  <c r="AI34" i="7"/>
  <c r="AH26" i="7"/>
  <c r="AI26" i="7"/>
  <c r="AI21" i="7"/>
  <c r="AH21" i="7"/>
  <c r="AC29" i="16"/>
  <c r="G29" i="16"/>
  <c r="K29" i="16"/>
  <c r="AC24" i="16"/>
  <c r="G24" i="16"/>
  <c r="K24" i="16"/>
  <c r="AC28" i="16"/>
  <c r="G28" i="16"/>
  <c r="K28" i="16"/>
  <c r="AC33" i="16"/>
  <c r="G33" i="16"/>
  <c r="K33" i="16"/>
  <c r="G23" i="16"/>
  <c r="AC32" i="16"/>
  <c r="G32" i="16"/>
  <c r="K32" i="16"/>
  <c r="AH32" i="7"/>
  <c r="AI32" i="7"/>
  <c r="AH24" i="7"/>
  <c r="AI24" i="7"/>
  <c r="AH22" i="7"/>
  <c r="AI22" i="7"/>
  <c r="AC36" i="16"/>
  <c r="G36" i="16"/>
  <c r="K36" i="16"/>
  <c r="AH38" i="7"/>
  <c r="AI38" i="7"/>
  <c r="AH30" i="7"/>
  <c r="AI30" i="7"/>
  <c r="W9" i="7"/>
  <c r="AC25" i="16"/>
  <c r="G25" i="16"/>
  <c r="K25" i="16"/>
  <c r="G22" i="16"/>
  <c r="B29" i="15"/>
  <c r="AH36" i="7"/>
  <c r="AI36" i="7"/>
  <c r="AH28" i="7"/>
  <c r="AI28" i="7"/>
  <c r="AI20" i="7"/>
  <c r="AH20" i="7"/>
  <c r="S27" i="7"/>
  <c r="S21" i="7"/>
  <c r="S32" i="7"/>
  <c r="S35" i="7"/>
  <c r="S22" i="7"/>
  <c r="S33" i="7"/>
  <c r="S20" i="7"/>
  <c r="S34" i="7"/>
  <c r="S29" i="7"/>
  <c r="S38" i="7"/>
  <c r="S36" i="7"/>
  <c r="R20" i="16"/>
  <c r="S37" i="7"/>
  <c r="Y10" i="1"/>
  <c r="S23" i="7"/>
  <c r="S31" i="7"/>
  <c r="F17" i="14"/>
  <c r="S25" i="7"/>
  <c r="C6" i="17"/>
  <c r="S26" i="7"/>
  <c r="S39" i="7"/>
  <c r="Y37" i="7"/>
  <c r="Y34" i="7"/>
  <c r="S26" i="16"/>
  <c r="S25" i="16"/>
  <c r="AE33" i="16"/>
  <c r="S35" i="16"/>
  <c r="R35" i="16"/>
  <c r="D29" i="15"/>
  <c r="AE32" i="16"/>
  <c r="S30" i="16"/>
  <c r="R32" i="16"/>
  <c r="S27" i="16"/>
  <c r="S31" i="16"/>
  <c r="U26" i="16"/>
  <c r="S36" i="16"/>
  <c r="AE26" i="16"/>
  <c r="G31" i="17"/>
  <c r="G26" i="17"/>
  <c r="G21" i="17"/>
  <c r="G33" i="5"/>
  <c r="G26" i="5"/>
  <c r="G29" i="5"/>
  <c r="G24" i="5"/>
  <c r="G22" i="14"/>
  <c r="G30" i="14"/>
  <c r="G38" i="14"/>
  <c r="G35" i="14"/>
  <c r="G33" i="14"/>
  <c r="G28" i="14"/>
  <c r="G29" i="14"/>
  <c r="G50" i="14"/>
  <c r="G44" i="14"/>
  <c r="G28" i="1"/>
  <c r="G22" i="1"/>
  <c r="G23" i="1"/>
  <c r="G19" i="1"/>
  <c r="F45" i="1"/>
  <c r="F48" i="1"/>
  <c r="F53" i="1"/>
  <c r="F43" i="1"/>
  <c r="F50" i="1"/>
  <c r="F34" i="1"/>
  <c r="Y28" i="7"/>
  <c r="Y38" i="7"/>
  <c r="Y31" i="7"/>
  <c r="T12" i="13" a="1"/>
  <c r="R23" i="16"/>
  <c r="AE31" i="16"/>
  <c r="U34" i="16"/>
  <c r="S29" i="16"/>
  <c r="R28" i="16"/>
  <c r="F93" i="3" a="1"/>
  <c r="R36" i="16"/>
  <c r="R31" i="16"/>
  <c r="U32" i="16"/>
  <c r="U31" i="16"/>
  <c r="R26" i="16"/>
  <c r="AE35" i="16"/>
  <c r="G32" i="17"/>
  <c r="G30" i="17"/>
  <c r="G33" i="17"/>
  <c r="G35" i="17"/>
  <c r="G28" i="5"/>
  <c r="G30" i="5"/>
  <c r="G21" i="5"/>
  <c r="G22" i="5"/>
  <c r="G47" i="14"/>
  <c r="G20" i="14"/>
  <c r="G45" i="14"/>
  <c r="G25" i="14"/>
  <c r="G39" i="14"/>
  <c r="G24" i="14"/>
  <c r="G55" i="14"/>
  <c r="G31" i="14"/>
  <c r="G37" i="14"/>
  <c r="G26" i="1"/>
  <c r="Y11" i="1"/>
  <c r="G27" i="1"/>
  <c r="G24" i="1"/>
  <c r="F41" i="1"/>
  <c r="F44" i="1"/>
  <c r="F55" i="1"/>
  <c r="F39" i="1"/>
  <c r="F46" i="1"/>
  <c r="C6" i="1"/>
  <c r="Y23" i="7"/>
  <c r="Y35" i="7"/>
  <c r="Y29" i="7"/>
  <c r="N12" i="13" a="1"/>
  <c r="AE30" i="16"/>
  <c r="R33" i="16"/>
  <c r="AE29" i="16"/>
  <c r="AE34" i="16"/>
  <c r="R30" i="16"/>
  <c r="AE24" i="16"/>
  <c r="S28" i="16"/>
  <c r="S33" i="16"/>
  <c r="Q12" i="13" a="1"/>
  <c r="AE37" i="16"/>
  <c r="S24" i="16"/>
  <c r="R34" i="16"/>
  <c r="G22" i="17"/>
  <c r="G23" i="17"/>
  <c r="G24" i="17"/>
  <c r="G25" i="17"/>
  <c r="G35" i="5"/>
  <c r="G31" i="5"/>
  <c r="G25" i="5"/>
  <c r="C6" i="5"/>
  <c r="G40" i="14"/>
  <c r="G36" i="14"/>
  <c r="G23" i="14"/>
  <c r="G54" i="14"/>
  <c r="G34" i="14"/>
  <c r="G52" i="14"/>
  <c r="G53" i="14"/>
  <c r="G26" i="14"/>
  <c r="G32" i="14"/>
  <c r="G33" i="1"/>
  <c r="G32" i="1"/>
  <c r="G31" i="1"/>
  <c r="Y22" i="7"/>
  <c r="AE36" i="16"/>
  <c r="S23" i="16"/>
  <c r="F13" i="13" a="1"/>
  <c r="G28" i="17"/>
  <c r="G27" i="5"/>
  <c r="G27" i="14"/>
  <c r="G43" i="14"/>
  <c r="G20" i="1"/>
  <c r="G30" i="1"/>
  <c r="F40" i="1"/>
  <c r="F35" i="1"/>
  <c r="Y32" i="7"/>
  <c r="AE27" i="16"/>
  <c r="AE28" i="16"/>
  <c r="R37" i="16"/>
  <c r="G34" i="17"/>
  <c r="G32" i="5"/>
  <c r="G49" i="14"/>
  <c r="G42" i="14"/>
  <c r="G21" i="1"/>
  <c r="F49" i="1"/>
  <c r="F36" i="1"/>
  <c r="F54" i="1"/>
  <c r="R25" i="16"/>
  <c r="S22" i="16"/>
  <c r="AE25" i="16"/>
  <c r="G29" i="17"/>
  <c r="G23" i="5"/>
  <c r="G41" i="14"/>
  <c r="G51" i="14"/>
  <c r="G25" i="1"/>
  <c r="F37" i="1"/>
  <c r="F51" i="1"/>
  <c r="F42" i="1"/>
  <c r="Y10" i="5"/>
  <c r="Y11" i="5" s="1"/>
  <c r="R24" i="16"/>
  <c r="R27" i="16"/>
  <c r="R29" i="16"/>
  <c r="S37" i="16"/>
  <c r="G27" i="17"/>
  <c r="G21" i="14"/>
  <c r="G46" i="14"/>
  <c r="G48" i="14"/>
  <c r="G29" i="1"/>
  <c r="F52" i="1"/>
  <c r="F47" i="1"/>
  <c r="F38" i="1"/>
  <c r="N2" i="7" l="1"/>
  <c r="B54" i="19"/>
  <c r="B82" i="19"/>
  <c r="B68" i="19"/>
  <c r="L44" i="19"/>
  <c r="K73" i="19"/>
  <c r="K59" i="19"/>
  <c r="G8" i="11"/>
  <c r="Q14" i="13"/>
  <c r="Q18" i="13"/>
  <c r="Q22" i="13"/>
  <c r="Q26" i="13"/>
  <c r="Q30" i="13"/>
  <c r="Q34" i="13"/>
  <c r="Q38" i="13"/>
  <c r="Q42" i="13"/>
  <c r="Q46" i="13"/>
  <c r="Q50" i="13"/>
  <c r="Q54" i="13"/>
  <c r="Q58" i="13"/>
  <c r="Q62" i="13"/>
  <c r="Q66" i="13"/>
  <c r="Q70" i="13"/>
  <c r="Q74" i="13"/>
  <c r="Q78" i="13"/>
  <c r="Q82" i="13"/>
  <c r="Q86" i="13"/>
  <c r="Q90" i="13"/>
  <c r="Q94" i="13"/>
  <c r="Q98" i="13"/>
  <c r="Q102" i="13"/>
  <c r="Q106" i="13"/>
  <c r="Q110" i="13"/>
  <c r="Q114" i="13"/>
  <c r="Q118" i="13"/>
  <c r="Q122" i="13"/>
  <c r="Q126" i="13"/>
  <c r="Q130" i="13"/>
  <c r="Q134" i="13"/>
  <c r="Q138" i="13"/>
  <c r="Q142" i="13"/>
  <c r="Q146" i="13"/>
  <c r="Q150" i="13"/>
  <c r="Q154" i="13"/>
  <c r="Q158" i="13"/>
  <c r="Q162" i="13"/>
  <c r="Q166" i="13"/>
  <c r="Q170" i="13"/>
  <c r="Q174" i="13"/>
  <c r="Q178" i="13"/>
  <c r="Q182" i="13"/>
  <c r="Q186" i="13"/>
  <c r="Q190" i="13"/>
  <c r="Q194" i="13"/>
  <c r="Q198" i="13"/>
  <c r="Q202" i="13"/>
  <c r="Q206" i="13"/>
  <c r="Q210" i="13"/>
  <c r="Q214" i="13"/>
  <c r="Q218" i="13"/>
  <c r="Q222" i="13"/>
  <c r="Q226" i="13"/>
  <c r="Q230" i="13"/>
  <c r="Q234" i="13"/>
  <c r="Q238" i="13"/>
  <c r="Q242" i="13"/>
  <c r="Q246" i="13"/>
  <c r="Q250" i="13"/>
  <c r="Q254" i="13"/>
  <c r="Q258" i="13"/>
  <c r="Q262" i="13"/>
  <c r="Q266" i="13"/>
  <c r="Q270" i="13"/>
  <c r="Q274" i="13"/>
  <c r="Q278" i="13"/>
  <c r="Q282" i="13"/>
  <c r="Q286" i="13"/>
  <c r="Q290" i="13"/>
  <c r="Q294" i="13"/>
  <c r="Q298" i="13"/>
  <c r="Q302" i="13"/>
  <c r="Q306" i="13"/>
  <c r="Q310" i="13"/>
  <c r="Q314" i="13"/>
  <c r="Q318" i="13"/>
  <c r="Q322" i="13"/>
  <c r="Q326" i="13"/>
  <c r="Q330" i="13"/>
  <c r="Q334" i="13"/>
  <c r="Q338" i="13"/>
  <c r="Q342" i="13"/>
  <c r="Q346" i="13"/>
  <c r="Q350" i="13"/>
  <c r="Q354" i="13"/>
  <c r="Q358" i="13"/>
  <c r="Q362" i="13"/>
  <c r="Q366" i="13"/>
  <c r="Q370" i="13"/>
  <c r="Q374" i="13"/>
  <c r="Q378" i="13"/>
  <c r="Q382" i="13"/>
  <c r="Q386" i="13"/>
  <c r="Q390" i="13"/>
  <c r="Q394" i="13"/>
  <c r="Q398" i="13"/>
  <c r="Q402" i="13"/>
  <c r="Q406" i="13"/>
  <c r="Q410" i="13"/>
  <c r="Q414" i="13"/>
  <c r="Q418" i="13"/>
  <c r="Q422" i="13"/>
  <c r="Q426" i="13"/>
  <c r="Q430" i="13"/>
  <c r="Q434" i="13"/>
  <c r="Q438" i="13"/>
  <c r="Q442" i="13"/>
  <c r="Q446" i="13"/>
  <c r="Q450" i="13"/>
  <c r="Q454" i="13"/>
  <c r="Q458" i="13"/>
  <c r="Q462" i="13"/>
  <c r="Q466" i="13"/>
  <c r="Q470" i="13"/>
  <c r="Q474" i="13"/>
  <c r="Q478" i="13"/>
  <c r="Q482" i="13"/>
  <c r="Q486" i="13"/>
  <c r="Q490" i="13"/>
  <c r="Q494" i="13"/>
  <c r="Q498" i="13"/>
  <c r="Q502" i="13"/>
  <c r="Q506" i="13"/>
  <c r="Q510" i="13"/>
  <c r="Q514" i="13"/>
  <c r="Q518" i="13"/>
  <c r="Q522" i="13"/>
  <c r="Q526" i="13"/>
  <c r="Q530" i="13"/>
  <c r="Q534" i="13"/>
  <c r="Q538" i="13"/>
  <c r="Q542" i="13"/>
  <c r="Q546" i="13"/>
  <c r="Q550" i="13"/>
  <c r="Q554" i="13"/>
  <c r="Q558" i="13"/>
  <c r="Q562" i="13"/>
  <c r="Q566" i="13"/>
  <c r="Q570" i="13"/>
  <c r="Q574" i="13"/>
  <c r="Q578" i="13"/>
  <c r="Q582" i="13"/>
  <c r="Q586" i="13"/>
  <c r="Q590" i="13"/>
  <c r="Q594" i="13"/>
  <c r="Q598" i="13"/>
  <c r="Q602" i="13"/>
  <c r="Q606" i="13"/>
  <c r="Q610" i="13"/>
  <c r="Q614" i="13"/>
  <c r="Q618" i="13"/>
  <c r="Q622" i="13"/>
  <c r="Q626" i="13"/>
  <c r="Q630" i="13"/>
  <c r="Q634" i="13"/>
  <c r="Q638" i="13"/>
  <c r="Q642" i="13"/>
  <c r="Q646" i="13"/>
  <c r="Q650" i="13"/>
  <c r="Q654" i="13"/>
  <c r="Q658" i="13"/>
  <c r="Q662" i="13"/>
  <c r="Q666" i="13"/>
  <c r="Q670" i="13"/>
  <c r="Q674" i="13"/>
  <c r="Q678" i="13"/>
  <c r="Q682" i="13"/>
  <c r="Q686" i="13"/>
  <c r="Q690" i="13"/>
  <c r="Q694" i="13"/>
  <c r="Q698" i="13"/>
  <c r="Q702" i="13"/>
  <c r="Q706" i="13"/>
  <c r="Q710" i="13"/>
  <c r="Q714" i="13"/>
  <c r="Q718" i="13"/>
  <c r="Q722" i="13"/>
  <c r="Q726" i="13"/>
  <c r="Q730" i="13"/>
  <c r="Q734" i="13"/>
  <c r="Q738" i="13"/>
  <c r="Q742" i="13"/>
  <c r="Q746" i="13"/>
  <c r="Q750" i="13"/>
  <c r="Q754" i="13"/>
  <c r="Q758" i="13"/>
  <c r="Q762" i="13"/>
  <c r="Q766" i="13"/>
  <c r="Q770" i="13"/>
  <c r="Q774" i="13"/>
  <c r="Q778" i="13"/>
  <c r="Q782" i="13"/>
  <c r="Q786" i="13"/>
  <c r="Q790" i="13"/>
  <c r="Q794" i="13"/>
  <c r="Q798" i="13"/>
  <c r="Q802" i="13"/>
  <c r="Q806" i="13"/>
  <c r="Q810" i="13"/>
  <c r="Q814" i="13"/>
  <c r="Q818" i="13"/>
  <c r="Q822" i="13"/>
  <c r="Q826" i="13"/>
  <c r="Q830" i="13"/>
  <c r="Q834" i="13"/>
  <c r="Q838" i="13"/>
  <c r="Q842" i="13"/>
  <c r="Q846" i="13"/>
  <c r="Q850" i="13"/>
  <c r="Q854" i="13"/>
  <c r="Q858" i="13"/>
  <c r="Q862" i="13"/>
  <c r="Q866" i="13"/>
  <c r="Q870" i="13"/>
  <c r="Q874" i="13"/>
  <c r="Q878" i="13"/>
  <c r="Q15" i="13"/>
  <c r="Q19" i="13"/>
  <c r="Q23" i="13"/>
  <c r="Q27" i="13"/>
  <c r="Q31" i="13"/>
  <c r="Q35" i="13"/>
  <c r="Q39" i="13"/>
  <c r="Q43" i="13"/>
  <c r="Q47" i="13"/>
  <c r="Q51" i="13"/>
  <c r="Q55" i="13"/>
  <c r="Q59" i="13"/>
  <c r="Q63" i="13"/>
  <c r="Q67" i="13"/>
  <c r="Q71" i="13"/>
  <c r="Q75" i="13"/>
  <c r="Q79" i="13"/>
  <c r="Q83" i="13"/>
  <c r="Q87" i="13"/>
  <c r="Q91" i="13"/>
  <c r="Q95" i="13"/>
  <c r="Q99" i="13"/>
  <c r="Q103" i="13"/>
  <c r="Q107" i="13"/>
  <c r="Q111" i="13"/>
  <c r="Q115" i="13"/>
  <c r="Q119" i="13"/>
  <c r="Q123" i="13"/>
  <c r="Q127" i="13"/>
  <c r="Q131" i="13"/>
  <c r="Q135" i="13"/>
  <c r="Q139" i="13"/>
  <c r="Q143" i="13"/>
  <c r="Q147" i="13"/>
  <c r="Q151" i="13"/>
  <c r="Q155" i="13"/>
  <c r="Q159" i="13"/>
  <c r="Q163" i="13"/>
  <c r="Q167" i="13"/>
  <c r="Q171" i="13"/>
  <c r="Q175" i="13"/>
  <c r="Q179" i="13"/>
  <c r="Q183" i="13"/>
  <c r="Q187" i="13"/>
  <c r="Q191" i="13"/>
  <c r="Q195" i="13"/>
  <c r="Q199" i="13"/>
  <c r="Q203" i="13"/>
  <c r="Q207" i="13"/>
  <c r="Q211" i="13"/>
  <c r="Q215" i="13"/>
  <c r="Q219" i="13"/>
  <c r="Q223" i="13"/>
  <c r="Q227" i="13"/>
  <c r="Q231" i="13"/>
  <c r="Q235" i="13"/>
  <c r="Q239" i="13"/>
  <c r="Q243" i="13"/>
  <c r="Q247" i="13"/>
  <c r="Q251" i="13"/>
  <c r="Q255" i="13"/>
  <c r="Q259" i="13"/>
  <c r="Q263" i="13"/>
  <c r="Q267" i="13"/>
  <c r="Q271" i="13"/>
  <c r="Q275" i="13"/>
  <c r="Q279" i="13"/>
  <c r="Q283" i="13"/>
  <c r="Q287" i="13"/>
  <c r="Q291" i="13"/>
  <c r="Q295" i="13"/>
  <c r="Q299" i="13"/>
  <c r="Q303" i="13"/>
  <c r="Q307" i="13"/>
  <c r="Q311" i="13"/>
  <c r="Q315" i="13"/>
  <c r="Q319" i="13"/>
  <c r="Q323" i="13"/>
  <c r="Q327" i="13"/>
  <c r="Q331" i="13"/>
  <c r="Q335" i="13"/>
  <c r="Q339" i="13"/>
  <c r="Q343" i="13"/>
  <c r="Q347" i="13"/>
  <c r="Q351" i="13"/>
  <c r="Q355" i="13"/>
  <c r="Q359" i="13"/>
  <c r="Q13" i="13"/>
  <c r="Q21" i="13"/>
  <c r="Q29" i="13"/>
  <c r="Q37" i="13"/>
  <c r="Q45" i="13"/>
  <c r="Q53" i="13"/>
  <c r="Q61" i="13"/>
  <c r="Q69" i="13"/>
  <c r="Q77" i="13"/>
  <c r="Q85" i="13"/>
  <c r="Q93" i="13"/>
  <c r="Q101" i="13"/>
  <c r="Q109" i="13"/>
  <c r="Q117" i="13"/>
  <c r="Q125" i="13"/>
  <c r="Q133" i="13"/>
  <c r="Q141" i="13"/>
  <c r="Q149" i="13"/>
  <c r="Q157" i="13"/>
  <c r="Q165" i="13"/>
  <c r="Q173" i="13"/>
  <c r="Q181" i="13"/>
  <c r="Q189" i="13"/>
  <c r="Q197" i="13"/>
  <c r="Q205" i="13"/>
  <c r="Q213" i="13"/>
  <c r="Q221" i="13"/>
  <c r="Q229" i="13"/>
  <c r="Q237" i="13"/>
  <c r="Q245" i="13"/>
  <c r="Q253" i="13"/>
  <c r="Q261" i="13"/>
  <c r="Q269" i="13"/>
  <c r="Q277" i="13"/>
  <c r="Q285" i="13"/>
  <c r="Q293" i="13"/>
  <c r="Q301" i="13"/>
  <c r="Q309" i="13"/>
  <c r="Q317" i="13"/>
  <c r="Q325" i="13"/>
  <c r="Q333" i="13"/>
  <c r="Q341" i="13"/>
  <c r="Q349" i="13"/>
  <c r="Q357" i="13"/>
  <c r="Q364" i="13"/>
  <c r="Q369" i="13"/>
  <c r="Q375" i="13"/>
  <c r="Q380" i="13"/>
  <c r="Q385" i="13"/>
  <c r="Q391" i="13"/>
  <c r="Q396" i="13"/>
  <c r="Q401" i="13"/>
  <c r="Q407" i="13"/>
  <c r="Q412" i="13"/>
  <c r="Q417" i="13"/>
  <c r="Q423" i="13"/>
  <c r="Q428" i="13"/>
  <c r="Q433" i="13"/>
  <c r="Q439" i="13"/>
  <c r="Q444" i="13"/>
  <c r="Q449" i="13"/>
  <c r="Q455" i="13"/>
  <c r="Q460" i="13"/>
  <c r="Q465" i="13"/>
  <c r="Q471" i="13"/>
  <c r="Q476" i="13"/>
  <c r="Q481" i="13"/>
  <c r="Q487" i="13"/>
  <c r="Q492" i="13"/>
  <c r="Q497" i="13"/>
  <c r="Q503" i="13"/>
  <c r="Q508" i="13"/>
  <c r="Q513" i="13"/>
  <c r="Q519" i="13"/>
  <c r="Q524" i="13"/>
  <c r="Q529" i="13"/>
  <c r="Q535" i="13"/>
  <c r="Q540" i="13"/>
  <c r="Q545" i="13"/>
  <c r="Q551" i="13"/>
  <c r="Q556" i="13"/>
  <c r="Q561" i="13"/>
  <c r="Q567" i="13"/>
  <c r="Q572" i="13"/>
  <c r="Q577" i="13"/>
  <c r="Q583" i="13"/>
  <c r="Q588" i="13"/>
  <c r="Q593" i="13"/>
  <c r="Q599" i="13"/>
  <c r="Q604" i="13"/>
  <c r="Q609" i="13"/>
  <c r="Q615" i="13"/>
  <c r="Q620" i="13"/>
  <c r="Q625" i="13"/>
  <c r="Q631" i="13"/>
  <c r="Q636" i="13"/>
  <c r="Q641" i="13"/>
  <c r="Q647" i="13"/>
  <c r="Q652" i="13"/>
  <c r="Q657" i="13"/>
  <c r="Q663" i="13"/>
  <c r="Q668" i="13"/>
  <c r="Q673" i="13"/>
  <c r="Q679" i="13"/>
  <c r="Q684" i="13"/>
  <c r="Q689" i="13"/>
  <c r="Q695" i="13"/>
  <c r="Q700" i="13"/>
  <c r="Q705" i="13"/>
  <c r="Q711" i="13"/>
  <c r="Q716" i="13"/>
  <c r="Q721" i="13"/>
  <c r="Q727" i="13"/>
  <c r="Q732" i="13"/>
  <c r="Q737" i="13"/>
  <c r="Q743" i="13"/>
  <c r="Q748" i="13"/>
  <c r="Q753" i="13"/>
  <c r="Q759" i="13"/>
  <c r="Q764" i="13"/>
  <c r="Q769" i="13"/>
  <c r="Q775" i="13"/>
  <c r="Q780" i="13"/>
  <c r="Q785" i="13"/>
  <c r="Q791" i="13"/>
  <c r="Q796" i="13"/>
  <c r="Q801" i="13"/>
  <c r="Q807" i="13"/>
  <c r="Q812" i="13"/>
  <c r="Q817" i="13"/>
  <c r="Q823" i="13"/>
  <c r="Q828" i="13"/>
  <c r="Q833" i="13"/>
  <c r="Q839" i="13"/>
  <c r="Q844" i="13"/>
  <c r="Q849" i="13"/>
  <c r="Q855" i="13"/>
  <c r="Q860" i="13"/>
  <c r="Q865" i="13"/>
  <c r="Q871" i="13"/>
  <c r="Q876" i="13"/>
  <c r="Q881" i="13"/>
  <c r="Q885" i="13"/>
  <c r="Q889" i="13"/>
  <c r="Q893" i="13"/>
  <c r="Q897" i="13"/>
  <c r="Q901" i="13"/>
  <c r="Q905" i="13"/>
  <c r="Q909" i="13"/>
  <c r="Q913" i="13"/>
  <c r="Q917" i="13"/>
  <c r="Q921" i="13"/>
  <c r="Q925" i="13"/>
  <c r="Q929" i="13"/>
  <c r="Q933" i="13"/>
  <c r="Q937" i="13"/>
  <c r="Q941" i="13"/>
  <c r="Q945" i="13"/>
  <c r="Q949" i="13"/>
  <c r="Q953" i="13"/>
  <c r="Q957" i="13"/>
  <c r="Q961" i="13"/>
  <c r="Q965" i="13"/>
  <c r="Q969" i="13"/>
  <c r="Q973" i="13"/>
  <c r="Q977" i="13"/>
  <c r="Q981" i="13"/>
  <c r="Q985" i="13"/>
  <c r="Q989" i="13"/>
  <c r="Q993" i="13"/>
  <c r="Q997" i="13"/>
  <c r="Q1001" i="13"/>
  <c r="Q1005" i="13"/>
  <c r="Q1009" i="13"/>
  <c r="Q1013" i="13"/>
  <c r="Q1017" i="13"/>
  <c r="Q1021" i="13"/>
  <c r="Q1025" i="13"/>
  <c r="Q1029" i="13"/>
  <c r="Q1033" i="13"/>
  <c r="Q1037" i="13"/>
  <c r="Q1041" i="13"/>
  <c r="Q1045" i="13"/>
  <c r="Q1049" i="13"/>
  <c r="Q1053" i="13"/>
  <c r="Q1057" i="13"/>
  <c r="Q1061" i="13"/>
  <c r="Q1065" i="13"/>
  <c r="Q1069" i="13"/>
  <c r="Q1073" i="13"/>
  <c r="Q1077" i="13"/>
  <c r="Q1081" i="13"/>
  <c r="Q1085" i="13"/>
  <c r="Q1089" i="13"/>
  <c r="Q1093" i="13"/>
  <c r="Q1097" i="13"/>
  <c r="Q1101" i="13"/>
  <c r="Q1105" i="13"/>
  <c r="Q1109" i="13"/>
  <c r="Q1113" i="13"/>
  <c r="Q1117" i="13"/>
  <c r="Q1121" i="13"/>
  <c r="Q1125" i="13"/>
  <c r="Q1129" i="13"/>
  <c r="Q1133" i="13"/>
  <c r="Q1137" i="13"/>
  <c r="Q1141" i="13"/>
  <c r="Q1145" i="13"/>
  <c r="Q1149" i="13"/>
  <c r="Q1153" i="13"/>
  <c r="Q1157" i="13"/>
  <c r="Q1161" i="13"/>
  <c r="Q1165" i="13"/>
  <c r="Q1169" i="13"/>
  <c r="Q1173" i="13"/>
  <c r="Q1177" i="13"/>
  <c r="Q1181" i="13"/>
  <c r="Q1185" i="13"/>
  <c r="Q1189" i="13"/>
  <c r="Q1193" i="13"/>
  <c r="Q1197" i="13"/>
  <c r="Q1201" i="13"/>
  <c r="Q1205" i="13"/>
  <c r="Q1209" i="13"/>
  <c r="Q1213" i="13"/>
  <c r="Q1217" i="13"/>
  <c r="Q1221" i="13"/>
  <c r="Q1225" i="13"/>
  <c r="Q1229" i="13"/>
  <c r="Q1233" i="13"/>
  <c r="Q1237" i="13"/>
  <c r="Q1241" i="13"/>
  <c r="Q1245" i="13"/>
  <c r="Q1249" i="13"/>
  <c r="Q1253" i="13"/>
  <c r="Q1257" i="13"/>
  <c r="Q1261" i="13"/>
  <c r="Q1265" i="13"/>
  <c r="Q1269" i="13"/>
  <c r="Q1273" i="13"/>
  <c r="Q1277" i="13"/>
  <c r="Q1281" i="13"/>
  <c r="Q1285" i="13"/>
  <c r="Q1289" i="13"/>
  <c r="Q1293" i="13"/>
  <c r="Q1297" i="13"/>
  <c r="Q1301" i="13"/>
  <c r="Q1305" i="13"/>
  <c r="Q1309" i="13"/>
  <c r="Q1313" i="13"/>
  <c r="Q1317" i="13"/>
  <c r="Q1321" i="13"/>
  <c r="Q1325" i="13"/>
  <c r="Q1329" i="13"/>
  <c r="Q1333" i="13"/>
  <c r="Q1337" i="13"/>
  <c r="Q1341" i="13"/>
  <c r="Q1345" i="13"/>
  <c r="Q1349" i="13"/>
  <c r="Q1353" i="13"/>
  <c r="Q1357" i="13"/>
  <c r="Q1361" i="13"/>
  <c r="Q1365" i="13"/>
  <c r="Q1369" i="13"/>
  <c r="Q1373" i="13"/>
  <c r="Q1377" i="13"/>
  <c r="Q1381" i="13"/>
  <c r="Q1385" i="13"/>
  <c r="Q1389" i="13"/>
  <c r="Q1393" i="13"/>
  <c r="Q1397" i="13"/>
  <c r="Q1401" i="13"/>
  <c r="Q1405" i="13"/>
  <c r="Q1409" i="13"/>
  <c r="Q1413" i="13"/>
  <c r="Q1417" i="13"/>
  <c r="Q1421" i="13"/>
  <c r="Q1425" i="13"/>
  <c r="Q1429" i="13"/>
  <c r="Q1433" i="13"/>
  <c r="Q1437" i="13"/>
  <c r="Q1441" i="13"/>
  <c r="Q1445" i="13"/>
  <c r="Q1449" i="13"/>
  <c r="Q1453" i="13"/>
  <c r="Q1457" i="13"/>
  <c r="Q1461" i="13"/>
  <c r="Q1465" i="13"/>
  <c r="Q1469" i="13"/>
  <c r="Q1473" i="13"/>
  <c r="Q1477" i="13"/>
  <c r="Q1481" i="13"/>
  <c r="Q1485" i="13"/>
  <c r="Q1489" i="13"/>
  <c r="Q1493" i="13"/>
  <c r="Q1497" i="13"/>
  <c r="Q1501" i="13"/>
  <c r="Q1505" i="13"/>
  <c r="Q1509" i="13"/>
  <c r="Q1513" i="13"/>
  <c r="Q1517" i="13"/>
  <c r="Q1521" i="13"/>
  <c r="Q1525" i="13"/>
  <c r="Q1529" i="13"/>
  <c r="Q1533" i="13"/>
  <c r="Q1537" i="13"/>
  <c r="Q1541" i="13"/>
  <c r="Q1545" i="13"/>
  <c r="Q1549" i="13"/>
  <c r="Q1553" i="13"/>
  <c r="Q1557" i="13"/>
  <c r="Q1561" i="13"/>
  <c r="Q1565" i="13"/>
  <c r="Q1569" i="13"/>
  <c r="Q1573" i="13"/>
  <c r="Q1577" i="13"/>
  <c r="Q1581" i="13"/>
  <c r="Q1585" i="13"/>
  <c r="Q1589" i="13"/>
  <c r="Q1593" i="13"/>
  <c r="Q1597" i="13"/>
  <c r="Q1601" i="13"/>
  <c r="Q1605" i="13"/>
  <c r="Q1609" i="13"/>
  <c r="Q1613" i="13"/>
  <c r="Q1617" i="13"/>
  <c r="Q1621" i="13"/>
  <c r="Q1625" i="13"/>
  <c r="Q1629" i="13"/>
  <c r="Q1633" i="13"/>
  <c r="Q1637" i="13"/>
  <c r="Q1641" i="13"/>
  <c r="Q1645" i="13"/>
  <c r="Q1649" i="13"/>
  <c r="Q1653" i="13"/>
  <c r="Q1657" i="13"/>
  <c r="Q1661" i="13"/>
  <c r="Q1665" i="13"/>
  <c r="Q1669" i="13"/>
  <c r="Q1673" i="13"/>
  <c r="Q1677" i="13"/>
  <c r="Q1681" i="13"/>
  <c r="Q1685" i="13"/>
  <c r="Q1689" i="13"/>
  <c r="Q1693" i="13"/>
  <c r="Q1697" i="13"/>
  <c r="Q1701" i="13"/>
  <c r="Q1705" i="13"/>
  <c r="Q1709" i="13"/>
  <c r="Q1713" i="13"/>
  <c r="Q1717" i="13"/>
  <c r="Q1721" i="13"/>
  <c r="Q1725" i="13"/>
  <c r="Q1729" i="13"/>
  <c r="Q1733" i="13"/>
  <c r="Q1737" i="13"/>
  <c r="Q1741" i="13"/>
  <c r="Q1745" i="13"/>
  <c r="Q1749" i="13"/>
  <c r="Q1753" i="13"/>
  <c r="Q1757" i="13"/>
  <c r="Q1761" i="13"/>
  <c r="Q1765" i="13"/>
  <c r="Q1769" i="13"/>
  <c r="Q1773" i="13"/>
  <c r="Q1777" i="13"/>
  <c r="Q1781" i="13"/>
  <c r="Q1785" i="13"/>
  <c r="Q1789" i="13"/>
  <c r="Q1793" i="13"/>
  <c r="Q1797" i="13"/>
  <c r="Q1801" i="13"/>
  <c r="Q1805" i="13"/>
  <c r="Q1809" i="13"/>
  <c r="Q1813" i="13"/>
  <c r="Q1817" i="13"/>
  <c r="Q1821" i="13"/>
  <c r="Q1825" i="13"/>
  <c r="Q1829" i="13"/>
  <c r="Q1833" i="13"/>
  <c r="Q1837" i="13"/>
  <c r="Q1841" i="13"/>
  <c r="Q1845" i="13"/>
  <c r="Q1849" i="13"/>
  <c r="Q1853" i="13"/>
  <c r="Q1857" i="13"/>
  <c r="Q1861" i="13"/>
  <c r="Q1865" i="13"/>
  <c r="Q1869" i="13"/>
  <c r="Q1873" i="13"/>
  <c r="Q1877" i="13"/>
  <c r="Q1881" i="13"/>
  <c r="Q1885" i="13"/>
  <c r="Q1889" i="13"/>
  <c r="Q1893" i="13"/>
  <c r="Q1897" i="13"/>
  <c r="Q1901" i="13"/>
  <c r="Q1905" i="13"/>
  <c r="Q1909" i="13"/>
  <c r="Q1913" i="13"/>
  <c r="Q1917" i="13"/>
  <c r="Q1921" i="13"/>
  <c r="Q1925" i="13"/>
  <c r="Q1929" i="13"/>
  <c r="Q1933" i="13"/>
  <c r="Q1937" i="13"/>
  <c r="Q1941" i="13"/>
  <c r="Q1945" i="13"/>
  <c r="Q1949" i="13"/>
  <c r="Q1953" i="13"/>
  <c r="Q1957" i="13"/>
  <c r="Q1961" i="13"/>
  <c r="Q1965" i="13"/>
  <c r="Q1969" i="13"/>
  <c r="Q1973" i="13"/>
  <c r="Q1977" i="13"/>
  <c r="Q1981" i="13"/>
  <c r="Q1985" i="13"/>
  <c r="Q1989" i="13"/>
  <c r="Q1993" i="13"/>
  <c r="Q1997" i="13"/>
  <c r="Q2001" i="13"/>
  <c r="Q2005" i="13"/>
  <c r="Q2009" i="13"/>
  <c r="Q2013" i="13"/>
  <c r="Q2017" i="13"/>
  <c r="Q2021" i="13"/>
  <c r="Q2025" i="13"/>
  <c r="Q2029" i="13"/>
  <c r="Q2033" i="13"/>
  <c r="Q2037" i="13"/>
  <c r="Q2041" i="13"/>
  <c r="Q2045" i="13"/>
  <c r="Q2049" i="13"/>
  <c r="Q2053" i="13"/>
  <c r="Q2057" i="13"/>
  <c r="Q2061" i="13"/>
  <c r="Q2065" i="13"/>
  <c r="Q2069" i="13"/>
  <c r="Q2073" i="13"/>
  <c r="Q2077" i="13"/>
  <c r="Q2081" i="13"/>
  <c r="Q2085" i="13"/>
  <c r="Q2089" i="13"/>
  <c r="Q2093" i="13"/>
  <c r="Q2097" i="13"/>
  <c r="Q2101" i="13"/>
  <c r="Q2105" i="13"/>
  <c r="Q2109" i="13"/>
  <c r="Q2113" i="13"/>
  <c r="Q2117" i="13"/>
  <c r="Q2121" i="13"/>
  <c r="Q2125" i="13"/>
  <c r="Q2129" i="13"/>
  <c r="Q2133" i="13"/>
  <c r="Q2137" i="13"/>
  <c r="Q2141" i="13"/>
  <c r="Q2145" i="13"/>
  <c r="Q2149" i="13"/>
  <c r="Q2153" i="13"/>
  <c r="Q2157" i="13"/>
  <c r="Q2161" i="13"/>
  <c r="Q2165" i="13"/>
  <c r="Q2169" i="13"/>
  <c r="Q2173" i="13"/>
  <c r="Q2177" i="13"/>
  <c r="Q2181" i="13"/>
  <c r="Q2185" i="13"/>
  <c r="Q2189" i="13"/>
  <c r="Q2193" i="13"/>
  <c r="Q2197" i="13"/>
  <c r="Q2201" i="13"/>
  <c r="Q2205" i="13"/>
  <c r="Q2209" i="13"/>
  <c r="Q2213" i="13"/>
  <c r="Q2217" i="13"/>
  <c r="Q2221" i="13"/>
  <c r="Q2225" i="13"/>
  <c r="Q2229" i="13"/>
  <c r="Q2233" i="13"/>
  <c r="Q2237" i="13"/>
  <c r="Q2241" i="13"/>
  <c r="Q2245" i="13"/>
  <c r="Q2249" i="13"/>
  <c r="Q2253" i="13"/>
  <c r="Q2257" i="13"/>
  <c r="Q2261" i="13"/>
  <c r="Q2265" i="13"/>
  <c r="Q2269" i="13"/>
  <c r="Q2273" i="13"/>
  <c r="Q2277" i="13"/>
  <c r="Q2281" i="13"/>
  <c r="Q2285" i="13"/>
  <c r="Q2289" i="13"/>
  <c r="Q2293" i="13"/>
  <c r="Q2297" i="13"/>
  <c r="Q2301" i="13"/>
  <c r="Q2305" i="13"/>
  <c r="Q2309" i="13"/>
  <c r="Q2313" i="13"/>
  <c r="Q2317" i="13"/>
  <c r="Q2321" i="13"/>
  <c r="Q2325" i="13"/>
  <c r="Q2329" i="13"/>
  <c r="Q2333" i="13"/>
  <c r="Q2337" i="13"/>
  <c r="Q2341" i="13"/>
  <c r="Q2345" i="13"/>
  <c r="Q2349" i="13"/>
  <c r="Q2353" i="13"/>
  <c r="Q2357" i="13"/>
  <c r="Q2361" i="13"/>
  <c r="Q2365" i="13"/>
  <c r="Q2369" i="13"/>
  <c r="Q2373" i="13"/>
  <c r="Q2377" i="13"/>
  <c r="Q2381" i="13"/>
  <c r="Q2385" i="13"/>
  <c r="Q2389" i="13"/>
  <c r="Q2393" i="13"/>
  <c r="Q2397" i="13"/>
  <c r="Q2401" i="13"/>
  <c r="Q2405" i="13"/>
  <c r="Q2409" i="13"/>
  <c r="Q2413" i="13"/>
  <c r="Q2417" i="13"/>
  <c r="Q2421" i="13"/>
  <c r="Q2425" i="13"/>
  <c r="Q2429" i="13"/>
  <c r="Q2433" i="13"/>
  <c r="Q2437" i="13"/>
  <c r="Q2441" i="13"/>
  <c r="Q2445" i="13"/>
  <c r="Q2449" i="13"/>
  <c r="Q2453" i="13"/>
  <c r="Q2457" i="13"/>
  <c r="Q2461" i="13"/>
  <c r="Q2465" i="13"/>
  <c r="Q2469" i="13"/>
  <c r="Q2473" i="13"/>
  <c r="Q2477" i="13"/>
  <c r="Q2481" i="13"/>
  <c r="Q2485" i="13"/>
  <c r="Q2489" i="13"/>
  <c r="Q2493" i="13"/>
  <c r="Q2497" i="13"/>
  <c r="Q2501" i="13"/>
  <c r="Q2505" i="13"/>
  <c r="Q2509" i="13"/>
  <c r="Q2513" i="13"/>
  <c r="Q2517" i="13"/>
  <c r="Q2521" i="13"/>
  <c r="Q2525" i="13"/>
  <c r="Q2529" i="13"/>
  <c r="Q2533" i="13"/>
  <c r="Q2537" i="13"/>
  <c r="Q2541" i="13"/>
  <c r="Q2545" i="13"/>
  <c r="Q2549" i="13"/>
  <c r="Q2553" i="13"/>
  <c r="Q2557" i="13"/>
  <c r="Q2561" i="13"/>
  <c r="Q2565" i="13"/>
  <c r="Q2569" i="13"/>
  <c r="Q2573" i="13"/>
  <c r="Q2577" i="13"/>
  <c r="Q2581" i="13"/>
  <c r="Q2585" i="13"/>
  <c r="Q2589" i="13"/>
  <c r="Q2593" i="13"/>
  <c r="Q2597" i="13"/>
  <c r="Q2601" i="13"/>
  <c r="Q2605" i="13"/>
  <c r="Q2609" i="13"/>
  <c r="Q2613" i="13"/>
  <c r="Q2617" i="13"/>
  <c r="Q2621" i="13"/>
  <c r="Q2625" i="13"/>
  <c r="Q2629" i="13"/>
  <c r="Q2633" i="13"/>
  <c r="Q2637" i="13"/>
  <c r="Q2641" i="13"/>
  <c r="Q2645" i="13"/>
  <c r="Q2649" i="13"/>
  <c r="Q2653" i="13"/>
  <c r="Q2657" i="13"/>
  <c r="Q2661" i="13"/>
  <c r="Q2665" i="13"/>
  <c r="Q2669" i="13"/>
  <c r="Q2673" i="13"/>
  <c r="Q2677" i="13"/>
  <c r="Q2681" i="13"/>
  <c r="Q2685" i="13"/>
  <c r="Q2689" i="13"/>
  <c r="Q2693" i="13"/>
  <c r="Q2697" i="13"/>
  <c r="Q2701" i="13"/>
  <c r="Q2705" i="13"/>
  <c r="Q2709" i="13"/>
  <c r="Q2713" i="13"/>
  <c r="Q2717" i="13"/>
  <c r="Q2721" i="13"/>
  <c r="Q2725" i="13"/>
  <c r="Q2729" i="13"/>
  <c r="Q16" i="13"/>
  <c r="Q24" i="13"/>
  <c r="Q32" i="13"/>
  <c r="Q40" i="13"/>
  <c r="Q48" i="13"/>
  <c r="Q56" i="13"/>
  <c r="Q64" i="13"/>
  <c r="Q72" i="13"/>
  <c r="Q80" i="13"/>
  <c r="Q88" i="13"/>
  <c r="Q96" i="13"/>
  <c r="Q104" i="13"/>
  <c r="Q112" i="13"/>
  <c r="Q120" i="13"/>
  <c r="Q128" i="13"/>
  <c r="Q136" i="13"/>
  <c r="Q144" i="13"/>
  <c r="Q152" i="13"/>
  <c r="Q160" i="13"/>
  <c r="Q168" i="13"/>
  <c r="Q176" i="13"/>
  <c r="Q184" i="13"/>
  <c r="Q192" i="13"/>
  <c r="Q200" i="13"/>
  <c r="Q208" i="13"/>
  <c r="Q216" i="13"/>
  <c r="Q224" i="13"/>
  <c r="Q232" i="13"/>
  <c r="Q240" i="13"/>
  <c r="Q248" i="13"/>
  <c r="Q256" i="13"/>
  <c r="Q264" i="13"/>
  <c r="Q272" i="13"/>
  <c r="Q280" i="13"/>
  <c r="Q288" i="13"/>
  <c r="Q296" i="13"/>
  <c r="Q304" i="13"/>
  <c r="Q312" i="13"/>
  <c r="Q320" i="13"/>
  <c r="Q328" i="13"/>
  <c r="Q336" i="13"/>
  <c r="Q344" i="13"/>
  <c r="Q352" i="13"/>
  <c r="Q360" i="13"/>
  <c r="Q365" i="13"/>
  <c r="Q371" i="13"/>
  <c r="Q376" i="13"/>
  <c r="Q381" i="13"/>
  <c r="Q387" i="13"/>
  <c r="Q392" i="13"/>
  <c r="Q397" i="13"/>
  <c r="Q403" i="13"/>
  <c r="Q408" i="13"/>
  <c r="Q413" i="13"/>
  <c r="Q419" i="13"/>
  <c r="Q424" i="13"/>
  <c r="Q429" i="13"/>
  <c r="Q435" i="13"/>
  <c r="Q440" i="13"/>
  <c r="Q445" i="13"/>
  <c r="Q451" i="13"/>
  <c r="Q456" i="13"/>
  <c r="Q461" i="13"/>
  <c r="Q467" i="13"/>
  <c r="Q472" i="13"/>
  <c r="Q477" i="13"/>
  <c r="Q483" i="13"/>
  <c r="Q488" i="13"/>
  <c r="Q493" i="13"/>
  <c r="Q499" i="13"/>
  <c r="Q504" i="13"/>
  <c r="Q509" i="13"/>
  <c r="Q515" i="13"/>
  <c r="Q520" i="13"/>
  <c r="Q525" i="13"/>
  <c r="Q531" i="13"/>
  <c r="Q536" i="13"/>
  <c r="Q541" i="13"/>
  <c r="Q547" i="13"/>
  <c r="Q552" i="13"/>
  <c r="Q557" i="13"/>
  <c r="Q563" i="13"/>
  <c r="Q568" i="13"/>
  <c r="Q573" i="13"/>
  <c r="Q579" i="13"/>
  <c r="Q584" i="13"/>
  <c r="Q589" i="13"/>
  <c r="Q595" i="13"/>
  <c r="Q600" i="13"/>
  <c r="Q605" i="13"/>
  <c r="Q611" i="13"/>
  <c r="Q616" i="13"/>
  <c r="Q621" i="13"/>
  <c r="Q627" i="13"/>
  <c r="Q632" i="13"/>
  <c r="Q637" i="13"/>
  <c r="Q643" i="13"/>
  <c r="Q648" i="13"/>
  <c r="Q653" i="13"/>
  <c r="Q659" i="13"/>
  <c r="Q664" i="13"/>
  <c r="Q669" i="13"/>
  <c r="Q675" i="13"/>
  <c r="Q680" i="13"/>
  <c r="Q685" i="13"/>
  <c r="Q691" i="13"/>
  <c r="Q696" i="13"/>
  <c r="Q701" i="13"/>
  <c r="Q707" i="13"/>
  <c r="Q712" i="13"/>
  <c r="Q717" i="13"/>
  <c r="Q723" i="13"/>
  <c r="Q728" i="13"/>
  <c r="Q733" i="13"/>
  <c r="Q739" i="13"/>
  <c r="Q744" i="13"/>
  <c r="Q749" i="13"/>
  <c r="Q755" i="13"/>
  <c r="Q760" i="13"/>
  <c r="Q765" i="13"/>
  <c r="Q771" i="13"/>
  <c r="Q776" i="13"/>
  <c r="Q781" i="13"/>
  <c r="Q787" i="13"/>
  <c r="Q792" i="13"/>
  <c r="Q797" i="13"/>
  <c r="Q803" i="13"/>
  <c r="Q808" i="13"/>
  <c r="Q813" i="13"/>
  <c r="Q819" i="13"/>
  <c r="Q824" i="13"/>
  <c r="Q829" i="13"/>
  <c r="Q835" i="13"/>
  <c r="Q840" i="13"/>
  <c r="Q845" i="13"/>
  <c r="Q851" i="13"/>
  <c r="Q856" i="13"/>
  <c r="Q861" i="13"/>
  <c r="Q867" i="13"/>
  <c r="Q872" i="13"/>
  <c r="Q877" i="13"/>
  <c r="Q882" i="13"/>
  <c r="Q886" i="13"/>
  <c r="Q890" i="13"/>
  <c r="Q894" i="13"/>
  <c r="Q898" i="13"/>
  <c r="Q902" i="13"/>
  <c r="Q906" i="13"/>
  <c r="Q910" i="13"/>
  <c r="Q914" i="13"/>
  <c r="Q918" i="13"/>
  <c r="Q922" i="13"/>
  <c r="Q926" i="13"/>
  <c r="Q930" i="13"/>
  <c r="Q934" i="13"/>
  <c r="Q938" i="13"/>
  <c r="Q942" i="13"/>
  <c r="Q946" i="13"/>
  <c r="Q950" i="13"/>
  <c r="Q954" i="13"/>
  <c r="Q958" i="13"/>
  <c r="Q962" i="13"/>
  <c r="Q966" i="13"/>
  <c r="Q970" i="13"/>
  <c r="Q974" i="13"/>
  <c r="Q978" i="13"/>
  <c r="Q982" i="13"/>
  <c r="Q986" i="13"/>
  <c r="Q990" i="13"/>
  <c r="Q994" i="13"/>
  <c r="Q998" i="13"/>
  <c r="Q1002" i="13"/>
  <c r="Q1006" i="13"/>
  <c r="Q1010" i="13"/>
  <c r="Q1014" i="13"/>
  <c r="Q1018" i="13"/>
  <c r="Q1022" i="13"/>
  <c r="Q1026" i="13"/>
  <c r="Q1030" i="13"/>
  <c r="Q1034" i="13"/>
  <c r="Q1038" i="13"/>
  <c r="Q1042" i="13"/>
  <c r="Q1046" i="13"/>
  <c r="Q1050" i="13"/>
  <c r="Q1054" i="13"/>
  <c r="Q1058" i="13"/>
  <c r="Q1062" i="13"/>
  <c r="Q1066" i="13"/>
  <c r="Q1070" i="13"/>
  <c r="Q1074" i="13"/>
  <c r="Q1078" i="13"/>
  <c r="Q1082" i="13"/>
  <c r="Q1086" i="13"/>
  <c r="Q1090" i="13"/>
  <c r="Q1094" i="13"/>
  <c r="Q1098" i="13"/>
  <c r="Q1102" i="13"/>
  <c r="Q1106" i="13"/>
  <c r="Q1110" i="13"/>
  <c r="Q1114" i="13"/>
  <c r="Q1118" i="13"/>
  <c r="Q1122" i="13"/>
  <c r="Q1126" i="13"/>
  <c r="Q1130" i="13"/>
  <c r="Q1134" i="13"/>
  <c r="Q1138" i="13"/>
  <c r="Q1142" i="13"/>
  <c r="Q1146" i="13"/>
  <c r="Q1150" i="13"/>
  <c r="Q1154" i="13"/>
  <c r="Q1158" i="13"/>
  <c r="Q1162" i="13"/>
  <c r="Q1166" i="13"/>
  <c r="Q1170" i="13"/>
  <c r="Q1174" i="13"/>
  <c r="Q1178" i="13"/>
  <c r="Q1182" i="13"/>
  <c r="Q1186" i="13"/>
  <c r="Q1190" i="13"/>
  <c r="Q1194" i="13"/>
  <c r="Q1198" i="13"/>
  <c r="Q1202" i="13"/>
  <c r="Q1206" i="13"/>
  <c r="Q1210" i="13"/>
  <c r="Q1214" i="13"/>
  <c r="Q1218" i="13"/>
  <c r="Q1222" i="13"/>
  <c r="Q1226" i="13"/>
  <c r="Q1230" i="13"/>
  <c r="Q1234" i="13"/>
  <c r="Q1238" i="13"/>
  <c r="Q1242" i="13"/>
  <c r="Q1246" i="13"/>
  <c r="Q1250" i="13"/>
  <c r="Q1254" i="13"/>
  <c r="Q1258" i="13"/>
  <c r="Q1262" i="13"/>
  <c r="Q1266" i="13"/>
  <c r="Q1270" i="13"/>
  <c r="Q1274" i="13"/>
  <c r="Q1278" i="13"/>
  <c r="Q1282" i="13"/>
  <c r="Q1286" i="13"/>
  <c r="Q1290" i="13"/>
  <c r="Q1294" i="13"/>
  <c r="Q1298" i="13"/>
  <c r="Q1302" i="13"/>
  <c r="Q1306" i="13"/>
  <c r="Q1310" i="13"/>
  <c r="Q1314" i="13"/>
  <c r="Q1318" i="13"/>
  <c r="Q1322" i="13"/>
  <c r="Q1326" i="13"/>
  <c r="Q1330" i="13"/>
  <c r="Q1334" i="13"/>
  <c r="Q1338" i="13"/>
  <c r="Q1342" i="13"/>
  <c r="Q1346" i="13"/>
  <c r="Q1350" i="13"/>
  <c r="Q1354" i="13"/>
  <c r="Q1358" i="13"/>
  <c r="Q1362" i="13"/>
  <c r="Q1366" i="13"/>
  <c r="Q1370" i="13"/>
  <c r="Q1374" i="13"/>
  <c r="Q1378" i="13"/>
  <c r="Q1382" i="13"/>
  <c r="Q1386" i="13"/>
  <c r="Q1390" i="13"/>
  <c r="Q1394" i="13"/>
  <c r="Q1398" i="13"/>
  <c r="Q1402" i="13"/>
  <c r="Q1406" i="13"/>
  <c r="Q1410" i="13"/>
  <c r="Q1414" i="13"/>
  <c r="Q1418" i="13"/>
  <c r="Q1422" i="13"/>
  <c r="Q1426" i="13"/>
  <c r="Q1430" i="13"/>
  <c r="Q1434" i="13"/>
  <c r="Q1438" i="13"/>
  <c r="Q1442" i="13"/>
  <c r="Q1446" i="13"/>
  <c r="Q1450" i="13"/>
  <c r="Q1454" i="13"/>
  <c r="Q1458" i="13"/>
  <c r="Q1462" i="13"/>
  <c r="Q1466" i="13"/>
  <c r="Q1470" i="13"/>
  <c r="Q1474" i="13"/>
  <c r="Q1478" i="13"/>
  <c r="Q1482" i="13"/>
  <c r="Q1486" i="13"/>
  <c r="Q1490" i="13"/>
  <c r="Q1494" i="13"/>
  <c r="Q1498" i="13"/>
  <c r="Q1502" i="13"/>
  <c r="Q1506" i="13"/>
  <c r="Q1510" i="13"/>
  <c r="Q1514" i="13"/>
  <c r="Q1518" i="13"/>
  <c r="Q1522" i="13"/>
  <c r="Q1526" i="13"/>
  <c r="Q1530" i="13"/>
  <c r="Q1534" i="13"/>
  <c r="Q1538" i="13"/>
  <c r="Q1542" i="13"/>
  <c r="Q1546" i="13"/>
  <c r="Q1550" i="13"/>
  <c r="Q1554" i="13"/>
  <c r="Q1558" i="13"/>
  <c r="Q1562" i="13"/>
  <c r="Q1566" i="13"/>
  <c r="Q1570" i="13"/>
  <c r="Q1574" i="13"/>
  <c r="Q1578" i="13"/>
  <c r="Q1582" i="13"/>
  <c r="Q1586" i="13"/>
  <c r="Q1590" i="13"/>
  <c r="Q1594" i="13"/>
  <c r="Q1598" i="13"/>
  <c r="Q1602" i="13"/>
  <c r="Q1606" i="13"/>
  <c r="Q1610" i="13"/>
  <c r="Q1614" i="13"/>
  <c r="Q1618" i="13"/>
  <c r="Q1622" i="13"/>
  <c r="Q1626" i="13"/>
  <c r="Q1630" i="13"/>
  <c r="Q1634" i="13"/>
  <c r="Q1638" i="13"/>
  <c r="Q1642" i="13"/>
  <c r="Q1646" i="13"/>
  <c r="Q1650" i="13"/>
  <c r="Q1654" i="13"/>
  <c r="Q1658" i="13"/>
  <c r="Q1662" i="13"/>
  <c r="Q1666" i="13"/>
  <c r="Q1670" i="13"/>
  <c r="Q1674" i="13"/>
  <c r="Q1678" i="13"/>
  <c r="Q1682" i="13"/>
  <c r="Q1686" i="13"/>
  <c r="Q1690" i="13"/>
  <c r="Q1694" i="13"/>
  <c r="Q1698" i="13"/>
  <c r="Q1702" i="13"/>
  <c r="Q1706" i="13"/>
  <c r="Q1710" i="13"/>
  <c r="Q1714" i="13"/>
  <c r="Q1718" i="13"/>
  <c r="Q1722" i="13"/>
  <c r="Q1726" i="13"/>
  <c r="Q1730" i="13"/>
  <c r="Q1734" i="13"/>
  <c r="Q1738" i="13"/>
  <c r="Q1742" i="13"/>
  <c r="Q1746" i="13"/>
  <c r="Q1750" i="13"/>
  <c r="Q1754" i="13"/>
  <c r="Q1758" i="13"/>
  <c r="Q1762" i="13"/>
  <c r="Q1766" i="13"/>
  <c r="Q1770" i="13"/>
  <c r="Q1774" i="13"/>
  <c r="Q1778" i="13"/>
  <c r="Q1782" i="13"/>
  <c r="Q1786" i="13"/>
  <c r="Q1790" i="13"/>
  <c r="Q1794" i="13"/>
  <c r="Q1798" i="13"/>
  <c r="Q1802" i="13"/>
  <c r="Q1806" i="13"/>
  <c r="Q1810" i="13"/>
  <c r="Q1814" i="13"/>
  <c r="Q1818" i="13"/>
  <c r="Q1822" i="13"/>
  <c r="Q1826" i="13"/>
  <c r="Q1830" i="13"/>
  <c r="Q1834" i="13"/>
  <c r="Q1838" i="13"/>
  <c r="Q1842" i="13"/>
  <c r="Q1846" i="13"/>
  <c r="Q1850" i="13"/>
  <c r="Q1854" i="13"/>
  <c r="Q1858" i="13"/>
  <c r="Q1862" i="13"/>
  <c r="Q1866" i="13"/>
  <c r="Q1870" i="13"/>
  <c r="Q1874" i="13"/>
  <c r="Q1878" i="13"/>
  <c r="Q1882" i="13"/>
  <c r="Q1886" i="13"/>
  <c r="Q1890" i="13"/>
  <c r="Q1894" i="13"/>
  <c r="Q1898" i="13"/>
  <c r="Q1902" i="13"/>
  <c r="Q1906" i="13"/>
  <c r="Q1910" i="13"/>
  <c r="Q1914" i="13"/>
  <c r="Q1918" i="13"/>
  <c r="Q1922" i="13"/>
  <c r="Q1926" i="13"/>
  <c r="Q1930" i="13"/>
  <c r="Q1934" i="13"/>
  <c r="Q1938" i="13"/>
  <c r="Q1942" i="13"/>
  <c r="Q1946" i="13"/>
  <c r="Q1950" i="13"/>
  <c r="Q1954" i="13"/>
  <c r="Q1958" i="13"/>
  <c r="Q1962" i="13"/>
  <c r="Q1966" i="13"/>
  <c r="Q1970" i="13"/>
  <c r="Q1974" i="13"/>
  <c r="Q1978" i="13"/>
  <c r="Q1982" i="13"/>
  <c r="Q1986" i="13"/>
  <c r="Q1990" i="13"/>
  <c r="Q1994" i="13"/>
  <c r="Q1998" i="13"/>
  <c r="Q2002" i="13"/>
  <c r="Q2006" i="13"/>
  <c r="Q2010" i="13"/>
  <c r="Q2014" i="13"/>
  <c r="Q2018" i="13"/>
  <c r="Q2022" i="13"/>
  <c r="Q2026" i="13"/>
  <c r="Q2030" i="13"/>
  <c r="Q2034" i="13"/>
  <c r="Q2038" i="13"/>
  <c r="Q2042" i="13"/>
  <c r="Q2046" i="13"/>
  <c r="Q2050" i="13"/>
  <c r="Q2054" i="13"/>
  <c r="Q2058" i="13"/>
  <c r="Q2062" i="13"/>
  <c r="Q2066" i="13"/>
  <c r="Q2070" i="13"/>
  <c r="Q2074" i="13"/>
  <c r="Q2078" i="13"/>
  <c r="Q2082" i="13"/>
  <c r="Q2086" i="13"/>
  <c r="Q2090" i="13"/>
  <c r="Q2094" i="13"/>
  <c r="Q2098" i="13"/>
  <c r="Q2102" i="13"/>
  <c r="Q2106" i="13"/>
  <c r="Q2110" i="13"/>
  <c r="Q2114" i="13"/>
  <c r="Q2118" i="13"/>
  <c r="Q2122" i="13"/>
  <c r="Q2126" i="13"/>
  <c r="Q2130" i="13"/>
  <c r="Q2134" i="13"/>
  <c r="Q2138" i="13"/>
  <c r="Q2142" i="13"/>
  <c r="Q2146" i="13"/>
  <c r="Q2150" i="13"/>
  <c r="Q2154" i="13"/>
  <c r="Q2158" i="13"/>
  <c r="Q2162" i="13"/>
  <c r="Q2166" i="13"/>
  <c r="Q2170" i="13"/>
  <c r="Q2174" i="13"/>
  <c r="Q2178" i="13"/>
  <c r="Q2182" i="13"/>
  <c r="Q2186" i="13"/>
  <c r="Q2190" i="13"/>
  <c r="Q2194" i="13"/>
  <c r="Q2198" i="13"/>
  <c r="Q2202" i="13"/>
  <c r="Q2206" i="13"/>
  <c r="Q2210" i="13"/>
  <c r="Q2214" i="13"/>
  <c r="Q2218" i="13"/>
  <c r="Q2222" i="13"/>
  <c r="Q2226" i="13"/>
  <c r="Q2230" i="13"/>
  <c r="Q2234" i="13"/>
  <c r="Q2238" i="13"/>
  <c r="Q2242" i="13"/>
  <c r="Q2246" i="13"/>
  <c r="Q2250" i="13"/>
  <c r="Q2254" i="13"/>
  <c r="Q2258" i="13"/>
  <c r="Q2262" i="13"/>
  <c r="Q2266" i="13"/>
  <c r="Q2270" i="13"/>
  <c r="Q2274" i="13"/>
  <c r="Q2278" i="13"/>
  <c r="Q2282" i="13"/>
  <c r="Q2286" i="13"/>
  <c r="Q2290" i="13"/>
  <c r="Q2294" i="13"/>
  <c r="Q2298" i="13"/>
  <c r="Q2302" i="13"/>
  <c r="Q2306" i="13"/>
  <c r="Q2310" i="13"/>
  <c r="Q2314" i="13"/>
  <c r="Q2318" i="13"/>
  <c r="Q2322" i="13"/>
  <c r="Q2326" i="13"/>
  <c r="Q2330" i="13"/>
  <c r="Q2334" i="13"/>
  <c r="Q2338" i="13"/>
  <c r="Q2342" i="13"/>
  <c r="Q2346" i="13"/>
  <c r="Q2350" i="13"/>
  <c r="Q2354" i="13"/>
  <c r="Q2358" i="13"/>
  <c r="Q2362" i="13"/>
  <c r="Q2366" i="13"/>
  <c r="Q2370" i="13"/>
  <c r="Q2374" i="13"/>
  <c r="Q2378" i="13"/>
  <c r="Q2382" i="13"/>
  <c r="Q2386" i="13"/>
  <c r="Q2390" i="13"/>
  <c r="Q2394" i="13"/>
  <c r="Q2398" i="13"/>
  <c r="Q2402" i="13"/>
  <c r="Q2406" i="13"/>
  <c r="Q2410" i="13"/>
  <c r="Q2414" i="13"/>
  <c r="Q2418" i="13"/>
  <c r="Q2422" i="13"/>
  <c r="Q2426" i="13"/>
  <c r="Q2430" i="13"/>
  <c r="Q2434" i="13"/>
  <c r="Q2438" i="13"/>
  <c r="Q2442" i="13"/>
  <c r="Q2446" i="13"/>
  <c r="Q2450" i="13"/>
  <c r="Q2454" i="13"/>
  <c r="Q2458" i="13"/>
  <c r="Q2462" i="13"/>
  <c r="Q2466" i="13"/>
  <c r="Q2470" i="13"/>
  <c r="Q2474" i="13"/>
  <c r="Q2478" i="13"/>
  <c r="Q2482" i="13"/>
  <c r="Q2486" i="13"/>
  <c r="Q2490" i="13"/>
  <c r="Q2494" i="13"/>
  <c r="Q2498" i="13"/>
  <c r="Q2502" i="13"/>
  <c r="Q2506" i="13"/>
  <c r="Q2510" i="13"/>
  <c r="Q2514" i="13"/>
  <c r="Q2518" i="13"/>
  <c r="Q2522" i="13"/>
  <c r="Q2526" i="13"/>
  <c r="Q2530" i="13"/>
  <c r="Q2534" i="13"/>
  <c r="Q2538" i="13"/>
  <c r="Q2542" i="13"/>
  <c r="Q2546" i="13"/>
  <c r="Q2550" i="13"/>
  <c r="Q2554" i="13"/>
  <c r="Q2558" i="13"/>
  <c r="Q2562" i="13"/>
  <c r="Q2566" i="13"/>
  <c r="Q2570" i="13"/>
  <c r="Q2574" i="13"/>
  <c r="Q2578" i="13"/>
  <c r="Q2582" i="13"/>
  <c r="Q2586" i="13"/>
  <c r="Q2590" i="13"/>
  <c r="Q2594" i="13"/>
  <c r="Q2598" i="13"/>
  <c r="Q2602" i="13"/>
  <c r="Q2606" i="13"/>
  <c r="Q2610" i="13"/>
  <c r="Q2614" i="13"/>
  <c r="Q2618" i="13"/>
  <c r="Q2622" i="13"/>
  <c r="Q2626" i="13"/>
  <c r="Q2630" i="13"/>
  <c r="Q2634" i="13"/>
  <c r="Q2638" i="13"/>
  <c r="Q2642" i="13"/>
  <c r="Q2646" i="13"/>
  <c r="Q2650" i="13"/>
  <c r="Q2654" i="13"/>
  <c r="Q2658" i="13"/>
  <c r="Q2662" i="13"/>
  <c r="Q2666" i="13"/>
  <c r="Q2670" i="13"/>
  <c r="Q2674" i="13"/>
  <c r="Q2678" i="13"/>
  <c r="Q2682" i="13"/>
  <c r="Q2686" i="13"/>
  <c r="Q2690" i="13"/>
  <c r="Q2694" i="13"/>
  <c r="Q2698" i="13"/>
  <c r="Q2702" i="13"/>
  <c r="Q2706" i="13"/>
  <c r="Q2710" i="13"/>
  <c r="Q2714" i="13"/>
  <c r="Q2718" i="13"/>
  <c r="Q2722" i="13"/>
  <c r="Q2726" i="13"/>
  <c r="Q2730" i="13"/>
  <c r="Q17" i="13"/>
  <c r="Q33" i="13"/>
  <c r="Q49" i="13"/>
  <c r="Q65" i="13"/>
  <c r="Q81" i="13"/>
  <c r="Q97" i="13"/>
  <c r="Q113" i="13"/>
  <c r="Q129" i="13"/>
  <c r="Q145" i="13"/>
  <c r="Q161" i="13"/>
  <c r="Q177" i="13"/>
  <c r="Q193" i="13"/>
  <c r="Q209" i="13"/>
  <c r="Q225" i="13"/>
  <c r="Q241" i="13"/>
  <c r="Q257" i="13"/>
  <c r="Q273" i="13"/>
  <c r="Q289" i="13"/>
  <c r="Q305" i="13"/>
  <c r="Q321" i="13"/>
  <c r="Q337" i="13"/>
  <c r="Q353" i="13"/>
  <c r="Q367" i="13"/>
  <c r="Q377" i="13"/>
  <c r="Q388" i="13"/>
  <c r="Q399" i="13"/>
  <c r="Q409" i="13"/>
  <c r="Q420" i="13"/>
  <c r="Q431" i="13"/>
  <c r="Q441" i="13"/>
  <c r="Q452" i="13"/>
  <c r="Q463" i="13"/>
  <c r="Q473" i="13"/>
  <c r="Q484" i="13"/>
  <c r="Q495" i="13"/>
  <c r="Q505" i="13"/>
  <c r="Q516" i="13"/>
  <c r="Q527" i="13"/>
  <c r="Q537" i="13"/>
  <c r="Q548" i="13"/>
  <c r="Q559" i="13"/>
  <c r="Q569" i="13"/>
  <c r="Q580" i="13"/>
  <c r="Q591" i="13"/>
  <c r="Q601" i="13"/>
  <c r="Q612" i="13"/>
  <c r="Q623" i="13"/>
  <c r="Q633" i="13"/>
  <c r="Q644" i="13"/>
  <c r="Q655" i="13"/>
  <c r="Q665" i="13"/>
  <c r="Q676" i="13"/>
  <c r="Q687" i="13"/>
  <c r="Q697" i="13"/>
  <c r="Q708" i="13"/>
  <c r="Q719" i="13"/>
  <c r="Q729" i="13"/>
  <c r="Q740" i="13"/>
  <c r="Q751" i="13"/>
  <c r="Q761" i="13"/>
  <c r="Q772" i="13"/>
  <c r="Q783" i="13"/>
  <c r="Q793" i="13"/>
  <c r="Q804" i="13"/>
  <c r="Q815" i="13"/>
  <c r="Q825" i="13"/>
  <c r="Q836" i="13"/>
  <c r="Q847" i="13"/>
  <c r="Q857" i="13"/>
  <c r="Q868" i="13"/>
  <c r="Q879" i="13"/>
  <c r="Q887" i="13"/>
  <c r="Q895" i="13"/>
  <c r="Q903" i="13"/>
  <c r="Q911" i="13"/>
  <c r="Q919" i="13"/>
  <c r="Q927" i="13"/>
  <c r="Q935" i="13"/>
  <c r="Q943" i="13"/>
  <c r="Q951" i="13"/>
  <c r="Q959" i="13"/>
  <c r="Q967" i="13"/>
  <c r="Q975" i="13"/>
  <c r="Q983" i="13"/>
  <c r="Q991" i="13"/>
  <c r="Q999" i="13"/>
  <c r="Q1007" i="13"/>
  <c r="Q1015" i="13"/>
  <c r="Q1023" i="13"/>
  <c r="Q1031" i="13"/>
  <c r="Q1039" i="13"/>
  <c r="Q1047" i="13"/>
  <c r="Q1055" i="13"/>
  <c r="Q1063" i="13"/>
  <c r="Q1071" i="13"/>
  <c r="Q1079" i="13"/>
  <c r="Q1087" i="13"/>
  <c r="Q1095" i="13"/>
  <c r="Q1103" i="13"/>
  <c r="Q1111" i="13"/>
  <c r="Q1119" i="13"/>
  <c r="Q1127" i="13"/>
  <c r="Q1135" i="13"/>
  <c r="Q1143" i="13"/>
  <c r="Q1151" i="13"/>
  <c r="Q1159" i="13"/>
  <c r="Q1167" i="13"/>
  <c r="Q1175" i="13"/>
  <c r="Q1183" i="13"/>
  <c r="Q1191" i="13"/>
  <c r="Q1199" i="13"/>
  <c r="Q1207" i="13"/>
  <c r="Q1215" i="13"/>
  <c r="Q1223" i="13"/>
  <c r="Q1231" i="13"/>
  <c r="Q1239" i="13"/>
  <c r="Q1247" i="13"/>
  <c r="Q1255" i="13"/>
  <c r="Q1263" i="13"/>
  <c r="Q1271" i="13"/>
  <c r="Q1279" i="13"/>
  <c r="Q1287" i="13"/>
  <c r="Q1295" i="13"/>
  <c r="Q1303" i="13"/>
  <c r="Q1311" i="13"/>
  <c r="Q1319" i="13"/>
  <c r="Q1327" i="13"/>
  <c r="Q1335" i="13"/>
  <c r="Q1343" i="13"/>
  <c r="Q1351" i="13"/>
  <c r="Q1359" i="13"/>
  <c r="Q1367" i="13"/>
  <c r="Q1375" i="13"/>
  <c r="Q1383" i="13"/>
  <c r="Q1391" i="13"/>
  <c r="Q1399" i="13"/>
  <c r="Q1407" i="13"/>
  <c r="Q1415" i="13"/>
  <c r="Q1423" i="13"/>
  <c r="Q1431" i="13"/>
  <c r="Q1439" i="13"/>
  <c r="Q1447" i="13"/>
  <c r="Q1455" i="13"/>
  <c r="Q1463" i="13"/>
  <c r="Q1471" i="13"/>
  <c r="Q1479" i="13"/>
  <c r="Q1487" i="13"/>
  <c r="Q1495" i="13"/>
  <c r="Q1503" i="13"/>
  <c r="Q1511" i="13"/>
  <c r="Q1519" i="13"/>
  <c r="Q1527" i="13"/>
  <c r="Q1535" i="13"/>
  <c r="Q1543" i="13"/>
  <c r="Q1551" i="13"/>
  <c r="Q1559" i="13"/>
  <c r="Q1567" i="13"/>
  <c r="Q1575" i="13"/>
  <c r="Q1583" i="13"/>
  <c r="Q1591" i="13"/>
  <c r="Q1599" i="13"/>
  <c r="Q1607" i="13"/>
  <c r="Q1615" i="13"/>
  <c r="Q1623" i="13"/>
  <c r="Q1631" i="13"/>
  <c r="Q1639" i="13"/>
  <c r="Q1647" i="13"/>
  <c r="Q1655" i="13"/>
  <c r="Q1663" i="13"/>
  <c r="Q1671" i="13"/>
  <c r="Q1679" i="13"/>
  <c r="Q1687" i="13"/>
  <c r="Q1695" i="13"/>
  <c r="Q1703" i="13"/>
  <c r="Q1711" i="13"/>
  <c r="Q1719" i="13"/>
  <c r="Q1727" i="13"/>
  <c r="Q1735" i="13"/>
  <c r="Q1743" i="13"/>
  <c r="Q1751" i="13"/>
  <c r="Q1759" i="13"/>
  <c r="Q1767" i="13"/>
  <c r="Q1775" i="13"/>
  <c r="Q1783" i="13"/>
  <c r="Q1791" i="13"/>
  <c r="Q1799" i="13"/>
  <c r="Q1807" i="13"/>
  <c r="Q1815" i="13"/>
  <c r="Q1823" i="13"/>
  <c r="Q1831" i="13"/>
  <c r="Q1839" i="13"/>
  <c r="Q1847" i="13"/>
  <c r="Q1855" i="13"/>
  <c r="Q1863" i="13"/>
  <c r="Q1871" i="13"/>
  <c r="Q1879" i="13"/>
  <c r="Q1887" i="13"/>
  <c r="Q1895" i="13"/>
  <c r="Q1903" i="13"/>
  <c r="Q1911" i="13"/>
  <c r="Q1919" i="13"/>
  <c r="Q1927" i="13"/>
  <c r="Q1935" i="13"/>
  <c r="Q1943" i="13"/>
  <c r="Q1951" i="13"/>
  <c r="Q1959" i="13"/>
  <c r="Q1967" i="13"/>
  <c r="Q1975" i="13"/>
  <c r="Q1983" i="13"/>
  <c r="Q1991" i="13"/>
  <c r="Q1999" i="13"/>
  <c r="Q2007" i="13"/>
  <c r="Q2015" i="13"/>
  <c r="Q2023" i="13"/>
  <c r="Q2031" i="13"/>
  <c r="Q2039" i="13"/>
  <c r="Q2047" i="13"/>
  <c r="Q2055" i="13"/>
  <c r="Q2063" i="13"/>
  <c r="Q2071" i="13"/>
  <c r="Q2079" i="13"/>
  <c r="Q2087" i="13"/>
  <c r="Q2095" i="13"/>
  <c r="Q2103" i="13"/>
  <c r="Q2111" i="13"/>
  <c r="Q2119" i="13"/>
  <c r="Q2127" i="13"/>
  <c r="Q2135" i="13"/>
  <c r="Q2143" i="13"/>
  <c r="Q2151" i="13"/>
  <c r="Q2159" i="13"/>
  <c r="Q2167" i="13"/>
  <c r="Q2175" i="13"/>
  <c r="Q2183" i="13"/>
  <c r="Q2191" i="13"/>
  <c r="Q2199" i="13"/>
  <c r="Q2207" i="13"/>
  <c r="Q2215" i="13"/>
  <c r="Q2223" i="13"/>
  <c r="Q2231" i="13"/>
  <c r="Q2239" i="13"/>
  <c r="Q2247" i="13"/>
  <c r="Q2255" i="13"/>
  <c r="Q2263" i="13"/>
  <c r="Q2271" i="13"/>
  <c r="Q2279" i="13"/>
  <c r="Q2287" i="13"/>
  <c r="Q2295" i="13"/>
  <c r="Q2303" i="13"/>
  <c r="Q2311" i="13"/>
  <c r="Q2319" i="13"/>
  <c r="Q2327" i="13"/>
  <c r="Q2335" i="13"/>
  <c r="Q2343" i="13"/>
  <c r="Q2351" i="13"/>
  <c r="Q2359" i="13"/>
  <c r="Q2367" i="13"/>
  <c r="Q2375" i="13"/>
  <c r="Q2383" i="13"/>
  <c r="Q2391" i="13"/>
  <c r="Q2399" i="13"/>
  <c r="Q2407" i="13"/>
  <c r="Q2415" i="13"/>
  <c r="Q2423" i="13"/>
  <c r="Q2431" i="13"/>
  <c r="Q2439" i="13"/>
  <c r="Q2447" i="13"/>
  <c r="Q2455" i="13"/>
  <c r="Q2463" i="13"/>
  <c r="Q2471" i="13"/>
  <c r="Q2479" i="13"/>
  <c r="Q2487" i="13"/>
  <c r="Q2495" i="13"/>
  <c r="Q2503" i="13"/>
  <c r="Q2511" i="13"/>
  <c r="Q2519" i="13"/>
  <c r="Q2527" i="13"/>
  <c r="Q2535" i="13"/>
  <c r="Q2543" i="13"/>
  <c r="Q2551" i="13"/>
  <c r="Q2559" i="13"/>
  <c r="Q2567" i="13"/>
  <c r="Q2575" i="13"/>
  <c r="Q2583" i="13"/>
  <c r="Q2591" i="13"/>
  <c r="Q2599" i="13"/>
  <c r="Q2607" i="13"/>
  <c r="Q2615" i="13"/>
  <c r="Q2623" i="13"/>
  <c r="Q2631" i="13"/>
  <c r="Q2639" i="13"/>
  <c r="Q2647" i="13"/>
  <c r="Q2655" i="13"/>
  <c r="Q2663" i="13"/>
  <c r="Q2671" i="13"/>
  <c r="Q2679" i="13"/>
  <c r="Q2687" i="13"/>
  <c r="Q2695" i="13"/>
  <c r="Q2703" i="13"/>
  <c r="Q2711" i="13"/>
  <c r="Q2719" i="13"/>
  <c r="Q2727" i="13"/>
  <c r="Q41" i="13"/>
  <c r="Q73" i="13"/>
  <c r="Q105" i="13"/>
  <c r="Q137" i="13"/>
  <c r="Q169" i="13"/>
  <c r="Q201" i="13"/>
  <c r="Q249" i="13"/>
  <c r="Q297" i="13"/>
  <c r="Q329" i="13"/>
  <c r="Q361" i="13"/>
  <c r="Q383" i="13"/>
  <c r="Q404" i="13"/>
  <c r="Q425" i="13"/>
  <c r="Q447" i="13"/>
  <c r="Q468" i="13"/>
  <c r="Q500" i="13"/>
  <c r="Q532" i="13"/>
  <c r="Q553" i="13"/>
  <c r="Q575" i="13"/>
  <c r="Q596" i="13"/>
  <c r="Q617" i="13"/>
  <c r="Q639" i="13"/>
  <c r="Q660" i="13"/>
  <c r="Q681" i="13"/>
  <c r="Q703" i="13"/>
  <c r="Q724" i="13"/>
  <c r="Q745" i="13"/>
  <c r="Q767" i="13"/>
  <c r="Q788" i="13"/>
  <c r="Q809" i="13"/>
  <c r="Q831" i="13"/>
  <c r="Q852" i="13"/>
  <c r="Q873" i="13"/>
  <c r="Q891" i="13"/>
  <c r="Q907" i="13"/>
  <c r="Q923" i="13"/>
  <c r="Q939" i="13"/>
  <c r="Q955" i="13"/>
  <c r="Q971" i="13"/>
  <c r="Q987" i="13"/>
  <c r="Q1011" i="13"/>
  <c r="Q1027" i="13"/>
  <c r="Q1051" i="13"/>
  <c r="Q1067" i="13"/>
  <c r="Q1083" i="13"/>
  <c r="Q1107" i="13"/>
  <c r="Q1123" i="13"/>
  <c r="Q1139" i="13"/>
  <c r="Q1155" i="13"/>
  <c r="Q1171" i="13"/>
  <c r="Q1187" i="13"/>
  <c r="Q1203" i="13"/>
  <c r="Q1219" i="13"/>
  <c r="Q1235" i="13"/>
  <c r="Q1251" i="13"/>
  <c r="Q1267" i="13"/>
  <c r="Q1283" i="13"/>
  <c r="Q1299" i="13"/>
  <c r="Q1315" i="13"/>
  <c r="Q1331" i="13"/>
  <c r="Q1347" i="13"/>
  <c r="Q1363" i="13"/>
  <c r="Q1379" i="13"/>
  <c r="Q1395" i="13"/>
  <c r="Q1411" i="13"/>
  <c r="Q1427" i="13"/>
  <c r="Q1443" i="13"/>
  <c r="Q1459" i="13"/>
  <c r="Q1475" i="13"/>
  <c r="Q1491" i="13"/>
  <c r="Q1507" i="13"/>
  <c r="Q1523" i="13"/>
  <c r="Q1539" i="13"/>
  <c r="Q1555" i="13"/>
  <c r="Q1571" i="13"/>
  <c r="Q1587" i="13"/>
  <c r="Q1603" i="13"/>
  <c r="Q1619" i="13"/>
  <c r="Q1635" i="13"/>
  <c r="Q1651" i="13"/>
  <c r="Q1667" i="13"/>
  <c r="Q1683" i="13"/>
  <c r="Q1707" i="13"/>
  <c r="Q1723" i="13"/>
  <c r="Q1739" i="13"/>
  <c r="Q1755" i="13"/>
  <c r="Q1771" i="13"/>
  <c r="Q1787" i="13"/>
  <c r="Q1803" i="13"/>
  <c r="Q1819" i="13"/>
  <c r="Q1835" i="13"/>
  <c r="Q1851" i="13"/>
  <c r="Q1867" i="13"/>
  <c r="Q1891" i="13"/>
  <c r="Q1907" i="13"/>
  <c r="Q1923" i="13"/>
  <c r="Q1939" i="13"/>
  <c r="Q1955" i="13"/>
  <c r="Q1971" i="13"/>
  <c r="Q1987" i="13"/>
  <c r="Q2003" i="13"/>
  <c r="Q2019" i="13"/>
  <c r="Q2035" i="13"/>
  <c r="Q2051" i="13"/>
  <c r="Q2067" i="13"/>
  <c r="Q2091" i="13"/>
  <c r="Q2107" i="13"/>
  <c r="Q2123" i="13"/>
  <c r="Q2139" i="13"/>
  <c r="Q2163" i="13"/>
  <c r="Q2179" i="13"/>
  <c r="Q2195" i="13"/>
  <c r="Q2219" i="13"/>
  <c r="Q2235" i="13"/>
  <c r="Q2251" i="13"/>
  <c r="Q2267" i="13"/>
  <c r="Q2283" i="13"/>
  <c r="Q2299" i="13"/>
  <c r="Q2315" i="13"/>
  <c r="Q2331" i="13"/>
  <c r="Q2355" i="13"/>
  <c r="Q2371" i="13"/>
  <c r="Q2387" i="13"/>
  <c r="Q2403" i="13"/>
  <c r="Q2419" i="13"/>
  <c r="Q2435" i="13"/>
  <c r="Q2451" i="13"/>
  <c r="Q2467" i="13"/>
  <c r="Q2483" i="13"/>
  <c r="Q2499" i="13"/>
  <c r="Q2515" i="13"/>
  <c r="Q2531" i="13"/>
  <c r="Q2547" i="13"/>
  <c r="Q2563" i="13"/>
  <c r="Q2579" i="13"/>
  <c r="Q2595" i="13"/>
  <c r="Q2611" i="13"/>
  <c r="Q2635" i="13"/>
  <c r="Q2651" i="13"/>
  <c r="Q2667" i="13"/>
  <c r="Q2683" i="13"/>
  <c r="Q2699" i="13"/>
  <c r="Q2715" i="13"/>
  <c r="Q20" i="13"/>
  <c r="Q36" i="13"/>
  <c r="Q52" i="13"/>
  <c r="Q68" i="13"/>
  <c r="Q84" i="13"/>
  <c r="Q100" i="13"/>
  <c r="Q116" i="13"/>
  <c r="Q132" i="13"/>
  <c r="Q148" i="13"/>
  <c r="Q164" i="13"/>
  <c r="Q180" i="13"/>
  <c r="Q196" i="13"/>
  <c r="Q212" i="13"/>
  <c r="Q228" i="13"/>
  <c r="Q244" i="13"/>
  <c r="Q260" i="13"/>
  <c r="Q276" i="13"/>
  <c r="Q292" i="13"/>
  <c r="Q308" i="13"/>
  <c r="Q324" i="13"/>
  <c r="Q340" i="13"/>
  <c r="Q356" i="13"/>
  <c r="Q368" i="13"/>
  <c r="Q379" i="13"/>
  <c r="Q389" i="13"/>
  <c r="Q400" i="13"/>
  <c r="Q411" i="13"/>
  <c r="Q421" i="13"/>
  <c r="Q432" i="13"/>
  <c r="Q443" i="13"/>
  <c r="Q453" i="13"/>
  <c r="Q464" i="13"/>
  <c r="Q475" i="13"/>
  <c r="Q485" i="13"/>
  <c r="Q496" i="13"/>
  <c r="Q507" i="13"/>
  <c r="Q517" i="13"/>
  <c r="Q528" i="13"/>
  <c r="Q539" i="13"/>
  <c r="Q549" i="13"/>
  <c r="Q560" i="13"/>
  <c r="Q571" i="13"/>
  <c r="Q581" i="13"/>
  <c r="Q592" i="13"/>
  <c r="Q603" i="13"/>
  <c r="Q613" i="13"/>
  <c r="Q624" i="13"/>
  <c r="Q635" i="13"/>
  <c r="Q645" i="13"/>
  <c r="Q656" i="13"/>
  <c r="Q667" i="13"/>
  <c r="Q677" i="13"/>
  <c r="Q688" i="13"/>
  <c r="Q699" i="13"/>
  <c r="Q709" i="13"/>
  <c r="Q720" i="13"/>
  <c r="Q731" i="13"/>
  <c r="Q741" i="13"/>
  <c r="Q752" i="13"/>
  <c r="Q763" i="13"/>
  <c r="Q773" i="13"/>
  <c r="Q784" i="13"/>
  <c r="Q795" i="13"/>
  <c r="Q805" i="13"/>
  <c r="Q816" i="13"/>
  <c r="Q827" i="13"/>
  <c r="Q837" i="13"/>
  <c r="Q848" i="13"/>
  <c r="Q859" i="13"/>
  <c r="Q869" i="13"/>
  <c r="Q880" i="13"/>
  <c r="Q888" i="13"/>
  <c r="Q896" i="13"/>
  <c r="Q904" i="13"/>
  <c r="Q912" i="13"/>
  <c r="Q920" i="13"/>
  <c r="Q928" i="13"/>
  <c r="Q936" i="13"/>
  <c r="Q944" i="13"/>
  <c r="Q952" i="13"/>
  <c r="Q960" i="13"/>
  <c r="Q968" i="13"/>
  <c r="Q976" i="13"/>
  <c r="Q984" i="13"/>
  <c r="Q992" i="13"/>
  <c r="Q1000" i="13"/>
  <c r="Q1008" i="13"/>
  <c r="Q1016" i="13"/>
  <c r="Q1024" i="13"/>
  <c r="Q1032" i="13"/>
  <c r="Q1040" i="13"/>
  <c r="Q1048" i="13"/>
  <c r="Q1056" i="13"/>
  <c r="Q1064" i="13"/>
  <c r="Q1072" i="13"/>
  <c r="Q1080" i="13"/>
  <c r="Q1088" i="13"/>
  <c r="Q1096" i="13"/>
  <c r="Q1104" i="13"/>
  <c r="Q1112" i="13"/>
  <c r="Q1120" i="13"/>
  <c r="Q1128" i="13"/>
  <c r="Q1136" i="13"/>
  <c r="Q1144" i="13"/>
  <c r="Q1152" i="13"/>
  <c r="Q1160" i="13"/>
  <c r="Q1168" i="13"/>
  <c r="Q1176" i="13"/>
  <c r="Q1184" i="13"/>
  <c r="Q1192" i="13"/>
  <c r="Q1200" i="13"/>
  <c r="Q1208" i="13"/>
  <c r="Q1216" i="13"/>
  <c r="Q1224" i="13"/>
  <c r="Q1232" i="13"/>
  <c r="Q1240" i="13"/>
  <c r="Q1248" i="13"/>
  <c r="Q1256" i="13"/>
  <c r="Q1264" i="13"/>
  <c r="Q1272" i="13"/>
  <c r="Q1280" i="13"/>
  <c r="Q1288" i="13"/>
  <c r="Q1296" i="13"/>
  <c r="Q1304" i="13"/>
  <c r="Q1312" i="13"/>
  <c r="Q1320" i="13"/>
  <c r="Q1328" i="13"/>
  <c r="Q1336" i="13"/>
  <c r="Q1344" i="13"/>
  <c r="Q1352" i="13"/>
  <c r="Q1360" i="13"/>
  <c r="Q1368" i="13"/>
  <c r="Q1376" i="13"/>
  <c r="Q1384" i="13"/>
  <c r="Q1392" i="13"/>
  <c r="Q1400" i="13"/>
  <c r="Q1408" i="13"/>
  <c r="Q1416" i="13"/>
  <c r="Q1424" i="13"/>
  <c r="Q1432" i="13"/>
  <c r="Q1440" i="13"/>
  <c r="Q1448" i="13"/>
  <c r="Q1456" i="13"/>
  <c r="Q1464" i="13"/>
  <c r="Q1472" i="13"/>
  <c r="Q1480" i="13"/>
  <c r="Q1488" i="13"/>
  <c r="Q1496" i="13"/>
  <c r="Q1504" i="13"/>
  <c r="Q1512" i="13"/>
  <c r="Q1520" i="13"/>
  <c r="Q1528" i="13"/>
  <c r="Q1536" i="13"/>
  <c r="Q1544" i="13"/>
  <c r="Q1552" i="13"/>
  <c r="Q1560" i="13"/>
  <c r="Q1568" i="13"/>
  <c r="Q1576" i="13"/>
  <c r="Q1584" i="13"/>
  <c r="Q1592" i="13"/>
  <c r="Q1600" i="13"/>
  <c r="Q1608" i="13"/>
  <c r="Q1616" i="13"/>
  <c r="Q1624" i="13"/>
  <c r="Q1632" i="13"/>
  <c r="Q1640" i="13"/>
  <c r="Q1648" i="13"/>
  <c r="Q1656" i="13"/>
  <c r="Q1664" i="13"/>
  <c r="Q1672" i="13"/>
  <c r="Q1680" i="13"/>
  <c r="Q1688" i="13"/>
  <c r="Q1696" i="13"/>
  <c r="Q1704" i="13"/>
  <c r="Q1712" i="13"/>
  <c r="Q1720" i="13"/>
  <c r="Q1728" i="13"/>
  <c r="Q1736" i="13"/>
  <c r="Q1744" i="13"/>
  <c r="Q1752" i="13"/>
  <c r="Q1760" i="13"/>
  <c r="Q1768" i="13"/>
  <c r="Q1776" i="13"/>
  <c r="Q1784" i="13"/>
  <c r="Q1792" i="13"/>
  <c r="Q1800" i="13"/>
  <c r="Q1808" i="13"/>
  <c r="Q1816" i="13"/>
  <c r="Q1824" i="13"/>
  <c r="Q1832" i="13"/>
  <c r="Q1840" i="13"/>
  <c r="Q1848" i="13"/>
  <c r="Q1856" i="13"/>
  <c r="Q1864" i="13"/>
  <c r="Q1872" i="13"/>
  <c r="Q1880" i="13"/>
  <c r="Q1888" i="13"/>
  <c r="Q1896" i="13"/>
  <c r="Q1904" i="13"/>
  <c r="Q1912" i="13"/>
  <c r="Q1920" i="13"/>
  <c r="Q1928" i="13"/>
  <c r="Q1936" i="13"/>
  <c r="Q1944" i="13"/>
  <c r="Q1952" i="13"/>
  <c r="Q1960" i="13"/>
  <c r="Q1968" i="13"/>
  <c r="Q1976" i="13"/>
  <c r="Q1984" i="13"/>
  <c r="Q1992" i="13"/>
  <c r="Q2000" i="13"/>
  <c r="Q2008" i="13"/>
  <c r="Q2016" i="13"/>
  <c r="Q2024" i="13"/>
  <c r="Q2032" i="13"/>
  <c r="Q2040" i="13"/>
  <c r="Q2048" i="13"/>
  <c r="Q2056" i="13"/>
  <c r="Q2064" i="13"/>
  <c r="Q2072" i="13"/>
  <c r="Q2080" i="13"/>
  <c r="Q2088" i="13"/>
  <c r="Q2096" i="13"/>
  <c r="Q2104" i="13"/>
  <c r="Q2112" i="13"/>
  <c r="Q2120" i="13"/>
  <c r="Q2128" i="13"/>
  <c r="Q2136" i="13"/>
  <c r="Q2144" i="13"/>
  <c r="Q2152" i="13"/>
  <c r="Q2160" i="13"/>
  <c r="Q2168" i="13"/>
  <c r="Q2176" i="13"/>
  <c r="Q2184" i="13"/>
  <c r="Q2192" i="13"/>
  <c r="Q2200" i="13"/>
  <c r="Q2208" i="13"/>
  <c r="Q2216" i="13"/>
  <c r="Q2224" i="13"/>
  <c r="Q2232" i="13"/>
  <c r="Q2240" i="13"/>
  <c r="Q2248" i="13"/>
  <c r="Q2256" i="13"/>
  <c r="Q2264" i="13"/>
  <c r="Q2272" i="13"/>
  <c r="Q2280" i="13"/>
  <c r="Q2288" i="13"/>
  <c r="Q2296" i="13"/>
  <c r="Q2304" i="13"/>
  <c r="Q2312" i="13"/>
  <c r="Q2320" i="13"/>
  <c r="Q2328" i="13"/>
  <c r="Q2336" i="13"/>
  <c r="Q2344" i="13"/>
  <c r="Q2352" i="13"/>
  <c r="Q2360" i="13"/>
  <c r="Q2368" i="13"/>
  <c r="Q2376" i="13"/>
  <c r="Q2384" i="13"/>
  <c r="Q2392" i="13"/>
  <c r="Q2400" i="13"/>
  <c r="Q2408" i="13"/>
  <c r="Q2416" i="13"/>
  <c r="Q2424" i="13"/>
  <c r="Q2432" i="13"/>
  <c r="Q2440" i="13"/>
  <c r="Q2448" i="13"/>
  <c r="Q2456" i="13"/>
  <c r="Q2464" i="13"/>
  <c r="Q2472" i="13"/>
  <c r="Q2480" i="13"/>
  <c r="Q2488" i="13"/>
  <c r="Q2496" i="13"/>
  <c r="Q2504" i="13"/>
  <c r="Q2512" i="13"/>
  <c r="Q2520" i="13"/>
  <c r="Q2528" i="13"/>
  <c r="Q2536" i="13"/>
  <c r="Q2544" i="13"/>
  <c r="Q2552" i="13"/>
  <c r="Q2560" i="13"/>
  <c r="Q2568" i="13"/>
  <c r="Q2576" i="13"/>
  <c r="Q2584" i="13"/>
  <c r="Q2592" i="13"/>
  <c r="Q2600" i="13"/>
  <c r="Q2608" i="13"/>
  <c r="Q2616" i="13"/>
  <c r="Q2624" i="13"/>
  <c r="Q2632" i="13"/>
  <c r="Q2640" i="13"/>
  <c r="Q2648" i="13"/>
  <c r="Q2656" i="13"/>
  <c r="Q2664" i="13"/>
  <c r="Q2672" i="13"/>
  <c r="Q2680" i="13"/>
  <c r="Q2688" i="13"/>
  <c r="Q2696" i="13"/>
  <c r="Q2704" i="13"/>
  <c r="Q2712" i="13"/>
  <c r="Q2720" i="13"/>
  <c r="Q2728" i="13"/>
  <c r="Q25" i="13"/>
  <c r="Q57" i="13"/>
  <c r="Q89" i="13"/>
  <c r="Q121" i="13"/>
  <c r="Q153" i="13"/>
  <c r="Q185" i="13"/>
  <c r="Q217" i="13"/>
  <c r="Q233" i="13"/>
  <c r="Q265" i="13"/>
  <c r="Q281" i="13"/>
  <c r="Q313" i="13"/>
  <c r="Q345" i="13"/>
  <c r="Q372" i="13"/>
  <c r="Q393" i="13"/>
  <c r="Q415" i="13"/>
  <c r="Q436" i="13"/>
  <c r="Q457" i="13"/>
  <c r="Q479" i="13"/>
  <c r="Q489" i="13"/>
  <c r="Q511" i="13"/>
  <c r="Q521" i="13"/>
  <c r="Q543" i="13"/>
  <c r="Q564" i="13"/>
  <c r="Q585" i="13"/>
  <c r="Q607" i="13"/>
  <c r="Q628" i="13"/>
  <c r="Q649" i="13"/>
  <c r="Q671" i="13"/>
  <c r="Q692" i="13"/>
  <c r="Q713" i="13"/>
  <c r="Q735" i="13"/>
  <c r="Q756" i="13"/>
  <c r="Q777" i="13"/>
  <c r="Q799" i="13"/>
  <c r="Q820" i="13"/>
  <c r="Q841" i="13"/>
  <c r="Q863" i="13"/>
  <c r="Q883" i="13"/>
  <c r="Q899" i="13"/>
  <c r="Q915" i="13"/>
  <c r="Q931" i="13"/>
  <c r="Q947" i="13"/>
  <c r="Q963" i="13"/>
  <c r="Q979" i="13"/>
  <c r="Q995" i="13"/>
  <c r="Q1003" i="13"/>
  <c r="Q1019" i="13"/>
  <c r="Q1035" i="13"/>
  <c r="Q1043" i="13"/>
  <c r="Q1059" i="13"/>
  <c r="Q1075" i="13"/>
  <c r="Q1091" i="13"/>
  <c r="Q1099" i="13"/>
  <c r="Q1115" i="13"/>
  <c r="Q1131" i="13"/>
  <c r="Q1147" i="13"/>
  <c r="Q1163" i="13"/>
  <c r="Q1179" i="13"/>
  <c r="Q1195" i="13"/>
  <c r="Q1211" i="13"/>
  <c r="Q1227" i="13"/>
  <c r="Q1243" i="13"/>
  <c r="Q1259" i="13"/>
  <c r="Q1275" i="13"/>
  <c r="Q1291" i="13"/>
  <c r="Q1307" i="13"/>
  <c r="Q1323" i="13"/>
  <c r="Q1339" i="13"/>
  <c r="Q1355" i="13"/>
  <c r="Q1371" i="13"/>
  <c r="Q1387" i="13"/>
  <c r="Q1403" i="13"/>
  <c r="Q1419" i="13"/>
  <c r="Q1435" i="13"/>
  <c r="Q1451" i="13"/>
  <c r="Q1467" i="13"/>
  <c r="Q1483" i="13"/>
  <c r="Q1499" i="13"/>
  <c r="Q1515" i="13"/>
  <c r="Q1531" i="13"/>
  <c r="Q1547" i="13"/>
  <c r="Q1563" i="13"/>
  <c r="Q1579" i="13"/>
  <c r="Q1595" i="13"/>
  <c r="Q1611" i="13"/>
  <c r="Q1627" i="13"/>
  <c r="Q1643" i="13"/>
  <c r="Q1659" i="13"/>
  <c r="Q1675" i="13"/>
  <c r="Q1691" i="13"/>
  <c r="Q1699" i="13"/>
  <c r="Q1715" i="13"/>
  <c r="Q1731" i="13"/>
  <c r="Q1747" i="13"/>
  <c r="Q1763" i="13"/>
  <c r="Q1779" i="13"/>
  <c r="Q1795" i="13"/>
  <c r="Q1811" i="13"/>
  <c r="Q1827" i="13"/>
  <c r="Q1843" i="13"/>
  <c r="Q1859" i="13"/>
  <c r="Q1875" i="13"/>
  <c r="Q1883" i="13"/>
  <c r="Q1899" i="13"/>
  <c r="Q1915" i="13"/>
  <c r="Q1931" i="13"/>
  <c r="Q1947" i="13"/>
  <c r="Q1963" i="13"/>
  <c r="Q1979" i="13"/>
  <c r="Q1995" i="13"/>
  <c r="Q2011" i="13"/>
  <c r="Q2027" i="13"/>
  <c r="Q2043" i="13"/>
  <c r="Q2059" i="13"/>
  <c r="Q2075" i="13"/>
  <c r="Q2083" i="13"/>
  <c r="Q2099" i="13"/>
  <c r="Q2115" i="13"/>
  <c r="Q2131" i="13"/>
  <c r="Q2147" i="13"/>
  <c r="Q2155" i="13"/>
  <c r="Q2171" i="13"/>
  <c r="Q2187" i="13"/>
  <c r="Q2203" i="13"/>
  <c r="Q2211" i="13"/>
  <c r="Q2227" i="13"/>
  <c r="Q2243" i="13"/>
  <c r="Q2259" i="13"/>
  <c r="Q2275" i="13"/>
  <c r="Q2291" i="13"/>
  <c r="Q2307" i="13"/>
  <c r="Q2323" i="13"/>
  <c r="Q2339" i="13"/>
  <c r="Q2347" i="13"/>
  <c r="Q2363" i="13"/>
  <c r="Q2379" i="13"/>
  <c r="Q2395" i="13"/>
  <c r="Q2411" i="13"/>
  <c r="Q2427" i="13"/>
  <c r="Q2443" i="13"/>
  <c r="Q2459" i="13"/>
  <c r="Q2475" i="13"/>
  <c r="Q2491" i="13"/>
  <c r="Q2507" i="13"/>
  <c r="Q2523" i="13"/>
  <c r="Q2539" i="13"/>
  <c r="Q2555" i="13"/>
  <c r="Q2571" i="13"/>
  <c r="Q2587" i="13"/>
  <c r="Q2603" i="13"/>
  <c r="Q2619" i="13"/>
  <c r="Q2627" i="13"/>
  <c r="Q2643" i="13"/>
  <c r="Q2659" i="13"/>
  <c r="Q2675" i="13"/>
  <c r="Q2691" i="13"/>
  <c r="Q2707" i="13"/>
  <c r="Q2723" i="13"/>
  <c r="Q12" i="13"/>
  <c r="Q76" i="13"/>
  <c r="Q140" i="13"/>
  <c r="Q204" i="13"/>
  <c r="Q268" i="13"/>
  <c r="Q332" i="13"/>
  <c r="Q384" i="13"/>
  <c r="Q427" i="13"/>
  <c r="Q469" i="13"/>
  <c r="Q512" i="13"/>
  <c r="Q555" i="13"/>
  <c r="Q597" i="13"/>
  <c r="Q640" i="13"/>
  <c r="Q683" i="13"/>
  <c r="Q725" i="13"/>
  <c r="Q768" i="13"/>
  <c r="Q811" i="13"/>
  <c r="Q853" i="13"/>
  <c r="Q892" i="13"/>
  <c r="Q924" i="13"/>
  <c r="Q956" i="13"/>
  <c r="Q988" i="13"/>
  <c r="Q1020" i="13"/>
  <c r="Q1052" i="13"/>
  <c r="Q1084" i="13"/>
  <c r="Q1116" i="13"/>
  <c r="Q1148" i="13"/>
  <c r="Q1180" i="13"/>
  <c r="Q1212" i="13"/>
  <c r="Q1244" i="13"/>
  <c r="Q1276" i="13"/>
  <c r="Q1308" i="13"/>
  <c r="Q1340" i="13"/>
  <c r="Q1372" i="13"/>
  <c r="Q1404" i="13"/>
  <c r="Q1436" i="13"/>
  <c r="Q1468" i="13"/>
  <c r="Q1500" i="13"/>
  <c r="Q1532" i="13"/>
  <c r="Q1564" i="13"/>
  <c r="Q1596" i="13"/>
  <c r="Q1628" i="13"/>
  <c r="Q1660" i="13"/>
  <c r="Q1692" i="13"/>
  <c r="Q1724" i="13"/>
  <c r="Q1756" i="13"/>
  <c r="Q1788" i="13"/>
  <c r="Q1820" i="13"/>
  <c r="Q1852" i="13"/>
  <c r="Q1884" i="13"/>
  <c r="Q1916" i="13"/>
  <c r="Q1948" i="13"/>
  <c r="Q1980" i="13"/>
  <c r="Q2012" i="13"/>
  <c r="Q2044" i="13"/>
  <c r="Q2076" i="13"/>
  <c r="Q2108" i="13"/>
  <c r="Q2140" i="13"/>
  <c r="Q2204" i="13"/>
  <c r="Q2236" i="13"/>
  <c r="Q2268" i="13"/>
  <c r="Q2300" i="13"/>
  <c r="Q2332" i="13"/>
  <c r="Q2364" i="13"/>
  <c r="Q2396" i="13"/>
  <c r="Q2428" i="13"/>
  <c r="Q2460" i="13"/>
  <c r="Q2492" i="13"/>
  <c r="Q2524" i="13"/>
  <c r="Q2556" i="13"/>
  <c r="Q2588" i="13"/>
  <c r="Q2620" i="13"/>
  <c r="Q2652" i="13"/>
  <c r="Q2684" i="13"/>
  <c r="Q2716" i="13"/>
  <c r="Q44" i="13"/>
  <c r="Q108" i="13"/>
  <c r="Q172" i="13"/>
  <c r="Q236" i="13"/>
  <c r="Q300" i="13"/>
  <c r="Q363" i="13"/>
  <c r="Q405" i="13"/>
  <c r="Q448" i="13"/>
  <c r="Q491" i="13"/>
  <c r="Q533" i="13"/>
  <c r="Q576" i="13"/>
  <c r="Q619" i="13"/>
  <c r="Q661" i="13"/>
  <c r="Q704" i="13"/>
  <c r="Q747" i="13"/>
  <c r="Q789" i="13"/>
  <c r="Q832" i="13"/>
  <c r="Q875" i="13"/>
  <c r="Q908" i="13"/>
  <c r="Q940" i="13"/>
  <c r="Q972" i="13"/>
  <c r="Q1004" i="13"/>
  <c r="Q1036" i="13"/>
  <c r="Q1068" i="13"/>
  <c r="Q1100" i="13"/>
  <c r="Q1132" i="13"/>
  <c r="Q1164" i="13"/>
  <c r="Q1196" i="13"/>
  <c r="Q1228" i="13"/>
  <c r="Q1260" i="13"/>
  <c r="Q1292" i="13"/>
  <c r="Q1324" i="13"/>
  <c r="Q1356" i="13"/>
  <c r="Q1388" i="13"/>
  <c r="Q1420" i="13"/>
  <c r="Q1452" i="13"/>
  <c r="Q1484" i="13"/>
  <c r="Q1516" i="13"/>
  <c r="Q1548" i="13"/>
  <c r="Q1580" i="13"/>
  <c r="Q1612" i="13"/>
  <c r="Q1644" i="13"/>
  <c r="Q1676" i="13"/>
  <c r="Q1708" i="13"/>
  <c r="Q1740" i="13"/>
  <c r="Q1772" i="13"/>
  <c r="Q1804" i="13"/>
  <c r="Q1836" i="13"/>
  <c r="Q1868" i="13"/>
  <c r="Q1900" i="13"/>
  <c r="Q1932" i="13"/>
  <c r="Q1964" i="13"/>
  <c r="Q1996" i="13"/>
  <c r="Q2028" i="13"/>
  <c r="Q2060" i="13"/>
  <c r="Q2092" i="13"/>
  <c r="Q2124" i="13"/>
  <c r="Q2156" i="13"/>
  <c r="Q2188" i="13"/>
  <c r="Q2220" i="13"/>
  <c r="Q2252" i="13"/>
  <c r="Q2284" i="13"/>
  <c r="Q2316" i="13"/>
  <c r="Q2348" i="13"/>
  <c r="Q2380" i="13"/>
  <c r="Q2412" i="13"/>
  <c r="Q2444" i="13"/>
  <c r="Q2476" i="13"/>
  <c r="Q2508" i="13"/>
  <c r="Q2540" i="13"/>
  <c r="Q2572" i="13"/>
  <c r="Q2604" i="13"/>
  <c r="Q2636" i="13"/>
  <c r="Q2668" i="13"/>
  <c r="Q2700" i="13"/>
  <c r="Q60" i="13"/>
  <c r="Q124" i="13"/>
  <c r="Q188" i="13"/>
  <c r="Q252" i="13"/>
  <c r="Q316" i="13"/>
  <c r="Q373" i="13"/>
  <c r="Q416" i="13"/>
  <c r="Q459" i="13"/>
  <c r="Q501" i="13"/>
  <c r="Q544" i="13"/>
  <c r="Q587" i="13"/>
  <c r="Q629" i="13"/>
  <c r="Q672" i="13"/>
  <c r="Q715" i="13"/>
  <c r="Q757" i="13"/>
  <c r="Q800" i="13"/>
  <c r="Q843" i="13"/>
  <c r="Q884" i="13"/>
  <c r="Q916" i="13"/>
  <c r="Q948" i="13"/>
  <c r="Q980" i="13"/>
  <c r="Q1012" i="13"/>
  <c r="Q1044" i="13"/>
  <c r="Q1076" i="13"/>
  <c r="Q1108" i="13"/>
  <c r="Q1140" i="13"/>
  <c r="Q1172" i="13"/>
  <c r="Q1204" i="13"/>
  <c r="Q1236" i="13"/>
  <c r="Q1268" i="13"/>
  <c r="Q1300" i="13"/>
  <c r="Q1332" i="13"/>
  <c r="Q1364" i="13"/>
  <c r="Q1396" i="13"/>
  <c r="Q1428" i="13"/>
  <c r="Q1460" i="13"/>
  <c r="Q1492" i="13"/>
  <c r="Q1524" i="13"/>
  <c r="Q1556" i="13"/>
  <c r="Q1588" i="13"/>
  <c r="Q1620" i="13"/>
  <c r="Q1652" i="13"/>
  <c r="Q1684" i="13"/>
  <c r="Q1716" i="13"/>
  <c r="Q1748" i="13"/>
  <c r="Q1780" i="13"/>
  <c r="Q1812" i="13"/>
  <c r="Q1844" i="13"/>
  <c r="Q1876" i="13"/>
  <c r="Q1908" i="13"/>
  <c r="Q1940" i="13"/>
  <c r="Q1972" i="13"/>
  <c r="Q2004" i="13"/>
  <c r="Q2036" i="13"/>
  <c r="Q2068" i="13"/>
  <c r="Q2100" i="13"/>
  <c r="Q2132" i="13"/>
  <c r="Q2164" i="13"/>
  <c r="Q2196" i="13"/>
  <c r="Q2228" i="13"/>
  <c r="Q2260" i="13"/>
  <c r="Q2292" i="13"/>
  <c r="Q2324" i="13"/>
  <c r="Q2356" i="13"/>
  <c r="Q2388" i="13"/>
  <c r="Q2420" i="13"/>
  <c r="Q2452" i="13"/>
  <c r="Q2484" i="13"/>
  <c r="Q2516" i="13"/>
  <c r="Q2548" i="13"/>
  <c r="Q2580" i="13"/>
  <c r="Q2612" i="13"/>
  <c r="Q2644" i="13"/>
  <c r="Q2676" i="13"/>
  <c r="Q2708" i="13"/>
  <c r="Q2172" i="13"/>
  <c r="Q28" i="13"/>
  <c r="Q92" i="13"/>
  <c r="Q156" i="13"/>
  <c r="Q220" i="13"/>
  <c r="Q284" i="13"/>
  <c r="Q348" i="13"/>
  <c r="Q395" i="13"/>
  <c r="Q437" i="13"/>
  <c r="Q480" i="13"/>
  <c r="Q523" i="13"/>
  <c r="Q565" i="13"/>
  <c r="Q608" i="13"/>
  <c r="Q651" i="13"/>
  <c r="Q693" i="13"/>
  <c r="Q736" i="13"/>
  <c r="Q779" i="13"/>
  <c r="Q821" i="13"/>
  <c r="Q864" i="13"/>
  <c r="Q900" i="13"/>
  <c r="Q932" i="13"/>
  <c r="Q964" i="13"/>
  <c r="Q996" i="13"/>
  <c r="Q1028" i="13"/>
  <c r="Q1060" i="13"/>
  <c r="Q1092" i="13"/>
  <c r="Q1124" i="13"/>
  <c r="Q1156" i="13"/>
  <c r="Q1188" i="13"/>
  <c r="Q1220" i="13"/>
  <c r="Q1252" i="13"/>
  <c r="Q1284" i="13"/>
  <c r="Q1316" i="13"/>
  <c r="Q1348" i="13"/>
  <c r="Q1380" i="13"/>
  <c r="Q1412" i="13"/>
  <c r="Q1444" i="13"/>
  <c r="Q1476" i="13"/>
  <c r="Q1508" i="13"/>
  <c r="Q1540" i="13"/>
  <c r="Q1572" i="13"/>
  <c r="Q1604" i="13"/>
  <c r="Q1636" i="13"/>
  <c r="Q1668" i="13"/>
  <c r="Q1700" i="13"/>
  <c r="Q1732" i="13"/>
  <c r="Q1764" i="13"/>
  <c r="Q1796" i="13"/>
  <c r="Q1828" i="13"/>
  <c r="Q1860" i="13"/>
  <c r="Q1892" i="13"/>
  <c r="Q1924" i="13"/>
  <c r="Q1956" i="13"/>
  <c r="Q1988" i="13"/>
  <c r="Q2020" i="13"/>
  <c r="Q2052" i="13"/>
  <c r="Q2084" i="13"/>
  <c r="Q2116" i="13"/>
  <c r="Q2148" i="13"/>
  <c r="Q2180" i="13"/>
  <c r="Q2212" i="13"/>
  <c r="Q2244" i="13"/>
  <c r="Q2276" i="13"/>
  <c r="Q2308" i="13"/>
  <c r="Q2340" i="13"/>
  <c r="Q2372" i="13"/>
  <c r="Q2404" i="13"/>
  <c r="Q2436" i="13"/>
  <c r="Q2468" i="13"/>
  <c r="Q2500" i="13"/>
  <c r="Q2532" i="13"/>
  <c r="Q2564" i="13"/>
  <c r="Q2596" i="13"/>
  <c r="Q2628" i="13"/>
  <c r="Q2660" i="13"/>
  <c r="Q2692" i="13"/>
  <c r="Q2724" i="13"/>
  <c r="T12" i="13"/>
  <c r="T16" i="13"/>
  <c r="T20" i="13"/>
  <c r="T24" i="13"/>
  <c r="T28" i="13"/>
  <c r="T32" i="13"/>
  <c r="T36" i="13"/>
  <c r="T40" i="13"/>
  <c r="T44" i="13"/>
  <c r="T48" i="13"/>
  <c r="T52" i="13"/>
  <c r="T56" i="13"/>
  <c r="T60" i="13"/>
  <c r="T64" i="13"/>
  <c r="T68" i="13"/>
  <c r="T72" i="13"/>
  <c r="T76" i="13"/>
  <c r="T80" i="13"/>
  <c r="T84" i="13"/>
  <c r="T88" i="13"/>
  <c r="T92" i="13"/>
  <c r="T96" i="13"/>
  <c r="T100" i="13"/>
  <c r="T104" i="13"/>
  <c r="T108" i="13"/>
  <c r="T112" i="13"/>
  <c r="T116" i="13"/>
  <c r="T120" i="13"/>
  <c r="T124" i="13"/>
  <c r="T128" i="13"/>
  <c r="T132" i="13"/>
  <c r="T136" i="13"/>
  <c r="T140" i="13"/>
  <c r="T144" i="13"/>
  <c r="T148" i="13"/>
  <c r="T152" i="13"/>
  <c r="T156" i="13"/>
  <c r="T160" i="13"/>
  <c r="T164" i="13"/>
  <c r="T168" i="13"/>
  <c r="T172" i="13"/>
  <c r="T176" i="13"/>
  <c r="T180" i="13"/>
  <c r="T184" i="13"/>
  <c r="T188" i="13"/>
  <c r="T192" i="13"/>
  <c r="T196" i="13"/>
  <c r="T13" i="13"/>
  <c r="T17" i="13"/>
  <c r="T21" i="13"/>
  <c r="T25" i="13"/>
  <c r="T29" i="13"/>
  <c r="T33" i="13"/>
  <c r="T37" i="13"/>
  <c r="T41" i="13"/>
  <c r="T45" i="13"/>
  <c r="T49" i="13"/>
  <c r="T53" i="13"/>
  <c r="T57" i="13"/>
  <c r="T61" i="13"/>
  <c r="T65" i="13"/>
  <c r="T69" i="13"/>
  <c r="T73" i="13"/>
  <c r="T77" i="13"/>
  <c r="T81" i="13"/>
  <c r="T85" i="13"/>
  <c r="T89" i="13"/>
  <c r="T93" i="13"/>
  <c r="T97" i="13"/>
  <c r="T101" i="13"/>
  <c r="T105" i="13"/>
  <c r="T109" i="13"/>
  <c r="T113" i="13"/>
  <c r="T117" i="13"/>
  <c r="T121" i="13"/>
  <c r="T125" i="13"/>
  <c r="T129" i="13"/>
  <c r="T133" i="13"/>
  <c r="T137" i="13"/>
  <c r="T141" i="13"/>
  <c r="T145" i="13"/>
  <c r="T149" i="13"/>
  <c r="T153" i="13"/>
  <c r="T157" i="13"/>
  <c r="T161" i="13"/>
  <c r="T165" i="13"/>
  <c r="T169" i="13"/>
  <c r="T173" i="13"/>
  <c r="T177" i="13"/>
  <c r="T181" i="13"/>
  <c r="T14" i="13"/>
  <c r="T22" i="13"/>
  <c r="T30" i="13"/>
  <c r="T38" i="13"/>
  <c r="T46" i="13"/>
  <c r="T54" i="13"/>
  <c r="T62" i="13"/>
  <c r="T70" i="13"/>
  <c r="T78" i="13"/>
  <c r="T86" i="13"/>
  <c r="T94" i="13"/>
  <c r="T102" i="13"/>
  <c r="T110" i="13"/>
  <c r="T118" i="13"/>
  <c r="T126" i="13"/>
  <c r="T134" i="13"/>
  <c r="T142" i="13"/>
  <c r="T150" i="13"/>
  <c r="T158" i="13"/>
  <c r="T166" i="13"/>
  <c r="T174" i="13"/>
  <c r="T182" i="13"/>
  <c r="T187" i="13"/>
  <c r="T193" i="13"/>
  <c r="T198" i="13"/>
  <c r="T202" i="13"/>
  <c r="T206" i="13"/>
  <c r="T210" i="13"/>
  <c r="T214" i="13"/>
  <c r="T218" i="13"/>
  <c r="T222" i="13"/>
  <c r="T226" i="13"/>
  <c r="T230" i="13"/>
  <c r="T234" i="13"/>
  <c r="T238" i="13"/>
  <c r="T242" i="13"/>
  <c r="T246" i="13"/>
  <c r="T250" i="13"/>
  <c r="T254" i="13"/>
  <c r="T258" i="13"/>
  <c r="T262" i="13"/>
  <c r="T266" i="13"/>
  <c r="T270" i="13"/>
  <c r="T274" i="13"/>
  <c r="T278" i="13"/>
  <c r="T282" i="13"/>
  <c r="T286" i="13"/>
  <c r="T290" i="13"/>
  <c r="T294" i="13"/>
  <c r="T298" i="13"/>
  <c r="T302" i="13"/>
  <c r="T306" i="13"/>
  <c r="T310" i="13"/>
  <c r="T314" i="13"/>
  <c r="T318" i="13"/>
  <c r="T322" i="13"/>
  <c r="T326" i="13"/>
  <c r="T330" i="13"/>
  <c r="T334" i="13"/>
  <c r="T338" i="13"/>
  <c r="T342" i="13"/>
  <c r="T346" i="13"/>
  <c r="T350" i="13"/>
  <c r="T354" i="13"/>
  <c r="T358" i="13"/>
  <c r="T362" i="13"/>
  <c r="T366" i="13"/>
  <c r="T370" i="13"/>
  <c r="T374" i="13"/>
  <c r="T378" i="13"/>
  <c r="T382" i="13"/>
  <c r="T386" i="13"/>
  <c r="T390" i="13"/>
  <c r="T394" i="13"/>
  <c r="T398" i="13"/>
  <c r="T402" i="13"/>
  <c r="T406" i="13"/>
  <c r="T410" i="13"/>
  <c r="T414" i="13"/>
  <c r="T418" i="13"/>
  <c r="T422" i="13"/>
  <c r="T426" i="13"/>
  <c r="T430" i="13"/>
  <c r="T434" i="13"/>
  <c r="T438" i="13"/>
  <c r="T442" i="13"/>
  <c r="T446" i="13"/>
  <c r="T450" i="13"/>
  <c r="T454" i="13"/>
  <c r="T458" i="13"/>
  <c r="T462" i="13"/>
  <c r="T466" i="13"/>
  <c r="T470" i="13"/>
  <c r="T474" i="13"/>
  <c r="T478" i="13"/>
  <c r="T482" i="13"/>
  <c r="T486" i="13"/>
  <c r="T490" i="13"/>
  <c r="T494" i="13"/>
  <c r="T498" i="13"/>
  <c r="T502" i="13"/>
  <c r="T506" i="13"/>
  <c r="T510" i="13"/>
  <c r="T514" i="13"/>
  <c r="T518" i="13"/>
  <c r="T522" i="13"/>
  <c r="T526" i="13"/>
  <c r="T530" i="13"/>
  <c r="T534" i="13"/>
  <c r="T538" i="13"/>
  <c r="T542" i="13"/>
  <c r="T546" i="13"/>
  <c r="T550" i="13"/>
  <c r="T554" i="13"/>
  <c r="T558" i="13"/>
  <c r="T562" i="13"/>
  <c r="T566" i="13"/>
  <c r="T570" i="13"/>
  <c r="T574" i="13"/>
  <c r="T578" i="13"/>
  <c r="T582" i="13"/>
  <c r="T586" i="13"/>
  <c r="T590" i="13"/>
  <c r="T594" i="13"/>
  <c r="T598" i="13"/>
  <c r="T602" i="13"/>
  <c r="T606" i="13"/>
  <c r="T610" i="13"/>
  <c r="T614" i="13"/>
  <c r="T618" i="13"/>
  <c r="T622" i="13"/>
  <c r="T626" i="13"/>
  <c r="T630" i="13"/>
  <c r="T634" i="13"/>
  <c r="T638" i="13"/>
  <c r="T642" i="13"/>
  <c r="T646" i="13"/>
  <c r="T650" i="13"/>
  <c r="T654" i="13"/>
  <c r="T658" i="13"/>
  <c r="T662" i="13"/>
  <c r="T666" i="13"/>
  <c r="T670" i="13"/>
  <c r="T674" i="13"/>
  <c r="T678" i="13"/>
  <c r="T682" i="13"/>
  <c r="T686" i="13"/>
  <c r="T690" i="13"/>
  <c r="T694" i="13"/>
  <c r="T698" i="13"/>
  <c r="T702" i="13"/>
  <c r="T706" i="13"/>
  <c r="T710" i="13"/>
  <c r="T714" i="13"/>
  <c r="T718" i="13"/>
  <c r="T722" i="13"/>
  <c r="T726" i="13"/>
  <c r="T730" i="13"/>
  <c r="T734" i="13"/>
  <c r="T738" i="13"/>
  <c r="T742" i="13"/>
  <c r="T746" i="13"/>
  <c r="T750" i="13"/>
  <c r="T754" i="13"/>
  <c r="T758" i="13"/>
  <c r="T762" i="13"/>
  <c r="T766" i="13"/>
  <c r="T770" i="13"/>
  <c r="T774" i="13"/>
  <c r="T778" i="13"/>
  <c r="T782" i="13"/>
  <c r="T786" i="13"/>
  <c r="T790" i="13"/>
  <c r="T794" i="13"/>
  <c r="T798" i="13"/>
  <c r="T802" i="13"/>
  <c r="T806" i="13"/>
  <c r="T810" i="13"/>
  <c r="T814" i="13"/>
  <c r="T818" i="13"/>
  <c r="T822" i="13"/>
  <c r="T826" i="13"/>
  <c r="T830" i="13"/>
  <c r="T834" i="13"/>
  <c r="T838" i="13"/>
  <c r="T842" i="13"/>
  <c r="T846" i="13"/>
  <c r="T850" i="13"/>
  <c r="T854" i="13"/>
  <c r="T858" i="13"/>
  <c r="T862" i="13"/>
  <c r="T866" i="13"/>
  <c r="T870" i="13"/>
  <c r="T874" i="13"/>
  <c r="T878" i="13"/>
  <c r="T882" i="13"/>
  <c r="T886" i="13"/>
  <c r="T890" i="13"/>
  <c r="T894" i="13"/>
  <c r="T898" i="13"/>
  <c r="T902" i="13"/>
  <c r="T906" i="13"/>
  <c r="T910" i="13"/>
  <c r="T914" i="13"/>
  <c r="T918" i="13"/>
  <c r="T922" i="13"/>
  <c r="T926" i="13"/>
  <c r="T930" i="13"/>
  <c r="T934" i="13"/>
  <c r="T938" i="13"/>
  <c r="T942" i="13"/>
  <c r="T946" i="13"/>
  <c r="T950" i="13"/>
  <c r="T954" i="13"/>
  <c r="T958" i="13"/>
  <c r="T962" i="13"/>
  <c r="T966" i="13"/>
  <c r="T970" i="13"/>
  <c r="T974" i="13"/>
  <c r="T978" i="13"/>
  <c r="T982" i="13"/>
  <c r="T986" i="13"/>
  <c r="T990" i="13"/>
  <c r="T994" i="13"/>
  <c r="T998" i="13"/>
  <c r="T1002" i="13"/>
  <c r="T1006" i="13"/>
  <c r="T1010" i="13"/>
  <c r="T1014" i="13"/>
  <c r="T1018" i="13"/>
  <c r="T1022" i="13"/>
  <c r="T1026" i="13"/>
  <c r="T1030" i="13"/>
  <c r="T1034" i="13"/>
  <c r="T1038" i="13"/>
  <c r="T1042" i="13"/>
  <c r="T1046" i="13"/>
  <c r="T1050" i="13"/>
  <c r="T1054" i="13"/>
  <c r="T1058" i="13"/>
  <c r="T1062" i="13"/>
  <c r="T1066" i="13"/>
  <c r="T1070" i="13"/>
  <c r="T1074" i="13"/>
  <c r="T1078" i="13"/>
  <c r="T1082" i="13"/>
  <c r="T1086" i="13"/>
  <c r="T1090" i="13"/>
  <c r="T1094" i="13"/>
  <c r="T1098" i="13"/>
  <c r="T1102" i="13"/>
  <c r="T1106" i="13"/>
  <c r="T1110" i="13"/>
  <c r="T1114" i="13"/>
  <c r="T1118" i="13"/>
  <c r="T1122" i="13"/>
  <c r="T1126" i="13"/>
  <c r="T1130" i="13"/>
  <c r="T1134" i="13"/>
  <c r="T1138" i="13"/>
  <c r="T1142" i="13"/>
  <c r="T1146" i="13"/>
  <c r="T1150" i="13"/>
  <c r="T1154" i="13"/>
  <c r="T1158" i="13"/>
  <c r="T1162" i="13"/>
  <c r="T1166" i="13"/>
  <c r="T1170" i="13"/>
  <c r="T1174" i="13"/>
  <c r="T1178" i="13"/>
  <c r="T1182" i="13"/>
  <c r="T1186" i="13"/>
  <c r="T1190" i="13"/>
  <c r="T1194" i="13"/>
  <c r="T1198" i="13"/>
  <c r="T1202" i="13"/>
  <c r="T1206" i="13"/>
  <c r="T1210" i="13"/>
  <c r="T1214" i="13"/>
  <c r="T1218" i="13"/>
  <c r="T1222" i="13"/>
  <c r="T1226" i="13"/>
  <c r="T1230" i="13"/>
  <c r="T1234" i="13"/>
  <c r="T1238" i="13"/>
  <c r="T1242" i="13"/>
  <c r="T1246" i="13"/>
  <c r="T1250" i="13"/>
  <c r="T1254" i="13"/>
  <c r="T1258" i="13"/>
  <c r="T1262" i="13"/>
  <c r="T1266" i="13"/>
  <c r="T1270" i="13"/>
  <c r="T1274" i="13"/>
  <c r="T1278" i="13"/>
  <c r="T1282" i="13"/>
  <c r="T1286" i="13"/>
  <c r="T1290" i="13"/>
  <c r="T1294" i="13"/>
  <c r="T1298" i="13"/>
  <c r="T1302" i="13"/>
  <c r="T1306" i="13"/>
  <c r="T1310" i="13"/>
  <c r="T1314" i="13"/>
  <c r="T1318" i="13"/>
  <c r="T1322" i="13"/>
  <c r="T1326" i="13"/>
  <c r="T1330" i="13"/>
  <c r="T1334" i="13"/>
  <c r="T1338" i="13"/>
  <c r="T1342" i="13"/>
  <c r="T1346" i="13"/>
  <c r="T1350" i="13"/>
  <c r="T1354" i="13"/>
  <c r="T1358" i="13"/>
  <c r="T1362" i="13"/>
  <c r="T1366" i="13"/>
  <c r="T1370" i="13"/>
  <c r="T1374" i="13"/>
  <c r="T1378" i="13"/>
  <c r="T1382" i="13"/>
  <c r="T1386" i="13"/>
  <c r="T1390" i="13"/>
  <c r="T1394" i="13"/>
  <c r="T1398" i="13"/>
  <c r="T1402" i="13"/>
  <c r="T1406" i="13"/>
  <c r="T1410" i="13"/>
  <c r="T1414" i="13"/>
  <c r="T1418" i="13"/>
  <c r="T1422" i="13"/>
  <c r="T1426" i="13"/>
  <c r="T1430" i="13"/>
  <c r="T1434" i="13"/>
  <c r="T1438" i="13"/>
  <c r="T1442" i="13"/>
  <c r="T1446" i="13"/>
  <c r="T1450" i="13"/>
  <c r="T1454" i="13"/>
  <c r="T1458" i="13"/>
  <c r="T1462" i="13"/>
  <c r="T1466" i="13"/>
  <c r="T1470" i="13"/>
  <c r="T1474" i="13"/>
  <c r="T1478" i="13"/>
  <c r="T1482" i="13"/>
  <c r="T1486" i="13"/>
  <c r="T1490" i="13"/>
  <c r="T1494" i="13"/>
  <c r="T1498" i="13"/>
  <c r="T1502" i="13"/>
  <c r="T1506" i="13"/>
  <c r="T1510" i="13"/>
  <c r="T1514" i="13"/>
  <c r="T1518" i="13"/>
  <c r="T1522" i="13"/>
  <c r="T1526" i="13"/>
  <c r="T1530" i="13"/>
  <c r="T1534" i="13"/>
  <c r="T1538" i="13"/>
  <c r="T1542" i="13"/>
  <c r="T1546" i="13"/>
  <c r="T1550" i="13"/>
  <c r="T1554" i="13"/>
  <c r="T1558" i="13"/>
  <c r="T1562" i="13"/>
  <c r="T1566" i="13"/>
  <c r="T1570" i="13"/>
  <c r="T1574" i="13"/>
  <c r="T1578" i="13"/>
  <c r="T1582" i="13"/>
  <c r="T1586" i="13"/>
  <c r="T1590" i="13"/>
  <c r="T1594" i="13"/>
  <c r="T1598" i="13"/>
  <c r="T1602" i="13"/>
  <c r="T1606" i="13"/>
  <c r="T1610" i="13"/>
  <c r="T1614" i="13"/>
  <c r="T1618" i="13"/>
  <c r="T1622" i="13"/>
  <c r="T1626" i="13"/>
  <c r="T1630" i="13"/>
  <c r="T1634" i="13"/>
  <c r="T1638" i="13"/>
  <c r="T1642" i="13"/>
  <c r="T1646" i="13"/>
  <c r="T1650" i="13"/>
  <c r="T1654" i="13"/>
  <c r="T1658" i="13"/>
  <c r="T1662" i="13"/>
  <c r="T1666" i="13"/>
  <c r="T1670" i="13"/>
  <c r="T1674" i="13"/>
  <c r="T1678" i="13"/>
  <c r="T1682" i="13"/>
  <c r="T1686" i="13"/>
  <c r="T1690" i="13"/>
  <c r="T1694" i="13"/>
  <c r="T1698" i="13"/>
  <c r="T1702" i="13"/>
  <c r="T1706" i="13"/>
  <c r="T1710" i="13"/>
  <c r="T1714" i="13"/>
  <c r="T1718" i="13"/>
  <c r="T1722" i="13"/>
  <c r="T1726" i="13"/>
  <c r="T1730" i="13"/>
  <c r="T1734" i="13"/>
  <c r="T1738" i="13"/>
  <c r="T1742" i="13"/>
  <c r="T1746" i="13"/>
  <c r="T1750" i="13"/>
  <c r="T1754" i="13"/>
  <c r="T1758" i="13"/>
  <c r="T1762" i="13"/>
  <c r="T1766" i="13"/>
  <c r="T1770" i="13"/>
  <c r="T1774" i="13"/>
  <c r="T1778" i="13"/>
  <c r="T1782" i="13"/>
  <c r="T1786" i="13"/>
  <c r="T1790" i="13"/>
  <c r="T1794" i="13"/>
  <c r="T1798" i="13"/>
  <c r="T1802" i="13"/>
  <c r="T1806" i="13"/>
  <c r="T1810" i="13"/>
  <c r="T1814" i="13"/>
  <c r="T1818" i="13"/>
  <c r="T1822" i="13"/>
  <c r="T1826" i="13"/>
  <c r="T1830" i="13"/>
  <c r="T1834" i="13"/>
  <c r="T1838" i="13"/>
  <c r="T1842" i="13"/>
  <c r="T1846" i="13"/>
  <c r="T1850" i="13"/>
  <c r="T1854" i="13"/>
  <c r="T1858" i="13"/>
  <c r="T1862" i="13"/>
  <c r="T1866" i="13"/>
  <c r="T1870" i="13"/>
  <c r="T1874" i="13"/>
  <c r="T1878" i="13"/>
  <c r="T1882" i="13"/>
  <c r="T1886" i="13"/>
  <c r="T1890" i="13"/>
  <c r="T1894" i="13"/>
  <c r="T1898" i="13"/>
  <c r="T1902" i="13"/>
  <c r="T1906" i="13"/>
  <c r="T1910" i="13"/>
  <c r="T1914" i="13"/>
  <c r="T1918" i="13"/>
  <c r="T1922" i="13"/>
  <c r="T1926" i="13"/>
  <c r="T1930" i="13"/>
  <c r="T1934" i="13"/>
  <c r="T1938" i="13"/>
  <c r="T1942" i="13"/>
  <c r="T1946" i="13"/>
  <c r="T1950" i="13"/>
  <c r="T1954" i="13"/>
  <c r="T1958" i="13"/>
  <c r="T1962" i="13"/>
  <c r="T1966" i="13"/>
  <c r="T1970" i="13"/>
  <c r="T1974" i="13"/>
  <c r="T1978" i="13"/>
  <c r="T1982" i="13"/>
  <c r="T1986" i="13"/>
  <c r="T1990" i="13"/>
  <c r="T1994" i="13"/>
  <c r="T1998" i="13"/>
  <c r="T2002" i="13"/>
  <c r="T2006" i="13"/>
  <c r="T2010" i="13"/>
  <c r="T2014" i="13"/>
  <c r="T2018" i="13"/>
  <c r="T2022" i="13"/>
  <c r="T2026" i="13"/>
  <c r="T2030" i="13"/>
  <c r="T2034" i="13"/>
  <c r="T2038" i="13"/>
  <c r="T2042" i="13"/>
  <c r="T2046" i="13"/>
  <c r="T2050" i="13"/>
  <c r="T2054" i="13"/>
  <c r="T2058" i="13"/>
  <c r="T2062" i="13"/>
  <c r="T2066" i="13"/>
  <c r="T2070" i="13"/>
  <c r="T2074" i="13"/>
  <c r="T2078" i="13"/>
  <c r="T2082" i="13"/>
  <c r="T2086" i="13"/>
  <c r="T2090" i="13"/>
  <c r="T2094" i="13"/>
  <c r="T2098" i="13"/>
  <c r="T2102" i="13"/>
  <c r="T2106" i="13"/>
  <c r="T2110" i="13"/>
  <c r="T2114" i="13"/>
  <c r="T2118" i="13"/>
  <c r="T2122" i="13"/>
  <c r="T2126" i="13"/>
  <c r="T2130" i="13"/>
  <c r="T2134" i="13"/>
  <c r="T2138" i="13"/>
  <c r="T2142" i="13"/>
  <c r="T2146" i="13"/>
  <c r="T2150" i="13"/>
  <c r="T2154" i="13"/>
  <c r="T2158" i="13"/>
  <c r="T2162" i="13"/>
  <c r="T2166" i="13"/>
  <c r="T2170" i="13"/>
  <c r="T2174" i="13"/>
  <c r="T2178" i="13"/>
  <c r="T2182" i="13"/>
  <c r="T2186" i="13"/>
  <c r="T2190" i="13"/>
  <c r="T2194" i="13"/>
  <c r="T2198" i="13"/>
  <c r="T2202" i="13"/>
  <c r="T2206" i="13"/>
  <c r="T2210" i="13"/>
  <c r="T2214" i="13"/>
  <c r="T2218" i="13"/>
  <c r="T2222" i="13"/>
  <c r="T15" i="13"/>
  <c r="T23" i="13"/>
  <c r="T31" i="13"/>
  <c r="T39" i="13"/>
  <c r="T47" i="13"/>
  <c r="T55" i="13"/>
  <c r="T63" i="13"/>
  <c r="T71" i="13"/>
  <c r="T79" i="13"/>
  <c r="T87" i="13"/>
  <c r="T95" i="13"/>
  <c r="T103" i="13"/>
  <c r="T111" i="13"/>
  <c r="T119" i="13"/>
  <c r="T127" i="13"/>
  <c r="T135" i="13"/>
  <c r="T143" i="13"/>
  <c r="T151" i="13"/>
  <c r="T159" i="13"/>
  <c r="T167" i="13"/>
  <c r="T175" i="13"/>
  <c r="T183" i="13"/>
  <c r="T189" i="13"/>
  <c r="T194" i="13"/>
  <c r="T199" i="13"/>
  <c r="T203" i="13"/>
  <c r="T207" i="13"/>
  <c r="T211" i="13"/>
  <c r="T215" i="13"/>
  <c r="T219" i="13"/>
  <c r="T223" i="13"/>
  <c r="T227" i="13"/>
  <c r="T231" i="13"/>
  <c r="T235" i="13"/>
  <c r="T239" i="13"/>
  <c r="T243" i="13"/>
  <c r="T247" i="13"/>
  <c r="T251" i="13"/>
  <c r="T255" i="13"/>
  <c r="T259" i="13"/>
  <c r="T263" i="13"/>
  <c r="T267" i="13"/>
  <c r="T271" i="13"/>
  <c r="T275" i="13"/>
  <c r="T279" i="13"/>
  <c r="T283" i="13"/>
  <c r="T287" i="13"/>
  <c r="T291" i="13"/>
  <c r="T295" i="13"/>
  <c r="T299" i="13"/>
  <c r="T303" i="13"/>
  <c r="T307" i="13"/>
  <c r="T311" i="13"/>
  <c r="T315" i="13"/>
  <c r="T319" i="13"/>
  <c r="T323" i="13"/>
  <c r="T327" i="13"/>
  <c r="T331" i="13"/>
  <c r="T335" i="13"/>
  <c r="T339" i="13"/>
  <c r="T343" i="13"/>
  <c r="T347" i="13"/>
  <c r="T351" i="13"/>
  <c r="T355" i="13"/>
  <c r="T359" i="13"/>
  <c r="T363" i="13"/>
  <c r="T367" i="13"/>
  <c r="T371" i="13"/>
  <c r="T375" i="13"/>
  <c r="T379" i="13"/>
  <c r="T383" i="13"/>
  <c r="T387" i="13"/>
  <c r="T391" i="13"/>
  <c r="T395" i="13"/>
  <c r="T399" i="13"/>
  <c r="T403" i="13"/>
  <c r="T407" i="13"/>
  <c r="T411" i="13"/>
  <c r="T415" i="13"/>
  <c r="T419" i="13"/>
  <c r="T423" i="13"/>
  <c r="T427" i="13"/>
  <c r="T431" i="13"/>
  <c r="T435" i="13"/>
  <c r="T439" i="13"/>
  <c r="T443" i="13"/>
  <c r="T447" i="13"/>
  <c r="T451" i="13"/>
  <c r="T455" i="13"/>
  <c r="T459" i="13"/>
  <c r="T463" i="13"/>
  <c r="T467" i="13"/>
  <c r="T471" i="13"/>
  <c r="T475" i="13"/>
  <c r="T479" i="13"/>
  <c r="T483" i="13"/>
  <c r="T487" i="13"/>
  <c r="T491" i="13"/>
  <c r="T495" i="13"/>
  <c r="T499" i="13"/>
  <c r="T503" i="13"/>
  <c r="T507" i="13"/>
  <c r="T511" i="13"/>
  <c r="T515" i="13"/>
  <c r="T519" i="13"/>
  <c r="T523" i="13"/>
  <c r="T527" i="13"/>
  <c r="T531" i="13"/>
  <c r="T535" i="13"/>
  <c r="T539" i="13"/>
  <c r="T543" i="13"/>
  <c r="T547" i="13"/>
  <c r="T551" i="13"/>
  <c r="T555" i="13"/>
  <c r="T559" i="13"/>
  <c r="T563" i="13"/>
  <c r="T567" i="13"/>
  <c r="T571" i="13"/>
  <c r="T575" i="13"/>
  <c r="T579" i="13"/>
  <c r="T583" i="13"/>
  <c r="T587" i="13"/>
  <c r="T591" i="13"/>
  <c r="T595" i="13"/>
  <c r="T599" i="13"/>
  <c r="T603" i="13"/>
  <c r="T607" i="13"/>
  <c r="T611" i="13"/>
  <c r="T615" i="13"/>
  <c r="T619" i="13"/>
  <c r="T623" i="13"/>
  <c r="T627" i="13"/>
  <c r="T631" i="13"/>
  <c r="T635" i="13"/>
  <c r="T639" i="13"/>
  <c r="T643" i="13"/>
  <c r="T647" i="13"/>
  <c r="T651" i="13"/>
  <c r="T655" i="13"/>
  <c r="T659" i="13"/>
  <c r="T663" i="13"/>
  <c r="T667" i="13"/>
  <c r="T671" i="13"/>
  <c r="T675" i="13"/>
  <c r="T679" i="13"/>
  <c r="T683" i="13"/>
  <c r="T687" i="13"/>
  <c r="T691" i="13"/>
  <c r="T695" i="13"/>
  <c r="T699" i="13"/>
  <c r="T703" i="13"/>
  <c r="T707" i="13"/>
  <c r="T711" i="13"/>
  <c r="T715" i="13"/>
  <c r="T719" i="13"/>
  <c r="T723" i="13"/>
  <c r="T727" i="13"/>
  <c r="T731" i="13"/>
  <c r="T735" i="13"/>
  <c r="T739" i="13"/>
  <c r="T743" i="13"/>
  <c r="T747" i="13"/>
  <c r="T751" i="13"/>
  <c r="T755" i="13"/>
  <c r="T759" i="13"/>
  <c r="T763" i="13"/>
  <c r="T767" i="13"/>
  <c r="T771" i="13"/>
  <c r="T775" i="13"/>
  <c r="T779" i="13"/>
  <c r="T783" i="13"/>
  <c r="T787" i="13"/>
  <c r="T791" i="13"/>
  <c r="T795" i="13"/>
  <c r="T799" i="13"/>
  <c r="T803" i="13"/>
  <c r="T807" i="13"/>
  <c r="T811" i="13"/>
  <c r="T815" i="13"/>
  <c r="T819" i="13"/>
  <c r="T823" i="13"/>
  <c r="T827" i="13"/>
  <c r="T831" i="13"/>
  <c r="T835" i="13"/>
  <c r="T839" i="13"/>
  <c r="T843" i="13"/>
  <c r="T847" i="13"/>
  <c r="T851" i="13"/>
  <c r="T855" i="13"/>
  <c r="T859" i="13"/>
  <c r="T863" i="13"/>
  <c r="T867" i="13"/>
  <c r="T871" i="13"/>
  <c r="T875" i="13"/>
  <c r="T879" i="13"/>
  <c r="T883" i="13"/>
  <c r="T887" i="13"/>
  <c r="T891" i="13"/>
  <c r="T895" i="13"/>
  <c r="T899" i="13"/>
  <c r="T903" i="13"/>
  <c r="T907" i="13"/>
  <c r="T911" i="13"/>
  <c r="T915" i="13"/>
  <c r="T919" i="13"/>
  <c r="T923" i="13"/>
  <c r="T927" i="13"/>
  <c r="T931" i="13"/>
  <c r="T935" i="13"/>
  <c r="T939" i="13"/>
  <c r="T943" i="13"/>
  <c r="T947" i="13"/>
  <c r="T951" i="13"/>
  <c r="T955" i="13"/>
  <c r="T959" i="13"/>
  <c r="T963" i="13"/>
  <c r="T967" i="13"/>
  <c r="T971" i="13"/>
  <c r="T975" i="13"/>
  <c r="T979" i="13"/>
  <c r="T983" i="13"/>
  <c r="T987" i="13"/>
  <c r="T991" i="13"/>
  <c r="T995" i="13"/>
  <c r="T999" i="13"/>
  <c r="T1003" i="13"/>
  <c r="T1007" i="13"/>
  <c r="T1011" i="13"/>
  <c r="T1015" i="13"/>
  <c r="T1019" i="13"/>
  <c r="T1023" i="13"/>
  <c r="T1027" i="13"/>
  <c r="T1031" i="13"/>
  <c r="T1035" i="13"/>
  <c r="T1039" i="13"/>
  <c r="T1043" i="13"/>
  <c r="T1047" i="13"/>
  <c r="T1051" i="13"/>
  <c r="T1055" i="13"/>
  <c r="T1059" i="13"/>
  <c r="T1063" i="13"/>
  <c r="T1067" i="13"/>
  <c r="T1071" i="13"/>
  <c r="T1075" i="13"/>
  <c r="T1079" i="13"/>
  <c r="T1083" i="13"/>
  <c r="T1087" i="13"/>
  <c r="T1091" i="13"/>
  <c r="T1095" i="13"/>
  <c r="T1099" i="13"/>
  <c r="T1103" i="13"/>
  <c r="T1107" i="13"/>
  <c r="T1111" i="13"/>
  <c r="T1115" i="13"/>
  <c r="T1119" i="13"/>
  <c r="T1123" i="13"/>
  <c r="T1127" i="13"/>
  <c r="T1131" i="13"/>
  <c r="T1135" i="13"/>
  <c r="T1139" i="13"/>
  <c r="T1143" i="13"/>
  <c r="T1147" i="13"/>
  <c r="T1151" i="13"/>
  <c r="T1155" i="13"/>
  <c r="T1159" i="13"/>
  <c r="T1163" i="13"/>
  <c r="T1167" i="13"/>
  <c r="T1171" i="13"/>
  <c r="T1175" i="13"/>
  <c r="T1179" i="13"/>
  <c r="T1183" i="13"/>
  <c r="T1187" i="13"/>
  <c r="T1191" i="13"/>
  <c r="T1195" i="13"/>
  <c r="T1199" i="13"/>
  <c r="T1203" i="13"/>
  <c r="T1207" i="13"/>
  <c r="T1211" i="13"/>
  <c r="T1215" i="13"/>
  <c r="T1219" i="13"/>
  <c r="T1223" i="13"/>
  <c r="T1227" i="13"/>
  <c r="T1231" i="13"/>
  <c r="T1235" i="13"/>
  <c r="T1239" i="13"/>
  <c r="T1243" i="13"/>
  <c r="T1247" i="13"/>
  <c r="T1251" i="13"/>
  <c r="T1255" i="13"/>
  <c r="T1259" i="13"/>
  <c r="T1263" i="13"/>
  <c r="T1267" i="13"/>
  <c r="T1271" i="13"/>
  <c r="T1275" i="13"/>
  <c r="T1279" i="13"/>
  <c r="T1283" i="13"/>
  <c r="T1287" i="13"/>
  <c r="T1291" i="13"/>
  <c r="T1295" i="13"/>
  <c r="T1299" i="13"/>
  <c r="T1303" i="13"/>
  <c r="T1307" i="13"/>
  <c r="T1311" i="13"/>
  <c r="T1315" i="13"/>
  <c r="T1319" i="13"/>
  <c r="T1323" i="13"/>
  <c r="T1327" i="13"/>
  <c r="T1331" i="13"/>
  <c r="T1335" i="13"/>
  <c r="T1339" i="13"/>
  <c r="T1343" i="13"/>
  <c r="T1347" i="13"/>
  <c r="T1351" i="13"/>
  <c r="T1355" i="13"/>
  <c r="T1359" i="13"/>
  <c r="T1363" i="13"/>
  <c r="T1367" i="13"/>
  <c r="T1371" i="13"/>
  <c r="T1375" i="13"/>
  <c r="T1379" i="13"/>
  <c r="T1383" i="13"/>
  <c r="T1387" i="13"/>
  <c r="T1391" i="13"/>
  <c r="T1395" i="13"/>
  <c r="T1399" i="13"/>
  <c r="T1403" i="13"/>
  <c r="T1407" i="13"/>
  <c r="T1411" i="13"/>
  <c r="T1415" i="13"/>
  <c r="T1419" i="13"/>
  <c r="T1423" i="13"/>
  <c r="T1427" i="13"/>
  <c r="T1431" i="13"/>
  <c r="T1435" i="13"/>
  <c r="T1439" i="13"/>
  <c r="T1443" i="13"/>
  <c r="T1447" i="13"/>
  <c r="T1451" i="13"/>
  <c r="T1455" i="13"/>
  <c r="T1459" i="13"/>
  <c r="T1463" i="13"/>
  <c r="T1467" i="13"/>
  <c r="T1471" i="13"/>
  <c r="T1475" i="13"/>
  <c r="T1479" i="13"/>
  <c r="T1483" i="13"/>
  <c r="T1487" i="13"/>
  <c r="T1491" i="13"/>
  <c r="T1495" i="13"/>
  <c r="T1499" i="13"/>
  <c r="T1503" i="13"/>
  <c r="T1507" i="13"/>
  <c r="T1511" i="13"/>
  <c r="T1515" i="13"/>
  <c r="T1519" i="13"/>
  <c r="T1523" i="13"/>
  <c r="T1527" i="13"/>
  <c r="T1531" i="13"/>
  <c r="T1535" i="13"/>
  <c r="T1539" i="13"/>
  <c r="T1543" i="13"/>
  <c r="T1547" i="13"/>
  <c r="T1551" i="13"/>
  <c r="T1555" i="13"/>
  <c r="T1559" i="13"/>
  <c r="T1563" i="13"/>
  <c r="T1567" i="13"/>
  <c r="T1571" i="13"/>
  <c r="T1575" i="13"/>
  <c r="T1579" i="13"/>
  <c r="T1583" i="13"/>
  <c r="T1587" i="13"/>
  <c r="T1591" i="13"/>
  <c r="T1595" i="13"/>
  <c r="T1599" i="13"/>
  <c r="T1603" i="13"/>
  <c r="T1607" i="13"/>
  <c r="T1611" i="13"/>
  <c r="T1615" i="13"/>
  <c r="T1619" i="13"/>
  <c r="T1623" i="13"/>
  <c r="T1627" i="13"/>
  <c r="T1631" i="13"/>
  <c r="T1635" i="13"/>
  <c r="T1639" i="13"/>
  <c r="T1643" i="13"/>
  <c r="T1647" i="13"/>
  <c r="T1651" i="13"/>
  <c r="T1655" i="13"/>
  <c r="T1659" i="13"/>
  <c r="T1663" i="13"/>
  <c r="T1667" i="13"/>
  <c r="T1671" i="13"/>
  <c r="T1675" i="13"/>
  <c r="T1679" i="13"/>
  <c r="T1683" i="13"/>
  <c r="T1687" i="13"/>
  <c r="T1691" i="13"/>
  <c r="T1695" i="13"/>
  <c r="T1699" i="13"/>
  <c r="T1703" i="13"/>
  <c r="T1707" i="13"/>
  <c r="T1711" i="13"/>
  <c r="T1715" i="13"/>
  <c r="T1719" i="13"/>
  <c r="T1723" i="13"/>
  <c r="T1727" i="13"/>
  <c r="T1731" i="13"/>
  <c r="T1735" i="13"/>
  <c r="T1739" i="13"/>
  <c r="T1743" i="13"/>
  <c r="T1747" i="13"/>
  <c r="T1751" i="13"/>
  <c r="T1755" i="13"/>
  <c r="T1759" i="13"/>
  <c r="T1763" i="13"/>
  <c r="T1767" i="13"/>
  <c r="T1771" i="13"/>
  <c r="T1775" i="13"/>
  <c r="T1779" i="13"/>
  <c r="T1783" i="13"/>
  <c r="T1787" i="13"/>
  <c r="T1791" i="13"/>
  <c r="T1795" i="13"/>
  <c r="T1799" i="13"/>
  <c r="T1803" i="13"/>
  <c r="T1807" i="13"/>
  <c r="T1811" i="13"/>
  <c r="T1815" i="13"/>
  <c r="T1819" i="13"/>
  <c r="T1823" i="13"/>
  <c r="T1827" i="13"/>
  <c r="T1831" i="13"/>
  <c r="T1835" i="13"/>
  <c r="T1839" i="13"/>
  <c r="T1843" i="13"/>
  <c r="T1847" i="13"/>
  <c r="T1851" i="13"/>
  <c r="T1855" i="13"/>
  <c r="T1859" i="13"/>
  <c r="T1863" i="13"/>
  <c r="T1867" i="13"/>
  <c r="T1871" i="13"/>
  <c r="T1875" i="13"/>
  <c r="T1879" i="13"/>
  <c r="T1883" i="13"/>
  <c r="T1887" i="13"/>
  <c r="T1891" i="13"/>
  <c r="T1895" i="13"/>
  <c r="T1899" i="13"/>
  <c r="T1903" i="13"/>
  <c r="T1907" i="13"/>
  <c r="T1911" i="13"/>
  <c r="T1915" i="13"/>
  <c r="T1919" i="13"/>
  <c r="T1923" i="13"/>
  <c r="T1927" i="13"/>
  <c r="T1931" i="13"/>
  <c r="T1935" i="13"/>
  <c r="T1939" i="13"/>
  <c r="T1943" i="13"/>
  <c r="T1947" i="13"/>
  <c r="T1951" i="13"/>
  <c r="T1955" i="13"/>
  <c r="T1959" i="13"/>
  <c r="T1963" i="13"/>
  <c r="T1967" i="13"/>
  <c r="T1971" i="13"/>
  <c r="T1975" i="13"/>
  <c r="T1979" i="13"/>
  <c r="T1983" i="13"/>
  <c r="T1987" i="13"/>
  <c r="T1991" i="13"/>
  <c r="T1995" i="13"/>
  <c r="T1999" i="13"/>
  <c r="T2003" i="13"/>
  <c r="T2007" i="13"/>
  <c r="T2011" i="13"/>
  <c r="T2015" i="13"/>
  <c r="T2019" i="13"/>
  <c r="T2023" i="13"/>
  <c r="T2027" i="13"/>
  <c r="T2031" i="13"/>
  <c r="T2035" i="13"/>
  <c r="T2039" i="13"/>
  <c r="T2043" i="13"/>
  <c r="T2047" i="13"/>
  <c r="T2051" i="13"/>
  <c r="T2055" i="13"/>
  <c r="T2059" i="13"/>
  <c r="T2063" i="13"/>
  <c r="T2067" i="13"/>
  <c r="T2071" i="13"/>
  <c r="T2075" i="13"/>
  <c r="T2079" i="13"/>
  <c r="T2083" i="13"/>
  <c r="T2087" i="13"/>
  <c r="T2091" i="13"/>
  <c r="T2095" i="13"/>
  <c r="T2099" i="13"/>
  <c r="T2103" i="13"/>
  <c r="T2107" i="13"/>
  <c r="T2111" i="13"/>
  <c r="T2115" i="13"/>
  <c r="T2119" i="13"/>
  <c r="T2123" i="13"/>
  <c r="T2127" i="13"/>
  <c r="T2131" i="13"/>
  <c r="T2135" i="13"/>
  <c r="T2139" i="13"/>
  <c r="T2143" i="13"/>
  <c r="T2147" i="13"/>
  <c r="T2151" i="13"/>
  <c r="T2155" i="13"/>
  <c r="T2159" i="13"/>
  <c r="T2163" i="13"/>
  <c r="T2167" i="13"/>
  <c r="T2171" i="13"/>
  <c r="T2175" i="13"/>
  <c r="T2179" i="13"/>
  <c r="T2183" i="13"/>
  <c r="T2187" i="13"/>
  <c r="T2191" i="13"/>
  <c r="T2195" i="13"/>
  <c r="T2199" i="13"/>
  <c r="T2203" i="13"/>
  <c r="T2207" i="13"/>
  <c r="T2211" i="13"/>
  <c r="T2215" i="13"/>
  <c r="T2219" i="13"/>
  <c r="T2223" i="13"/>
  <c r="T2227" i="13"/>
  <c r="T2231" i="13"/>
  <c r="T2235" i="13"/>
  <c r="T2239" i="13"/>
  <c r="T26" i="13"/>
  <c r="T42" i="13"/>
  <c r="T58" i="13"/>
  <c r="T74" i="13"/>
  <c r="T90" i="13"/>
  <c r="T106" i="13"/>
  <c r="T122" i="13"/>
  <c r="T138" i="13"/>
  <c r="T154" i="13"/>
  <c r="T170" i="13"/>
  <c r="T185" i="13"/>
  <c r="T195" i="13"/>
  <c r="T204" i="13"/>
  <c r="T212" i="13"/>
  <c r="T220" i="13"/>
  <c r="T228" i="13"/>
  <c r="T236" i="13"/>
  <c r="T244" i="13"/>
  <c r="T252" i="13"/>
  <c r="T260" i="13"/>
  <c r="T268" i="13"/>
  <c r="T276" i="13"/>
  <c r="T284" i="13"/>
  <c r="T292" i="13"/>
  <c r="T300" i="13"/>
  <c r="T308" i="13"/>
  <c r="T316" i="13"/>
  <c r="T324" i="13"/>
  <c r="T332" i="13"/>
  <c r="T340" i="13"/>
  <c r="T348" i="13"/>
  <c r="T356" i="13"/>
  <c r="T364" i="13"/>
  <c r="T372" i="13"/>
  <c r="T380" i="13"/>
  <c r="T388" i="13"/>
  <c r="T396" i="13"/>
  <c r="T404" i="13"/>
  <c r="T412" i="13"/>
  <c r="T420" i="13"/>
  <c r="T428" i="13"/>
  <c r="T436" i="13"/>
  <c r="T444" i="13"/>
  <c r="T452" i="13"/>
  <c r="T460" i="13"/>
  <c r="T468" i="13"/>
  <c r="T476" i="13"/>
  <c r="T484" i="13"/>
  <c r="T492" i="13"/>
  <c r="T500" i="13"/>
  <c r="T508" i="13"/>
  <c r="T516" i="13"/>
  <c r="T524" i="13"/>
  <c r="T532" i="13"/>
  <c r="T540" i="13"/>
  <c r="T548" i="13"/>
  <c r="T556" i="13"/>
  <c r="T564" i="13"/>
  <c r="T572" i="13"/>
  <c r="T580" i="13"/>
  <c r="T588" i="13"/>
  <c r="T596" i="13"/>
  <c r="T604" i="13"/>
  <c r="T612" i="13"/>
  <c r="T620" i="13"/>
  <c r="T628" i="13"/>
  <c r="T636" i="13"/>
  <c r="T644" i="13"/>
  <c r="T652" i="13"/>
  <c r="T660" i="13"/>
  <c r="T668" i="13"/>
  <c r="T676" i="13"/>
  <c r="T684" i="13"/>
  <c r="T692" i="13"/>
  <c r="T700" i="13"/>
  <c r="T708" i="13"/>
  <c r="T716" i="13"/>
  <c r="T724" i="13"/>
  <c r="T732" i="13"/>
  <c r="T740" i="13"/>
  <c r="T748" i="13"/>
  <c r="T756" i="13"/>
  <c r="T764" i="13"/>
  <c r="T772" i="13"/>
  <c r="T780" i="13"/>
  <c r="T788" i="13"/>
  <c r="T796" i="13"/>
  <c r="T804" i="13"/>
  <c r="T812" i="13"/>
  <c r="T820" i="13"/>
  <c r="T828" i="13"/>
  <c r="T836" i="13"/>
  <c r="T844" i="13"/>
  <c r="T852" i="13"/>
  <c r="T860" i="13"/>
  <c r="T868" i="13"/>
  <c r="T876" i="13"/>
  <c r="T884" i="13"/>
  <c r="T892" i="13"/>
  <c r="T900" i="13"/>
  <c r="T908" i="13"/>
  <c r="T916" i="13"/>
  <c r="T924" i="13"/>
  <c r="T932" i="13"/>
  <c r="T940" i="13"/>
  <c r="T948" i="13"/>
  <c r="T956" i="13"/>
  <c r="T964" i="13"/>
  <c r="T972" i="13"/>
  <c r="T980" i="13"/>
  <c r="T988" i="13"/>
  <c r="T996" i="13"/>
  <c r="T1004" i="13"/>
  <c r="T1012" i="13"/>
  <c r="T1020" i="13"/>
  <c r="T1028" i="13"/>
  <c r="T1036" i="13"/>
  <c r="T1044" i="13"/>
  <c r="T1052" i="13"/>
  <c r="T1060" i="13"/>
  <c r="T1068" i="13"/>
  <c r="T1076" i="13"/>
  <c r="T1084" i="13"/>
  <c r="T1092" i="13"/>
  <c r="T1100" i="13"/>
  <c r="T1108" i="13"/>
  <c r="T1116" i="13"/>
  <c r="T1124" i="13"/>
  <c r="T1132" i="13"/>
  <c r="T1140" i="13"/>
  <c r="T1148" i="13"/>
  <c r="T1156" i="13"/>
  <c r="T1164" i="13"/>
  <c r="T1172" i="13"/>
  <c r="T1180" i="13"/>
  <c r="T1188" i="13"/>
  <c r="T1196" i="13"/>
  <c r="T1204" i="13"/>
  <c r="T1212" i="13"/>
  <c r="T1220" i="13"/>
  <c r="T1228" i="13"/>
  <c r="T1236" i="13"/>
  <c r="T1244" i="13"/>
  <c r="T1252" i="13"/>
  <c r="T1260" i="13"/>
  <c r="T1268" i="13"/>
  <c r="T1276" i="13"/>
  <c r="T1284" i="13"/>
  <c r="T1292" i="13"/>
  <c r="T1300" i="13"/>
  <c r="T1308" i="13"/>
  <c r="T1316" i="13"/>
  <c r="T1324" i="13"/>
  <c r="T1332" i="13"/>
  <c r="T1340" i="13"/>
  <c r="T1348" i="13"/>
  <c r="T1356" i="13"/>
  <c r="T1364" i="13"/>
  <c r="T1372" i="13"/>
  <c r="T1380" i="13"/>
  <c r="T1388" i="13"/>
  <c r="T1396" i="13"/>
  <c r="T1404" i="13"/>
  <c r="T1412" i="13"/>
  <c r="T1420" i="13"/>
  <c r="T1428" i="13"/>
  <c r="T1436" i="13"/>
  <c r="T1444" i="13"/>
  <c r="T1452" i="13"/>
  <c r="T1460" i="13"/>
  <c r="T1468" i="13"/>
  <c r="T1476" i="13"/>
  <c r="T1484" i="13"/>
  <c r="T1492" i="13"/>
  <c r="T1500" i="13"/>
  <c r="T1508" i="13"/>
  <c r="T1516" i="13"/>
  <c r="T1524" i="13"/>
  <c r="T1532" i="13"/>
  <c r="T1540" i="13"/>
  <c r="T1548" i="13"/>
  <c r="T1556" i="13"/>
  <c r="T1564" i="13"/>
  <c r="T1572" i="13"/>
  <c r="T1580" i="13"/>
  <c r="T1588" i="13"/>
  <c r="T1596" i="13"/>
  <c r="T1604" i="13"/>
  <c r="T1612" i="13"/>
  <c r="T1620" i="13"/>
  <c r="T1628" i="13"/>
  <c r="T1636" i="13"/>
  <c r="T1644" i="13"/>
  <c r="T1652" i="13"/>
  <c r="T1660" i="13"/>
  <c r="T1668" i="13"/>
  <c r="T1676" i="13"/>
  <c r="T1684" i="13"/>
  <c r="T1692" i="13"/>
  <c r="T1700" i="13"/>
  <c r="T1708" i="13"/>
  <c r="T1716" i="13"/>
  <c r="T1724" i="13"/>
  <c r="T1732" i="13"/>
  <c r="T1740" i="13"/>
  <c r="T1748" i="13"/>
  <c r="T1756" i="13"/>
  <c r="T1764" i="13"/>
  <c r="T1772" i="13"/>
  <c r="T1780" i="13"/>
  <c r="T1788" i="13"/>
  <c r="T1796" i="13"/>
  <c r="T1804" i="13"/>
  <c r="T1812" i="13"/>
  <c r="T1820" i="13"/>
  <c r="T1828" i="13"/>
  <c r="T1836" i="13"/>
  <c r="T1844" i="13"/>
  <c r="T1852" i="13"/>
  <c r="T1860" i="13"/>
  <c r="T1868" i="13"/>
  <c r="T1876" i="13"/>
  <c r="T1884" i="13"/>
  <c r="T1892" i="13"/>
  <c r="T1900" i="13"/>
  <c r="T1908" i="13"/>
  <c r="T1916" i="13"/>
  <c r="T1924" i="13"/>
  <c r="T1932" i="13"/>
  <c r="T1940" i="13"/>
  <c r="T1948" i="13"/>
  <c r="T1956" i="13"/>
  <c r="T1964" i="13"/>
  <c r="T1972" i="13"/>
  <c r="T1980" i="13"/>
  <c r="T1988" i="13"/>
  <c r="T1996" i="13"/>
  <c r="T2004" i="13"/>
  <c r="T2012" i="13"/>
  <c r="T2020" i="13"/>
  <c r="T2028" i="13"/>
  <c r="T2036" i="13"/>
  <c r="T2044" i="13"/>
  <c r="T2052" i="13"/>
  <c r="T2060" i="13"/>
  <c r="T2068" i="13"/>
  <c r="T2076" i="13"/>
  <c r="T2084" i="13"/>
  <c r="T2092" i="13"/>
  <c r="T2100" i="13"/>
  <c r="T2108" i="13"/>
  <c r="T2116" i="13"/>
  <c r="T2124" i="13"/>
  <c r="T2132" i="13"/>
  <c r="T2140" i="13"/>
  <c r="T2148" i="13"/>
  <c r="T2156" i="13"/>
  <c r="T2164" i="13"/>
  <c r="T2172" i="13"/>
  <c r="T2180" i="13"/>
  <c r="T2188" i="13"/>
  <c r="T2196" i="13"/>
  <c r="T2204" i="13"/>
  <c r="T2212" i="13"/>
  <c r="T2220" i="13"/>
  <c r="T2226" i="13"/>
  <c r="T2232" i="13"/>
  <c r="T2237" i="13"/>
  <c r="T2242" i="13"/>
  <c r="T2246" i="13"/>
  <c r="T2250" i="13"/>
  <c r="T2254" i="13"/>
  <c r="T2258" i="13"/>
  <c r="T2262" i="13"/>
  <c r="T2266" i="13"/>
  <c r="T2270" i="13"/>
  <c r="T2274" i="13"/>
  <c r="T2278" i="13"/>
  <c r="T2282" i="13"/>
  <c r="T2286" i="13"/>
  <c r="T2290" i="13"/>
  <c r="T2294" i="13"/>
  <c r="T2298" i="13"/>
  <c r="T2302" i="13"/>
  <c r="T2306" i="13"/>
  <c r="T2310" i="13"/>
  <c r="T2314" i="13"/>
  <c r="T2318" i="13"/>
  <c r="T2322" i="13"/>
  <c r="T2326" i="13"/>
  <c r="T2330" i="13"/>
  <c r="T2334" i="13"/>
  <c r="T2338" i="13"/>
  <c r="T2342" i="13"/>
  <c r="T2346" i="13"/>
  <c r="T2350" i="13"/>
  <c r="T2354" i="13"/>
  <c r="T2358" i="13"/>
  <c r="T2362" i="13"/>
  <c r="T2366" i="13"/>
  <c r="T2370" i="13"/>
  <c r="T2374" i="13"/>
  <c r="T2378" i="13"/>
  <c r="T2382" i="13"/>
  <c r="T2386" i="13"/>
  <c r="T2390" i="13"/>
  <c r="T2394" i="13"/>
  <c r="T2398" i="13"/>
  <c r="T2402" i="13"/>
  <c r="T2406" i="13"/>
  <c r="T2410" i="13"/>
  <c r="T2414" i="13"/>
  <c r="T2418" i="13"/>
  <c r="T2422" i="13"/>
  <c r="T2426" i="13"/>
  <c r="T2430" i="13"/>
  <c r="T2434" i="13"/>
  <c r="T2438" i="13"/>
  <c r="T2442" i="13"/>
  <c r="T2446" i="13"/>
  <c r="T2450" i="13"/>
  <c r="T2454" i="13"/>
  <c r="T2458" i="13"/>
  <c r="T2462" i="13"/>
  <c r="T2466" i="13"/>
  <c r="T2470" i="13"/>
  <c r="T2474" i="13"/>
  <c r="T2478" i="13"/>
  <c r="T2482" i="13"/>
  <c r="T2486" i="13"/>
  <c r="T2490" i="13"/>
  <c r="T2494" i="13"/>
  <c r="T2498" i="13"/>
  <c r="T2502" i="13"/>
  <c r="T2506" i="13"/>
  <c r="T2510" i="13"/>
  <c r="T2514" i="13"/>
  <c r="T2518" i="13"/>
  <c r="T2522" i="13"/>
  <c r="T2526" i="13"/>
  <c r="T2530" i="13"/>
  <c r="T2534" i="13"/>
  <c r="T2538" i="13"/>
  <c r="T2542" i="13"/>
  <c r="T2546" i="13"/>
  <c r="T2550" i="13"/>
  <c r="T2554" i="13"/>
  <c r="T2558" i="13"/>
  <c r="T2562" i="13"/>
  <c r="T2566" i="13"/>
  <c r="T2570" i="13"/>
  <c r="T2574" i="13"/>
  <c r="T2578" i="13"/>
  <c r="T2582" i="13"/>
  <c r="T2586" i="13"/>
  <c r="T2590" i="13"/>
  <c r="T2594" i="13"/>
  <c r="T2598" i="13"/>
  <c r="T2602" i="13"/>
  <c r="T2606" i="13"/>
  <c r="T2610" i="13"/>
  <c r="T2614" i="13"/>
  <c r="T2618" i="13"/>
  <c r="T2622" i="13"/>
  <c r="T2626" i="13"/>
  <c r="T2630" i="13"/>
  <c r="T2634" i="13"/>
  <c r="T2638" i="13"/>
  <c r="T2642" i="13"/>
  <c r="T2646" i="13"/>
  <c r="T2650" i="13"/>
  <c r="T2654" i="13"/>
  <c r="T2658" i="13"/>
  <c r="T2662" i="13"/>
  <c r="T2666" i="13"/>
  <c r="T2670" i="13"/>
  <c r="T2674" i="13"/>
  <c r="T2678" i="13"/>
  <c r="T2682" i="13"/>
  <c r="T2686" i="13"/>
  <c r="T2690" i="13"/>
  <c r="T2694" i="13"/>
  <c r="T2698" i="13"/>
  <c r="T2702" i="13"/>
  <c r="T2706" i="13"/>
  <c r="T2710" i="13"/>
  <c r="T2714" i="13"/>
  <c r="T2718" i="13"/>
  <c r="T2722" i="13"/>
  <c r="T2726" i="13"/>
  <c r="T2730" i="13"/>
  <c r="T27" i="13"/>
  <c r="T43" i="13"/>
  <c r="T59" i="13"/>
  <c r="T75" i="13"/>
  <c r="T91" i="13"/>
  <c r="T107" i="13"/>
  <c r="T123" i="13"/>
  <c r="T139" i="13"/>
  <c r="T155" i="13"/>
  <c r="T171" i="13"/>
  <c r="T186" i="13"/>
  <c r="T197" i="13"/>
  <c r="T205" i="13"/>
  <c r="T213" i="13"/>
  <c r="T221" i="13"/>
  <c r="T229" i="13"/>
  <c r="T237" i="13"/>
  <c r="T245" i="13"/>
  <c r="T253" i="13"/>
  <c r="T261" i="13"/>
  <c r="T269" i="13"/>
  <c r="T277" i="13"/>
  <c r="T285" i="13"/>
  <c r="T293" i="13"/>
  <c r="T301" i="13"/>
  <c r="T309" i="13"/>
  <c r="T317" i="13"/>
  <c r="T325" i="13"/>
  <c r="T333" i="13"/>
  <c r="T341" i="13"/>
  <c r="T349" i="13"/>
  <c r="T357" i="13"/>
  <c r="T365" i="13"/>
  <c r="T373" i="13"/>
  <c r="T381" i="13"/>
  <c r="T389" i="13"/>
  <c r="T397" i="13"/>
  <c r="T405" i="13"/>
  <c r="T413" i="13"/>
  <c r="T421" i="13"/>
  <c r="T429" i="13"/>
  <c r="T437" i="13"/>
  <c r="T445" i="13"/>
  <c r="T453" i="13"/>
  <c r="T461" i="13"/>
  <c r="T469" i="13"/>
  <c r="T477" i="13"/>
  <c r="T485" i="13"/>
  <c r="T493" i="13"/>
  <c r="T501" i="13"/>
  <c r="T509" i="13"/>
  <c r="T517" i="13"/>
  <c r="T525" i="13"/>
  <c r="T533" i="13"/>
  <c r="T541" i="13"/>
  <c r="T549" i="13"/>
  <c r="T557" i="13"/>
  <c r="T565" i="13"/>
  <c r="T573" i="13"/>
  <c r="T581" i="13"/>
  <c r="T589" i="13"/>
  <c r="T597" i="13"/>
  <c r="T605" i="13"/>
  <c r="T613" i="13"/>
  <c r="T621" i="13"/>
  <c r="T629" i="13"/>
  <c r="T637" i="13"/>
  <c r="T645" i="13"/>
  <c r="T653" i="13"/>
  <c r="T661" i="13"/>
  <c r="T669" i="13"/>
  <c r="T677" i="13"/>
  <c r="T685" i="13"/>
  <c r="T693" i="13"/>
  <c r="T701" i="13"/>
  <c r="T709" i="13"/>
  <c r="T717" i="13"/>
  <c r="T725" i="13"/>
  <c r="T733" i="13"/>
  <c r="T741" i="13"/>
  <c r="T749" i="13"/>
  <c r="T757" i="13"/>
  <c r="T765" i="13"/>
  <c r="T773" i="13"/>
  <c r="T781" i="13"/>
  <c r="T789" i="13"/>
  <c r="T797" i="13"/>
  <c r="T805" i="13"/>
  <c r="T813" i="13"/>
  <c r="T821" i="13"/>
  <c r="T829" i="13"/>
  <c r="T837" i="13"/>
  <c r="T845" i="13"/>
  <c r="T853" i="13"/>
  <c r="T861" i="13"/>
  <c r="T869" i="13"/>
  <c r="T877" i="13"/>
  <c r="T885" i="13"/>
  <c r="T893" i="13"/>
  <c r="T901" i="13"/>
  <c r="T909" i="13"/>
  <c r="T917" i="13"/>
  <c r="T925" i="13"/>
  <c r="T933" i="13"/>
  <c r="T941" i="13"/>
  <c r="T949" i="13"/>
  <c r="T957" i="13"/>
  <c r="T965" i="13"/>
  <c r="T973" i="13"/>
  <c r="T981" i="13"/>
  <c r="T989" i="13"/>
  <c r="T997" i="13"/>
  <c r="T1005" i="13"/>
  <c r="T1013" i="13"/>
  <c r="T1021" i="13"/>
  <c r="T1029" i="13"/>
  <c r="T1037" i="13"/>
  <c r="T1045" i="13"/>
  <c r="T1053" i="13"/>
  <c r="T1061" i="13"/>
  <c r="T1069" i="13"/>
  <c r="T1077" i="13"/>
  <c r="T1085" i="13"/>
  <c r="T1093" i="13"/>
  <c r="T1101" i="13"/>
  <c r="T1109" i="13"/>
  <c r="T1117" i="13"/>
  <c r="T1125" i="13"/>
  <c r="T1133" i="13"/>
  <c r="T1141" i="13"/>
  <c r="T1149" i="13"/>
  <c r="T1157" i="13"/>
  <c r="T1165" i="13"/>
  <c r="T1173" i="13"/>
  <c r="T1181" i="13"/>
  <c r="T1189" i="13"/>
  <c r="T1197" i="13"/>
  <c r="T1205" i="13"/>
  <c r="T1213" i="13"/>
  <c r="T1221" i="13"/>
  <c r="T1229" i="13"/>
  <c r="T1237" i="13"/>
  <c r="T1245" i="13"/>
  <c r="T1253" i="13"/>
  <c r="T1261" i="13"/>
  <c r="T1269" i="13"/>
  <c r="T1277" i="13"/>
  <c r="T1285" i="13"/>
  <c r="T1293" i="13"/>
  <c r="T1301" i="13"/>
  <c r="T1309" i="13"/>
  <c r="T1317" i="13"/>
  <c r="T1325" i="13"/>
  <c r="T1333" i="13"/>
  <c r="T1341" i="13"/>
  <c r="T1349" i="13"/>
  <c r="T1357" i="13"/>
  <c r="T1365" i="13"/>
  <c r="T1373" i="13"/>
  <c r="T1381" i="13"/>
  <c r="T1389" i="13"/>
  <c r="T1397" i="13"/>
  <c r="T1405" i="13"/>
  <c r="T1413" i="13"/>
  <c r="T1421" i="13"/>
  <c r="T1429" i="13"/>
  <c r="T1437" i="13"/>
  <c r="T1445" i="13"/>
  <c r="T1453" i="13"/>
  <c r="T1461" i="13"/>
  <c r="T1469" i="13"/>
  <c r="T1477" i="13"/>
  <c r="T1485" i="13"/>
  <c r="T1493" i="13"/>
  <c r="T1501" i="13"/>
  <c r="T1509" i="13"/>
  <c r="T1517" i="13"/>
  <c r="T1525" i="13"/>
  <c r="T1533" i="13"/>
  <c r="T1541" i="13"/>
  <c r="T1549" i="13"/>
  <c r="T1557" i="13"/>
  <c r="T1565" i="13"/>
  <c r="T1573" i="13"/>
  <c r="T1581" i="13"/>
  <c r="T1589" i="13"/>
  <c r="T1597" i="13"/>
  <c r="T1605" i="13"/>
  <c r="T1613" i="13"/>
  <c r="T1621" i="13"/>
  <c r="T1629" i="13"/>
  <c r="T1637" i="13"/>
  <c r="T1645" i="13"/>
  <c r="T1653" i="13"/>
  <c r="T1661" i="13"/>
  <c r="T1669" i="13"/>
  <c r="T1677" i="13"/>
  <c r="T1685" i="13"/>
  <c r="T1693" i="13"/>
  <c r="T1701" i="13"/>
  <c r="T1709" i="13"/>
  <c r="T1717" i="13"/>
  <c r="T1725" i="13"/>
  <c r="T1733" i="13"/>
  <c r="T1741" i="13"/>
  <c r="T1749" i="13"/>
  <c r="T1757" i="13"/>
  <c r="T1765" i="13"/>
  <c r="T1773" i="13"/>
  <c r="T1781" i="13"/>
  <c r="T1789" i="13"/>
  <c r="T1797" i="13"/>
  <c r="T1805" i="13"/>
  <c r="T1813" i="13"/>
  <c r="T1821" i="13"/>
  <c r="T1829" i="13"/>
  <c r="T1837" i="13"/>
  <c r="T1845" i="13"/>
  <c r="T1853" i="13"/>
  <c r="T1861" i="13"/>
  <c r="T1869" i="13"/>
  <c r="T1877" i="13"/>
  <c r="T1885" i="13"/>
  <c r="T1893" i="13"/>
  <c r="T1901" i="13"/>
  <c r="T1909" i="13"/>
  <c r="T1917" i="13"/>
  <c r="T1925" i="13"/>
  <c r="T1933" i="13"/>
  <c r="T1941" i="13"/>
  <c r="T1949" i="13"/>
  <c r="T1957" i="13"/>
  <c r="T1965" i="13"/>
  <c r="T1973" i="13"/>
  <c r="T1981" i="13"/>
  <c r="T1989" i="13"/>
  <c r="T1997" i="13"/>
  <c r="T2005" i="13"/>
  <c r="T2013" i="13"/>
  <c r="T2021" i="13"/>
  <c r="T2029" i="13"/>
  <c r="T2037" i="13"/>
  <c r="T2045" i="13"/>
  <c r="T2053" i="13"/>
  <c r="T2061" i="13"/>
  <c r="T2069" i="13"/>
  <c r="T2077" i="13"/>
  <c r="T2085" i="13"/>
  <c r="T2093" i="13"/>
  <c r="T2101" i="13"/>
  <c r="T2109" i="13"/>
  <c r="T2117" i="13"/>
  <c r="T2125" i="13"/>
  <c r="T2133" i="13"/>
  <c r="T2141" i="13"/>
  <c r="T2149" i="13"/>
  <c r="T2157" i="13"/>
  <c r="T2165" i="13"/>
  <c r="T2173" i="13"/>
  <c r="T2181" i="13"/>
  <c r="T2189" i="13"/>
  <c r="T2197" i="13"/>
  <c r="T2205" i="13"/>
  <c r="T2213" i="13"/>
  <c r="T2221" i="13"/>
  <c r="T2228" i="13"/>
  <c r="T2233" i="13"/>
  <c r="T2238" i="13"/>
  <c r="T2243" i="13"/>
  <c r="T2247" i="13"/>
  <c r="T2251" i="13"/>
  <c r="T2255" i="13"/>
  <c r="T2259" i="13"/>
  <c r="T2263" i="13"/>
  <c r="T2267" i="13"/>
  <c r="T2271" i="13"/>
  <c r="T2275" i="13"/>
  <c r="T2279" i="13"/>
  <c r="T2283" i="13"/>
  <c r="T2287" i="13"/>
  <c r="T2291" i="13"/>
  <c r="T2295" i="13"/>
  <c r="T2299" i="13"/>
  <c r="T2303" i="13"/>
  <c r="T2307" i="13"/>
  <c r="T2311" i="13"/>
  <c r="T2315" i="13"/>
  <c r="T2319" i="13"/>
  <c r="T2323" i="13"/>
  <c r="T2327" i="13"/>
  <c r="T2331" i="13"/>
  <c r="T2335" i="13"/>
  <c r="T2339" i="13"/>
  <c r="T2343" i="13"/>
  <c r="T2347" i="13"/>
  <c r="T2351" i="13"/>
  <c r="T2355" i="13"/>
  <c r="T2359" i="13"/>
  <c r="T2363" i="13"/>
  <c r="T2367" i="13"/>
  <c r="T2371" i="13"/>
  <c r="T2375" i="13"/>
  <c r="T2379" i="13"/>
  <c r="T2383" i="13"/>
  <c r="T2387" i="13"/>
  <c r="T2391" i="13"/>
  <c r="T2395" i="13"/>
  <c r="T2399" i="13"/>
  <c r="T2403" i="13"/>
  <c r="T2407" i="13"/>
  <c r="T2411" i="13"/>
  <c r="T2415" i="13"/>
  <c r="T2419" i="13"/>
  <c r="T2423" i="13"/>
  <c r="T2427" i="13"/>
  <c r="T2431" i="13"/>
  <c r="T2435" i="13"/>
  <c r="T2439" i="13"/>
  <c r="T2443" i="13"/>
  <c r="T2447" i="13"/>
  <c r="T2451" i="13"/>
  <c r="T2455" i="13"/>
  <c r="T2459" i="13"/>
  <c r="T2463" i="13"/>
  <c r="T2467" i="13"/>
  <c r="T2471" i="13"/>
  <c r="T2475" i="13"/>
  <c r="T2479" i="13"/>
  <c r="T2483" i="13"/>
  <c r="T2487" i="13"/>
  <c r="T2491" i="13"/>
  <c r="T2495" i="13"/>
  <c r="T2499" i="13"/>
  <c r="T2503" i="13"/>
  <c r="T2507" i="13"/>
  <c r="T2511" i="13"/>
  <c r="T2515" i="13"/>
  <c r="T2519" i="13"/>
  <c r="T2523" i="13"/>
  <c r="T2527" i="13"/>
  <c r="T2531" i="13"/>
  <c r="T2535" i="13"/>
  <c r="T2539" i="13"/>
  <c r="T2543" i="13"/>
  <c r="T2547" i="13"/>
  <c r="T2551" i="13"/>
  <c r="T2555" i="13"/>
  <c r="T2559" i="13"/>
  <c r="T2563" i="13"/>
  <c r="T2567" i="13"/>
  <c r="T2571" i="13"/>
  <c r="T2575" i="13"/>
  <c r="T2579" i="13"/>
  <c r="T2583" i="13"/>
  <c r="T2587" i="13"/>
  <c r="T2591" i="13"/>
  <c r="T2595" i="13"/>
  <c r="T2599" i="13"/>
  <c r="T2603" i="13"/>
  <c r="T2607" i="13"/>
  <c r="T2611" i="13"/>
  <c r="T2615" i="13"/>
  <c r="T2619" i="13"/>
  <c r="T2623" i="13"/>
  <c r="T2627" i="13"/>
  <c r="T2631" i="13"/>
  <c r="T2635" i="13"/>
  <c r="T2639" i="13"/>
  <c r="T2643" i="13"/>
  <c r="T2647" i="13"/>
  <c r="T2651" i="13"/>
  <c r="T2655" i="13"/>
  <c r="T2659" i="13"/>
  <c r="T2663" i="13"/>
  <c r="T2667" i="13"/>
  <c r="T2671" i="13"/>
  <c r="T2675" i="13"/>
  <c r="T2679" i="13"/>
  <c r="T2683" i="13"/>
  <c r="T2687" i="13"/>
  <c r="T2691" i="13"/>
  <c r="T2695" i="13"/>
  <c r="T2699" i="13"/>
  <c r="T2703" i="13"/>
  <c r="T2707" i="13"/>
  <c r="T2711" i="13"/>
  <c r="T2715" i="13"/>
  <c r="T2719" i="13"/>
  <c r="T2723" i="13"/>
  <c r="T2727" i="13"/>
  <c r="T35" i="13"/>
  <c r="T67" i="13"/>
  <c r="T99" i="13"/>
  <c r="T131" i="13"/>
  <c r="T163" i="13"/>
  <c r="T191" i="13"/>
  <c r="T209" i="13"/>
  <c r="T225" i="13"/>
  <c r="T241" i="13"/>
  <c r="T257" i="13"/>
  <c r="T273" i="13"/>
  <c r="T289" i="13"/>
  <c r="T305" i="13"/>
  <c r="T321" i="13"/>
  <c r="T337" i="13"/>
  <c r="T353" i="13"/>
  <c r="T369" i="13"/>
  <c r="T385" i="13"/>
  <c r="T401" i="13"/>
  <c r="T417" i="13"/>
  <c r="T433" i="13"/>
  <c r="T449" i="13"/>
  <c r="T465" i="13"/>
  <c r="T481" i="13"/>
  <c r="T497" i="13"/>
  <c r="T513" i="13"/>
  <c r="T529" i="13"/>
  <c r="T545" i="13"/>
  <c r="T561" i="13"/>
  <c r="T577" i="13"/>
  <c r="T593" i="13"/>
  <c r="T609" i="13"/>
  <c r="T625" i="13"/>
  <c r="T641" i="13"/>
  <c r="T657" i="13"/>
  <c r="T673" i="13"/>
  <c r="T689" i="13"/>
  <c r="T705" i="13"/>
  <c r="T721" i="13"/>
  <c r="T737" i="13"/>
  <c r="T753" i="13"/>
  <c r="T769" i="13"/>
  <c r="T785" i="13"/>
  <c r="T801" i="13"/>
  <c r="T817" i="13"/>
  <c r="T833" i="13"/>
  <c r="T849" i="13"/>
  <c r="T865" i="13"/>
  <c r="T881" i="13"/>
  <c r="T897" i="13"/>
  <c r="T913" i="13"/>
  <c r="T929" i="13"/>
  <c r="T945" i="13"/>
  <c r="T961" i="13"/>
  <c r="T977" i="13"/>
  <c r="T993" i="13"/>
  <c r="T1009" i="13"/>
  <c r="T1025" i="13"/>
  <c r="T1041" i="13"/>
  <c r="T1057" i="13"/>
  <c r="T1073" i="13"/>
  <c r="T1089" i="13"/>
  <c r="T1105" i="13"/>
  <c r="T1121" i="13"/>
  <c r="T1137" i="13"/>
  <c r="T1153" i="13"/>
  <c r="T1169" i="13"/>
  <c r="T1185" i="13"/>
  <c r="T1201" i="13"/>
  <c r="T1217" i="13"/>
  <c r="T1233" i="13"/>
  <c r="T1249" i="13"/>
  <c r="T1265" i="13"/>
  <c r="T1281" i="13"/>
  <c r="T1297" i="13"/>
  <c r="T1313" i="13"/>
  <c r="T1329" i="13"/>
  <c r="T1345" i="13"/>
  <c r="T1361" i="13"/>
  <c r="T1377" i="13"/>
  <c r="T1393" i="13"/>
  <c r="T1409" i="13"/>
  <c r="T1425" i="13"/>
  <c r="T1441" i="13"/>
  <c r="T1457" i="13"/>
  <c r="T1473" i="13"/>
  <c r="T1489" i="13"/>
  <c r="T1505" i="13"/>
  <c r="T1521" i="13"/>
  <c r="T1537" i="13"/>
  <c r="T1553" i="13"/>
  <c r="T1569" i="13"/>
  <c r="T1585" i="13"/>
  <c r="T1601" i="13"/>
  <c r="T1617" i="13"/>
  <c r="T1633" i="13"/>
  <c r="T1649" i="13"/>
  <c r="T1665" i="13"/>
  <c r="T1681" i="13"/>
  <c r="T1697" i="13"/>
  <c r="T1713" i="13"/>
  <c r="T1729" i="13"/>
  <c r="T1745" i="13"/>
  <c r="T1761" i="13"/>
  <c r="T1777" i="13"/>
  <c r="T1793" i="13"/>
  <c r="T1809" i="13"/>
  <c r="T1825" i="13"/>
  <c r="T1841" i="13"/>
  <c r="T1857" i="13"/>
  <c r="T1873" i="13"/>
  <c r="T1889" i="13"/>
  <c r="T1905" i="13"/>
  <c r="T1921" i="13"/>
  <c r="T1937" i="13"/>
  <c r="T1953" i="13"/>
  <c r="T1969" i="13"/>
  <c r="T1985" i="13"/>
  <c r="T2001" i="13"/>
  <c r="T2017" i="13"/>
  <c r="T2033" i="13"/>
  <c r="T2049" i="13"/>
  <c r="T2065" i="13"/>
  <c r="T2081" i="13"/>
  <c r="T2097" i="13"/>
  <c r="T2113" i="13"/>
  <c r="T2129" i="13"/>
  <c r="T2145" i="13"/>
  <c r="T2161" i="13"/>
  <c r="T2177" i="13"/>
  <c r="T2193" i="13"/>
  <c r="T2209" i="13"/>
  <c r="T2225" i="13"/>
  <c r="T2236" i="13"/>
  <c r="T2245" i="13"/>
  <c r="T2253" i="13"/>
  <c r="T2261" i="13"/>
  <c r="T2269" i="13"/>
  <c r="T2277" i="13"/>
  <c r="T2285" i="13"/>
  <c r="T2293" i="13"/>
  <c r="T2301" i="13"/>
  <c r="T2309" i="13"/>
  <c r="T2317" i="13"/>
  <c r="T2325" i="13"/>
  <c r="T2333" i="13"/>
  <c r="T2341" i="13"/>
  <c r="T2349" i="13"/>
  <c r="T2357" i="13"/>
  <c r="T2365" i="13"/>
  <c r="T2373" i="13"/>
  <c r="T2381" i="13"/>
  <c r="T2389" i="13"/>
  <c r="T2397" i="13"/>
  <c r="T2405" i="13"/>
  <c r="T2413" i="13"/>
  <c r="T2421" i="13"/>
  <c r="T2429" i="13"/>
  <c r="T2437" i="13"/>
  <c r="T2445" i="13"/>
  <c r="T2453" i="13"/>
  <c r="T2461" i="13"/>
  <c r="T2469" i="13"/>
  <c r="T2477" i="13"/>
  <c r="T2485" i="13"/>
  <c r="T2493" i="13"/>
  <c r="T2501" i="13"/>
  <c r="T2509" i="13"/>
  <c r="T2517" i="13"/>
  <c r="T2525" i="13"/>
  <c r="T2533" i="13"/>
  <c r="T2541" i="13"/>
  <c r="T2549" i="13"/>
  <c r="T2557" i="13"/>
  <c r="T2565" i="13"/>
  <c r="T2573" i="13"/>
  <c r="T2581" i="13"/>
  <c r="T2589" i="13"/>
  <c r="T2597" i="13"/>
  <c r="T2605" i="13"/>
  <c r="T2613" i="13"/>
  <c r="T2621" i="13"/>
  <c r="T2629" i="13"/>
  <c r="T2637" i="13"/>
  <c r="T2645" i="13"/>
  <c r="T2653" i="13"/>
  <c r="T2661" i="13"/>
  <c r="T2669" i="13"/>
  <c r="T2677" i="13"/>
  <c r="T2685" i="13"/>
  <c r="T2693" i="13"/>
  <c r="T2701" i="13"/>
  <c r="T2709" i="13"/>
  <c r="T2717" i="13"/>
  <c r="T2725" i="13"/>
  <c r="T18" i="13"/>
  <c r="T50" i="13"/>
  <c r="T82" i="13"/>
  <c r="T114" i="13"/>
  <c r="T146" i="13"/>
  <c r="T178" i="13"/>
  <c r="T200" i="13"/>
  <c r="T216" i="13"/>
  <c r="T232" i="13"/>
  <c r="T248" i="13"/>
  <c r="T264" i="13"/>
  <c r="T280" i="13"/>
  <c r="T296" i="13"/>
  <c r="T312" i="13"/>
  <c r="T328" i="13"/>
  <c r="T344" i="13"/>
  <c r="T360" i="13"/>
  <c r="T376" i="13"/>
  <c r="T392" i="13"/>
  <c r="T408" i="13"/>
  <c r="T424" i="13"/>
  <c r="T440" i="13"/>
  <c r="T456" i="13"/>
  <c r="T472" i="13"/>
  <c r="T488" i="13"/>
  <c r="T504" i="13"/>
  <c r="T520" i="13"/>
  <c r="T536" i="13"/>
  <c r="T552" i="13"/>
  <c r="T568" i="13"/>
  <c r="T584" i="13"/>
  <c r="T600" i="13"/>
  <c r="T616" i="13"/>
  <c r="T632" i="13"/>
  <c r="T648" i="13"/>
  <c r="T664" i="13"/>
  <c r="T680" i="13"/>
  <c r="T696" i="13"/>
  <c r="T712" i="13"/>
  <c r="T728" i="13"/>
  <c r="T744" i="13"/>
  <c r="T760" i="13"/>
  <c r="T776" i="13"/>
  <c r="T792" i="13"/>
  <c r="T808" i="13"/>
  <c r="T824" i="13"/>
  <c r="T840" i="13"/>
  <c r="T856" i="13"/>
  <c r="T872" i="13"/>
  <c r="T888" i="13"/>
  <c r="T904" i="13"/>
  <c r="T920" i="13"/>
  <c r="T936" i="13"/>
  <c r="T952" i="13"/>
  <c r="T968" i="13"/>
  <c r="T984" i="13"/>
  <c r="T1000" i="13"/>
  <c r="T1016" i="13"/>
  <c r="T1032" i="13"/>
  <c r="T1048" i="13"/>
  <c r="T1064" i="13"/>
  <c r="T1080" i="13"/>
  <c r="T1096" i="13"/>
  <c r="T1112" i="13"/>
  <c r="T1128" i="13"/>
  <c r="T1144" i="13"/>
  <c r="T1160" i="13"/>
  <c r="T1176" i="13"/>
  <c r="T1192" i="13"/>
  <c r="T1208" i="13"/>
  <c r="T1224" i="13"/>
  <c r="T1240" i="13"/>
  <c r="T1256" i="13"/>
  <c r="T1272" i="13"/>
  <c r="T1288" i="13"/>
  <c r="T1304" i="13"/>
  <c r="T1320" i="13"/>
  <c r="T1336" i="13"/>
  <c r="T1352" i="13"/>
  <c r="T1368" i="13"/>
  <c r="T1384" i="13"/>
  <c r="T1400" i="13"/>
  <c r="T1416" i="13"/>
  <c r="T1432" i="13"/>
  <c r="T1448" i="13"/>
  <c r="T1464" i="13"/>
  <c r="T1480" i="13"/>
  <c r="T1496" i="13"/>
  <c r="T1512" i="13"/>
  <c r="T1528" i="13"/>
  <c r="T1544" i="13"/>
  <c r="T1560" i="13"/>
  <c r="T1576" i="13"/>
  <c r="T1592" i="13"/>
  <c r="T1608" i="13"/>
  <c r="T1624" i="13"/>
  <c r="T1640" i="13"/>
  <c r="T1656" i="13"/>
  <c r="T1672" i="13"/>
  <c r="T1688" i="13"/>
  <c r="T1704" i="13"/>
  <c r="T1720" i="13"/>
  <c r="T1736" i="13"/>
  <c r="T1752" i="13"/>
  <c r="T1768" i="13"/>
  <c r="T1784" i="13"/>
  <c r="T1800" i="13"/>
  <c r="T1816" i="13"/>
  <c r="T1832" i="13"/>
  <c r="T1848" i="13"/>
  <c r="T1864" i="13"/>
  <c r="T1880" i="13"/>
  <c r="T1896" i="13"/>
  <c r="T1912" i="13"/>
  <c r="T1928" i="13"/>
  <c r="T1944" i="13"/>
  <c r="T1960" i="13"/>
  <c r="T1976" i="13"/>
  <c r="T1992" i="13"/>
  <c r="T2008" i="13"/>
  <c r="T2024" i="13"/>
  <c r="T2040" i="13"/>
  <c r="T2056" i="13"/>
  <c r="T2072" i="13"/>
  <c r="T2088" i="13"/>
  <c r="T2104" i="13"/>
  <c r="T2120" i="13"/>
  <c r="T2136" i="13"/>
  <c r="T2152" i="13"/>
  <c r="T2168" i="13"/>
  <c r="T2184" i="13"/>
  <c r="T2200" i="13"/>
  <c r="T2216" i="13"/>
  <c r="T2229" i="13"/>
  <c r="T2240" i="13"/>
  <c r="T2248" i="13"/>
  <c r="T2256" i="13"/>
  <c r="T2264" i="13"/>
  <c r="T2272" i="13"/>
  <c r="T2280" i="13"/>
  <c r="T2288" i="13"/>
  <c r="T2296" i="13"/>
  <c r="T2304" i="13"/>
  <c r="T2312" i="13"/>
  <c r="T2320" i="13"/>
  <c r="T2328" i="13"/>
  <c r="T2336" i="13"/>
  <c r="T2344" i="13"/>
  <c r="T2352" i="13"/>
  <c r="T2360" i="13"/>
  <c r="T2368" i="13"/>
  <c r="T2376" i="13"/>
  <c r="T2384" i="13"/>
  <c r="T2392" i="13"/>
  <c r="T2400" i="13"/>
  <c r="T2408" i="13"/>
  <c r="T2416" i="13"/>
  <c r="T2424" i="13"/>
  <c r="T2432" i="13"/>
  <c r="T2440" i="13"/>
  <c r="T2448" i="13"/>
  <c r="T2456" i="13"/>
  <c r="T2464" i="13"/>
  <c r="T2472" i="13"/>
  <c r="T2480" i="13"/>
  <c r="T2488" i="13"/>
  <c r="T2496" i="13"/>
  <c r="T2504" i="13"/>
  <c r="T2512" i="13"/>
  <c r="T2520" i="13"/>
  <c r="T2528" i="13"/>
  <c r="T2536" i="13"/>
  <c r="T2544" i="13"/>
  <c r="T2552" i="13"/>
  <c r="T2560" i="13"/>
  <c r="T2568" i="13"/>
  <c r="T2576" i="13"/>
  <c r="T2584" i="13"/>
  <c r="T2592" i="13"/>
  <c r="T2600" i="13"/>
  <c r="T2608" i="13"/>
  <c r="T2616" i="13"/>
  <c r="T2624" i="13"/>
  <c r="T2632" i="13"/>
  <c r="T2640" i="13"/>
  <c r="T2648" i="13"/>
  <c r="T2656" i="13"/>
  <c r="T2664" i="13"/>
  <c r="T2672" i="13"/>
  <c r="T2680" i="13"/>
  <c r="T2688" i="13"/>
  <c r="T2696" i="13"/>
  <c r="T2704" i="13"/>
  <c r="T2712" i="13"/>
  <c r="T2720" i="13"/>
  <c r="T2728" i="13"/>
  <c r="T19" i="13"/>
  <c r="T83" i="13"/>
  <c r="T147" i="13"/>
  <c r="T201" i="13"/>
  <c r="T233" i="13"/>
  <c r="T265" i="13"/>
  <c r="T297" i="13"/>
  <c r="T329" i="13"/>
  <c r="T361" i="13"/>
  <c r="T393" i="13"/>
  <c r="T425" i="13"/>
  <c r="T457" i="13"/>
  <c r="T489" i="13"/>
  <c r="T521" i="13"/>
  <c r="T553" i="13"/>
  <c r="T585" i="13"/>
  <c r="T617" i="13"/>
  <c r="T649" i="13"/>
  <c r="T681" i="13"/>
  <c r="T713" i="13"/>
  <c r="T745" i="13"/>
  <c r="T777" i="13"/>
  <c r="T809" i="13"/>
  <c r="T841" i="13"/>
  <c r="T873" i="13"/>
  <c r="T905" i="13"/>
  <c r="T937" i="13"/>
  <c r="T969" i="13"/>
  <c r="T1001" i="13"/>
  <c r="T1033" i="13"/>
  <c r="T1065" i="13"/>
  <c r="T1097" i="13"/>
  <c r="T1129" i="13"/>
  <c r="T1161" i="13"/>
  <c r="T1193" i="13"/>
  <c r="T1225" i="13"/>
  <c r="T1257" i="13"/>
  <c r="T1289" i="13"/>
  <c r="T1321" i="13"/>
  <c r="T1353" i="13"/>
  <c r="T1385" i="13"/>
  <c r="T1417" i="13"/>
  <c r="T1449" i="13"/>
  <c r="T1481" i="13"/>
  <c r="T1513" i="13"/>
  <c r="T1545" i="13"/>
  <c r="T1577" i="13"/>
  <c r="T1609" i="13"/>
  <c r="T1641" i="13"/>
  <c r="T1673" i="13"/>
  <c r="T1705" i="13"/>
  <c r="T1737" i="13"/>
  <c r="T1769" i="13"/>
  <c r="T1801" i="13"/>
  <c r="T1833" i="13"/>
  <c r="T1865" i="13"/>
  <c r="T1897" i="13"/>
  <c r="T1929" i="13"/>
  <c r="T1961" i="13"/>
  <c r="T1993" i="13"/>
  <c r="T2025" i="13"/>
  <c r="T2057" i="13"/>
  <c r="T2089" i="13"/>
  <c r="T2121" i="13"/>
  <c r="T2153" i="13"/>
  <c r="T2185" i="13"/>
  <c r="T2217" i="13"/>
  <c r="T2241" i="13"/>
  <c r="T2257" i="13"/>
  <c r="T2273" i="13"/>
  <c r="T2289" i="13"/>
  <c r="T2305" i="13"/>
  <c r="T2321" i="13"/>
  <c r="T2337" i="13"/>
  <c r="T2353" i="13"/>
  <c r="T2369" i="13"/>
  <c r="T2385" i="13"/>
  <c r="T2401" i="13"/>
  <c r="T2417" i="13"/>
  <c r="T2433" i="13"/>
  <c r="T2449" i="13"/>
  <c r="T2465" i="13"/>
  <c r="T2481" i="13"/>
  <c r="T2497" i="13"/>
  <c r="T2513" i="13"/>
  <c r="T2529" i="13"/>
  <c r="T2545" i="13"/>
  <c r="T2561" i="13"/>
  <c r="T2577" i="13"/>
  <c r="T2593" i="13"/>
  <c r="T2609" i="13"/>
  <c r="T2625" i="13"/>
  <c r="T2641" i="13"/>
  <c r="T2657" i="13"/>
  <c r="T2673" i="13"/>
  <c r="T2689" i="13"/>
  <c r="T2705" i="13"/>
  <c r="T2721" i="13"/>
  <c r="T51" i="13"/>
  <c r="T179" i="13"/>
  <c r="T281" i="13"/>
  <c r="T377" i="13"/>
  <c r="T441" i="13"/>
  <c r="T505" i="13"/>
  <c r="T569" i="13"/>
  <c r="T633" i="13"/>
  <c r="T697" i="13"/>
  <c r="T761" i="13"/>
  <c r="T825" i="13"/>
  <c r="T889" i="13"/>
  <c r="T953" i="13"/>
  <c r="T1017" i="13"/>
  <c r="T1081" i="13"/>
  <c r="T1145" i="13"/>
  <c r="T1209" i="13"/>
  <c r="T1273" i="13"/>
  <c r="T1337" i="13"/>
  <c r="T1401" i="13"/>
  <c r="T1465" i="13"/>
  <c r="T1529" i="13"/>
  <c r="T1593" i="13"/>
  <c r="T1657" i="13"/>
  <c r="T1721" i="13"/>
  <c r="T1785" i="13"/>
  <c r="T1849" i="13"/>
  <c r="T1913" i="13"/>
  <c r="T1977" i="13"/>
  <c r="T2041" i="13"/>
  <c r="T2105" i="13"/>
  <c r="T2169" i="13"/>
  <c r="T2249" i="13"/>
  <c r="T2281" i="13"/>
  <c r="T2313" i="13"/>
  <c r="T2345" i="13"/>
  <c r="T2377" i="13"/>
  <c r="T2409" i="13"/>
  <c r="T2441" i="13"/>
  <c r="T2473" i="13"/>
  <c r="T2505" i="13"/>
  <c r="T2537" i="13"/>
  <c r="T2569" i="13"/>
  <c r="T2601" i="13"/>
  <c r="T2633" i="13"/>
  <c r="T2665" i="13"/>
  <c r="T2697" i="13"/>
  <c r="T2729" i="13"/>
  <c r="T34" i="13"/>
  <c r="T98" i="13"/>
  <c r="T162" i="13"/>
  <c r="T208" i="13"/>
  <c r="T240" i="13"/>
  <c r="T272" i="13"/>
  <c r="T304" i="13"/>
  <c r="T336" i="13"/>
  <c r="T368" i="13"/>
  <c r="T400" i="13"/>
  <c r="T432" i="13"/>
  <c r="T464" i="13"/>
  <c r="T496" i="13"/>
  <c r="T528" i="13"/>
  <c r="T560" i="13"/>
  <c r="T592" i="13"/>
  <c r="T624" i="13"/>
  <c r="T656" i="13"/>
  <c r="T688" i="13"/>
  <c r="T720" i="13"/>
  <c r="T752" i="13"/>
  <c r="T784" i="13"/>
  <c r="T816" i="13"/>
  <c r="T848" i="13"/>
  <c r="T880" i="13"/>
  <c r="T912" i="13"/>
  <c r="T944" i="13"/>
  <c r="T976" i="13"/>
  <c r="T1008" i="13"/>
  <c r="T1040" i="13"/>
  <c r="T1072" i="13"/>
  <c r="T1104" i="13"/>
  <c r="T1136" i="13"/>
  <c r="T1168" i="13"/>
  <c r="T1200" i="13"/>
  <c r="T1232" i="13"/>
  <c r="T1264" i="13"/>
  <c r="T1296" i="13"/>
  <c r="T1328" i="13"/>
  <c r="T1360" i="13"/>
  <c r="T1392" i="13"/>
  <c r="T1424" i="13"/>
  <c r="T1456" i="13"/>
  <c r="T1488" i="13"/>
  <c r="T1520" i="13"/>
  <c r="T1552" i="13"/>
  <c r="T1584" i="13"/>
  <c r="T1616" i="13"/>
  <c r="T1648" i="13"/>
  <c r="T1680" i="13"/>
  <c r="T1712" i="13"/>
  <c r="T1744" i="13"/>
  <c r="T1776" i="13"/>
  <c r="T1808" i="13"/>
  <c r="T1840" i="13"/>
  <c r="T1872" i="13"/>
  <c r="T1904" i="13"/>
  <c r="T1936" i="13"/>
  <c r="T1968" i="13"/>
  <c r="T2000" i="13"/>
  <c r="T2032" i="13"/>
  <c r="T2064" i="13"/>
  <c r="T2096" i="13"/>
  <c r="T2128" i="13"/>
  <c r="T2160" i="13"/>
  <c r="T2192" i="13"/>
  <c r="T2224" i="13"/>
  <c r="T2244" i="13"/>
  <c r="T2260" i="13"/>
  <c r="T2276" i="13"/>
  <c r="T2292" i="13"/>
  <c r="T2308" i="13"/>
  <c r="T2324" i="13"/>
  <c r="T2340" i="13"/>
  <c r="T2356" i="13"/>
  <c r="T2372" i="13"/>
  <c r="T2388" i="13"/>
  <c r="T2404" i="13"/>
  <c r="T2420" i="13"/>
  <c r="T2436" i="13"/>
  <c r="T2452" i="13"/>
  <c r="T2468" i="13"/>
  <c r="T2484" i="13"/>
  <c r="T2500" i="13"/>
  <c r="T2516" i="13"/>
  <c r="T2532" i="13"/>
  <c r="T2548" i="13"/>
  <c r="T2564" i="13"/>
  <c r="T2580" i="13"/>
  <c r="T2596" i="13"/>
  <c r="T2612" i="13"/>
  <c r="T2628" i="13"/>
  <c r="T2644" i="13"/>
  <c r="T2660" i="13"/>
  <c r="T2676" i="13"/>
  <c r="T2692" i="13"/>
  <c r="T2708" i="13"/>
  <c r="T2724" i="13"/>
  <c r="T115" i="13"/>
  <c r="T217" i="13"/>
  <c r="T249" i="13"/>
  <c r="T313" i="13"/>
  <c r="T345" i="13"/>
  <c r="T409" i="13"/>
  <c r="T473" i="13"/>
  <c r="T537" i="13"/>
  <c r="T601" i="13"/>
  <c r="T665" i="13"/>
  <c r="T729" i="13"/>
  <c r="T793" i="13"/>
  <c r="T857" i="13"/>
  <c r="T921" i="13"/>
  <c r="T985" i="13"/>
  <c r="T1049" i="13"/>
  <c r="T1113" i="13"/>
  <c r="T1177" i="13"/>
  <c r="T1241" i="13"/>
  <c r="T1305" i="13"/>
  <c r="T1369" i="13"/>
  <c r="T1433" i="13"/>
  <c r="T1497" i="13"/>
  <c r="T1561" i="13"/>
  <c r="T1625" i="13"/>
  <c r="T1689" i="13"/>
  <c r="T1753" i="13"/>
  <c r="T1817" i="13"/>
  <c r="T1881" i="13"/>
  <c r="T1945" i="13"/>
  <c r="T2009" i="13"/>
  <c r="T2073" i="13"/>
  <c r="T2137" i="13"/>
  <c r="T2201" i="13"/>
  <c r="T2230" i="13"/>
  <c r="T2265" i="13"/>
  <c r="T2297" i="13"/>
  <c r="T2329" i="13"/>
  <c r="T2361" i="13"/>
  <c r="T2393" i="13"/>
  <c r="T2425" i="13"/>
  <c r="T2457" i="13"/>
  <c r="T2489" i="13"/>
  <c r="T2521" i="13"/>
  <c r="T2553" i="13"/>
  <c r="T2585" i="13"/>
  <c r="T2617" i="13"/>
  <c r="T2649" i="13"/>
  <c r="T2681" i="13"/>
  <c r="T2713" i="13"/>
  <c r="T130" i="13"/>
  <c r="T288" i="13"/>
  <c r="T416" i="13"/>
  <c r="T544" i="13"/>
  <c r="T672" i="13"/>
  <c r="T800" i="13"/>
  <c r="T928" i="13"/>
  <c r="T1056" i="13"/>
  <c r="T1184" i="13"/>
  <c r="T1312" i="13"/>
  <c r="T1440" i="13"/>
  <c r="T1568" i="13"/>
  <c r="T1696" i="13"/>
  <c r="T1824" i="13"/>
  <c r="T1952" i="13"/>
  <c r="T2080" i="13"/>
  <c r="T2208" i="13"/>
  <c r="T2284" i="13"/>
  <c r="T2348" i="13"/>
  <c r="T2412" i="13"/>
  <c r="T2476" i="13"/>
  <c r="T2540" i="13"/>
  <c r="T2604" i="13"/>
  <c r="T2668" i="13"/>
  <c r="T224" i="13"/>
  <c r="T352" i="13"/>
  <c r="T480" i="13"/>
  <c r="T608" i="13"/>
  <c r="T736" i="13"/>
  <c r="T864" i="13"/>
  <c r="T992" i="13"/>
  <c r="T1120" i="13"/>
  <c r="T1248" i="13"/>
  <c r="T1376" i="13"/>
  <c r="T1504" i="13"/>
  <c r="T1632" i="13"/>
  <c r="T1760" i="13"/>
  <c r="T1888" i="13"/>
  <c r="T2016" i="13"/>
  <c r="T2144" i="13"/>
  <c r="T2252" i="13"/>
  <c r="T2316" i="13"/>
  <c r="T2380" i="13"/>
  <c r="T2444" i="13"/>
  <c r="T2508" i="13"/>
  <c r="T2572" i="13"/>
  <c r="T2636" i="13"/>
  <c r="T2700" i="13"/>
  <c r="T66" i="13"/>
  <c r="T256" i="13"/>
  <c r="T384" i="13"/>
  <c r="T512" i="13"/>
  <c r="T640" i="13"/>
  <c r="T768" i="13"/>
  <c r="T896" i="13"/>
  <c r="T1024" i="13"/>
  <c r="T1152" i="13"/>
  <c r="T1280" i="13"/>
  <c r="T1408" i="13"/>
  <c r="T1536" i="13"/>
  <c r="T1664" i="13"/>
  <c r="T1792" i="13"/>
  <c r="T1920" i="13"/>
  <c r="T2048" i="13"/>
  <c r="T2176" i="13"/>
  <c r="T2268" i="13"/>
  <c r="T2332" i="13"/>
  <c r="T2396" i="13"/>
  <c r="T2460" i="13"/>
  <c r="T2524" i="13"/>
  <c r="T2588" i="13"/>
  <c r="T2652" i="13"/>
  <c r="T2716" i="13"/>
  <c r="T190" i="13"/>
  <c r="T320" i="13"/>
  <c r="T448" i="13"/>
  <c r="T576" i="13"/>
  <c r="T704" i="13"/>
  <c r="T832" i="13"/>
  <c r="T960" i="13"/>
  <c r="T1088" i="13"/>
  <c r="T1216" i="13"/>
  <c r="T1344" i="13"/>
  <c r="T1472" i="13"/>
  <c r="T1600" i="13"/>
  <c r="T1728" i="13"/>
  <c r="T1856" i="13"/>
  <c r="T1984" i="13"/>
  <c r="T2112" i="13"/>
  <c r="T2234" i="13"/>
  <c r="T2300" i="13"/>
  <c r="T2364" i="13"/>
  <c r="T2428" i="13"/>
  <c r="T2492" i="13"/>
  <c r="T2556" i="13"/>
  <c r="T2620" i="13"/>
  <c r="T2684" i="13"/>
  <c r="F96" i="3"/>
  <c r="F100" i="3"/>
  <c r="F104" i="3"/>
  <c r="F108" i="3"/>
  <c r="F112" i="3"/>
  <c r="F94" i="3"/>
  <c r="F102" i="3"/>
  <c r="F110" i="3"/>
  <c r="F93" i="3"/>
  <c r="F97" i="3"/>
  <c r="F101" i="3"/>
  <c r="F105" i="3"/>
  <c r="F109" i="3"/>
  <c r="F98" i="3"/>
  <c r="F106" i="3"/>
  <c r="F111" i="3"/>
  <c r="F99" i="3"/>
  <c r="F103" i="3"/>
  <c r="F107" i="3"/>
  <c r="F95" i="3"/>
  <c r="N13" i="13"/>
  <c r="N17" i="13"/>
  <c r="N21" i="13"/>
  <c r="N25" i="13"/>
  <c r="N29" i="13"/>
  <c r="N33" i="13"/>
  <c r="N37" i="13"/>
  <c r="N41" i="13"/>
  <c r="N45" i="13"/>
  <c r="N49" i="13"/>
  <c r="N53" i="13"/>
  <c r="N57" i="13"/>
  <c r="N61" i="13"/>
  <c r="N65" i="13"/>
  <c r="N69" i="13"/>
  <c r="N73" i="13"/>
  <c r="N77" i="13"/>
  <c r="N81" i="13"/>
  <c r="N85" i="13"/>
  <c r="N89" i="13"/>
  <c r="N93" i="13"/>
  <c r="N97" i="13"/>
  <c r="N101" i="13"/>
  <c r="N105" i="13"/>
  <c r="N109" i="13"/>
  <c r="N113" i="13"/>
  <c r="N117" i="13"/>
  <c r="N121" i="13"/>
  <c r="N125" i="13"/>
  <c r="N129" i="13"/>
  <c r="N133" i="13"/>
  <c r="N137" i="13"/>
  <c r="N141" i="13"/>
  <c r="N145" i="13"/>
  <c r="N149" i="13"/>
  <c r="N153" i="13"/>
  <c r="N157" i="13"/>
  <c r="N161" i="13"/>
  <c r="N165" i="13"/>
  <c r="N169" i="13"/>
  <c r="N173" i="13"/>
  <c r="N177" i="13"/>
  <c r="N181" i="13"/>
  <c r="N185" i="13"/>
  <c r="N189" i="13"/>
  <c r="N193" i="13"/>
  <c r="N197" i="13"/>
  <c r="N201" i="13"/>
  <c r="N205" i="13"/>
  <c r="N209" i="13"/>
  <c r="N213" i="13"/>
  <c r="N217" i="13"/>
  <c r="N221" i="13"/>
  <c r="N225" i="13"/>
  <c r="N229" i="13"/>
  <c r="N233" i="13"/>
  <c r="N237" i="13"/>
  <c r="N241" i="13"/>
  <c r="N245" i="13"/>
  <c r="N249" i="13"/>
  <c r="N253" i="13"/>
  <c r="N257" i="13"/>
  <c r="N261" i="13"/>
  <c r="N265" i="13"/>
  <c r="N269" i="13"/>
  <c r="N273" i="13"/>
  <c r="N277" i="13"/>
  <c r="N281" i="13"/>
  <c r="N285" i="13"/>
  <c r="N289" i="13"/>
  <c r="N293" i="13"/>
  <c r="N297" i="13"/>
  <c r="N301" i="13"/>
  <c r="N305" i="13"/>
  <c r="N309" i="13"/>
  <c r="N313" i="13"/>
  <c r="N317" i="13"/>
  <c r="N321" i="13"/>
  <c r="N325" i="13"/>
  <c r="N329" i="13"/>
  <c r="N333" i="13"/>
  <c r="N337" i="13"/>
  <c r="N341" i="13"/>
  <c r="N345" i="13"/>
  <c r="N349" i="13"/>
  <c r="N353" i="13"/>
  <c r="N357" i="13"/>
  <c r="N361" i="13"/>
  <c r="N365" i="13"/>
  <c r="N369" i="13"/>
  <c r="N373" i="13"/>
  <c r="N377" i="13"/>
  <c r="N381" i="13"/>
  <c r="N385" i="13"/>
  <c r="N389" i="13"/>
  <c r="N393" i="13"/>
  <c r="N397" i="13"/>
  <c r="N401" i="13"/>
  <c r="N405" i="13"/>
  <c r="N409" i="13"/>
  <c r="N413" i="13"/>
  <c r="N417" i="13"/>
  <c r="N421" i="13"/>
  <c r="N425" i="13"/>
  <c r="N429" i="13"/>
  <c r="N433" i="13"/>
  <c r="N437" i="13"/>
  <c r="N441" i="13"/>
  <c r="N445" i="13"/>
  <c r="N449" i="13"/>
  <c r="N453" i="13"/>
  <c r="N457" i="13"/>
  <c r="N461" i="13"/>
  <c r="N465" i="13"/>
  <c r="N469" i="13"/>
  <c r="N473" i="13"/>
  <c r="N477" i="13"/>
  <c r="N481" i="13"/>
  <c r="N485" i="13"/>
  <c r="N489" i="13"/>
  <c r="N493" i="13"/>
  <c r="N497" i="13"/>
  <c r="N501" i="13"/>
  <c r="N505" i="13"/>
  <c r="N509" i="13"/>
  <c r="N513" i="13"/>
  <c r="N517" i="13"/>
  <c r="N521" i="13"/>
  <c r="N525" i="13"/>
  <c r="N529" i="13"/>
  <c r="N533" i="13"/>
  <c r="N537" i="13"/>
  <c r="N541" i="13"/>
  <c r="N545" i="13"/>
  <c r="N549" i="13"/>
  <c r="N553" i="13"/>
  <c r="N557" i="13"/>
  <c r="N561" i="13"/>
  <c r="N565" i="13"/>
  <c r="N569" i="13"/>
  <c r="N573" i="13"/>
  <c r="N577" i="13"/>
  <c r="N581" i="13"/>
  <c r="N585" i="13"/>
  <c r="N589" i="13"/>
  <c r="N593" i="13"/>
  <c r="N597" i="13"/>
  <c r="N601" i="13"/>
  <c r="N605" i="13"/>
  <c r="N609" i="13"/>
  <c r="N613" i="13"/>
  <c r="N617" i="13"/>
  <c r="N621" i="13"/>
  <c r="N625" i="13"/>
  <c r="N629" i="13"/>
  <c r="N633" i="13"/>
  <c r="N637" i="13"/>
  <c r="N641" i="13"/>
  <c r="N645" i="13"/>
  <c r="N649" i="13"/>
  <c r="N653" i="13"/>
  <c r="N657" i="13"/>
  <c r="N661" i="13"/>
  <c r="N665" i="13"/>
  <c r="N669" i="13"/>
  <c r="N673" i="13"/>
  <c r="N677" i="13"/>
  <c r="N681" i="13"/>
  <c r="N685" i="13"/>
  <c r="N689" i="13"/>
  <c r="N693" i="13"/>
  <c r="N697" i="13"/>
  <c r="N701" i="13"/>
  <c r="N705" i="13"/>
  <c r="N709" i="13"/>
  <c r="N713" i="13"/>
  <c r="N717" i="13"/>
  <c r="N721" i="13"/>
  <c r="N725" i="13"/>
  <c r="N729" i="13"/>
  <c r="N733" i="13"/>
  <c r="N737" i="13"/>
  <c r="N741" i="13"/>
  <c r="N745" i="13"/>
  <c r="N749" i="13"/>
  <c r="N753" i="13"/>
  <c r="N757" i="13"/>
  <c r="N761" i="13"/>
  <c r="N765" i="13"/>
  <c r="N769" i="13"/>
  <c r="N773" i="13"/>
  <c r="N777" i="13"/>
  <c r="N781" i="13"/>
  <c r="N785" i="13"/>
  <c r="N789" i="13"/>
  <c r="N793" i="13"/>
  <c r="N797" i="13"/>
  <c r="N801" i="13"/>
  <c r="N805" i="13"/>
  <c r="N809" i="13"/>
  <c r="N813" i="13"/>
  <c r="N817" i="13"/>
  <c r="N821" i="13"/>
  <c r="N825" i="13"/>
  <c r="N829" i="13"/>
  <c r="N833" i="13"/>
  <c r="N837" i="13"/>
  <c r="N841" i="13"/>
  <c r="N845" i="13"/>
  <c r="N849" i="13"/>
  <c r="N853" i="13"/>
  <c r="N857" i="13"/>
  <c r="N861" i="13"/>
  <c r="N865" i="13"/>
  <c r="N869" i="13"/>
  <c r="N873" i="13"/>
  <c r="N877" i="13"/>
  <c r="N881" i="13"/>
  <c r="N885" i="13"/>
  <c r="N889" i="13"/>
  <c r="N893" i="13"/>
  <c r="N897" i="13"/>
  <c r="N901" i="13"/>
  <c r="N905" i="13"/>
  <c r="N909" i="13"/>
  <c r="N913" i="13"/>
  <c r="N917" i="13"/>
  <c r="N921" i="13"/>
  <c r="N925" i="13"/>
  <c r="N929" i="13"/>
  <c r="N933" i="13"/>
  <c r="N937" i="13"/>
  <c r="N941" i="13"/>
  <c r="N945" i="13"/>
  <c r="N949" i="13"/>
  <c r="N953" i="13"/>
  <c r="N957" i="13"/>
  <c r="N961" i="13"/>
  <c r="N965" i="13"/>
  <c r="N969" i="13"/>
  <c r="N973" i="13"/>
  <c r="N977" i="13"/>
  <c r="N981" i="13"/>
  <c r="N985" i="13"/>
  <c r="N989" i="13"/>
  <c r="N993" i="13"/>
  <c r="N997" i="13"/>
  <c r="N1001" i="13"/>
  <c r="N1005" i="13"/>
  <c r="N1009" i="13"/>
  <c r="N1013" i="13"/>
  <c r="N1017" i="13"/>
  <c r="N1021" i="13"/>
  <c r="N1025" i="13"/>
  <c r="N1029" i="13"/>
  <c r="N1033" i="13"/>
  <c r="N1037" i="13"/>
  <c r="N1041" i="13"/>
  <c r="N1045" i="13"/>
  <c r="N1049" i="13"/>
  <c r="N1053" i="13"/>
  <c r="N1057" i="13"/>
  <c r="N1061" i="13"/>
  <c r="N1065" i="13"/>
  <c r="N1069" i="13"/>
  <c r="N1073" i="13"/>
  <c r="N1077" i="13"/>
  <c r="N1081" i="13"/>
  <c r="N1085" i="13"/>
  <c r="N1089" i="13"/>
  <c r="N1093" i="13"/>
  <c r="N1097" i="13"/>
  <c r="N1101" i="13"/>
  <c r="N1105" i="13"/>
  <c r="N1109" i="13"/>
  <c r="N1113" i="13"/>
  <c r="N1117" i="13"/>
  <c r="N1121" i="13"/>
  <c r="N1125" i="13"/>
  <c r="N1129" i="13"/>
  <c r="N1133" i="13"/>
  <c r="N1137" i="13"/>
  <c r="N1141" i="13"/>
  <c r="N1145" i="13"/>
  <c r="N1149" i="13"/>
  <c r="N1153" i="13"/>
  <c r="N1157" i="13"/>
  <c r="N1161" i="13"/>
  <c r="N1165" i="13"/>
  <c r="N1169" i="13"/>
  <c r="N1173" i="13"/>
  <c r="N1177" i="13"/>
  <c r="N1181" i="13"/>
  <c r="N1185" i="13"/>
  <c r="N1189" i="13"/>
  <c r="N1193" i="13"/>
  <c r="N1197" i="13"/>
  <c r="N1201" i="13"/>
  <c r="N1205" i="13"/>
  <c r="N1209" i="13"/>
  <c r="N1213" i="13"/>
  <c r="N1217" i="13"/>
  <c r="N1221" i="13"/>
  <c r="N1225" i="13"/>
  <c r="N1229" i="13"/>
  <c r="N1233" i="13"/>
  <c r="N1237" i="13"/>
  <c r="N1241" i="13"/>
  <c r="N1245" i="13"/>
  <c r="N1249" i="13"/>
  <c r="N1253" i="13"/>
  <c r="N1257" i="13"/>
  <c r="N1261" i="13"/>
  <c r="N1265" i="13"/>
  <c r="N1269" i="13"/>
  <c r="N1273" i="13"/>
  <c r="N1277" i="13"/>
  <c r="N1281" i="13"/>
  <c r="N1285" i="13"/>
  <c r="N1289" i="13"/>
  <c r="N1293" i="13"/>
  <c r="N1297" i="13"/>
  <c r="N1301" i="13"/>
  <c r="N1305" i="13"/>
  <c r="N1309" i="13"/>
  <c r="N1313" i="13"/>
  <c r="N1317" i="13"/>
  <c r="N1321" i="13"/>
  <c r="N1325" i="13"/>
  <c r="N1329" i="13"/>
  <c r="N1333" i="13"/>
  <c r="N1337" i="13"/>
  <c r="N1341" i="13"/>
  <c r="N1345" i="13"/>
  <c r="N1349" i="13"/>
  <c r="N1353" i="13"/>
  <c r="N1357" i="13"/>
  <c r="N1361" i="13"/>
  <c r="N1365" i="13"/>
  <c r="N1369" i="13"/>
  <c r="N1373" i="13"/>
  <c r="N1377" i="13"/>
  <c r="N1381" i="13"/>
  <c r="N1385" i="13"/>
  <c r="N1389" i="13"/>
  <c r="N1393" i="13"/>
  <c r="N1397" i="13"/>
  <c r="N1401" i="13"/>
  <c r="N1405" i="13"/>
  <c r="N1409" i="13"/>
  <c r="N1413" i="13"/>
  <c r="N1417" i="13"/>
  <c r="N1421" i="13"/>
  <c r="N1425" i="13"/>
  <c r="N1429" i="13"/>
  <c r="N1433" i="13"/>
  <c r="N1437" i="13"/>
  <c r="N1441" i="13"/>
  <c r="N1445" i="13"/>
  <c r="N1449" i="13"/>
  <c r="N1453" i="13"/>
  <c r="N1457" i="13"/>
  <c r="N1461" i="13"/>
  <c r="N1465" i="13"/>
  <c r="N1469" i="13"/>
  <c r="N1473" i="13"/>
  <c r="N1477" i="13"/>
  <c r="N1481" i="13"/>
  <c r="N1485" i="13"/>
  <c r="N1489" i="13"/>
  <c r="N1493" i="13"/>
  <c r="N1497" i="13"/>
  <c r="N1501" i="13"/>
  <c r="N1505" i="13"/>
  <c r="N1509" i="13"/>
  <c r="N1513" i="13"/>
  <c r="N1517" i="13"/>
  <c r="N1521" i="13"/>
  <c r="N1525" i="13"/>
  <c r="N1529" i="13"/>
  <c r="N1533" i="13"/>
  <c r="N1537" i="13"/>
  <c r="N1541" i="13"/>
  <c r="N1545" i="13"/>
  <c r="N1549" i="13"/>
  <c r="N1553" i="13"/>
  <c r="N1557" i="13"/>
  <c r="N1561" i="13"/>
  <c r="N1565" i="13"/>
  <c r="N1569" i="13"/>
  <c r="N1573" i="13"/>
  <c r="N1577" i="13"/>
  <c r="N1581" i="13"/>
  <c r="N1585" i="13"/>
  <c r="N1589" i="13"/>
  <c r="N1593" i="13"/>
  <c r="N1597" i="13"/>
  <c r="N1601" i="13"/>
  <c r="N1605" i="13"/>
  <c r="N1609" i="13"/>
  <c r="N1613" i="13"/>
  <c r="N1617" i="13"/>
  <c r="N1621" i="13"/>
  <c r="N1625" i="13"/>
  <c r="N1629" i="13"/>
  <c r="N1633" i="13"/>
  <c r="N1637" i="13"/>
  <c r="N1641" i="13"/>
  <c r="N1645" i="13"/>
  <c r="N1649" i="13"/>
  <c r="N1653" i="13"/>
  <c r="N1657" i="13"/>
  <c r="N1661" i="13"/>
  <c r="N1665" i="13"/>
  <c r="N1669" i="13"/>
  <c r="N1673" i="13"/>
  <c r="N1677" i="13"/>
  <c r="N1681" i="13"/>
  <c r="N1685" i="13"/>
  <c r="N1689" i="13"/>
  <c r="N1693" i="13"/>
  <c r="N1697" i="13"/>
  <c r="N1701" i="13"/>
  <c r="N1705" i="13"/>
  <c r="N1709" i="13"/>
  <c r="N1713" i="13"/>
  <c r="N1717" i="13"/>
  <c r="N1721" i="13"/>
  <c r="N1725" i="13"/>
  <c r="N1729" i="13"/>
  <c r="N1733" i="13"/>
  <c r="N1737" i="13"/>
  <c r="N1741" i="13"/>
  <c r="N1745" i="13"/>
  <c r="N1749" i="13"/>
  <c r="N1753" i="13"/>
  <c r="N1757" i="13"/>
  <c r="N1761" i="13"/>
  <c r="N1765" i="13"/>
  <c r="N1769" i="13"/>
  <c r="N1773" i="13"/>
  <c r="N1777" i="13"/>
  <c r="N1781" i="13"/>
  <c r="N1785" i="13"/>
  <c r="N1789" i="13"/>
  <c r="N1793" i="13"/>
  <c r="N1797" i="13"/>
  <c r="N1801" i="13"/>
  <c r="N1805" i="13"/>
  <c r="N1809" i="13"/>
  <c r="N1813" i="13"/>
  <c r="N1817" i="13"/>
  <c r="N1821" i="13"/>
  <c r="N1825" i="13"/>
  <c r="N1829" i="13"/>
  <c r="N1833" i="13"/>
  <c r="N1837" i="13"/>
  <c r="N1841" i="13"/>
  <c r="N1845" i="13"/>
  <c r="N1849" i="13"/>
  <c r="N1853" i="13"/>
  <c r="N1857" i="13"/>
  <c r="N1861" i="13"/>
  <c r="N1865" i="13"/>
  <c r="N1869" i="13"/>
  <c r="N1873" i="13"/>
  <c r="N1877" i="13"/>
  <c r="N1881" i="13"/>
  <c r="N1885" i="13"/>
  <c r="N1889" i="13"/>
  <c r="N1893" i="13"/>
  <c r="N1897" i="13"/>
  <c r="N1901" i="13"/>
  <c r="N1905" i="13"/>
  <c r="N1909" i="13"/>
  <c r="N1913" i="13"/>
  <c r="N1917" i="13"/>
  <c r="N1921" i="13"/>
  <c r="N1925" i="13"/>
  <c r="N1929" i="13"/>
  <c r="N1933" i="13"/>
  <c r="N1937" i="13"/>
  <c r="N1941" i="13"/>
  <c r="N1945" i="13"/>
  <c r="N1949" i="13"/>
  <c r="N1953" i="13"/>
  <c r="N1957" i="13"/>
  <c r="N1961" i="13"/>
  <c r="N1965" i="13"/>
  <c r="N1969" i="13"/>
  <c r="N1973" i="13"/>
  <c r="N1977" i="13"/>
  <c r="N1981" i="13"/>
  <c r="N1985" i="13"/>
  <c r="N1989" i="13"/>
  <c r="N1993" i="13"/>
  <c r="N1997" i="13"/>
  <c r="N2001" i="13"/>
  <c r="N2005" i="13"/>
  <c r="N2009" i="13"/>
  <c r="N2013" i="13"/>
  <c r="N2017" i="13"/>
  <c r="N2021" i="13"/>
  <c r="N2025" i="13"/>
  <c r="N2029" i="13"/>
  <c r="N2033" i="13"/>
  <c r="N2037" i="13"/>
  <c r="N2041" i="13"/>
  <c r="N2045" i="13"/>
  <c r="N2049" i="13"/>
  <c r="N2053" i="13"/>
  <c r="N2057" i="13"/>
  <c r="N2061" i="13"/>
  <c r="N2065" i="13"/>
  <c r="N2069" i="13"/>
  <c r="N2073" i="13"/>
  <c r="N2077" i="13"/>
  <c r="N2081" i="13"/>
  <c r="N2085" i="13"/>
  <c r="N2089" i="13"/>
  <c r="N2093" i="13"/>
  <c r="N2097" i="13"/>
  <c r="N2101" i="13"/>
  <c r="N2105" i="13"/>
  <c r="N2109" i="13"/>
  <c r="N2113" i="13"/>
  <c r="N2117" i="13"/>
  <c r="N2121" i="13"/>
  <c r="N14" i="13"/>
  <c r="N18" i="13"/>
  <c r="N22" i="13"/>
  <c r="N26" i="13"/>
  <c r="N30" i="13"/>
  <c r="N34" i="13"/>
  <c r="N38" i="13"/>
  <c r="N42" i="13"/>
  <c r="N46" i="13"/>
  <c r="N50" i="13"/>
  <c r="N54" i="13"/>
  <c r="N58" i="13"/>
  <c r="N62" i="13"/>
  <c r="N66" i="13"/>
  <c r="N70" i="13"/>
  <c r="N74" i="13"/>
  <c r="N78" i="13"/>
  <c r="N82" i="13"/>
  <c r="N86" i="13"/>
  <c r="N90" i="13"/>
  <c r="N94" i="13"/>
  <c r="N98" i="13"/>
  <c r="N102" i="13"/>
  <c r="N106" i="13"/>
  <c r="N110" i="13"/>
  <c r="N114" i="13"/>
  <c r="N118" i="13"/>
  <c r="N122" i="13"/>
  <c r="N126" i="13"/>
  <c r="N130" i="13"/>
  <c r="N134" i="13"/>
  <c r="N138" i="13"/>
  <c r="N142" i="13"/>
  <c r="N146" i="13"/>
  <c r="N150" i="13"/>
  <c r="N154" i="13"/>
  <c r="N158" i="13"/>
  <c r="N162" i="13"/>
  <c r="N166" i="13"/>
  <c r="N170" i="13"/>
  <c r="N174" i="13"/>
  <c r="N178" i="13"/>
  <c r="N182" i="13"/>
  <c r="N186" i="13"/>
  <c r="N190" i="13"/>
  <c r="N194" i="13"/>
  <c r="N198" i="13"/>
  <c r="N202" i="13"/>
  <c r="N206" i="13"/>
  <c r="N210" i="13"/>
  <c r="N214" i="13"/>
  <c r="N218" i="13"/>
  <c r="N222" i="13"/>
  <c r="N226" i="13"/>
  <c r="N230" i="13"/>
  <c r="N234" i="13"/>
  <c r="N238" i="13"/>
  <c r="N242" i="13"/>
  <c r="N246" i="13"/>
  <c r="N250" i="13"/>
  <c r="N254" i="13"/>
  <c r="N258" i="13"/>
  <c r="N262" i="13"/>
  <c r="N266" i="13"/>
  <c r="N270" i="13"/>
  <c r="N274" i="13"/>
  <c r="N278" i="13"/>
  <c r="N282" i="13"/>
  <c r="N286" i="13"/>
  <c r="N290" i="13"/>
  <c r="N294" i="13"/>
  <c r="N298" i="13"/>
  <c r="N302" i="13"/>
  <c r="N306" i="13"/>
  <c r="N310" i="13"/>
  <c r="N314" i="13"/>
  <c r="N318" i="13"/>
  <c r="N322" i="13"/>
  <c r="N326" i="13"/>
  <c r="N330" i="13"/>
  <c r="N334" i="13"/>
  <c r="N338" i="13"/>
  <c r="N342" i="13"/>
  <c r="N346" i="13"/>
  <c r="N350" i="13"/>
  <c r="N354" i="13"/>
  <c r="N358" i="13"/>
  <c r="N362" i="13"/>
  <c r="N366" i="13"/>
  <c r="N370" i="13"/>
  <c r="N374" i="13"/>
  <c r="N378" i="13"/>
  <c r="N382" i="13"/>
  <c r="N386" i="13"/>
  <c r="N390" i="13"/>
  <c r="N394" i="13"/>
  <c r="N398" i="13"/>
  <c r="N402" i="13"/>
  <c r="N406" i="13"/>
  <c r="N410" i="13"/>
  <c r="N414" i="13"/>
  <c r="N418" i="13"/>
  <c r="N422" i="13"/>
  <c r="N426" i="13"/>
  <c r="N430" i="13"/>
  <c r="N434" i="13"/>
  <c r="N438" i="13"/>
  <c r="N442" i="13"/>
  <c r="N446" i="13"/>
  <c r="N450" i="13"/>
  <c r="N454" i="13"/>
  <c r="N458" i="13"/>
  <c r="N462" i="13"/>
  <c r="N466" i="13"/>
  <c r="N470" i="13"/>
  <c r="N474" i="13"/>
  <c r="N478" i="13"/>
  <c r="N482" i="13"/>
  <c r="N486" i="13"/>
  <c r="N490" i="13"/>
  <c r="N494" i="13"/>
  <c r="N498" i="13"/>
  <c r="N502" i="13"/>
  <c r="N506" i="13"/>
  <c r="N510" i="13"/>
  <c r="N514" i="13"/>
  <c r="N518" i="13"/>
  <c r="N522" i="13"/>
  <c r="N526" i="13"/>
  <c r="N530" i="13"/>
  <c r="N534" i="13"/>
  <c r="N538" i="13"/>
  <c r="N542" i="13"/>
  <c r="N546" i="13"/>
  <c r="N550" i="13"/>
  <c r="N554" i="13"/>
  <c r="N558" i="13"/>
  <c r="N562" i="13"/>
  <c r="N566" i="13"/>
  <c r="N570" i="13"/>
  <c r="N574" i="13"/>
  <c r="N578" i="13"/>
  <c r="N582" i="13"/>
  <c r="N586" i="13"/>
  <c r="N590" i="13"/>
  <c r="N594" i="13"/>
  <c r="N598" i="13"/>
  <c r="N602" i="13"/>
  <c r="N606" i="13"/>
  <c r="N610" i="13"/>
  <c r="N614" i="13"/>
  <c r="N618" i="13"/>
  <c r="N622" i="13"/>
  <c r="N626" i="13"/>
  <c r="N630" i="13"/>
  <c r="N634" i="13"/>
  <c r="N638" i="13"/>
  <c r="N642" i="13"/>
  <c r="N646" i="13"/>
  <c r="N650" i="13"/>
  <c r="N654" i="13"/>
  <c r="N658" i="13"/>
  <c r="N662" i="13"/>
  <c r="N666" i="13"/>
  <c r="N670" i="13"/>
  <c r="N674" i="13"/>
  <c r="N678" i="13"/>
  <c r="N682" i="13"/>
  <c r="N686" i="13"/>
  <c r="N690" i="13"/>
  <c r="N694" i="13"/>
  <c r="N698" i="13"/>
  <c r="N702" i="13"/>
  <c r="N706" i="13"/>
  <c r="N710" i="13"/>
  <c r="N714" i="13"/>
  <c r="N718" i="13"/>
  <c r="N722" i="13"/>
  <c r="N726" i="13"/>
  <c r="N730" i="13"/>
  <c r="N734" i="13"/>
  <c r="N738" i="13"/>
  <c r="N742" i="13"/>
  <c r="N746" i="13"/>
  <c r="N750" i="13"/>
  <c r="N754" i="13"/>
  <c r="N758" i="13"/>
  <c r="N762" i="13"/>
  <c r="N766" i="13"/>
  <c r="N770" i="13"/>
  <c r="N774" i="13"/>
  <c r="N778" i="13"/>
  <c r="N782" i="13"/>
  <c r="N786" i="13"/>
  <c r="N790" i="13"/>
  <c r="N794" i="13"/>
  <c r="N798" i="13"/>
  <c r="N802" i="13"/>
  <c r="N806" i="13"/>
  <c r="N810" i="13"/>
  <c r="N814" i="13"/>
  <c r="N818" i="13"/>
  <c r="N822" i="13"/>
  <c r="N826" i="13"/>
  <c r="N830" i="13"/>
  <c r="N834" i="13"/>
  <c r="N838" i="13"/>
  <c r="N842" i="13"/>
  <c r="N846" i="13"/>
  <c r="N850" i="13"/>
  <c r="N854" i="13"/>
  <c r="N858" i="13"/>
  <c r="N862" i="13"/>
  <c r="N866" i="13"/>
  <c r="N870" i="13"/>
  <c r="N874" i="13"/>
  <c r="N878" i="13"/>
  <c r="N882" i="13"/>
  <c r="N886" i="13"/>
  <c r="N890" i="13"/>
  <c r="N894" i="13"/>
  <c r="N898" i="13"/>
  <c r="N902" i="13"/>
  <c r="N906" i="13"/>
  <c r="N910" i="13"/>
  <c r="N914" i="13"/>
  <c r="N918" i="13"/>
  <c r="N922" i="13"/>
  <c r="N926" i="13"/>
  <c r="N930" i="13"/>
  <c r="N934" i="13"/>
  <c r="N938" i="13"/>
  <c r="N942" i="13"/>
  <c r="N946" i="13"/>
  <c r="N950" i="13"/>
  <c r="N954" i="13"/>
  <c r="N958" i="13"/>
  <c r="N962" i="13"/>
  <c r="N966" i="13"/>
  <c r="N970" i="13"/>
  <c r="N974" i="13"/>
  <c r="N978" i="13"/>
  <c r="N982" i="13"/>
  <c r="N986" i="13"/>
  <c r="N990" i="13"/>
  <c r="N994" i="13"/>
  <c r="N998" i="13"/>
  <c r="N1002" i="13"/>
  <c r="N1006" i="13"/>
  <c r="N1010" i="13"/>
  <c r="N1014" i="13"/>
  <c r="N1018" i="13"/>
  <c r="N1022" i="13"/>
  <c r="N1026" i="13"/>
  <c r="N1030" i="13"/>
  <c r="N1034" i="13"/>
  <c r="N1038" i="13"/>
  <c r="N1042" i="13"/>
  <c r="N1046" i="13"/>
  <c r="N1050" i="13"/>
  <c r="N1054" i="13"/>
  <c r="N1058" i="13"/>
  <c r="N1062" i="13"/>
  <c r="N1066" i="13"/>
  <c r="N1070" i="13"/>
  <c r="N1074" i="13"/>
  <c r="N1078" i="13"/>
  <c r="N1082" i="13"/>
  <c r="N1086" i="13"/>
  <c r="N1090" i="13"/>
  <c r="N1094" i="13"/>
  <c r="N1098" i="13"/>
  <c r="N1102" i="13"/>
  <c r="N1106" i="13"/>
  <c r="N1110" i="13"/>
  <c r="N1114" i="13"/>
  <c r="N1118" i="13"/>
  <c r="N1122" i="13"/>
  <c r="N1126" i="13"/>
  <c r="N1130" i="13"/>
  <c r="N1134" i="13"/>
  <c r="N1138" i="13"/>
  <c r="N1142" i="13"/>
  <c r="N1146" i="13"/>
  <c r="N1150" i="13"/>
  <c r="N1154" i="13"/>
  <c r="N1158" i="13"/>
  <c r="N1162" i="13"/>
  <c r="N1166" i="13"/>
  <c r="N1170" i="13"/>
  <c r="N1174" i="13"/>
  <c r="N1178" i="13"/>
  <c r="N1182" i="13"/>
  <c r="N1186" i="13"/>
  <c r="N1190" i="13"/>
  <c r="N1194" i="13"/>
  <c r="N1198" i="13"/>
  <c r="N1202" i="13"/>
  <c r="N1206" i="13"/>
  <c r="N1210" i="13"/>
  <c r="N1214" i="13"/>
  <c r="N1218" i="13"/>
  <c r="N1222" i="13"/>
  <c r="N1226" i="13"/>
  <c r="N1230" i="13"/>
  <c r="N1234" i="13"/>
  <c r="N1238" i="13"/>
  <c r="N1242" i="13"/>
  <c r="N1246" i="13"/>
  <c r="N1250" i="13"/>
  <c r="N1254" i="13"/>
  <c r="N1258" i="13"/>
  <c r="N1262" i="13"/>
  <c r="N1266" i="13"/>
  <c r="N1270" i="13"/>
  <c r="N1274" i="13"/>
  <c r="N1278" i="13"/>
  <c r="N1282" i="13"/>
  <c r="N1286" i="13"/>
  <c r="N1290" i="13"/>
  <c r="N1294" i="13"/>
  <c r="N1298" i="13"/>
  <c r="N1302" i="13"/>
  <c r="N1306" i="13"/>
  <c r="N1310" i="13"/>
  <c r="N1314" i="13"/>
  <c r="N1318" i="13"/>
  <c r="N1322" i="13"/>
  <c r="N1326" i="13"/>
  <c r="N1330" i="13"/>
  <c r="N1334" i="13"/>
  <c r="N1338" i="13"/>
  <c r="N1342" i="13"/>
  <c r="N1346" i="13"/>
  <c r="N1350" i="13"/>
  <c r="N1354" i="13"/>
  <c r="N1358" i="13"/>
  <c r="N1362" i="13"/>
  <c r="N1366" i="13"/>
  <c r="N1370" i="13"/>
  <c r="N1374" i="13"/>
  <c r="N1378" i="13"/>
  <c r="N1382" i="13"/>
  <c r="N1386" i="13"/>
  <c r="N1390" i="13"/>
  <c r="N1394" i="13"/>
  <c r="N1398" i="13"/>
  <c r="N1402" i="13"/>
  <c r="N1406" i="13"/>
  <c r="N1410" i="13"/>
  <c r="N1414" i="13"/>
  <c r="N1418" i="13"/>
  <c r="N1422" i="13"/>
  <c r="N1426" i="13"/>
  <c r="N1430" i="13"/>
  <c r="N1434" i="13"/>
  <c r="N1438" i="13"/>
  <c r="N1442" i="13"/>
  <c r="N1446" i="13"/>
  <c r="N1450" i="13"/>
  <c r="N1454" i="13"/>
  <c r="N1458" i="13"/>
  <c r="N1462" i="13"/>
  <c r="N1466" i="13"/>
  <c r="N1470" i="13"/>
  <c r="N1474" i="13"/>
  <c r="N1478" i="13"/>
  <c r="N1482" i="13"/>
  <c r="N1486" i="13"/>
  <c r="N1490" i="13"/>
  <c r="N1494" i="13"/>
  <c r="N1498" i="13"/>
  <c r="N1502" i="13"/>
  <c r="N1506" i="13"/>
  <c r="N1510" i="13"/>
  <c r="N1514" i="13"/>
  <c r="N1518" i="13"/>
  <c r="N1522" i="13"/>
  <c r="N1526" i="13"/>
  <c r="N1530" i="13"/>
  <c r="N1534" i="13"/>
  <c r="N1538" i="13"/>
  <c r="N1542" i="13"/>
  <c r="N1546" i="13"/>
  <c r="N1550" i="13"/>
  <c r="N1554" i="13"/>
  <c r="N1558" i="13"/>
  <c r="N1562" i="13"/>
  <c r="N1566" i="13"/>
  <c r="N1570" i="13"/>
  <c r="N1574" i="13"/>
  <c r="N1578" i="13"/>
  <c r="N1582" i="13"/>
  <c r="N1586" i="13"/>
  <c r="N1590" i="13"/>
  <c r="N1594" i="13"/>
  <c r="N1598" i="13"/>
  <c r="N1602" i="13"/>
  <c r="N1606" i="13"/>
  <c r="N1610" i="13"/>
  <c r="N1614" i="13"/>
  <c r="N1618" i="13"/>
  <c r="N1622" i="13"/>
  <c r="N1626" i="13"/>
  <c r="N1630" i="13"/>
  <c r="N1634" i="13"/>
  <c r="N1638" i="13"/>
  <c r="N1642" i="13"/>
  <c r="N1646" i="13"/>
  <c r="N1650" i="13"/>
  <c r="N1654" i="13"/>
  <c r="N1658" i="13"/>
  <c r="N1662" i="13"/>
  <c r="N1666" i="13"/>
  <c r="N1670" i="13"/>
  <c r="N1674" i="13"/>
  <c r="N1678" i="13"/>
  <c r="N1682" i="13"/>
  <c r="N1686" i="13"/>
  <c r="N1690" i="13"/>
  <c r="N1694" i="13"/>
  <c r="N1698" i="13"/>
  <c r="N1702" i="13"/>
  <c r="N1706" i="13"/>
  <c r="N1710" i="13"/>
  <c r="N1714" i="13"/>
  <c r="N1718" i="13"/>
  <c r="N1722" i="13"/>
  <c r="N1726" i="13"/>
  <c r="N1730" i="13"/>
  <c r="N1734" i="13"/>
  <c r="N1738" i="13"/>
  <c r="N1742" i="13"/>
  <c r="N1746" i="13"/>
  <c r="N1750" i="13"/>
  <c r="N1754" i="13"/>
  <c r="N1758" i="13"/>
  <c r="N1762" i="13"/>
  <c r="N1766" i="13"/>
  <c r="N1770" i="13"/>
  <c r="N1774" i="13"/>
  <c r="N1778" i="13"/>
  <c r="N1782" i="13"/>
  <c r="N1786" i="13"/>
  <c r="N1790" i="13"/>
  <c r="N1794" i="13"/>
  <c r="N1798" i="13"/>
  <c r="N1802" i="13"/>
  <c r="N1806" i="13"/>
  <c r="N1810" i="13"/>
  <c r="N1814" i="13"/>
  <c r="N1818" i="13"/>
  <c r="N1822" i="13"/>
  <c r="N1826" i="13"/>
  <c r="N1830" i="13"/>
  <c r="N1834" i="13"/>
  <c r="N1838" i="13"/>
  <c r="N1842" i="13"/>
  <c r="N1846" i="13"/>
  <c r="N1850" i="13"/>
  <c r="N1854" i="13"/>
  <c r="N1858" i="13"/>
  <c r="N1862" i="13"/>
  <c r="N1866" i="13"/>
  <c r="N1870" i="13"/>
  <c r="N1874" i="13"/>
  <c r="N1878" i="13"/>
  <c r="N1882" i="13"/>
  <c r="N1886" i="13"/>
  <c r="N1890" i="13"/>
  <c r="N1894" i="13"/>
  <c r="N1898" i="13"/>
  <c r="N1902" i="13"/>
  <c r="N1906" i="13"/>
  <c r="N1910" i="13"/>
  <c r="N1914" i="13"/>
  <c r="N1918" i="13"/>
  <c r="N1922" i="13"/>
  <c r="N1926" i="13"/>
  <c r="N1930" i="13"/>
  <c r="N1934" i="13"/>
  <c r="N1938" i="13"/>
  <c r="N1942" i="13"/>
  <c r="N1946" i="13"/>
  <c r="N1950" i="13"/>
  <c r="N1954" i="13"/>
  <c r="N1958" i="13"/>
  <c r="N1962" i="13"/>
  <c r="N1966" i="13"/>
  <c r="N1970" i="13"/>
  <c r="N1974" i="13"/>
  <c r="N1978" i="13"/>
  <c r="N1982" i="13"/>
  <c r="N1986" i="13"/>
  <c r="N1990" i="13"/>
  <c r="N1994" i="13"/>
  <c r="N1998" i="13"/>
  <c r="N2002" i="13"/>
  <c r="N2006" i="13"/>
  <c r="N2010" i="13"/>
  <c r="N2014" i="13"/>
  <c r="N2018" i="13"/>
  <c r="N2022" i="13"/>
  <c r="N2026" i="13"/>
  <c r="N2030" i="13"/>
  <c r="N2034" i="13"/>
  <c r="N2038" i="13"/>
  <c r="N2042" i="13"/>
  <c r="N2046" i="13"/>
  <c r="N2050" i="13"/>
  <c r="N2054" i="13"/>
  <c r="N2058" i="13"/>
  <c r="N2062" i="13"/>
  <c r="N2066" i="13"/>
  <c r="N2070" i="13"/>
  <c r="N2074" i="13"/>
  <c r="N2078" i="13"/>
  <c r="N2082" i="13"/>
  <c r="N2086" i="13"/>
  <c r="N2090" i="13"/>
  <c r="N2094" i="13"/>
  <c r="N2098" i="13"/>
  <c r="N2102" i="13"/>
  <c r="N2106" i="13"/>
  <c r="N2110" i="13"/>
  <c r="N2114" i="13"/>
  <c r="N2118" i="13"/>
  <c r="N2122" i="13"/>
  <c r="N2126" i="13"/>
  <c r="N15" i="13"/>
  <c r="N23" i="13"/>
  <c r="N31" i="13"/>
  <c r="N39" i="13"/>
  <c r="N47" i="13"/>
  <c r="N55" i="13"/>
  <c r="N63" i="13"/>
  <c r="N71" i="13"/>
  <c r="N79" i="13"/>
  <c r="N87" i="13"/>
  <c r="N95" i="13"/>
  <c r="N103" i="13"/>
  <c r="N111" i="13"/>
  <c r="N119" i="13"/>
  <c r="N127" i="13"/>
  <c r="N135" i="13"/>
  <c r="N143" i="13"/>
  <c r="N151" i="13"/>
  <c r="N159" i="13"/>
  <c r="N167" i="13"/>
  <c r="N175" i="13"/>
  <c r="N183" i="13"/>
  <c r="N191" i="13"/>
  <c r="N199" i="13"/>
  <c r="N207" i="13"/>
  <c r="N215" i="13"/>
  <c r="N223" i="13"/>
  <c r="N231" i="13"/>
  <c r="N239" i="13"/>
  <c r="N247" i="13"/>
  <c r="N255" i="13"/>
  <c r="N263" i="13"/>
  <c r="N271" i="13"/>
  <c r="N279" i="13"/>
  <c r="N287" i="13"/>
  <c r="N295" i="13"/>
  <c r="N303" i="13"/>
  <c r="N311" i="13"/>
  <c r="N319" i="13"/>
  <c r="N327" i="13"/>
  <c r="N335" i="13"/>
  <c r="N343" i="13"/>
  <c r="N351" i="13"/>
  <c r="N359" i="13"/>
  <c r="N367" i="13"/>
  <c r="N375" i="13"/>
  <c r="N383" i="13"/>
  <c r="N391" i="13"/>
  <c r="N399" i="13"/>
  <c r="N407" i="13"/>
  <c r="N415" i="13"/>
  <c r="N423" i="13"/>
  <c r="N431" i="13"/>
  <c r="N439" i="13"/>
  <c r="N447" i="13"/>
  <c r="N455" i="13"/>
  <c r="N463" i="13"/>
  <c r="N471" i="13"/>
  <c r="N479" i="13"/>
  <c r="N487" i="13"/>
  <c r="N495" i="13"/>
  <c r="N503" i="13"/>
  <c r="N511" i="13"/>
  <c r="N519" i="13"/>
  <c r="N527" i="13"/>
  <c r="N535" i="13"/>
  <c r="N543" i="13"/>
  <c r="N551" i="13"/>
  <c r="N559" i="13"/>
  <c r="N567" i="13"/>
  <c r="N575" i="13"/>
  <c r="N583" i="13"/>
  <c r="N591" i="13"/>
  <c r="N599" i="13"/>
  <c r="N607" i="13"/>
  <c r="N615" i="13"/>
  <c r="N623" i="13"/>
  <c r="N631" i="13"/>
  <c r="N639" i="13"/>
  <c r="N647" i="13"/>
  <c r="N655" i="13"/>
  <c r="N663" i="13"/>
  <c r="N671" i="13"/>
  <c r="N679" i="13"/>
  <c r="N687" i="13"/>
  <c r="N695" i="13"/>
  <c r="N703" i="13"/>
  <c r="N711" i="13"/>
  <c r="N719" i="13"/>
  <c r="N727" i="13"/>
  <c r="N735" i="13"/>
  <c r="N743" i="13"/>
  <c r="N751" i="13"/>
  <c r="N759" i="13"/>
  <c r="N767" i="13"/>
  <c r="N775" i="13"/>
  <c r="N783" i="13"/>
  <c r="N791" i="13"/>
  <c r="N799" i="13"/>
  <c r="N807" i="13"/>
  <c r="N815" i="13"/>
  <c r="N823" i="13"/>
  <c r="N831" i="13"/>
  <c r="N839" i="13"/>
  <c r="N847" i="13"/>
  <c r="N855" i="13"/>
  <c r="N863" i="13"/>
  <c r="N871" i="13"/>
  <c r="N879" i="13"/>
  <c r="N887" i="13"/>
  <c r="N895" i="13"/>
  <c r="N903" i="13"/>
  <c r="N911" i="13"/>
  <c r="N919" i="13"/>
  <c r="N927" i="13"/>
  <c r="N935" i="13"/>
  <c r="N943" i="13"/>
  <c r="N951" i="13"/>
  <c r="N959" i="13"/>
  <c r="N967" i="13"/>
  <c r="N975" i="13"/>
  <c r="N983" i="13"/>
  <c r="N991" i="13"/>
  <c r="N999" i="13"/>
  <c r="N1007" i="13"/>
  <c r="N1015" i="13"/>
  <c r="N1023" i="13"/>
  <c r="N1031" i="13"/>
  <c r="N1039" i="13"/>
  <c r="N1047" i="13"/>
  <c r="N1055" i="13"/>
  <c r="N1063" i="13"/>
  <c r="N1071" i="13"/>
  <c r="N1079" i="13"/>
  <c r="N1087" i="13"/>
  <c r="N1095" i="13"/>
  <c r="N1103" i="13"/>
  <c r="N1111" i="13"/>
  <c r="N1119" i="13"/>
  <c r="N1127" i="13"/>
  <c r="N1135" i="13"/>
  <c r="N1143" i="13"/>
  <c r="N1151" i="13"/>
  <c r="N1159" i="13"/>
  <c r="N1167" i="13"/>
  <c r="N1175" i="13"/>
  <c r="N1183" i="13"/>
  <c r="N1191" i="13"/>
  <c r="N1199" i="13"/>
  <c r="N1207" i="13"/>
  <c r="N1215" i="13"/>
  <c r="N1223" i="13"/>
  <c r="N1231" i="13"/>
  <c r="N1239" i="13"/>
  <c r="N1247" i="13"/>
  <c r="N1255" i="13"/>
  <c r="N1263" i="13"/>
  <c r="N1271" i="13"/>
  <c r="N1279" i="13"/>
  <c r="N1287" i="13"/>
  <c r="N1295" i="13"/>
  <c r="N1303" i="13"/>
  <c r="N1311" i="13"/>
  <c r="N1319" i="13"/>
  <c r="N1327" i="13"/>
  <c r="N1335" i="13"/>
  <c r="N1343" i="13"/>
  <c r="N1351" i="13"/>
  <c r="N1359" i="13"/>
  <c r="N1367" i="13"/>
  <c r="N1375" i="13"/>
  <c r="N1383" i="13"/>
  <c r="N1391" i="13"/>
  <c r="N1399" i="13"/>
  <c r="N1407" i="13"/>
  <c r="N1415" i="13"/>
  <c r="N1423" i="13"/>
  <c r="N1431" i="13"/>
  <c r="N1439" i="13"/>
  <c r="N1447" i="13"/>
  <c r="N1455" i="13"/>
  <c r="N1463" i="13"/>
  <c r="N1471" i="13"/>
  <c r="N1479" i="13"/>
  <c r="N1487" i="13"/>
  <c r="N1495" i="13"/>
  <c r="N1503" i="13"/>
  <c r="N1511" i="13"/>
  <c r="N1519" i="13"/>
  <c r="N1527" i="13"/>
  <c r="N1535" i="13"/>
  <c r="N1543" i="13"/>
  <c r="N1551" i="13"/>
  <c r="N1559" i="13"/>
  <c r="N1567" i="13"/>
  <c r="N1575" i="13"/>
  <c r="N1583" i="13"/>
  <c r="N1591" i="13"/>
  <c r="N1599" i="13"/>
  <c r="N1607" i="13"/>
  <c r="N1615" i="13"/>
  <c r="N1623" i="13"/>
  <c r="N1631" i="13"/>
  <c r="N1639" i="13"/>
  <c r="N1647" i="13"/>
  <c r="N1655" i="13"/>
  <c r="N1663" i="13"/>
  <c r="N1671" i="13"/>
  <c r="N1679" i="13"/>
  <c r="N1687" i="13"/>
  <c r="N1695" i="13"/>
  <c r="N1703" i="13"/>
  <c r="N1711" i="13"/>
  <c r="N1719" i="13"/>
  <c r="N1727" i="13"/>
  <c r="N1735" i="13"/>
  <c r="N1743" i="13"/>
  <c r="N1751" i="13"/>
  <c r="N1759" i="13"/>
  <c r="N1767" i="13"/>
  <c r="N1775" i="13"/>
  <c r="N1783" i="13"/>
  <c r="N1791" i="13"/>
  <c r="N1799" i="13"/>
  <c r="N1807" i="13"/>
  <c r="N1815" i="13"/>
  <c r="N1823" i="13"/>
  <c r="N1831" i="13"/>
  <c r="N1839" i="13"/>
  <c r="N1847" i="13"/>
  <c r="N1855" i="13"/>
  <c r="N1863" i="13"/>
  <c r="N1871" i="13"/>
  <c r="N1879" i="13"/>
  <c r="N1887" i="13"/>
  <c r="N1895" i="13"/>
  <c r="N1903" i="13"/>
  <c r="N1911" i="13"/>
  <c r="N1919" i="13"/>
  <c r="N1927" i="13"/>
  <c r="N1935" i="13"/>
  <c r="N1943" i="13"/>
  <c r="N1951" i="13"/>
  <c r="N1959" i="13"/>
  <c r="N1967" i="13"/>
  <c r="N1975" i="13"/>
  <c r="N1983" i="13"/>
  <c r="N1991" i="13"/>
  <c r="N1999" i="13"/>
  <c r="N2007" i="13"/>
  <c r="N2015" i="13"/>
  <c r="N2023" i="13"/>
  <c r="N2031" i="13"/>
  <c r="N2039" i="13"/>
  <c r="N2047" i="13"/>
  <c r="N2055" i="13"/>
  <c r="N2063" i="13"/>
  <c r="N2071" i="13"/>
  <c r="N2079" i="13"/>
  <c r="N2087" i="13"/>
  <c r="N2095" i="13"/>
  <c r="N2103" i="13"/>
  <c r="N2111" i="13"/>
  <c r="N2119" i="13"/>
  <c r="N2125" i="13"/>
  <c r="N2130" i="13"/>
  <c r="N2134" i="13"/>
  <c r="N2138" i="13"/>
  <c r="N2142" i="13"/>
  <c r="N2146" i="13"/>
  <c r="N2150" i="13"/>
  <c r="N2154" i="13"/>
  <c r="N2158" i="13"/>
  <c r="N2162" i="13"/>
  <c r="N2166" i="13"/>
  <c r="N2170" i="13"/>
  <c r="N2174" i="13"/>
  <c r="N2178" i="13"/>
  <c r="N2182" i="13"/>
  <c r="N2186" i="13"/>
  <c r="N2190" i="13"/>
  <c r="N2194" i="13"/>
  <c r="N2198" i="13"/>
  <c r="N2202" i="13"/>
  <c r="N2206" i="13"/>
  <c r="N2210" i="13"/>
  <c r="N2214" i="13"/>
  <c r="N2218" i="13"/>
  <c r="N2222" i="13"/>
  <c r="N2226" i="13"/>
  <c r="N2230" i="13"/>
  <c r="N2234" i="13"/>
  <c r="N2238" i="13"/>
  <c r="N2242" i="13"/>
  <c r="N2246" i="13"/>
  <c r="N2250" i="13"/>
  <c r="N2254" i="13"/>
  <c r="N2258" i="13"/>
  <c r="N2262" i="13"/>
  <c r="N2266" i="13"/>
  <c r="N2270" i="13"/>
  <c r="N2274" i="13"/>
  <c r="N2278" i="13"/>
  <c r="N2282" i="13"/>
  <c r="N2286" i="13"/>
  <c r="N2290" i="13"/>
  <c r="N2294" i="13"/>
  <c r="N2298" i="13"/>
  <c r="N2302" i="13"/>
  <c r="N2306" i="13"/>
  <c r="N2310" i="13"/>
  <c r="N2314" i="13"/>
  <c r="N2318" i="13"/>
  <c r="N2322" i="13"/>
  <c r="N2326" i="13"/>
  <c r="N2330" i="13"/>
  <c r="N2334" i="13"/>
  <c r="N2338" i="13"/>
  <c r="N2342" i="13"/>
  <c r="N2346" i="13"/>
  <c r="N2350" i="13"/>
  <c r="N2354" i="13"/>
  <c r="N2358" i="13"/>
  <c r="N2362" i="13"/>
  <c r="N2366" i="13"/>
  <c r="N2370" i="13"/>
  <c r="N2374" i="13"/>
  <c r="N2378" i="13"/>
  <c r="N2382" i="13"/>
  <c r="N2386" i="13"/>
  <c r="N2390" i="13"/>
  <c r="N2394" i="13"/>
  <c r="N2398" i="13"/>
  <c r="N2402" i="13"/>
  <c r="N2406" i="13"/>
  <c r="N2410" i="13"/>
  <c r="N2414" i="13"/>
  <c r="N2418" i="13"/>
  <c r="N2422" i="13"/>
  <c r="N2426" i="13"/>
  <c r="N2430" i="13"/>
  <c r="N2434" i="13"/>
  <c r="N2438" i="13"/>
  <c r="N2442" i="13"/>
  <c r="N2446" i="13"/>
  <c r="N2450" i="13"/>
  <c r="N2454" i="13"/>
  <c r="N2458" i="13"/>
  <c r="N2462" i="13"/>
  <c r="N2466" i="13"/>
  <c r="N2470" i="13"/>
  <c r="N2474" i="13"/>
  <c r="N2478" i="13"/>
  <c r="N2482" i="13"/>
  <c r="N2486" i="13"/>
  <c r="N2490" i="13"/>
  <c r="N2494" i="13"/>
  <c r="N2498" i="13"/>
  <c r="N2502" i="13"/>
  <c r="N2506" i="13"/>
  <c r="N2510" i="13"/>
  <c r="N2514" i="13"/>
  <c r="N2518" i="13"/>
  <c r="N2522" i="13"/>
  <c r="N2526" i="13"/>
  <c r="N2530" i="13"/>
  <c r="N2534" i="13"/>
  <c r="N2538" i="13"/>
  <c r="N2542" i="13"/>
  <c r="N2546" i="13"/>
  <c r="N2550" i="13"/>
  <c r="N2554" i="13"/>
  <c r="N2558" i="13"/>
  <c r="N2562" i="13"/>
  <c r="N2566" i="13"/>
  <c r="N2570" i="13"/>
  <c r="N2574" i="13"/>
  <c r="N2578" i="13"/>
  <c r="N2582" i="13"/>
  <c r="N2586" i="13"/>
  <c r="N2590" i="13"/>
  <c r="N2594" i="13"/>
  <c r="N2598" i="13"/>
  <c r="N2602" i="13"/>
  <c r="N2606" i="13"/>
  <c r="N2610" i="13"/>
  <c r="N2614" i="13"/>
  <c r="N2618" i="13"/>
  <c r="N2622" i="13"/>
  <c r="N2626" i="13"/>
  <c r="N2630" i="13"/>
  <c r="N2634" i="13"/>
  <c r="N2638" i="13"/>
  <c r="N2642" i="13"/>
  <c r="N2646" i="13"/>
  <c r="N2650" i="13"/>
  <c r="N2654" i="13"/>
  <c r="N2658" i="13"/>
  <c r="N2662" i="13"/>
  <c r="N2666" i="13"/>
  <c r="N2670" i="13"/>
  <c r="N2674" i="13"/>
  <c r="N2678" i="13"/>
  <c r="N2682" i="13"/>
  <c r="N2686" i="13"/>
  <c r="N2690" i="13"/>
  <c r="N2694" i="13"/>
  <c r="N2698" i="13"/>
  <c r="N2702" i="13"/>
  <c r="N2706" i="13"/>
  <c r="N2710" i="13"/>
  <c r="N2714" i="13"/>
  <c r="N2718" i="13"/>
  <c r="N2722" i="13"/>
  <c r="N2726" i="13"/>
  <c r="N2730" i="13"/>
  <c r="N187" i="13"/>
  <c r="N299" i="13"/>
  <c r="N355" i="13"/>
  <c r="N387" i="13"/>
  <c r="N403" i="13"/>
  <c r="N427" i="13"/>
  <c r="N443" i="13"/>
  <c r="N467" i="13"/>
  <c r="N483" i="13"/>
  <c r="N499" i="13"/>
  <c r="N515" i="13"/>
  <c r="N531" i="13"/>
  <c r="N547" i="13"/>
  <c r="N563" i="13"/>
  <c r="N579" i="13"/>
  <c r="N595" i="13"/>
  <c r="N611" i="13"/>
  <c r="N627" i="13"/>
  <c r="N643" i="13"/>
  <c r="N659" i="13"/>
  <c r="N675" i="13"/>
  <c r="N691" i="13"/>
  <c r="N707" i="13"/>
  <c r="N723" i="13"/>
  <c r="N739" i="13"/>
  <c r="N755" i="13"/>
  <c r="N771" i="13"/>
  <c r="N787" i="13"/>
  <c r="N803" i="13"/>
  <c r="N819" i="13"/>
  <c r="N835" i="13"/>
  <c r="N851" i="13"/>
  <c r="N867" i="13"/>
  <c r="N883" i="13"/>
  <c r="N899" i="13"/>
  <c r="N915" i="13"/>
  <c r="N931" i="13"/>
  <c r="N947" i="13"/>
  <c r="N963" i="13"/>
  <c r="N979" i="13"/>
  <c r="N995" i="13"/>
  <c r="N1011" i="13"/>
  <c r="N1027" i="13"/>
  <c r="N1035" i="13"/>
  <c r="N1051" i="13"/>
  <c r="N1067" i="13"/>
  <c r="N1083" i="13"/>
  <c r="N1099" i="13"/>
  <c r="N1115" i="13"/>
  <c r="N1131" i="13"/>
  <c r="N1147" i="13"/>
  <c r="N1163" i="13"/>
  <c r="N1179" i="13"/>
  <c r="N1195" i="13"/>
  <c r="N1203" i="13"/>
  <c r="N1219" i="13"/>
  <c r="N1235" i="13"/>
  <c r="N1251" i="13"/>
  <c r="N1267" i="13"/>
  <c r="N1283" i="13"/>
  <c r="N1307" i="13"/>
  <c r="N1323" i="13"/>
  <c r="N1339" i="13"/>
  <c r="N1355" i="13"/>
  <c r="N1371" i="13"/>
  <c r="N1387" i="13"/>
  <c r="N1403" i="13"/>
  <c r="N1419" i="13"/>
  <c r="N1435" i="13"/>
  <c r="N1451" i="13"/>
  <c r="N1467" i="13"/>
  <c r="N1483" i="13"/>
  <c r="N1499" i="13"/>
  <c r="N1515" i="13"/>
  <c r="N1539" i="13"/>
  <c r="N1555" i="13"/>
  <c r="N1579" i="13"/>
  <c r="N1595" i="13"/>
  <c r="N1611" i="13"/>
  <c r="N1627" i="13"/>
  <c r="N1643" i="13"/>
  <c r="N1667" i="13"/>
  <c r="N1691" i="13"/>
  <c r="N1707" i="13"/>
  <c r="N1723" i="13"/>
  <c r="N1739" i="13"/>
  <c r="N1755" i="13"/>
  <c r="N1771" i="13"/>
  <c r="N1787" i="13"/>
  <c r="N1803" i="13"/>
  <c r="N1819" i="13"/>
  <c r="N1835" i="13"/>
  <c r="N1851" i="13"/>
  <c r="N1867" i="13"/>
  <c r="N1891" i="13"/>
  <c r="N1907" i="13"/>
  <c r="N1923" i="13"/>
  <c r="N1939" i="13"/>
  <c r="N1955" i="13"/>
  <c r="N1971" i="13"/>
  <c r="N1995" i="13"/>
  <c r="N2011" i="13"/>
  <c r="N2027" i="13"/>
  <c r="N2043" i="13"/>
  <c r="N2059" i="13"/>
  <c r="N2075" i="13"/>
  <c r="N2091" i="13"/>
  <c r="N2107" i="13"/>
  <c r="N2123" i="13"/>
  <c r="N2132" i="13"/>
  <c r="N2140" i="13"/>
  <c r="N2148" i="13"/>
  <c r="N2156" i="13"/>
  <c r="N2164" i="13"/>
  <c r="N2172" i="13"/>
  <c r="N2180" i="13"/>
  <c r="N2188" i="13"/>
  <c r="N2196" i="13"/>
  <c r="N2204" i="13"/>
  <c r="N2212" i="13"/>
  <c r="N2220" i="13"/>
  <c r="N2228" i="13"/>
  <c r="N2236" i="13"/>
  <c r="N2244" i="13"/>
  <c r="N2252" i="13"/>
  <c r="N2260" i="13"/>
  <c r="N2268" i="13"/>
  <c r="N2276" i="13"/>
  <c r="N2284" i="13"/>
  <c r="N2292" i="13"/>
  <c r="N2300" i="13"/>
  <c r="N2308" i="13"/>
  <c r="N2316" i="13"/>
  <c r="N2324" i="13"/>
  <c r="N2332" i="13"/>
  <c r="N2340" i="13"/>
  <c r="N2348" i="13"/>
  <c r="N2356" i="13"/>
  <c r="N2364" i="13"/>
  <c r="N2372" i="13"/>
  <c r="N2380" i="13"/>
  <c r="N2392" i="13"/>
  <c r="N2400" i="13"/>
  <c r="N2408" i="13"/>
  <c r="N2416" i="13"/>
  <c r="N2424" i="13"/>
  <c r="N2432" i="13"/>
  <c r="N2440" i="13"/>
  <c r="N2448" i="13"/>
  <c r="N2460" i="13"/>
  <c r="N2468" i="13"/>
  <c r="N2476" i="13"/>
  <c r="N2484" i="13"/>
  <c r="N2492" i="13"/>
  <c r="N2500" i="13"/>
  <c r="N2508" i="13"/>
  <c r="N2516" i="13"/>
  <c r="N2524" i="13"/>
  <c r="N2532" i="13"/>
  <c r="N2540" i="13"/>
  <c r="N2548" i="13"/>
  <c r="N2556" i="13"/>
  <c r="N2564" i="13"/>
  <c r="N2572" i="13"/>
  <c r="N2580" i="13"/>
  <c r="N2588" i="13"/>
  <c r="N2596" i="13"/>
  <c r="N2604" i="13"/>
  <c r="N2612" i="13"/>
  <c r="N2620" i="13"/>
  <c r="N2628" i="13"/>
  <c r="N2636" i="13"/>
  <c r="N2644" i="13"/>
  <c r="N2652" i="13"/>
  <c r="N2660" i="13"/>
  <c r="N2668" i="13"/>
  <c r="N2676" i="13"/>
  <c r="N2684" i="13"/>
  <c r="N2692" i="13"/>
  <c r="N2700" i="13"/>
  <c r="N2708" i="13"/>
  <c r="N2716" i="13"/>
  <c r="N2724" i="13"/>
  <c r="N16" i="13"/>
  <c r="N24" i="13"/>
  <c r="N32" i="13"/>
  <c r="N40" i="13"/>
  <c r="N48" i="13"/>
  <c r="N56" i="13"/>
  <c r="N64" i="13"/>
  <c r="N72" i="13"/>
  <c r="N80" i="13"/>
  <c r="N88" i="13"/>
  <c r="N96" i="13"/>
  <c r="N104" i="13"/>
  <c r="N112" i="13"/>
  <c r="N120" i="13"/>
  <c r="N128" i="13"/>
  <c r="N136" i="13"/>
  <c r="N144" i="13"/>
  <c r="N152" i="13"/>
  <c r="N160" i="13"/>
  <c r="N168" i="13"/>
  <c r="N176" i="13"/>
  <c r="N184" i="13"/>
  <c r="N192" i="13"/>
  <c r="N200" i="13"/>
  <c r="N208" i="13"/>
  <c r="N216" i="13"/>
  <c r="N224" i="13"/>
  <c r="N232" i="13"/>
  <c r="N240" i="13"/>
  <c r="N248" i="13"/>
  <c r="N256" i="13"/>
  <c r="N264" i="13"/>
  <c r="N272" i="13"/>
  <c r="N280" i="13"/>
  <c r="N288" i="13"/>
  <c r="N296" i="13"/>
  <c r="N304" i="13"/>
  <c r="N312" i="13"/>
  <c r="N320" i="13"/>
  <c r="N328" i="13"/>
  <c r="N336" i="13"/>
  <c r="N344" i="13"/>
  <c r="N352" i="13"/>
  <c r="N360" i="13"/>
  <c r="N368" i="13"/>
  <c r="N376" i="13"/>
  <c r="N384" i="13"/>
  <c r="N392" i="13"/>
  <c r="N400" i="13"/>
  <c r="N408" i="13"/>
  <c r="N416" i="13"/>
  <c r="N424" i="13"/>
  <c r="N432" i="13"/>
  <c r="N440" i="13"/>
  <c r="N448" i="13"/>
  <c r="N456" i="13"/>
  <c r="N464" i="13"/>
  <c r="N472" i="13"/>
  <c r="N480" i="13"/>
  <c r="N488" i="13"/>
  <c r="N496" i="13"/>
  <c r="N504" i="13"/>
  <c r="N512" i="13"/>
  <c r="N520" i="13"/>
  <c r="N528" i="13"/>
  <c r="N536" i="13"/>
  <c r="N544" i="13"/>
  <c r="N552" i="13"/>
  <c r="N560" i="13"/>
  <c r="N568" i="13"/>
  <c r="N576" i="13"/>
  <c r="N584" i="13"/>
  <c r="N592" i="13"/>
  <c r="N600" i="13"/>
  <c r="N608" i="13"/>
  <c r="N616" i="13"/>
  <c r="N624" i="13"/>
  <c r="N632" i="13"/>
  <c r="N640" i="13"/>
  <c r="N648" i="13"/>
  <c r="N656" i="13"/>
  <c r="N664" i="13"/>
  <c r="N672" i="13"/>
  <c r="N680" i="13"/>
  <c r="N688" i="13"/>
  <c r="N696" i="13"/>
  <c r="N704" i="13"/>
  <c r="N712" i="13"/>
  <c r="N720" i="13"/>
  <c r="N728" i="13"/>
  <c r="N736" i="13"/>
  <c r="N744" i="13"/>
  <c r="N752" i="13"/>
  <c r="N760" i="13"/>
  <c r="N768" i="13"/>
  <c r="N776" i="13"/>
  <c r="N784" i="13"/>
  <c r="N792" i="13"/>
  <c r="N800" i="13"/>
  <c r="N808" i="13"/>
  <c r="N816" i="13"/>
  <c r="N824" i="13"/>
  <c r="N832" i="13"/>
  <c r="N840" i="13"/>
  <c r="N848" i="13"/>
  <c r="N856" i="13"/>
  <c r="N864" i="13"/>
  <c r="N872" i="13"/>
  <c r="N880" i="13"/>
  <c r="N888" i="13"/>
  <c r="N896" i="13"/>
  <c r="N904" i="13"/>
  <c r="N912" i="13"/>
  <c r="N920" i="13"/>
  <c r="N928" i="13"/>
  <c r="N936" i="13"/>
  <c r="N944" i="13"/>
  <c r="N952" i="13"/>
  <c r="N960" i="13"/>
  <c r="N968" i="13"/>
  <c r="N976" i="13"/>
  <c r="N984" i="13"/>
  <c r="N992" i="13"/>
  <c r="N1000" i="13"/>
  <c r="N1008" i="13"/>
  <c r="N1016" i="13"/>
  <c r="N1024" i="13"/>
  <c r="N1032" i="13"/>
  <c r="N1040" i="13"/>
  <c r="N1048" i="13"/>
  <c r="N1056" i="13"/>
  <c r="N1064" i="13"/>
  <c r="N1072" i="13"/>
  <c r="N1080" i="13"/>
  <c r="N1088" i="13"/>
  <c r="N1096" i="13"/>
  <c r="N1104" i="13"/>
  <c r="N1112" i="13"/>
  <c r="N1120" i="13"/>
  <c r="N1128" i="13"/>
  <c r="N1136" i="13"/>
  <c r="N1144" i="13"/>
  <c r="N1152" i="13"/>
  <c r="N1160" i="13"/>
  <c r="N1168" i="13"/>
  <c r="N1176" i="13"/>
  <c r="N1184" i="13"/>
  <c r="N1192" i="13"/>
  <c r="N1200" i="13"/>
  <c r="N1208" i="13"/>
  <c r="N1216" i="13"/>
  <c r="N1224" i="13"/>
  <c r="N1232" i="13"/>
  <c r="N1240" i="13"/>
  <c r="N1248" i="13"/>
  <c r="N1256" i="13"/>
  <c r="N1264" i="13"/>
  <c r="N1272" i="13"/>
  <c r="N1280" i="13"/>
  <c r="N1288" i="13"/>
  <c r="N1296" i="13"/>
  <c r="N1304" i="13"/>
  <c r="N1312" i="13"/>
  <c r="N1320" i="13"/>
  <c r="N1328" i="13"/>
  <c r="N1336" i="13"/>
  <c r="N1344" i="13"/>
  <c r="N1352" i="13"/>
  <c r="N1360" i="13"/>
  <c r="N1368" i="13"/>
  <c r="N1376" i="13"/>
  <c r="N1384" i="13"/>
  <c r="N1392" i="13"/>
  <c r="N1400" i="13"/>
  <c r="N1408" i="13"/>
  <c r="N1416" i="13"/>
  <c r="N1424" i="13"/>
  <c r="N1432" i="13"/>
  <c r="N1440" i="13"/>
  <c r="N1448" i="13"/>
  <c r="N1456" i="13"/>
  <c r="N1464" i="13"/>
  <c r="N1472" i="13"/>
  <c r="N1480" i="13"/>
  <c r="N1488" i="13"/>
  <c r="N1496" i="13"/>
  <c r="N1504" i="13"/>
  <c r="N1512" i="13"/>
  <c r="N1520" i="13"/>
  <c r="N1528" i="13"/>
  <c r="N1536" i="13"/>
  <c r="N1544" i="13"/>
  <c r="N1552" i="13"/>
  <c r="N1560" i="13"/>
  <c r="N1568" i="13"/>
  <c r="N1576" i="13"/>
  <c r="N1584" i="13"/>
  <c r="N1592" i="13"/>
  <c r="N1600" i="13"/>
  <c r="N1608" i="13"/>
  <c r="N1616" i="13"/>
  <c r="N1624" i="13"/>
  <c r="N1632" i="13"/>
  <c r="N1640" i="13"/>
  <c r="N1648" i="13"/>
  <c r="N1656" i="13"/>
  <c r="N1664" i="13"/>
  <c r="N1672" i="13"/>
  <c r="N1680" i="13"/>
  <c r="N1688" i="13"/>
  <c r="N1696" i="13"/>
  <c r="N1704" i="13"/>
  <c r="N1712" i="13"/>
  <c r="N1720" i="13"/>
  <c r="N1728" i="13"/>
  <c r="N1736" i="13"/>
  <c r="N1744" i="13"/>
  <c r="N1752" i="13"/>
  <c r="N1760" i="13"/>
  <c r="N1768" i="13"/>
  <c r="N1776" i="13"/>
  <c r="N1784" i="13"/>
  <c r="N1792" i="13"/>
  <c r="N1800" i="13"/>
  <c r="N1808" i="13"/>
  <c r="N1816" i="13"/>
  <c r="N1824" i="13"/>
  <c r="N1832" i="13"/>
  <c r="N1840" i="13"/>
  <c r="N1848" i="13"/>
  <c r="N1856" i="13"/>
  <c r="N1864" i="13"/>
  <c r="N1872" i="13"/>
  <c r="N1880" i="13"/>
  <c r="N1888" i="13"/>
  <c r="N1896" i="13"/>
  <c r="N1904" i="13"/>
  <c r="N1912" i="13"/>
  <c r="N1920" i="13"/>
  <c r="N1928" i="13"/>
  <c r="N1936" i="13"/>
  <c r="N1944" i="13"/>
  <c r="N1952" i="13"/>
  <c r="N1960" i="13"/>
  <c r="N1968" i="13"/>
  <c r="N1976" i="13"/>
  <c r="N1984" i="13"/>
  <c r="N1992" i="13"/>
  <c r="N2000" i="13"/>
  <c r="N2008" i="13"/>
  <c r="N2016" i="13"/>
  <c r="N2024" i="13"/>
  <c r="N2032" i="13"/>
  <c r="N2040" i="13"/>
  <c r="N2048" i="13"/>
  <c r="N2056" i="13"/>
  <c r="N2064" i="13"/>
  <c r="N2072" i="13"/>
  <c r="N2080" i="13"/>
  <c r="N2088" i="13"/>
  <c r="N2096" i="13"/>
  <c r="N2104" i="13"/>
  <c r="N2112" i="13"/>
  <c r="N2120" i="13"/>
  <c r="N2127" i="13"/>
  <c r="N2131" i="13"/>
  <c r="N2135" i="13"/>
  <c r="N2139" i="13"/>
  <c r="N2143" i="13"/>
  <c r="N2147" i="13"/>
  <c r="N2151" i="13"/>
  <c r="N2155" i="13"/>
  <c r="N2159" i="13"/>
  <c r="N2163" i="13"/>
  <c r="N2167" i="13"/>
  <c r="N2171" i="13"/>
  <c r="N2175" i="13"/>
  <c r="N2179" i="13"/>
  <c r="N2183" i="13"/>
  <c r="N2187" i="13"/>
  <c r="N2191" i="13"/>
  <c r="N2195" i="13"/>
  <c r="N2199" i="13"/>
  <c r="N2203" i="13"/>
  <c r="N2207" i="13"/>
  <c r="N2211" i="13"/>
  <c r="N2215" i="13"/>
  <c r="N2219" i="13"/>
  <c r="N2223" i="13"/>
  <c r="N2227" i="13"/>
  <c r="N2231" i="13"/>
  <c r="N2235" i="13"/>
  <c r="N2239" i="13"/>
  <c r="N2243" i="13"/>
  <c r="N2247" i="13"/>
  <c r="N2251" i="13"/>
  <c r="N2255" i="13"/>
  <c r="N2259" i="13"/>
  <c r="N2263" i="13"/>
  <c r="N2267" i="13"/>
  <c r="N2271" i="13"/>
  <c r="N2275" i="13"/>
  <c r="N2279" i="13"/>
  <c r="N2283" i="13"/>
  <c r="N2287" i="13"/>
  <c r="N2291" i="13"/>
  <c r="N2295" i="13"/>
  <c r="N2299" i="13"/>
  <c r="N2303" i="13"/>
  <c r="N2307" i="13"/>
  <c r="N2311" i="13"/>
  <c r="N2315" i="13"/>
  <c r="N2319" i="13"/>
  <c r="N2323" i="13"/>
  <c r="N2327" i="13"/>
  <c r="N2331" i="13"/>
  <c r="N2335" i="13"/>
  <c r="N2339" i="13"/>
  <c r="N2343" i="13"/>
  <c r="N2347" i="13"/>
  <c r="N2351" i="13"/>
  <c r="N2355" i="13"/>
  <c r="N2359" i="13"/>
  <c r="N2363" i="13"/>
  <c r="N2367" i="13"/>
  <c r="N2371" i="13"/>
  <c r="N2375" i="13"/>
  <c r="N2379" i="13"/>
  <c r="N2383" i="13"/>
  <c r="N2387" i="13"/>
  <c r="N2391" i="13"/>
  <c r="N2395" i="13"/>
  <c r="N2399" i="13"/>
  <c r="N2403" i="13"/>
  <c r="N2407" i="13"/>
  <c r="N2411" i="13"/>
  <c r="N2415" i="13"/>
  <c r="N2419" i="13"/>
  <c r="N2423" i="13"/>
  <c r="N2427" i="13"/>
  <c r="N2431" i="13"/>
  <c r="N2435" i="13"/>
  <c r="N2439" i="13"/>
  <c r="N2443" i="13"/>
  <c r="N2447" i="13"/>
  <c r="N2451" i="13"/>
  <c r="N2455" i="13"/>
  <c r="N2459" i="13"/>
  <c r="N2463" i="13"/>
  <c r="N2467" i="13"/>
  <c r="N2471" i="13"/>
  <c r="N2475" i="13"/>
  <c r="N2479" i="13"/>
  <c r="N2483" i="13"/>
  <c r="N2487" i="13"/>
  <c r="N2491" i="13"/>
  <c r="N2495" i="13"/>
  <c r="N2499" i="13"/>
  <c r="N2503" i="13"/>
  <c r="N2507" i="13"/>
  <c r="N2511" i="13"/>
  <c r="N2515" i="13"/>
  <c r="N2519" i="13"/>
  <c r="N2523" i="13"/>
  <c r="N2527" i="13"/>
  <c r="N2531" i="13"/>
  <c r="N2535" i="13"/>
  <c r="N2539" i="13"/>
  <c r="N2543" i="13"/>
  <c r="N2547" i="13"/>
  <c r="N2551" i="13"/>
  <c r="N2555" i="13"/>
  <c r="N2559" i="13"/>
  <c r="N2563" i="13"/>
  <c r="N2567" i="13"/>
  <c r="N2571" i="13"/>
  <c r="N2575" i="13"/>
  <c r="N2579" i="13"/>
  <c r="N2583" i="13"/>
  <c r="N2587" i="13"/>
  <c r="N2591" i="13"/>
  <c r="N2595" i="13"/>
  <c r="N2599" i="13"/>
  <c r="N2603" i="13"/>
  <c r="N2607" i="13"/>
  <c r="N2611" i="13"/>
  <c r="N2615" i="13"/>
  <c r="N2619" i="13"/>
  <c r="N2623" i="13"/>
  <c r="N2627" i="13"/>
  <c r="N2631" i="13"/>
  <c r="N2635" i="13"/>
  <c r="N2639" i="13"/>
  <c r="N2643" i="13"/>
  <c r="N2647" i="13"/>
  <c r="N2651" i="13"/>
  <c r="N2655" i="13"/>
  <c r="N2659" i="13"/>
  <c r="N2663" i="13"/>
  <c r="N2667" i="13"/>
  <c r="N2671" i="13"/>
  <c r="N2675" i="13"/>
  <c r="N2679" i="13"/>
  <c r="N2683" i="13"/>
  <c r="N2687" i="13"/>
  <c r="N2691" i="13"/>
  <c r="N2695" i="13"/>
  <c r="N2699" i="13"/>
  <c r="N2703" i="13"/>
  <c r="N2707" i="13"/>
  <c r="N2711" i="13"/>
  <c r="N2715" i="13"/>
  <c r="N2719" i="13"/>
  <c r="N2723" i="13"/>
  <c r="N2727" i="13"/>
  <c r="N19" i="13"/>
  <c r="N27" i="13"/>
  <c r="N35" i="13"/>
  <c r="N43" i="13"/>
  <c r="N51" i="13"/>
  <c r="N59" i="13"/>
  <c r="N67" i="13"/>
  <c r="N75" i="13"/>
  <c r="N83" i="13"/>
  <c r="N91" i="13"/>
  <c r="N99" i="13"/>
  <c r="N107" i="13"/>
  <c r="N115" i="13"/>
  <c r="N123" i="13"/>
  <c r="N131" i="13"/>
  <c r="N139" i="13"/>
  <c r="N147" i="13"/>
  <c r="N155" i="13"/>
  <c r="N163" i="13"/>
  <c r="N171" i="13"/>
  <c r="N179" i="13"/>
  <c r="N195" i="13"/>
  <c r="N203" i="13"/>
  <c r="N211" i="13"/>
  <c r="N219" i="13"/>
  <c r="N227" i="13"/>
  <c r="N235" i="13"/>
  <c r="N243" i="13"/>
  <c r="N251" i="13"/>
  <c r="N259" i="13"/>
  <c r="N267" i="13"/>
  <c r="N275" i="13"/>
  <c r="N283" i="13"/>
  <c r="N291" i="13"/>
  <c r="N307" i="13"/>
  <c r="N315" i="13"/>
  <c r="N323" i="13"/>
  <c r="N331" i="13"/>
  <c r="N339" i="13"/>
  <c r="N347" i="13"/>
  <c r="N363" i="13"/>
  <c r="N371" i="13"/>
  <c r="N379" i="13"/>
  <c r="N395" i="13"/>
  <c r="N411" i="13"/>
  <c r="N419" i="13"/>
  <c r="N435" i="13"/>
  <c r="N451" i="13"/>
  <c r="N459" i="13"/>
  <c r="N475" i="13"/>
  <c r="N491" i="13"/>
  <c r="N507" i="13"/>
  <c r="N523" i="13"/>
  <c r="N539" i="13"/>
  <c r="N555" i="13"/>
  <c r="N571" i="13"/>
  <c r="N587" i="13"/>
  <c r="N603" i="13"/>
  <c r="N619" i="13"/>
  <c r="N635" i="13"/>
  <c r="N651" i="13"/>
  <c r="N667" i="13"/>
  <c r="N683" i="13"/>
  <c r="N699" i="13"/>
  <c r="N715" i="13"/>
  <c r="N731" i="13"/>
  <c r="N747" i="13"/>
  <c r="N763" i="13"/>
  <c r="N779" i="13"/>
  <c r="N795" i="13"/>
  <c r="N811" i="13"/>
  <c r="N827" i="13"/>
  <c r="N843" i="13"/>
  <c r="N859" i="13"/>
  <c r="N875" i="13"/>
  <c r="N891" i="13"/>
  <c r="N907" i="13"/>
  <c r="N923" i="13"/>
  <c r="N939" i="13"/>
  <c r="N955" i="13"/>
  <c r="N971" i="13"/>
  <c r="N987" i="13"/>
  <c r="N1003" i="13"/>
  <c r="N1019" i="13"/>
  <c r="N1043" i="13"/>
  <c r="N1059" i="13"/>
  <c r="N1075" i="13"/>
  <c r="N1091" i="13"/>
  <c r="N1107" i="13"/>
  <c r="N1123" i="13"/>
  <c r="N1139" i="13"/>
  <c r="N1155" i="13"/>
  <c r="N1171" i="13"/>
  <c r="N1187" i="13"/>
  <c r="N1211" i="13"/>
  <c r="N1227" i="13"/>
  <c r="N1243" i="13"/>
  <c r="N1259" i="13"/>
  <c r="N1275" i="13"/>
  <c r="N1291" i="13"/>
  <c r="N1299" i="13"/>
  <c r="N1315" i="13"/>
  <c r="N1331" i="13"/>
  <c r="N1347" i="13"/>
  <c r="N1363" i="13"/>
  <c r="N1379" i="13"/>
  <c r="N1395" i="13"/>
  <c r="N1411" i="13"/>
  <c r="N1427" i="13"/>
  <c r="N1443" i="13"/>
  <c r="N1459" i="13"/>
  <c r="N1475" i="13"/>
  <c r="N1491" i="13"/>
  <c r="N1507" i="13"/>
  <c r="N1523" i="13"/>
  <c r="N1531" i="13"/>
  <c r="N1547" i="13"/>
  <c r="N1563" i="13"/>
  <c r="N1571" i="13"/>
  <c r="N1587" i="13"/>
  <c r="N1603" i="13"/>
  <c r="N1619" i="13"/>
  <c r="N1635" i="13"/>
  <c r="N1651" i="13"/>
  <c r="N1659" i="13"/>
  <c r="N1675" i="13"/>
  <c r="N1683" i="13"/>
  <c r="N1699" i="13"/>
  <c r="N1715" i="13"/>
  <c r="N1731" i="13"/>
  <c r="N1747" i="13"/>
  <c r="N1763" i="13"/>
  <c r="N1779" i="13"/>
  <c r="N1795" i="13"/>
  <c r="N1811" i="13"/>
  <c r="N1827" i="13"/>
  <c r="N1843" i="13"/>
  <c r="N1859" i="13"/>
  <c r="N1875" i="13"/>
  <c r="N1883" i="13"/>
  <c r="N1899" i="13"/>
  <c r="N1915" i="13"/>
  <c r="N1931" i="13"/>
  <c r="N1947" i="13"/>
  <c r="N1963" i="13"/>
  <c r="N1979" i="13"/>
  <c r="N1987" i="13"/>
  <c r="N2003" i="13"/>
  <c r="N2019" i="13"/>
  <c r="N2035" i="13"/>
  <c r="N2051" i="13"/>
  <c r="N2067" i="13"/>
  <c r="N2083" i="13"/>
  <c r="N2099" i="13"/>
  <c r="N2115" i="13"/>
  <c r="N2128" i="13"/>
  <c r="N2136" i="13"/>
  <c r="N2144" i="13"/>
  <c r="N2152" i="13"/>
  <c r="N2160" i="13"/>
  <c r="N2168" i="13"/>
  <c r="N2176" i="13"/>
  <c r="N2184" i="13"/>
  <c r="N2192" i="13"/>
  <c r="N2200" i="13"/>
  <c r="N2208" i="13"/>
  <c r="N2216" i="13"/>
  <c r="N2224" i="13"/>
  <c r="N2232" i="13"/>
  <c r="N2240" i="13"/>
  <c r="N2248" i="13"/>
  <c r="N2256" i="13"/>
  <c r="N2264" i="13"/>
  <c r="N2272" i="13"/>
  <c r="N2280" i="13"/>
  <c r="N2288" i="13"/>
  <c r="N2296" i="13"/>
  <c r="N2304" i="13"/>
  <c r="N2312" i="13"/>
  <c r="N2320" i="13"/>
  <c r="N2328" i="13"/>
  <c r="N2336" i="13"/>
  <c r="N2344" i="13"/>
  <c r="N2352" i="13"/>
  <c r="N2360" i="13"/>
  <c r="N2368" i="13"/>
  <c r="N2376" i="13"/>
  <c r="N2384" i="13"/>
  <c r="N2388" i="13"/>
  <c r="N2396" i="13"/>
  <c r="N2404" i="13"/>
  <c r="N2412" i="13"/>
  <c r="N2420" i="13"/>
  <c r="N2428" i="13"/>
  <c r="N2436" i="13"/>
  <c r="N2444" i="13"/>
  <c r="N2452" i="13"/>
  <c r="N2456" i="13"/>
  <c r="N2464" i="13"/>
  <c r="N2472" i="13"/>
  <c r="N2480" i="13"/>
  <c r="N2488" i="13"/>
  <c r="N2496" i="13"/>
  <c r="N2504" i="13"/>
  <c r="N2512" i="13"/>
  <c r="N2520" i="13"/>
  <c r="N2528" i="13"/>
  <c r="N2536" i="13"/>
  <c r="N2544" i="13"/>
  <c r="N2552" i="13"/>
  <c r="N2560" i="13"/>
  <c r="N2568" i="13"/>
  <c r="N2576" i="13"/>
  <c r="N2584" i="13"/>
  <c r="N2592" i="13"/>
  <c r="N2600" i="13"/>
  <c r="N2608" i="13"/>
  <c r="N2616" i="13"/>
  <c r="N2624" i="13"/>
  <c r="N2632" i="13"/>
  <c r="N2640" i="13"/>
  <c r="N2648" i="13"/>
  <c r="N2656" i="13"/>
  <c r="N2664" i="13"/>
  <c r="N2672" i="13"/>
  <c r="N2680" i="13"/>
  <c r="N2688" i="13"/>
  <c r="N2696" i="13"/>
  <c r="N2704" i="13"/>
  <c r="N2712" i="13"/>
  <c r="N2720" i="13"/>
  <c r="N2728" i="13"/>
  <c r="N28" i="13"/>
  <c r="N60" i="13"/>
  <c r="N92" i="13"/>
  <c r="N124" i="13"/>
  <c r="N156" i="13"/>
  <c r="N188" i="13"/>
  <c r="N220" i="13"/>
  <c r="N252" i="13"/>
  <c r="N284" i="13"/>
  <c r="N316" i="13"/>
  <c r="N380" i="13"/>
  <c r="N412" i="13"/>
  <c r="N508" i="13"/>
  <c r="N636" i="13"/>
  <c r="N924" i="13"/>
  <c r="N1404" i="13"/>
  <c r="N2149" i="13"/>
  <c r="N356" i="13"/>
  <c r="N1988" i="13"/>
  <c r="N2617" i="13"/>
  <c r="N12" i="13"/>
  <c r="N44" i="13"/>
  <c r="N76" i="13"/>
  <c r="N108" i="13"/>
  <c r="N140" i="13"/>
  <c r="N172" i="13"/>
  <c r="N204" i="13"/>
  <c r="N236" i="13"/>
  <c r="N268" i="13"/>
  <c r="N300" i="13"/>
  <c r="N332" i="13"/>
  <c r="N364" i="13"/>
  <c r="N396" i="13"/>
  <c r="N428" i="13"/>
  <c r="N460" i="13"/>
  <c r="N492" i="13"/>
  <c r="N524" i="13"/>
  <c r="N556" i="13"/>
  <c r="N588" i="13"/>
  <c r="N620" i="13"/>
  <c r="N652" i="13"/>
  <c r="N684" i="13"/>
  <c r="N716" i="13"/>
  <c r="N748" i="13"/>
  <c r="N780" i="13"/>
  <c r="N812" i="13"/>
  <c r="N844" i="13"/>
  <c r="N876" i="13"/>
  <c r="N908" i="13"/>
  <c r="N940" i="13"/>
  <c r="N972" i="13"/>
  <c r="N1004" i="13"/>
  <c r="N1036" i="13"/>
  <c r="N1068" i="13"/>
  <c r="N1100" i="13"/>
  <c r="N1132" i="13"/>
  <c r="N1164" i="13"/>
  <c r="N1196" i="13"/>
  <c r="N1228" i="13"/>
  <c r="N1260" i="13"/>
  <c r="N1292" i="13"/>
  <c r="N1324" i="13"/>
  <c r="N1356" i="13"/>
  <c r="N1388" i="13"/>
  <c r="N1420" i="13"/>
  <c r="N1452" i="13"/>
  <c r="N1484" i="13"/>
  <c r="N1516" i="13"/>
  <c r="N1548" i="13"/>
  <c r="N1580" i="13"/>
  <c r="N1612" i="13"/>
  <c r="N1644" i="13"/>
  <c r="N1676" i="13"/>
  <c r="N1708" i="13"/>
  <c r="N1740" i="13"/>
  <c r="N1772" i="13"/>
  <c r="N1804" i="13"/>
  <c r="N1836" i="13"/>
  <c r="N1868" i="13"/>
  <c r="N1900" i="13"/>
  <c r="N1932" i="13"/>
  <c r="N1964" i="13"/>
  <c r="N1996" i="13"/>
  <c r="N2028" i="13"/>
  <c r="N2060" i="13"/>
  <c r="N2092" i="13"/>
  <c r="N2124" i="13"/>
  <c r="N2141" i="13"/>
  <c r="N2157" i="13"/>
  <c r="N2173" i="13"/>
  <c r="N2189" i="13"/>
  <c r="N2205" i="13"/>
  <c r="N2221" i="13"/>
  <c r="N2237" i="13"/>
  <c r="N2253" i="13"/>
  <c r="N2269" i="13"/>
  <c r="N2285" i="13"/>
  <c r="N2301" i="13"/>
  <c r="N2317" i="13"/>
  <c r="N2333" i="13"/>
  <c r="N2349" i="13"/>
  <c r="N2365" i="13"/>
  <c r="N2381" i="13"/>
  <c r="N2397" i="13"/>
  <c r="N2413" i="13"/>
  <c r="N2429" i="13"/>
  <c r="N2445" i="13"/>
  <c r="N2461" i="13"/>
  <c r="N2477" i="13"/>
  <c r="N2493" i="13"/>
  <c r="N2509" i="13"/>
  <c r="N2525" i="13"/>
  <c r="N2541" i="13"/>
  <c r="N2557" i="13"/>
  <c r="N2573" i="13"/>
  <c r="N2589" i="13"/>
  <c r="N2605" i="13"/>
  <c r="N2621" i="13"/>
  <c r="N2637" i="13"/>
  <c r="N2653" i="13"/>
  <c r="N2669" i="13"/>
  <c r="N2685" i="13"/>
  <c r="N2701" i="13"/>
  <c r="N2717" i="13"/>
  <c r="N20" i="13"/>
  <c r="N52" i="13"/>
  <c r="N84" i="13"/>
  <c r="N116" i="13"/>
  <c r="N148" i="13"/>
  <c r="N180" i="13"/>
  <c r="N212" i="13"/>
  <c r="N244" i="13"/>
  <c r="N276" i="13"/>
  <c r="N308" i="13"/>
  <c r="N340" i="13"/>
  <c r="N372" i="13"/>
  <c r="N404" i="13"/>
  <c r="N436" i="13"/>
  <c r="N468" i="13"/>
  <c r="N500" i="13"/>
  <c r="N532" i="13"/>
  <c r="N564" i="13"/>
  <c r="N596" i="13"/>
  <c r="N628" i="13"/>
  <c r="N660" i="13"/>
  <c r="N692" i="13"/>
  <c r="N724" i="13"/>
  <c r="N756" i="13"/>
  <c r="N788" i="13"/>
  <c r="N820" i="13"/>
  <c r="N852" i="13"/>
  <c r="N884" i="13"/>
  <c r="N916" i="13"/>
  <c r="N948" i="13"/>
  <c r="N980" i="13"/>
  <c r="N1012" i="13"/>
  <c r="N1044" i="13"/>
  <c r="N1076" i="13"/>
  <c r="N1108" i="13"/>
  <c r="N1140" i="13"/>
  <c r="N1172" i="13"/>
  <c r="N1204" i="13"/>
  <c r="N1236" i="13"/>
  <c r="N1268" i="13"/>
  <c r="N1300" i="13"/>
  <c r="N1332" i="13"/>
  <c r="N1364" i="13"/>
  <c r="N1396" i="13"/>
  <c r="N1428" i="13"/>
  <c r="N1460" i="13"/>
  <c r="N1492" i="13"/>
  <c r="N1524" i="13"/>
  <c r="N1556" i="13"/>
  <c r="N1588" i="13"/>
  <c r="N1620" i="13"/>
  <c r="N1652" i="13"/>
  <c r="N1684" i="13"/>
  <c r="N1716" i="13"/>
  <c r="N1748" i="13"/>
  <c r="N1780" i="13"/>
  <c r="N1812" i="13"/>
  <c r="N1844" i="13"/>
  <c r="N1876" i="13"/>
  <c r="N1908" i="13"/>
  <c r="N1940" i="13"/>
  <c r="N1972" i="13"/>
  <c r="N2004" i="13"/>
  <c r="N2036" i="13"/>
  <c r="N2068" i="13"/>
  <c r="N2100" i="13"/>
  <c r="N2129" i="13"/>
  <c r="N2145" i="13"/>
  <c r="N2161" i="13"/>
  <c r="N2177" i="13"/>
  <c r="N2193" i="13"/>
  <c r="N2209" i="13"/>
  <c r="N2225" i="13"/>
  <c r="N2241" i="13"/>
  <c r="N2257" i="13"/>
  <c r="N2273" i="13"/>
  <c r="N2289" i="13"/>
  <c r="N2305" i="13"/>
  <c r="N2321" i="13"/>
  <c r="N2337" i="13"/>
  <c r="N2353" i="13"/>
  <c r="N2369" i="13"/>
  <c r="N2385" i="13"/>
  <c r="N2401" i="13"/>
  <c r="N2417" i="13"/>
  <c r="N2433" i="13"/>
  <c r="N2449" i="13"/>
  <c r="N2465" i="13"/>
  <c r="N2481" i="13"/>
  <c r="N2497" i="13"/>
  <c r="N2513" i="13"/>
  <c r="N2529" i="13"/>
  <c r="N2545" i="13"/>
  <c r="N2561" i="13"/>
  <c r="N2577" i="13"/>
  <c r="N2593" i="13"/>
  <c r="N2609" i="13"/>
  <c r="N2625" i="13"/>
  <c r="N2641" i="13"/>
  <c r="N2657" i="13"/>
  <c r="N2673" i="13"/>
  <c r="N2689" i="13"/>
  <c r="N2705" i="13"/>
  <c r="N2721" i="13"/>
  <c r="N348" i="13"/>
  <c r="N444" i="13"/>
  <c r="N476" i="13"/>
  <c r="N540" i="13"/>
  <c r="N572" i="13"/>
  <c r="N604" i="13"/>
  <c r="N668" i="13"/>
  <c r="N700" i="13"/>
  <c r="N732" i="13"/>
  <c r="N764" i="13"/>
  <c r="N796" i="13"/>
  <c r="N828" i="13"/>
  <c r="N860" i="13"/>
  <c r="N892" i="13"/>
  <c r="N956" i="13"/>
  <c r="N988" i="13"/>
  <c r="N1020" i="13"/>
  <c r="N1052" i="13"/>
  <c r="N1084" i="13"/>
  <c r="N1116" i="13"/>
  <c r="N1148" i="13"/>
  <c r="N1180" i="13"/>
  <c r="N1212" i="13"/>
  <c r="N1244" i="13"/>
  <c r="N1276" i="13"/>
  <c r="N1308" i="13"/>
  <c r="N1340" i="13"/>
  <c r="N1372" i="13"/>
  <c r="N1436" i="13"/>
  <c r="N1468" i="13"/>
  <c r="N1500" i="13"/>
  <c r="N1532" i="13"/>
  <c r="N1564" i="13"/>
  <c r="N1596" i="13"/>
  <c r="N1628" i="13"/>
  <c r="N1660" i="13"/>
  <c r="N1692" i="13"/>
  <c r="N1724" i="13"/>
  <c r="N1756" i="13"/>
  <c r="N1788" i="13"/>
  <c r="N1820" i="13"/>
  <c r="N1852" i="13"/>
  <c r="N1884" i="13"/>
  <c r="N1916" i="13"/>
  <c r="N1948" i="13"/>
  <c r="N1980" i="13"/>
  <c r="N2012" i="13"/>
  <c r="N2044" i="13"/>
  <c r="N2076" i="13"/>
  <c r="N2108" i="13"/>
  <c r="N2133" i="13"/>
  <c r="N2165" i="13"/>
  <c r="N2181" i="13"/>
  <c r="N2197" i="13"/>
  <c r="N2213" i="13"/>
  <c r="N2229" i="13"/>
  <c r="N2245" i="13"/>
  <c r="N2261" i="13"/>
  <c r="N2277" i="13"/>
  <c r="N2293" i="13"/>
  <c r="N2309" i="13"/>
  <c r="N2325" i="13"/>
  <c r="N2341" i="13"/>
  <c r="N2357" i="13"/>
  <c r="N2373" i="13"/>
  <c r="N2389" i="13"/>
  <c r="N2405" i="13"/>
  <c r="N2421" i="13"/>
  <c r="N2437" i="13"/>
  <c r="N2453" i="13"/>
  <c r="N2469" i="13"/>
  <c r="N2485" i="13"/>
  <c r="N2501" i="13"/>
  <c r="N2517" i="13"/>
  <c r="N2533" i="13"/>
  <c r="N2549" i="13"/>
  <c r="N2565" i="13"/>
  <c r="N2581" i="13"/>
  <c r="N2597" i="13"/>
  <c r="N2613" i="13"/>
  <c r="N2629" i="13"/>
  <c r="N2645" i="13"/>
  <c r="N2661" i="13"/>
  <c r="N2677" i="13"/>
  <c r="N2693" i="13"/>
  <c r="N2709" i="13"/>
  <c r="N2725" i="13"/>
  <c r="N36" i="13"/>
  <c r="N68" i="13"/>
  <c r="N100" i="13"/>
  <c r="N132" i="13"/>
  <c r="N164" i="13"/>
  <c r="N196" i="13"/>
  <c r="N228" i="13"/>
  <c r="N260" i="13"/>
  <c r="N292" i="13"/>
  <c r="N324" i="13"/>
  <c r="N388" i="13"/>
  <c r="N420" i="13"/>
  <c r="N452" i="13"/>
  <c r="N484" i="13"/>
  <c r="N516" i="13"/>
  <c r="N548" i="13"/>
  <c r="N580" i="13"/>
  <c r="N612" i="13"/>
  <c r="N644" i="13"/>
  <c r="N676" i="13"/>
  <c r="N708" i="13"/>
  <c r="N740" i="13"/>
  <c r="N772" i="13"/>
  <c r="N804" i="13"/>
  <c r="N836" i="13"/>
  <c r="N868" i="13"/>
  <c r="N900" i="13"/>
  <c r="N932" i="13"/>
  <c r="N964" i="13"/>
  <c r="N996" i="13"/>
  <c r="N1028" i="13"/>
  <c r="N1060" i="13"/>
  <c r="N1092" i="13"/>
  <c r="N1124" i="13"/>
  <c r="N1156" i="13"/>
  <c r="N1188" i="13"/>
  <c r="N1220" i="13"/>
  <c r="N1252" i="13"/>
  <c r="N1284" i="13"/>
  <c r="N1316" i="13"/>
  <c r="N1348" i="13"/>
  <c r="N1380" i="13"/>
  <c r="N1412" i="13"/>
  <c r="N1444" i="13"/>
  <c r="N1476" i="13"/>
  <c r="N1508" i="13"/>
  <c r="N1540" i="13"/>
  <c r="N1572" i="13"/>
  <c r="N1604" i="13"/>
  <c r="N1636" i="13"/>
  <c r="N1668" i="13"/>
  <c r="N1700" i="13"/>
  <c r="N1732" i="13"/>
  <c r="N1764" i="13"/>
  <c r="N1796" i="13"/>
  <c r="N1828" i="13"/>
  <c r="N1860" i="13"/>
  <c r="N1892" i="13"/>
  <c r="N1924" i="13"/>
  <c r="N1956" i="13"/>
  <c r="N2020" i="13"/>
  <c r="N2052" i="13"/>
  <c r="N2084" i="13"/>
  <c r="N2116" i="13"/>
  <c r="N2137" i="13"/>
  <c r="N2153" i="13"/>
  <c r="N2169" i="13"/>
  <c r="N2185" i="13"/>
  <c r="N2201" i="13"/>
  <c r="N2217" i="13"/>
  <c r="N2233" i="13"/>
  <c r="N2249" i="13"/>
  <c r="N2265" i="13"/>
  <c r="N2281" i="13"/>
  <c r="N2297" i="13"/>
  <c r="N2313" i="13"/>
  <c r="N2329" i="13"/>
  <c r="N2345" i="13"/>
  <c r="N2361" i="13"/>
  <c r="N2377" i="13"/>
  <c r="N2393" i="13"/>
  <c r="N2409" i="13"/>
  <c r="N2425" i="13"/>
  <c r="N2441" i="13"/>
  <c r="N2457" i="13"/>
  <c r="N2473" i="13"/>
  <c r="N2489" i="13"/>
  <c r="N2505" i="13"/>
  <c r="N2521" i="13"/>
  <c r="N2537" i="13"/>
  <c r="N2553" i="13"/>
  <c r="N2569" i="13"/>
  <c r="N2585" i="13"/>
  <c r="N2601" i="13"/>
  <c r="N2633" i="13"/>
  <c r="N2649" i="13"/>
  <c r="N2665" i="13"/>
  <c r="N2681" i="13"/>
  <c r="N2697" i="13"/>
  <c r="N2713" i="13"/>
  <c r="N2729" i="13"/>
  <c r="F14" i="13"/>
  <c r="F18" i="13"/>
  <c r="F22" i="13"/>
  <c r="F26" i="13"/>
  <c r="F30" i="13"/>
  <c r="F15" i="13"/>
  <c r="F20" i="13"/>
  <c r="F25" i="13"/>
  <c r="F31" i="13"/>
  <c r="F16" i="13"/>
  <c r="F23" i="13"/>
  <c r="F29" i="13"/>
  <c r="F21" i="13"/>
  <c r="F32" i="13"/>
  <c r="F17" i="13"/>
  <c r="F27" i="13"/>
  <c r="F13" i="13"/>
  <c r="F24" i="13"/>
  <c r="F28" i="13"/>
  <c r="F19" i="13"/>
  <c r="E58" i="14"/>
  <c r="C15" i="1"/>
  <c r="Z43" i="16"/>
  <c r="M40" i="1"/>
  <c r="M48" i="1"/>
  <c r="M36" i="1"/>
  <c r="M44" i="1"/>
  <c r="M34" i="1"/>
  <c r="M37" i="1"/>
  <c r="M41" i="1"/>
  <c r="M45" i="1"/>
  <c r="M49" i="1"/>
  <c r="M52" i="1"/>
  <c r="M53" i="1"/>
  <c r="M54" i="1"/>
  <c r="M38" i="1"/>
  <c r="M42" i="1"/>
  <c r="M46" i="1"/>
  <c r="M50" i="1"/>
  <c r="M35" i="1"/>
  <c r="M39" i="1"/>
  <c r="M43" i="1"/>
  <c r="M47" i="1"/>
  <c r="M51" i="1"/>
  <c r="M55" i="1"/>
  <c r="B30" i="15"/>
  <c r="U28" i="16"/>
  <c r="U25" i="16"/>
  <c r="U30" i="16"/>
  <c r="U27" i="16"/>
  <c r="M17" i="16" a="1"/>
  <c r="L22" i="7" a="1"/>
  <c r="U29" i="16"/>
  <c r="D30" i="15"/>
  <c r="U37" i="16"/>
  <c r="U22" i="16"/>
  <c r="G36" i="1"/>
  <c r="G38" i="1"/>
  <c r="I17" i="16" a="1"/>
  <c r="C94" i="3"/>
  <c r="I10" i="11" a="1"/>
  <c r="G50" i="1"/>
  <c r="G55" i="1"/>
  <c r="G51" i="1"/>
  <c r="G45" i="1"/>
  <c r="G37" i="1"/>
  <c r="G41" i="1"/>
  <c r="U36" i="16"/>
  <c r="U24" i="16"/>
  <c r="G46" i="1"/>
  <c r="G35" i="1"/>
  <c r="G53" i="1"/>
  <c r="G43" i="1"/>
  <c r="G47" i="1"/>
  <c r="U35" i="16"/>
  <c r="G44" i="1"/>
  <c r="U33" i="16"/>
  <c r="G54" i="1"/>
  <c r="G42" i="1"/>
  <c r="G48" i="1"/>
  <c r="G49" i="1"/>
  <c r="G40" i="1"/>
  <c r="U23" i="16"/>
  <c r="G39" i="1"/>
  <c r="G52" i="1"/>
  <c r="G34" i="1"/>
  <c r="L335" i="7" l="1"/>
  <c r="L319" i="7"/>
  <c r="L303" i="7"/>
  <c r="L287" i="7"/>
  <c r="L174" i="7"/>
  <c r="L110" i="7"/>
  <c r="L54" i="7"/>
  <c r="L185" i="7"/>
  <c r="L121" i="7"/>
  <c r="L38" i="7"/>
  <c r="L282" i="7"/>
  <c r="L250" i="7"/>
  <c r="L88" i="7"/>
  <c r="L263" i="7"/>
  <c r="L203" i="7"/>
  <c r="L128" i="7"/>
  <c r="L243" i="7"/>
  <c r="L155" i="7"/>
  <c r="L324" i="7"/>
  <c r="L302" i="7"/>
  <c r="L214" i="7"/>
  <c r="L130" i="7"/>
  <c r="L52" i="7"/>
  <c r="L161" i="7"/>
  <c r="L75" i="7"/>
  <c r="L280" i="7"/>
  <c r="L238" i="7"/>
  <c r="L277" i="7"/>
  <c r="L199" i="7"/>
  <c r="L59" i="7"/>
  <c r="L175" i="7"/>
  <c r="L103" i="7"/>
  <c r="L124" i="7"/>
  <c r="L344" i="7"/>
  <c r="L322" i="7"/>
  <c r="L301" i="7"/>
  <c r="L210" i="7"/>
  <c r="L122" i="7"/>
  <c r="L50" i="7"/>
  <c r="L157" i="7"/>
  <c r="L67" i="7"/>
  <c r="L278" i="7"/>
  <c r="L236" i="7"/>
  <c r="L271" i="7"/>
  <c r="L195" i="7"/>
  <c r="L43" i="7"/>
  <c r="L167" i="7"/>
  <c r="L99" i="7"/>
  <c r="L120" i="7"/>
  <c r="L332" i="7"/>
  <c r="L289" i="7"/>
  <c r="L74" i="7"/>
  <c r="L109" i="7"/>
  <c r="L254" i="7"/>
  <c r="L233" i="7"/>
  <c r="L231" i="7"/>
  <c r="L192" i="7"/>
  <c r="L304" i="7"/>
  <c r="L165" i="7"/>
  <c r="L279" i="7"/>
  <c r="L107" i="7"/>
  <c r="L320" i="7"/>
  <c r="L198" i="7"/>
  <c r="L44" i="7"/>
  <c r="L39" i="7"/>
  <c r="L230" i="7"/>
  <c r="L41" i="7"/>
  <c r="L159" i="7"/>
  <c r="L104" i="7"/>
  <c r="L293" i="7"/>
  <c r="L125" i="7"/>
  <c r="L249" i="7"/>
  <c r="L204" i="7"/>
  <c r="L316" i="7"/>
  <c r="L182" i="7"/>
  <c r="L213" i="7"/>
  <c r="L35" i="7"/>
  <c r="L222" i="7"/>
  <c r="L164" i="7"/>
  <c r="L143" i="7"/>
  <c r="L92" i="7"/>
  <c r="L331" i="7"/>
  <c r="L315" i="7"/>
  <c r="L299" i="7"/>
  <c r="L283" i="7"/>
  <c r="L158" i="7"/>
  <c r="L94" i="7"/>
  <c r="L46" i="7"/>
  <c r="L169" i="7"/>
  <c r="L105" i="7"/>
  <c r="L34" i="7"/>
  <c r="L274" i="7"/>
  <c r="L242" i="7"/>
  <c r="L72" i="7"/>
  <c r="L253" i="7"/>
  <c r="L49" i="7"/>
  <c r="L81" i="7"/>
  <c r="L227" i="7"/>
  <c r="L340" i="7"/>
  <c r="L318" i="7"/>
  <c r="L297" i="7"/>
  <c r="L194" i="7"/>
  <c r="L106" i="7"/>
  <c r="L42" i="7"/>
  <c r="L141" i="7"/>
  <c r="L37" i="7"/>
  <c r="L270" i="7"/>
  <c r="L228" i="7"/>
  <c r="L261" i="7"/>
  <c r="L176" i="7"/>
  <c r="L273" i="7"/>
  <c r="L151" i="7"/>
  <c r="L216" i="7"/>
  <c r="L100" i="7"/>
  <c r="L338" i="7"/>
  <c r="L317" i="7"/>
  <c r="L296" i="7"/>
  <c r="L186" i="7"/>
  <c r="L102" i="7"/>
  <c r="L40" i="7"/>
  <c r="L133" i="7"/>
  <c r="L36" i="7"/>
  <c r="L268" i="7"/>
  <c r="L224" i="7"/>
  <c r="L259" i="7"/>
  <c r="L172" i="7"/>
  <c r="L257" i="7"/>
  <c r="L147" i="7"/>
  <c r="L212" i="7"/>
  <c r="L96" i="7"/>
  <c r="L321" i="7"/>
  <c r="L202" i="7"/>
  <c r="L48" i="7"/>
  <c r="L63" i="7"/>
  <c r="L232" i="7"/>
  <c r="L57" i="7"/>
  <c r="L163" i="7"/>
  <c r="L112" i="7"/>
  <c r="L218" i="7"/>
  <c r="L79" i="7"/>
  <c r="L207" i="7"/>
  <c r="L136" i="7"/>
  <c r="L309" i="7"/>
  <c r="L154" i="7"/>
  <c r="L189" i="7"/>
  <c r="L28" i="7"/>
  <c r="L68" i="7"/>
  <c r="L132" i="7"/>
  <c r="L123" i="7"/>
  <c r="L61" i="7"/>
  <c r="L178" i="7"/>
  <c r="L33" i="7"/>
  <c r="L160" i="7"/>
  <c r="L89" i="7"/>
  <c r="L305" i="7"/>
  <c r="L138" i="7"/>
  <c r="L173" i="7"/>
  <c r="L24" i="7"/>
  <c r="L281" i="7"/>
  <c r="L85" i="7"/>
  <c r="L111" i="7"/>
  <c r="L343" i="7"/>
  <c r="L327" i="7"/>
  <c r="L311" i="7"/>
  <c r="L295" i="7"/>
  <c r="L206" i="7"/>
  <c r="L142" i="7"/>
  <c r="L78" i="7"/>
  <c r="L217" i="7"/>
  <c r="L153" i="7"/>
  <c r="L87" i="7"/>
  <c r="L30" i="7"/>
  <c r="L266" i="7"/>
  <c r="L234" i="7"/>
  <c r="L45" i="7"/>
  <c r="L237" i="7"/>
  <c r="L168" i="7"/>
  <c r="L55" i="7"/>
  <c r="L187" i="7"/>
  <c r="L334" i="7"/>
  <c r="L313" i="7"/>
  <c r="L292" i="7"/>
  <c r="L170" i="7"/>
  <c r="L86" i="7"/>
  <c r="L205" i="7"/>
  <c r="L117" i="7"/>
  <c r="L32" i="7"/>
  <c r="L260" i="7"/>
  <c r="L84" i="7"/>
  <c r="L245" i="7"/>
  <c r="L156" i="7"/>
  <c r="L239" i="7"/>
  <c r="L135" i="7"/>
  <c r="L200" i="7"/>
  <c r="L77" i="7"/>
  <c r="L333" i="7"/>
  <c r="L312" i="7"/>
  <c r="L290" i="7"/>
  <c r="L166" i="7"/>
  <c r="L82" i="7"/>
  <c r="L197" i="7"/>
  <c r="L113" i="7"/>
  <c r="L31" i="7"/>
  <c r="L256" i="7"/>
  <c r="L80" i="7"/>
  <c r="L241" i="7"/>
  <c r="L144" i="7"/>
  <c r="L235" i="7"/>
  <c r="L131" i="7"/>
  <c r="L196" i="7"/>
  <c r="L73" i="7"/>
  <c r="L310" i="7"/>
  <c r="L162" i="7"/>
  <c r="L193" i="7"/>
  <c r="L29" i="7"/>
  <c r="L76" i="7"/>
  <c r="L140" i="7"/>
  <c r="L127" i="7"/>
  <c r="L69" i="7"/>
  <c r="L134" i="7"/>
  <c r="L23" i="7"/>
  <c r="L65" i="7"/>
  <c r="L341" i="7"/>
  <c r="L298" i="7"/>
  <c r="L114" i="7"/>
  <c r="L145" i="7"/>
  <c r="L272" i="7"/>
  <c r="L267" i="7"/>
  <c r="L22" i="7"/>
  <c r="L91" i="7"/>
  <c r="L336" i="7"/>
  <c r="L90" i="7"/>
  <c r="L262" i="7"/>
  <c r="L247" i="7"/>
  <c r="L337" i="7"/>
  <c r="L294" i="7"/>
  <c r="L98" i="7"/>
  <c r="L129" i="7"/>
  <c r="L264" i="7"/>
  <c r="L255" i="7"/>
  <c r="L251" i="7"/>
  <c r="L208" i="7"/>
  <c r="L291" i="7"/>
  <c r="L201" i="7"/>
  <c r="L258" i="7"/>
  <c r="L152" i="7"/>
  <c r="L308" i="7"/>
  <c r="L181" i="7"/>
  <c r="L64" i="7"/>
  <c r="L119" i="7"/>
  <c r="L306" i="7"/>
  <c r="L177" i="7"/>
  <c r="L53" i="7"/>
  <c r="L115" i="7"/>
  <c r="L118" i="7"/>
  <c r="L47" i="7"/>
  <c r="L240" i="7"/>
  <c r="L70" i="7"/>
  <c r="L223" i="7"/>
  <c r="L220" i="7"/>
  <c r="L58" i="7"/>
  <c r="L183" i="7"/>
  <c r="L126" i="7"/>
  <c r="L71" i="7"/>
  <c r="L275" i="7"/>
  <c r="L150" i="7"/>
  <c r="L27" i="7"/>
  <c r="L51" i="7"/>
  <c r="L25" i="7"/>
  <c r="L342" i="7"/>
  <c r="L325" i="7"/>
  <c r="L252" i="7"/>
  <c r="L326" i="7"/>
  <c r="L339" i="7"/>
  <c r="L190" i="7"/>
  <c r="L137" i="7"/>
  <c r="L226" i="7"/>
  <c r="L265" i="7"/>
  <c r="L286" i="7"/>
  <c r="L97" i="7"/>
  <c r="L225" i="7"/>
  <c r="L184" i="7"/>
  <c r="L285" i="7"/>
  <c r="L93" i="7"/>
  <c r="L215" i="7"/>
  <c r="L180" i="7"/>
  <c r="L149" i="7"/>
  <c r="L95" i="7"/>
  <c r="L179" i="7"/>
  <c r="L101" i="7"/>
  <c r="L188" i="7"/>
  <c r="L139" i="7"/>
  <c r="L83" i="7"/>
  <c r="L148" i="7"/>
  <c r="L323" i="7"/>
  <c r="L171" i="7"/>
  <c r="L116" i="7"/>
  <c r="L146" i="7"/>
  <c r="L108" i="7"/>
  <c r="L276" i="7"/>
  <c r="L330" i="7"/>
  <c r="L314" i="7"/>
  <c r="L244" i="7"/>
  <c r="L307" i="7"/>
  <c r="L62" i="7"/>
  <c r="L26" i="7"/>
  <c r="L221" i="7"/>
  <c r="L329" i="7"/>
  <c r="L66" i="7"/>
  <c r="L248" i="7"/>
  <c r="L219" i="7"/>
  <c r="L328" i="7"/>
  <c r="L60" i="7"/>
  <c r="L246" i="7"/>
  <c r="L191" i="7"/>
  <c r="L300" i="7"/>
  <c r="L269" i="7"/>
  <c r="L56" i="7"/>
  <c r="L288" i="7"/>
  <c r="L229" i="7"/>
  <c r="L209" i="7"/>
  <c r="L284" i="7"/>
  <c r="L211" i="7"/>
  <c r="I23" i="11"/>
  <c r="I49" i="11"/>
  <c r="I26" i="11"/>
  <c r="I17" i="11"/>
  <c r="I38" i="11"/>
  <c r="I21" i="11"/>
  <c r="I29" i="11"/>
  <c r="I22" i="11"/>
  <c r="I37" i="11"/>
  <c r="I31" i="11"/>
  <c r="I44" i="11"/>
  <c r="I13" i="11"/>
  <c r="I30" i="11"/>
  <c r="I18" i="11"/>
  <c r="I50" i="11"/>
  <c r="I19" i="11"/>
  <c r="I11" i="11"/>
  <c r="I16" i="11"/>
  <c r="I35" i="11"/>
  <c r="I42" i="11"/>
  <c r="I12" i="11"/>
  <c r="I36" i="11"/>
  <c r="I24" i="11"/>
  <c r="I10" i="11"/>
  <c r="I27" i="11"/>
  <c r="I15" i="11"/>
  <c r="I32" i="11"/>
  <c r="I28" i="11"/>
  <c r="I41" i="11"/>
  <c r="I25" i="11"/>
  <c r="I52" i="11"/>
  <c r="I51" i="11"/>
  <c r="I43" i="11"/>
  <c r="I34" i="11"/>
  <c r="I48" i="11"/>
  <c r="I39" i="11"/>
  <c r="I47" i="11"/>
  <c r="I45" i="11"/>
  <c r="I46" i="11"/>
  <c r="I40" i="11"/>
  <c r="I20" i="11"/>
  <c r="I33" i="11"/>
  <c r="I14" i="11"/>
  <c r="L59" i="19"/>
  <c r="L73" i="19"/>
  <c r="B83" i="19"/>
  <c r="B69" i="19"/>
  <c r="G56" i="1"/>
  <c r="I17" i="16"/>
  <c r="S17" i="16" s="1"/>
  <c r="M17" i="16"/>
  <c r="B31" i="15"/>
  <c r="J50" i="11"/>
  <c r="J52" i="11"/>
  <c r="J17" i="11"/>
  <c r="J39" i="11"/>
  <c r="J37" i="11"/>
  <c r="J20" i="11"/>
  <c r="J25" i="11"/>
  <c r="D31" i="15"/>
  <c r="J26" i="11"/>
  <c r="J35" i="11"/>
  <c r="J48" i="11"/>
  <c r="J22" i="11"/>
  <c r="J10" i="11"/>
  <c r="J40" i="11"/>
  <c r="J30" i="11"/>
  <c r="J41" i="11"/>
  <c r="J49" i="11"/>
  <c r="J16" i="11"/>
  <c r="J34" i="11"/>
  <c r="S18" i="16"/>
  <c r="AO35" i="16" s="1"/>
  <c r="V13" i="16"/>
  <c r="AO30" i="16"/>
  <c r="AO26" i="16"/>
  <c r="AO37" i="16"/>
  <c r="J24" i="11"/>
  <c r="J13" i="11"/>
  <c r="J23" i="11"/>
  <c r="J43" i="11"/>
  <c r="J36" i="11"/>
  <c r="AO33" i="16"/>
  <c r="AO36" i="16"/>
  <c r="J29" i="11"/>
  <c r="J46" i="11"/>
  <c r="J28" i="11"/>
  <c r="J11" i="11"/>
  <c r="J21" i="11"/>
  <c r="J45" i="11"/>
  <c r="AO25" i="16"/>
  <c r="AO24" i="16"/>
  <c r="J44" i="11"/>
  <c r="J32" i="11"/>
  <c r="J14" i="11"/>
  <c r="J19" i="11"/>
  <c r="J51" i="11"/>
  <c r="J38" i="11"/>
  <c r="J12" i="11"/>
  <c r="J47" i="11"/>
  <c r="J31" i="11"/>
  <c r="J15" i="11"/>
  <c r="J33" i="11"/>
  <c r="AO34" i="16"/>
  <c r="AO31" i="16"/>
  <c r="V15" i="16"/>
  <c r="AO32" i="16"/>
  <c r="AO27" i="16"/>
  <c r="J42" i="11"/>
  <c r="J27" i="11"/>
  <c r="J18" i="11"/>
  <c r="H92" i="3" a="1"/>
  <c r="AO29" i="16"/>
  <c r="AO28" i="16"/>
  <c r="V14" i="16"/>
  <c r="H109" i="3" l="1"/>
  <c r="H98" i="3"/>
  <c r="H110" i="3"/>
  <c r="H97" i="3"/>
  <c r="H111" i="3"/>
  <c r="H102" i="3"/>
  <c r="H101" i="3"/>
  <c r="H107" i="3"/>
  <c r="H94" i="3"/>
  <c r="H108" i="3"/>
  <c r="H103" i="3"/>
  <c r="H92" i="3"/>
  <c r="H99" i="3"/>
  <c r="H93" i="3"/>
  <c r="H106" i="3"/>
  <c r="H95" i="3"/>
  <c r="H96" i="3"/>
  <c r="H112" i="3"/>
  <c r="H105" i="3"/>
  <c r="H104" i="3"/>
  <c r="H100" i="3"/>
  <c r="B32" i="15"/>
  <c r="AP27" i="16"/>
  <c r="AP30" i="16"/>
  <c r="AP24" i="16"/>
  <c r="AP32" i="16"/>
  <c r="AP28" i="16"/>
  <c r="AP26" i="16"/>
  <c r="AP31" i="16"/>
  <c r="AP37" i="16"/>
  <c r="V12" i="16"/>
  <c r="AP29" i="16"/>
  <c r="AP36" i="16"/>
  <c r="AP33" i="16"/>
  <c r="AP34" i="16"/>
  <c r="AP35" i="16"/>
  <c r="D32" i="15"/>
  <c r="AP25" i="16"/>
  <c r="S15" i="16" l="1"/>
  <c r="B33" i="15"/>
  <c r="D33" i="15"/>
  <c r="S16" i="16"/>
  <c r="B34" i="15" l="1"/>
  <c r="D34" i="15"/>
  <c r="B35" i="15" l="1"/>
  <c r="D35" i="15"/>
  <c r="B36" i="15" l="1"/>
  <c r="D36" i="15"/>
  <c r="B37" i="15" l="1"/>
  <c r="D37" i="15"/>
  <c r="B38" i="15" l="1"/>
  <c r="D38" i="15"/>
  <c r="B39" i="15" l="1"/>
  <c r="D39" i="15"/>
  <c r="B40" i="15" l="1"/>
  <c r="B41" i="15" s="1"/>
  <c r="D41" i="15"/>
  <c r="B42" i="15" l="1"/>
  <c r="D42" i="15"/>
  <c r="B43" i="15" l="1"/>
  <c r="D43" i="15"/>
  <c r="B44" i="15" l="1"/>
  <c r="B45" i="15" s="1"/>
  <c r="D45" i="15"/>
  <c r="B46" i="15" l="1"/>
  <c r="D46" i="15"/>
  <c r="B47" i="15" l="1"/>
  <c r="D47" i="15"/>
  <c r="B48" i="15" l="1"/>
  <c r="D48" i="15"/>
  <c r="B49" i="15" l="1"/>
  <c r="D49" i="15"/>
  <c r="B50" i="15" l="1"/>
  <c r="D50" i="15"/>
  <c r="B51" i="15" l="1"/>
  <c r="D51" i="15"/>
  <c r="B52" i="15" l="1"/>
  <c r="D52" i="15"/>
  <c r="B53" i="15" l="1"/>
  <c r="D53" i="15"/>
  <c r="B54" i="15" l="1"/>
  <c r="D54" i="15"/>
  <c r="B55" i="15" l="1"/>
  <c r="D55" i="15"/>
  <c r="B56" i="15" l="1"/>
  <c r="D56" i="15"/>
  <c r="B57" i="15" l="1"/>
  <c r="D57" i="15"/>
  <c r="B58" i="15" l="1"/>
  <c r="D58" i="15"/>
  <c r="B59" i="15" l="1"/>
  <c r="D59" i="15"/>
  <c r="B60" i="15" l="1"/>
  <c r="D60" i="15"/>
  <c r="B61" i="15" l="1"/>
  <c r="D61" i="15"/>
  <c r="B62" i="15" l="1"/>
  <c r="D62" i="15"/>
  <c r="B63" i="15" l="1"/>
  <c r="D63" i="15"/>
  <c r="B64" i="15" l="1"/>
  <c r="D64" i="15"/>
  <c r="B65" i="15" l="1"/>
  <c r="D65" i="15"/>
  <c r="B66" i="15" l="1"/>
  <c r="D66" i="15"/>
  <c r="B67" i="15" l="1"/>
  <c r="D67" i="15"/>
  <c r="B68" i="15" l="1"/>
  <c r="D68" i="15"/>
  <c r="B69" i="15" l="1"/>
  <c r="D69" i="15"/>
  <c r="B70" i="15" l="1"/>
  <c r="D70" i="15"/>
  <c r="B71" i="15" l="1"/>
  <c r="D71" i="15"/>
  <c r="B72" i="15" l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B722" i="15" s="1"/>
  <c r="B723" i="15" s="1"/>
  <c r="B724" i="15" s="1"/>
  <c r="B725" i="15" s="1"/>
  <c r="B726" i="15" s="1"/>
  <c r="B727" i="15" s="1"/>
  <c r="B728" i="15" s="1"/>
  <c r="B729" i="15" s="1"/>
  <c r="B730" i="15" s="1"/>
  <c r="B731" i="15" s="1"/>
  <c r="B732" i="15" s="1"/>
  <c r="B733" i="15" s="1"/>
  <c r="B734" i="15" s="1"/>
  <c r="B735" i="15" s="1"/>
  <c r="B736" i="15" s="1"/>
  <c r="B737" i="15" s="1"/>
  <c r="B738" i="15" s="1"/>
  <c r="B739" i="15" s="1"/>
  <c r="B740" i="15" s="1"/>
  <c r="B741" i="15" s="1"/>
  <c r="B742" i="15" s="1"/>
  <c r="B743" i="15" s="1"/>
  <c r="B744" i="15" s="1"/>
  <c r="B745" i="15" s="1"/>
  <c r="B746" i="15" s="1"/>
  <c r="B747" i="15" s="1"/>
  <c r="B748" i="15" s="1"/>
  <c r="B749" i="15" s="1"/>
  <c r="B750" i="15" s="1"/>
  <c r="B751" i="15" s="1"/>
  <c r="B752" i="15" s="1"/>
  <c r="B753" i="15" s="1"/>
  <c r="B754" i="15" s="1"/>
  <c r="B755" i="15" s="1"/>
  <c r="B756" i="15" s="1"/>
  <c r="B757" i="15" s="1"/>
  <c r="B758" i="15" s="1"/>
  <c r="B759" i="15" s="1"/>
  <c r="B760" i="15" s="1"/>
  <c r="B761" i="15" s="1"/>
  <c r="B762" i="15" s="1"/>
  <c r="B763" i="15" s="1"/>
  <c r="B764" i="15" s="1"/>
  <c r="B765" i="15" s="1"/>
  <c r="B766" i="15" s="1"/>
  <c r="B767" i="15" s="1"/>
  <c r="B768" i="15" s="1"/>
  <c r="B769" i="15" s="1"/>
  <c r="B770" i="15" s="1"/>
  <c r="B771" i="15" s="1"/>
  <c r="B772" i="15" s="1"/>
  <c r="B773" i="15" s="1"/>
  <c r="B774" i="15" s="1"/>
  <c r="B775" i="15" s="1"/>
  <c r="B776" i="15" s="1"/>
  <c r="B777" i="15" s="1"/>
  <c r="B778" i="15" s="1"/>
  <c r="B779" i="15" s="1"/>
  <c r="B780" i="15" s="1"/>
  <c r="B781" i="15" s="1"/>
  <c r="B782" i="15" s="1"/>
  <c r="B783" i="15" s="1"/>
  <c r="B784" i="15" s="1"/>
  <c r="B785" i="15" s="1"/>
  <c r="B786" i="15" s="1"/>
  <c r="B787" i="15" s="1"/>
  <c r="B788" i="15" s="1"/>
  <c r="B789" i="15" s="1"/>
  <c r="B790" i="15" s="1"/>
  <c r="B791" i="15" s="1"/>
  <c r="B792" i="15" s="1"/>
  <c r="B793" i="15" s="1"/>
  <c r="B794" i="15" s="1"/>
  <c r="B795" i="15" s="1"/>
  <c r="B796" i="15" s="1"/>
  <c r="B797" i="15" s="1"/>
  <c r="B798" i="15" s="1"/>
  <c r="B799" i="15" s="1"/>
  <c r="B800" i="15" s="1"/>
  <c r="B801" i="15" s="1"/>
  <c r="B802" i="15" s="1"/>
  <c r="B803" i="15" s="1"/>
  <c r="B804" i="15" s="1"/>
  <c r="B805" i="15" s="1"/>
  <c r="B806" i="15" s="1"/>
  <c r="B807" i="15" s="1"/>
  <c r="B808" i="15" s="1"/>
  <c r="B809" i="15" s="1"/>
  <c r="B810" i="15" s="1"/>
  <c r="B811" i="15" s="1"/>
  <c r="B812" i="15" s="1"/>
  <c r="B813" i="15" s="1"/>
  <c r="B814" i="15" s="1"/>
  <c r="B815" i="15" s="1"/>
  <c r="B816" i="15" s="1"/>
  <c r="B817" i="15" s="1"/>
  <c r="B818" i="15" s="1"/>
  <c r="B819" i="15" s="1"/>
  <c r="B820" i="15" s="1"/>
  <c r="B821" i="15" s="1"/>
  <c r="B822" i="15" s="1"/>
  <c r="B823" i="15" s="1"/>
  <c r="B824" i="15" s="1"/>
  <c r="B825" i="15" s="1"/>
  <c r="B826" i="15" s="1"/>
  <c r="B827" i="15" s="1"/>
  <c r="B828" i="15" s="1"/>
  <c r="B829" i="15" s="1"/>
  <c r="B830" i="15" s="1"/>
  <c r="B831" i="15" s="1"/>
  <c r="B832" i="15" s="1"/>
  <c r="B833" i="15" s="1"/>
  <c r="B834" i="15" s="1"/>
  <c r="B835" i="15" s="1"/>
  <c r="B836" i="15" s="1"/>
  <c r="B837" i="15" s="1"/>
  <c r="B838" i="15" s="1"/>
  <c r="B839" i="15" s="1"/>
  <c r="B840" i="15" s="1"/>
  <c r="B841" i="15" s="1"/>
  <c r="B842" i="15" s="1"/>
  <c r="B843" i="15" s="1"/>
  <c r="B844" i="15" s="1"/>
  <c r="B845" i="15" s="1"/>
  <c r="B846" i="15" s="1"/>
  <c r="B847" i="15" s="1"/>
  <c r="B848" i="15" s="1"/>
  <c r="B849" i="15" s="1"/>
  <c r="B850" i="15" s="1"/>
  <c r="B851" i="15" s="1"/>
  <c r="B852" i="15" s="1"/>
  <c r="B853" i="15" s="1"/>
  <c r="B854" i="15" s="1"/>
  <c r="B855" i="15" s="1"/>
  <c r="B856" i="15" s="1"/>
  <c r="B857" i="15" s="1"/>
  <c r="B858" i="15" s="1"/>
  <c r="B859" i="15" s="1"/>
  <c r="B860" i="15" s="1"/>
  <c r="B861" i="15" s="1"/>
  <c r="B862" i="15" s="1"/>
  <c r="B863" i="15" s="1"/>
  <c r="B864" i="15" s="1"/>
  <c r="B865" i="15" s="1"/>
  <c r="B866" i="15" s="1"/>
  <c r="B867" i="15" s="1"/>
  <c r="B868" i="15" s="1"/>
  <c r="B869" i="15" s="1"/>
  <c r="B870" i="15" s="1"/>
  <c r="B871" i="15" s="1"/>
  <c r="B872" i="15" s="1"/>
  <c r="B873" i="15" s="1"/>
  <c r="B874" i="15" s="1"/>
  <c r="B875" i="15" s="1"/>
  <c r="B876" i="15" s="1"/>
  <c r="B877" i="15" s="1"/>
  <c r="B878" i="15" s="1"/>
  <c r="B879" i="15" s="1"/>
  <c r="B880" i="15" s="1"/>
  <c r="B881" i="15" s="1"/>
  <c r="B882" i="15" s="1"/>
  <c r="B883" i="15" s="1"/>
  <c r="B884" i="15" s="1"/>
  <c r="B885" i="15" s="1"/>
  <c r="B886" i="15" s="1"/>
  <c r="B887" i="15" s="1"/>
  <c r="B888" i="15" s="1"/>
  <c r="B889" i="15" s="1"/>
  <c r="B890" i="15" s="1"/>
  <c r="B891" i="15" s="1"/>
  <c r="B892" i="15" s="1"/>
  <c r="B893" i="15" s="1"/>
  <c r="B894" i="15" s="1"/>
  <c r="B895" i="15" s="1"/>
  <c r="B896" i="15" s="1"/>
  <c r="B897" i="15" s="1"/>
  <c r="B898" i="15" s="1"/>
  <c r="B899" i="15" s="1"/>
  <c r="B900" i="15" s="1"/>
  <c r="B901" i="15" s="1"/>
  <c r="B902" i="15" s="1"/>
  <c r="B903" i="15" s="1"/>
  <c r="B904" i="15" s="1"/>
  <c r="B905" i="15" s="1"/>
  <c r="B906" i="15" s="1"/>
  <c r="B907" i="15" s="1"/>
  <c r="B908" i="15" s="1"/>
  <c r="B909" i="15" s="1"/>
  <c r="B910" i="15" s="1"/>
  <c r="B911" i="15" s="1"/>
  <c r="B912" i="15" s="1"/>
  <c r="B913" i="15" s="1"/>
  <c r="B914" i="15" s="1"/>
  <c r="B915" i="15" s="1"/>
  <c r="B916" i="15" s="1"/>
  <c r="B917" i="15" s="1"/>
  <c r="B918" i="15" s="1"/>
  <c r="B919" i="15" s="1"/>
  <c r="B920" i="15" s="1"/>
  <c r="B921" i="15" s="1"/>
  <c r="B922" i="15" s="1"/>
  <c r="B923" i="15" s="1"/>
  <c r="B924" i="15" s="1"/>
  <c r="B925" i="15" s="1"/>
  <c r="B926" i="15" s="1"/>
  <c r="B927" i="15" s="1"/>
  <c r="B928" i="15" s="1"/>
  <c r="B929" i="15" s="1"/>
  <c r="B930" i="15" s="1"/>
  <c r="B931" i="15" s="1"/>
  <c r="B932" i="15" s="1"/>
  <c r="B933" i="15" s="1"/>
  <c r="B934" i="15" s="1"/>
  <c r="B935" i="15" s="1"/>
  <c r="B936" i="15" s="1"/>
  <c r="B937" i="15" s="1"/>
  <c r="B938" i="15" s="1"/>
  <c r="B939" i="15" s="1"/>
  <c r="B940" i="15" s="1"/>
  <c r="B941" i="15" s="1"/>
  <c r="B942" i="15" s="1"/>
  <c r="B943" i="15" s="1"/>
  <c r="B944" i="15" s="1"/>
  <c r="B945" i="15" s="1"/>
  <c r="B946" i="15" s="1"/>
  <c r="B947" i="15" s="1"/>
  <c r="B948" i="15" s="1"/>
  <c r="B949" i="15" s="1"/>
  <c r="B950" i="15" s="1"/>
  <c r="B951" i="15" s="1"/>
  <c r="B952" i="15" s="1"/>
  <c r="B953" i="15" s="1"/>
  <c r="B954" i="15" s="1"/>
  <c r="B955" i="15" s="1"/>
  <c r="B956" i="15" s="1"/>
  <c r="B957" i="15" s="1"/>
  <c r="B958" i="15" s="1"/>
  <c r="B959" i="15" s="1"/>
  <c r="B960" i="15" s="1"/>
  <c r="B961" i="15" s="1"/>
  <c r="B962" i="15" s="1"/>
  <c r="B963" i="15" s="1"/>
  <c r="B964" i="15" s="1"/>
  <c r="B965" i="15" s="1"/>
  <c r="B966" i="15" s="1"/>
  <c r="B967" i="15" s="1"/>
  <c r="B968" i="15" s="1"/>
  <c r="B969" i="15" s="1"/>
  <c r="B970" i="15" s="1"/>
  <c r="B971" i="15" s="1"/>
  <c r="B972" i="15" s="1"/>
  <c r="B973" i="15" s="1"/>
  <c r="B974" i="15" s="1"/>
  <c r="B975" i="15" s="1"/>
  <c r="B976" i="15" s="1"/>
  <c r="B977" i="15" s="1"/>
  <c r="B978" i="15" s="1"/>
  <c r="B979" i="15" s="1"/>
  <c r="B980" i="15" s="1"/>
  <c r="B981" i="15" s="1"/>
  <c r="B982" i="15" s="1"/>
  <c r="B983" i="15" s="1"/>
  <c r="B984" i="15" s="1"/>
  <c r="B985" i="15" s="1"/>
  <c r="B986" i="15" s="1"/>
  <c r="B987" i="15" s="1"/>
  <c r="B988" i="15" s="1"/>
  <c r="B989" i="15" s="1"/>
  <c r="B990" i="15" s="1"/>
  <c r="B991" i="15" s="1"/>
  <c r="B992" i="15" s="1"/>
  <c r="B993" i="15" s="1"/>
  <c r="B994" i="15" s="1"/>
  <c r="B995" i="15" s="1"/>
  <c r="B996" i="15" s="1"/>
  <c r="B997" i="15" s="1"/>
  <c r="B998" i="15" s="1"/>
  <c r="B999" i="15" s="1"/>
  <c r="B1000" i="15" s="1"/>
  <c r="B1001" i="15" s="1"/>
  <c r="B1002" i="15" s="1"/>
  <c r="B1003" i="15" s="1"/>
  <c r="B1004" i="15" s="1"/>
  <c r="B1005" i="15" s="1"/>
  <c r="B1006" i="15" s="1"/>
  <c r="B1007" i="15" s="1"/>
  <c r="B1008" i="15" s="1"/>
  <c r="B1009" i="15" s="1"/>
  <c r="B1010" i="15" s="1"/>
  <c r="B1011" i="15" s="1"/>
  <c r="B1012" i="15" s="1"/>
  <c r="B1013" i="15" s="1"/>
  <c r="B1014" i="15" s="1"/>
  <c r="B1015" i="15" s="1"/>
  <c r="B1016" i="15" s="1"/>
  <c r="B1017" i="15" s="1"/>
  <c r="B1018" i="15" s="1"/>
  <c r="B1019" i="15" s="1"/>
  <c r="B1020" i="15" s="1"/>
  <c r="B1021" i="15" s="1"/>
  <c r="B1022" i="15" s="1"/>
  <c r="B1023" i="15" s="1"/>
  <c r="B1024" i="15" s="1"/>
  <c r="B1025" i="15" s="1"/>
  <c r="B1026" i="15" s="1"/>
  <c r="B1027" i="15" s="1"/>
  <c r="B1028" i="15" s="1"/>
  <c r="B1029" i="15" s="1"/>
  <c r="B1030" i="15" s="1"/>
  <c r="B1031" i="15" s="1"/>
  <c r="B1032" i="15" s="1"/>
  <c r="B1033" i="15" s="1"/>
  <c r="B1034" i="15" s="1"/>
  <c r="B1035" i="15" s="1"/>
  <c r="B1036" i="15" s="1"/>
  <c r="B1037" i="15" s="1"/>
  <c r="B1038" i="15" s="1"/>
  <c r="B1039" i="15" s="1"/>
  <c r="B1040" i="15" s="1"/>
  <c r="B1041" i="15" s="1"/>
  <c r="B1042" i="15" s="1"/>
  <c r="B1043" i="15" s="1"/>
  <c r="B1044" i="15" s="1"/>
  <c r="B1045" i="15" s="1"/>
  <c r="B1046" i="15" s="1"/>
  <c r="B1047" i="15" s="1"/>
  <c r="B1048" i="15" s="1"/>
  <c r="B1049" i="15" s="1"/>
  <c r="B1050" i="15" s="1"/>
  <c r="B1051" i="15" s="1"/>
  <c r="B1052" i="15" s="1"/>
  <c r="B1053" i="15" s="1"/>
  <c r="B1054" i="15" s="1"/>
  <c r="B1055" i="15" s="1"/>
  <c r="B1056" i="15" s="1"/>
  <c r="B1057" i="15" s="1"/>
  <c r="B1058" i="15" s="1"/>
  <c r="B1059" i="15" s="1"/>
  <c r="B1060" i="15" s="1"/>
  <c r="B1061" i="15" s="1"/>
  <c r="B1062" i="15" s="1"/>
  <c r="B1063" i="15" s="1"/>
  <c r="B1064" i="15" s="1"/>
  <c r="B1065" i="15" s="1"/>
  <c r="B1066" i="15" s="1"/>
  <c r="B1067" i="15" s="1"/>
  <c r="B1068" i="15" s="1"/>
  <c r="B1069" i="15" s="1"/>
  <c r="B1070" i="15" s="1"/>
  <c r="B1071" i="15" s="1"/>
  <c r="B1072" i="15" s="1"/>
  <c r="B1073" i="15" s="1"/>
  <c r="B1074" i="15" s="1"/>
  <c r="B1075" i="15" s="1"/>
  <c r="B1076" i="15" s="1"/>
  <c r="B1077" i="15" s="1"/>
  <c r="B1078" i="15" s="1"/>
  <c r="B1079" i="15" s="1"/>
  <c r="B1080" i="15" s="1"/>
  <c r="B1081" i="15" s="1"/>
  <c r="B1082" i="15" s="1"/>
  <c r="B1083" i="15" s="1"/>
  <c r="B1084" i="15" s="1"/>
  <c r="B1085" i="15" s="1"/>
  <c r="B1086" i="15" s="1"/>
  <c r="B1087" i="15" s="1"/>
  <c r="B1088" i="15" s="1"/>
  <c r="B1089" i="15" s="1"/>
  <c r="B1090" i="15" s="1"/>
  <c r="B1091" i="15" s="1"/>
  <c r="B1092" i="15" s="1"/>
  <c r="B1093" i="15" s="1"/>
  <c r="B1094" i="15" s="1"/>
  <c r="B1095" i="15" s="1"/>
  <c r="B1096" i="15" s="1"/>
  <c r="B1097" i="15" s="1"/>
  <c r="B1098" i="15" s="1"/>
  <c r="B1099" i="15" s="1"/>
  <c r="B1100" i="15" s="1"/>
  <c r="B1101" i="15" s="1"/>
  <c r="B1102" i="15" s="1"/>
  <c r="B1103" i="15" s="1"/>
  <c r="B1104" i="15" s="1"/>
  <c r="B1105" i="15" s="1"/>
  <c r="B1106" i="15" s="1"/>
  <c r="B1107" i="15" s="1"/>
  <c r="B1108" i="15" s="1"/>
  <c r="B1109" i="15" s="1"/>
  <c r="B1110" i="15" s="1"/>
  <c r="B1111" i="15" s="1"/>
  <c r="B1112" i="15" s="1"/>
  <c r="B1113" i="15" s="1"/>
  <c r="B1114" i="15" s="1"/>
  <c r="B1115" i="15" s="1"/>
  <c r="B1116" i="15" s="1"/>
  <c r="B1117" i="15" s="1"/>
  <c r="B1118" i="15" s="1"/>
  <c r="B1119" i="15" s="1"/>
  <c r="B1120" i="15" s="1"/>
  <c r="B1121" i="15" s="1"/>
  <c r="B1122" i="15" s="1"/>
  <c r="B1123" i="15" s="1"/>
  <c r="B1124" i="15" s="1"/>
  <c r="B1125" i="15" s="1"/>
  <c r="B1126" i="15" s="1"/>
  <c r="B1127" i="15" s="1"/>
  <c r="B1128" i="15" s="1"/>
  <c r="B1129" i="15" s="1"/>
  <c r="B1130" i="15" s="1"/>
  <c r="B1131" i="15" s="1"/>
  <c r="B1132" i="15" s="1"/>
  <c r="B1133" i="15" s="1"/>
  <c r="B1134" i="15" s="1"/>
  <c r="B1135" i="15" s="1"/>
  <c r="B1136" i="15" s="1"/>
  <c r="B1137" i="15" s="1"/>
  <c r="B1138" i="15" s="1"/>
  <c r="B1139" i="15" s="1"/>
  <c r="B1140" i="15" s="1"/>
  <c r="B1141" i="15" s="1"/>
  <c r="B1142" i="15" s="1"/>
  <c r="B1143" i="15" s="1"/>
  <c r="B1144" i="15" s="1"/>
  <c r="B1145" i="15" s="1"/>
  <c r="B1146" i="15" s="1"/>
  <c r="B1147" i="15" s="1"/>
  <c r="B1148" i="15" s="1"/>
  <c r="B1149" i="15" s="1"/>
  <c r="B1150" i="15" s="1"/>
  <c r="B1151" i="15" s="1"/>
  <c r="B1152" i="15" s="1"/>
  <c r="B1153" i="15" s="1"/>
  <c r="B1154" i="15" s="1"/>
  <c r="B1155" i="15" s="1"/>
  <c r="B1156" i="15" s="1"/>
  <c r="B1157" i="15" s="1"/>
  <c r="B1158" i="15" s="1"/>
  <c r="B1159" i="15" s="1"/>
  <c r="B1160" i="15" s="1"/>
  <c r="B1161" i="15" s="1"/>
  <c r="B1162" i="15" s="1"/>
  <c r="B1163" i="15" s="1"/>
  <c r="B1164" i="15" s="1"/>
  <c r="B1165" i="15" s="1"/>
  <c r="B1166" i="15" s="1"/>
  <c r="B1167" i="15" s="1"/>
  <c r="B1168" i="15" s="1"/>
  <c r="B1169" i="15" s="1"/>
  <c r="B1170" i="15" s="1"/>
  <c r="B1171" i="15" s="1"/>
  <c r="B1172" i="15" s="1"/>
  <c r="B1173" i="15" s="1"/>
  <c r="B1174" i="15" s="1"/>
  <c r="B1175" i="15" s="1"/>
  <c r="B1176" i="15" s="1"/>
  <c r="B1177" i="15" s="1"/>
  <c r="B1178" i="15" s="1"/>
  <c r="B1179" i="15" s="1"/>
  <c r="B1180" i="15" s="1"/>
  <c r="B1181" i="15" s="1"/>
  <c r="B1182" i="15" s="1"/>
  <c r="B1183" i="15" s="1"/>
  <c r="B1184" i="15" s="1"/>
  <c r="B1185" i="15" s="1"/>
  <c r="B1186" i="15" s="1"/>
  <c r="B1187" i="15" s="1"/>
  <c r="B1188" i="15" s="1"/>
  <c r="B1189" i="15" s="1"/>
  <c r="B1190" i="15" s="1"/>
  <c r="B1191" i="15" s="1"/>
  <c r="B1192" i="15" s="1"/>
  <c r="B1193" i="15" s="1"/>
  <c r="B1194" i="15" s="1"/>
  <c r="B1195" i="15" s="1"/>
  <c r="B1196" i="15" s="1"/>
  <c r="B1197" i="15" s="1"/>
  <c r="B1198" i="15" s="1"/>
  <c r="B1199" i="15" s="1"/>
  <c r="B1200" i="15" s="1"/>
  <c r="B1201" i="15" s="1"/>
  <c r="B1202" i="15" s="1"/>
  <c r="B1203" i="15" s="1"/>
  <c r="B1204" i="15" s="1"/>
  <c r="B1205" i="15" s="1"/>
  <c r="B1206" i="15" s="1"/>
  <c r="B1207" i="15" s="1"/>
  <c r="B1208" i="15" s="1"/>
  <c r="B1209" i="15" s="1"/>
  <c r="B1210" i="15" s="1"/>
  <c r="B1211" i="15" s="1"/>
  <c r="B1212" i="15" s="1"/>
  <c r="B1213" i="15" s="1"/>
  <c r="B1214" i="15" s="1"/>
  <c r="B1215" i="15" s="1"/>
  <c r="B1216" i="15" s="1"/>
  <c r="B1217" i="15" s="1"/>
  <c r="B1218" i="15" s="1"/>
  <c r="B1219" i="15" s="1"/>
  <c r="B1220" i="15" s="1"/>
  <c r="B1221" i="15" s="1"/>
  <c r="B1222" i="15" s="1"/>
  <c r="B1223" i="15" s="1"/>
  <c r="B1224" i="15" s="1"/>
  <c r="B1225" i="15" s="1"/>
  <c r="B1226" i="15" s="1"/>
  <c r="B1227" i="15" s="1"/>
  <c r="B1228" i="15" s="1"/>
  <c r="B1229" i="15" s="1"/>
  <c r="B1230" i="15" s="1"/>
  <c r="B1231" i="15" s="1"/>
  <c r="B1232" i="15" s="1"/>
  <c r="B1233" i="15" s="1"/>
  <c r="B1234" i="15" s="1"/>
  <c r="B1235" i="15" s="1"/>
  <c r="B1236" i="15" s="1"/>
  <c r="B1237" i="15" s="1"/>
  <c r="B1238" i="15" s="1"/>
  <c r="B1239" i="15" s="1"/>
  <c r="B1240" i="15" s="1"/>
  <c r="B1241" i="15" s="1"/>
  <c r="B1242" i="15" s="1"/>
  <c r="B1243" i="15" s="1"/>
  <c r="B1244" i="15" s="1"/>
  <c r="B1245" i="15" s="1"/>
  <c r="B1246" i="15" s="1"/>
  <c r="B1247" i="15" s="1"/>
  <c r="B1248" i="15" s="1"/>
  <c r="B1249" i="15" s="1"/>
  <c r="B1250" i="15" s="1"/>
  <c r="B1251" i="15" s="1"/>
  <c r="B1252" i="15" s="1"/>
  <c r="B1253" i="15" s="1"/>
  <c r="B1254" i="15" s="1"/>
  <c r="B1255" i="15" s="1"/>
  <c r="B1256" i="15" s="1"/>
  <c r="B1257" i="15" s="1"/>
  <c r="B1258" i="15" s="1"/>
  <c r="B1259" i="15" s="1"/>
  <c r="B1260" i="15" s="1"/>
  <c r="B1261" i="15" s="1"/>
  <c r="B1262" i="15" s="1"/>
  <c r="B1263" i="15" s="1"/>
  <c r="B1264" i="15" s="1"/>
  <c r="B1265" i="15" s="1"/>
  <c r="B1266" i="15" s="1"/>
  <c r="B1267" i="15" s="1"/>
  <c r="B1268" i="15" s="1"/>
  <c r="B1269" i="15" s="1"/>
  <c r="B1270" i="15" s="1"/>
  <c r="B1271" i="15" s="1"/>
  <c r="B1272" i="15" s="1"/>
  <c r="B1273" i="15" s="1"/>
  <c r="B1274" i="15" s="1"/>
  <c r="B1275" i="15" s="1"/>
  <c r="B1276" i="15" s="1"/>
  <c r="B1277" i="15" s="1"/>
  <c r="B1278" i="15" s="1"/>
  <c r="B1279" i="15" s="1"/>
  <c r="B1280" i="15" s="1"/>
  <c r="B1281" i="15" s="1"/>
  <c r="B1282" i="15" s="1"/>
  <c r="B1283" i="15" s="1"/>
  <c r="B1284" i="15" s="1"/>
  <c r="B1285" i="15" s="1"/>
  <c r="B1286" i="15" s="1"/>
  <c r="B1287" i="15" s="1"/>
  <c r="B1288" i="15" s="1"/>
  <c r="B1289" i="15" s="1"/>
  <c r="B1290" i="15" s="1"/>
  <c r="B1291" i="15" s="1"/>
  <c r="B1292" i="15" s="1"/>
  <c r="B1293" i="15" s="1"/>
  <c r="B1294" i="15" s="1"/>
  <c r="B1295" i="15" s="1"/>
  <c r="B1296" i="15" s="1"/>
  <c r="B1297" i="15" s="1"/>
  <c r="B1298" i="15" s="1"/>
  <c r="B1299" i="15" s="1"/>
  <c r="B1300" i="15" s="1"/>
  <c r="B1301" i="15" s="1"/>
  <c r="B1302" i="15" s="1"/>
  <c r="B1303" i="15" s="1"/>
  <c r="B1304" i="15" s="1"/>
  <c r="B1305" i="15" s="1"/>
  <c r="B1306" i="15" s="1"/>
  <c r="B1307" i="15" s="1"/>
  <c r="B1308" i="15" s="1"/>
  <c r="B1309" i="15" s="1"/>
  <c r="B1310" i="15" s="1"/>
  <c r="B1311" i="15" s="1"/>
  <c r="B1312" i="15" s="1"/>
  <c r="B1313" i="15" s="1"/>
  <c r="B1314" i="15" s="1"/>
  <c r="B1315" i="15" s="1"/>
  <c r="B1316" i="15" s="1"/>
  <c r="B1317" i="15" s="1"/>
  <c r="B1318" i="15" s="1"/>
  <c r="B1319" i="15" s="1"/>
  <c r="B1320" i="15" s="1"/>
  <c r="B1321" i="15" s="1"/>
  <c r="B1322" i="15" s="1"/>
  <c r="B1323" i="15" s="1"/>
  <c r="B1324" i="15" s="1"/>
  <c r="B1325" i="15" s="1"/>
  <c r="B1326" i="15" s="1"/>
  <c r="B1327" i="15" s="1"/>
  <c r="B1328" i="15" s="1"/>
  <c r="B1329" i="15" s="1"/>
  <c r="B1330" i="15" s="1"/>
  <c r="B1331" i="15" s="1"/>
  <c r="B1332" i="15" s="1"/>
  <c r="B1333" i="15" s="1"/>
  <c r="B1334" i="15" s="1"/>
  <c r="B1335" i="15" s="1"/>
  <c r="B1336" i="15" s="1"/>
  <c r="B1337" i="15" s="1"/>
  <c r="B1338" i="15" s="1"/>
  <c r="B1339" i="15" s="1"/>
  <c r="B1340" i="15" s="1"/>
  <c r="B1341" i="15" s="1"/>
  <c r="B1342" i="15" s="1"/>
  <c r="B1343" i="15" s="1"/>
  <c r="B1344" i="15" s="1"/>
  <c r="B1345" i="15" s="1"/>
  <c r="B1346" i="15" s="1"/>
  <c r="B1347" i="15" s="1"/>
  <c r="B1348" i="15" s="1"/>
  <c r="B1349" i="15" s="1"/>
  <c r="B1350" i="15" s="1"/>
  <c r="B1351" i="15" s="1"/>
  <c r="B1352" i="15" s="1"/>
  <c r="B1353" i="15" s="1"/>
  <c r="B1354" i="15" s="1"/>
  <c r="B1355" i="15" s="1"/>
  <c r="B1356" i="15" s="1"/>
  <c r="B1357" i="15" s="1"/>
  <c r="B1358" i="15" s="1"/>
  <c r="B1359" i="15" s="1"/>
  <c r="B1360" i="15" s="1"/>
  <c r="B1361" i="15" s="1"/>
  <c r="B1362" i="15" s="1"/>
  <c r="B1363" i="15" s="1"/>
  <c r="B1364" i="15" s="1"/>
  <c r="B1365" i="15" s="1"/>
  <c r="B1366" i="15" s="1"/>
  <c r="B1367" i="15" s="1"/>
  <c r="B1368" i="15" s="1"/>
  <c r="B1369" i="15" s="1"/>
  <c r="B1370" i="15" s="1"/>
  <c r="B1371" i="15" s="1"/>
  <c r="B1372" i="15" s="1"/>
  <c r="B1373" i="15" s="1"/>
  <c r="B1374" i="15" s="1"/>
  <c r="B1375" i="15" s="1"/>
  <c r="B1376" i="15" s="1"/>
  <c r="B1377" i="15" s="1"/>
  <c r="B1378" i="15" s="1"/>
  <c r="B1379" i="15" s="1"/>
  <c r="B1380" i="15" s="1"/>
  <c r="B1381" i="15" s="1"/>
  <c r="B1382" i="15" s="1"/>
  <c r="B1383" i="15" s="1"/>
  <c r="B1384" i="15" s="1"/>
  <c r="B1385" i="15" s="1"/>
  <c r="B1386" i="15" s="1"/>
  <c r="B1387" i="15" s="1"/>
  <c r="B1388" i="15" s="1"/>
  <c r="B1389" i="15" s="1"/>
  <c r="B1390" i="15" s="1"/>
  <c r="B1391" i="15" s="1"/>
  <c r="B1392" i="15" s="1"/>
  <c r="B1393" i="15" s="1"/>
  <c r="B1394" i="15" s="1"/>
  <c r="B1395" i="15" s="1"/>
  <c r="B1396" i="15" s="1"/>
  <c r="B1397" i="15" s="1"/>
  <c r="B1398" i="15" s="1"/>
  <c r="B1399" i="15" s="1"/>
  <c r="B1400" i="15" s="1"/>
  <c r="B1401" i="15" s="1"/>
  <c r="B1402" i="15" s="1"/>
  <c r="B1403" i="15" s="1"/>
  <c r="B1404" i="15" s="1"/>
  <c r="B1405" i="15" s="1"/>
  <c r="B1406" i="15" s="1"/>
  <c r="B1407" i="15" s="1"/>
  <c r="B1408" i="15" s="1"/>
  <c r="B1409" i="15" s="1"/>
  <c r="B1410" i="15" s="1"/>
  <c r="B1411" i="15" s="1"/>
  <c r="B1412" i="15" s="1"/>
  <c r="B1413" i="15" s="1"/>
  <c r="B1414" i="15" s="1"/>
  <c r="B1415" i="15" s="1"/>
  <c r="B1416" i="15" s="1"/>
  <c r="B1417" i="15" s="1"/>
  <c r="B1418" i="15" s="1"/>
  <c r="B1419" i="15" s="1"/>
  <c r="B1420" i="15" s="1"/>
  <c r="B1421" i="15" s="1"/>
  <c r="B1422" i="15" s="1"/>
  <c r="B1423" i="15" s="1"/>
  <c r="B1424" i="15" s="1"/>
  <c r="B1425" i="15" s="1"/>
  <c r="B1426" i="15" s="1"/>
  <c r="B1427" i="15" s="1"/>
  <c r="B1428" i="15" s="1"/>
  <c r="B1429" i="15" s="1"/>
  <c r="B1430" i="15" s="1"/>
  <c r="B1431" i="15" s="1"/>
  <c r="B1432" i="15" s="1"/>
  <c r="B1433" i="15" s="1"/>
  <c r="B1434" i="15" s="1"/>
  <c r="B1435" i="15" s="1"/>
  <c r="B1436" i="15" s="1"/>
  <c r="B1437" i="15" s="1"/>
  <c r="B1438" i="15" s="1"/>
  <c r="B1439" i="15" s="1"/>
  <c r="B1440" i="15" s="1"/>
  <c r="B1441" i="15" s="1"/>
  <c r="B1442" i="15" s="1"/>
  <c r="B1443" i="15" s="1"/>
  <c r="B1444" i="15" s="1"/>
  <c r="B1445" i="15" s="1"/>
  <c r="B1446" i="15" s="1"/>
  <c r="B1447" i="15" s="1"/>
  <c r="B1448" i="15" s="1"/>
  <c r="B1449" i="15" s="1"/>
  <c r="B1450" i="15" s="1"/>
  <c r="B1451" i="15" s="1"/>
  <c r="B1452" i="15" s="1"/>
  <c r="B1453" i="15" s="1"/>
  <c r="B1454" i="15" s="1"/>
  <c r="B1455" i="15" s="1"/>
  <c r="B1456" i="15" s="1"/>
  <c r="B1457" i="15" s="1"/>
  <c r="B1458" i="15" s="1"/>
  <c r="B1459" i="15" s="1"/>
  <c r="B1460" i="15" s="1"/>
  <c r="B1461" i="15" s="1"/>
  <c r="B1462" i="15" s="1"/>
  <c r="B1463" i="15" s="1"/>
  <c r="B1464" i="15" s="1"/>
  <c r="B1465" i="15" s="1"/>
  <c r="B1466" i="15" s="1"/>
  <c r="B1467" i="15" s="1"/>
  <c r="B1468" i="15" s="1"/>
  <c r="B1469" i="15" s="1"/>
  <c r="B1470" i="15" s="1"/>
  <c r="B1471" i="15" s="1"/>
  <c r="B1472" i="15" s="1"/>
  <c r="B1473" i="15" s="1"/>
  <c r="B1474" i="15" s="1"/>
  <c r="B1475" i="15" s="1"/>
  <c r="B1476" i="15" s="1"/>
  <c r="B1477" i="15" s="1"/>
  <c r="B1478" i="15" s="1"/>
  <c r="B1479" i="15" s="1"/>
  <c r="B1480" i="15" s="1"/>
  <c r="B1481" i="15" s="1"/>
  <c r="B1482" i="15" s="1"/>
  <c r="B1483" i="15" s="1"/>
  <c r="B1484" i="15" s="1"/>
  <c r="B1485" i="15" s="1"/>
  <c r="B1486" i="15" s="1"/>
  <c r="B1487" i="15" s="1"/>
  <c r="B1488" i="15" s="1"/>
  <c r="B1489" i="15" s="1"/>
  <c r="B1490" i="15" s="1"/>
  <c r="B1491" i="15" s="1"/>
  <c r="B1492" i="15" s="1"/>
  <c r="B1493" i="15" s="1"/>
  <c r="B1494" i="15" s="1"/>
  <c r="B1495" i="15" s="1"/>
  <c r="B1496" i="15" s="1"/>
  <c r="B1497" i="15" s="1"/>
  <c r="B1498" i="15" s="1"/>
  <c r="B1499" i="15" s="1"/>
  <c r="B1500" i="15" s="1"/>
  <c r="B1501" i="15" s="1"/>
  <c r="B1502" i="15" s="1"/>
  <c r="B1503" i="15" s="1"/>
  <c r="B1504" i="15" s="1"/>
  <c r="B1505" i="15" s="1"/>
  <c r="B1506" i="15" s="1"/>
  <c r="B1507" i="15" s="1"/>
  <c r="B1508" i="15" s="1"/>
  <c r="B1509" i="15" s="1"/>
  <c r="B1510" i="15" s="1"/>
  <c r="B1511" i="15" s="1"/>
  <c r="B1512" i="15" s="1"/>
  <c r="B1513" i="15" s="1"/>
  <c r="B1514" i="15" s="1"/>
  <c r="B1515" i="15" s="1"/>
  <c r="B1516" i="15" s="1"/>
  <c r="B1517" i="15" s="1"/>
  <c r="B1518" i="15" s="1"/>
  <c r="B1519" i="15" s="1"/>
  <c r="B1520" i="15" s="1"/>
  <c r="B1521" i="15" s="1"/>
  <c r="B1522" i="15" s="1"/>
  <c r="B1523" i="15" s="1"/>
  <c r="B1524" i="15" s="1"/>
  <c r="B1525" i="15" s="1"/>
  <c r="B1526" i="15" s="1"/>
  <c r="B1527" i="15" s="1"/>
  <c r="B1528" i="15" s="1"/>
  <c r="B1529" i="15" s="1"/>
  <c r="B1530" i="15" s="1"/>
  <c r="B1531" i="15" s="1"/>
  <c r="B1532" i="15" s="1"/>
  <c r="B1533" i="15" s="1"/>
  <c r="B1534" i="15" s="1"/>
  <c r="B1535" i="15" s="1"/>
  <c r="B1536" i="15" s="1"/>
  <c r="B1537" i="15" s="1"/>
  <c r="B1538" i="15" s="1"/>
  <c r="B1539" i="15" s="1"/>
  <c r="B1540" i="15" s="1"/>
  <c r="B1541" i="15" s="1"/>
  <c r="B1542" i="15" s="1"/>
  <c r="B1543" i="15" s="1"/>
  <c r="B1544" i="15" s="1"/>
  <c r="B1545" i="15" s="1"/>
  <c r="B1546" i="15" s="1"/>
  <c r="B1547" i="15" s="1"/>
  <c r="B1548" i="15" s="1"/>
  <c r="B1549" i="15" s="1"/>
  <c r="B1550" i="15" s="1"/>
  <c r="B1551" i="15" s="1"/>
  <c r="B1552" i="15" s="1"/>
  <c r="B1553" i="15" s="1"/>
  <c r="B1554" i="15" s="1"/>
  <c r="B1555" i="15" s="1"/>
  <c r="B1556" i="15" s="1"/>
  <c r="B1557" i="15" s="1"/>
  <c r="B1558" i="15" s="1"/>
  <c r="B1559" i="15" s="1"/>
  <c r="B1560" i="15" s="1"/>
  <c r="B1561" i="15" s="1"/>
  <c r="B1562" i="15" s="1"/>
  <c r="B1563" i="15" s="1"/>
  <c r="B1564" i="15" s="1"/>
  <c r="B1565" i="15" s="1"/>
  <c r="B1566" i="15" s="1"/>
  <c r="B1567" i="15" s="1"/>
  <c r="B1568" i="15" s="1"/>
  <c r="B1569" i="15" s="1"/>
  <c r="B1570" i="15" s="1"/>
  <c r="B1571" i="15" s="1"/>
  <c r="B1572" i="15" s="1"/>
  <c r="B1573" i="15" s="1"/>
  <c r="B1574" i="15" s="1"/>
  <c r="B1575" i="15" s="1"/>
  <c r="B1576" i="15" s="1"/>
  <c r="B1577" i="15" s="1"/>
  <c r="B1578" i="15" s="1"/>
  <c r="B1579" i="15" s="1"/>
  <c r="B1580" i="15" s="1"/>
  <c r="B1581" i="15" s="1"/>
  <c r="B1582" i="15" s="1"/>
  <c r="B1583" i="15" s="1"/>
  <c r="B1584" i="15" s="1"/>
  <c r="B1585" i="15" s="1"/>
  <c r="B1586" i="15" s="1"/>
  <c r="B1587" i="15" s="1"/>
  <c r="B1588" i="15" s="1"/>
  <c r="B1589" i="15" s="1"/>
  <c r="B1590" i="15" s="1"/>
  <c r="B1591" i="15" s="1"/>
  <c r="B1592" i="15" s="1"/>
  <c r="B1593" i="15" s="1"/>
  <c r="B1594" i="15" s="1"/>
  <c r="B1595" i="15" s="1"/>
  <c r="B1596" i="15" s="1"/>
  <c r="B1597" i="15" s="1"/>
  <c r="B1598" i="15" s="1"/>
  <c r="B1599" i="15" s="1"/>
  <c r="B1600" i="15" s="1"/>
  <c r="B1601" i="15" s="1"/>
  <c r="B1602" i="15" s="1"/>
  <c r="B1603" i="15" s="1"/>
  <c r="B1604" i="15" s="1"/>
  <c r="B1605" i="15" s="1"/>
  <c r="B1606" i="15" s="1"/>
  <c r="B1607" i="15" s="1"/>
  <c r="B1608" i="15" s="1"/>
  <c r="B1609" i="15" s="1"/>
  <c r="B1610" i="15" s="1"/>
  <c r="B1611" i="15" s="1"/>
  <c r="B1612" i="15" s="1"/>
  <c r="B1613" i="15" s="1"/>
  <c r="B1614" i="15" s="1"/>
  <c r="B1615" i="15" s="1"/>
  <c r="B1616" i="15" s="1"/>
  <c r="B1617" i="15" s="1"/>
  <c r="B1618" i="15" s="1"/>
  <c r="B1619" i="15" s="1"/>
  <c r="B1620" i="15" s="1"/>
  <c r="B1621" i="15" s="1"/>
  <c r="B1622" i="15" s="1"/>
  <c r="B1623" i="15" s="1"/>
  <c r="B1624" i="15" s="1"/>
  <c r="B1625" i="15" s="1"/>
  <c r="B1626" i="15" s="1"/>
  <c r="B1627" i="15" s="1"/>
  <c r="B1628" i="15" s="1"/>
  <c r="B1629" i="15" s="1"/>
  <c r="B1630" i="15" s="1"/>
  <c r="B1631" i="15" s="1"/>
  <c r="B1632" i="15" s="1"/>
  <c r="B1633" i="15" s="1"/>
  <c r="B1634" i="15" s="1"/>
  <c r="B1635" i="15" s="1"/>
  <c r="B1636" i="15" s="1"/>
  <c r="B1637" i="15" s="1"/>
  <c r="B1638" i="15" s="1"/>
  <c r="B1639" i="15" s="1"/>
  <c r="B1640" i="15" s="1"/>
  <c r="B1641" i="15" s="1"/>
  <c r="B1642" i="15" s="1"/>
  <c r="B1643" i="15" s="1"/>
  <c r="B1644" i="15" s="1"/>
  <c r="B1645" i="15" s="1"/>
  <c r="B1646" i="15" s="1"/>
  <c r="B1647" i="15" s="1"/>
  <c r="B1648" i="15" s="1"/>
  <c r="B1649" i="15" s="1"/>
  <c r="B1650" i="15" s="1"/>
  <c r="B1651" i="15" s="1"/>
  <c r="B1652" i="15" s="1"/>
  <c r="B1653" i="15" s="1"/>
  <c r="B1654" i="15" s="1"/>
  <c r="B1655" i="15" s="1"/>
  <c r="B1656" i="15" s="1"/>
  <c r="B1657" i="15" s="1"/>
  <c r="B1658" i="15" s="1"/>
  <c r="B1659" i="15" s="1"/>
  <c r="B1660" i="15" s="1"/>
  <c r="B1661" i="15" s="1"/>
  <c r="B1662" i="15" s="1"/>
  <c r="B1663" i="15" s="1"/>
  <c r="B1664" i="15" s="1"/>
  <c r="B1665" i="15" s="1"/>
  <c r="B1666" i="15" s="1"/>
  <c r="B1667" i="15" s="1"/>
  <c r="B1668" i="15" s="1"/>
  <c r="B1669" i="15" s="1"/>
  <c r="B1670" i="15" s="1"/>
  <c r="B1671" i="15" s="1"/>
  <c r="B1672" i="15" s="1"/>
  <c r="B1673" i="15" s="1"/>
  <c r="B1674" i="15" s="1"/>
  <c r="B1675" i="15" s="1"/>
  <c r="B1676" i="15" s="1"/>
  <c r="B1677" i="15" s="1"/>
  <c r="W7" i="13"/>
  <c r="T7" i="13"/>
  <c r="H10" i="13"/>
  <c r="Q7" i="13"/>
  <c r="N7" i="13"/>
  <c r="AD9" i="7" l="1"/>
  <c r="AA14" i="7"/>
  <c r="X9" i="7"/>
  <c r="U14" i="7"/>
  <c r="H13" i="13" a="1"/>
  <c r="H18" i="13" l="1"/>
  <c r="H31" i="13"/>
  <c r="H17" i="13"/>
  <c r="H29" i="13"/>
  <c r="H32" i="13"/>
  <c r="H21" i="13"/>
  <c r="H28" i="13"/>
  <c r="H16" i="13"/>
  <c r="H25" i="13"/>
  <c r="H19" i="13"/>
  <c r="H30" i="13"/>
  <c r="H13" i="13"/>
  <c r="H27" i="13"/>
  <c r="H24" i="13"/>
  <c r="H23" i="13"/>
  <c r="H15" i="13"/>
  <c r="H22" i="13"/>
  <c r="H14" i="13"/>
  <c r="H26" i="13"/>
  <c r="H20" i="13"/>
  <c r="E118" i="3" a="1"/>
  <c r="I117" i="3" a="1"/>
  <c r="E202" i="3" a="1"/>
  <c r="I201" i="3" a="1"/>
  <c r="E160" i="3" a="1"/>
  <c r="E244" i="3" a="1"/>
  <c r="I243" i="3" a="1"/>
  <c r="E9" i="3" a="1"/>
  <c r="I8" i="3" a="1"/>
  <c r="E51" i="3" a="1"/>
  <c r="Y10" i="17"/>
  <c r="Y11" i="17"/>
  <c r="L17" i="19"/>
  <c r="H17" i="19"/>
  <c r="I17" i="19" a="1"/>
  <c r="M17" i="19" a="1"/>
  <c r="X20" i="19"/>
  <c r="X18" i="19"/>
  <c r="Y18" i="19"/>
  <c r="O19" i="1" a="1"/>
  <c r="O20" i="14" a="1"/>
  <c r="G11" i="7"/>
  <c r="L17" i="16"/>
  <c r="H17" i="16"/>
  <c r="X20" i="16"/>
  <c r="Y18" i="16"/>
  <c r="L43" i="16"/>
  <c r="H43" i="16"/>
  <c r="F6" i="3" l="1"/>
  <c r="R17" i="16"/>
  <c r="F48" i="3"/>
  <c r="R15" i="16"/>
  <c r="G10" i="13"/>
  <c r="G90" i="3"/>
  <c r="U12" i="7"/>
  <c r="T12" i="7" s="1"/>
  <c r="O54" i="14"/>
  <c r="O38" i="14"/>
  <c r="O22" i="14"/>
  <c r="O41" i="14"/>
  <c r="O25" i="14"/>
  <c r="O44" i="14"/>
  <c r="O28" i="14"/>
  <c r="O51" i="14"/>
  <c r="O35" i="14"/>
  <c r="O42" i="14"/>
  <c r="O26" i="14"/>
  <c r="O48" i="14"/>
  <c r="O32" i="14"/>
  <c r="O23" i="14"/>
  <c r="O50" i="14"/>
  <c r="O34" i="14"/>
  <c r="O53" i="14"/>
  <c r="O37" i="14"/>
  <c r="O21" i="14"/>
  <c r="O40" i="14"/>
  <c r="O24" i="14"/>
  <c r="O47" i="14"/>
  <c r="O31" i="14"/>
  <c r="O29" i="14"/>
  <c r="O39" i="14"/>
  <c r="O46" i="14"/>
  <c r="O30" i="14"/>
  <c r="O49" i="14"/>
  <c r="O33" i="14"/>
  <c r="O52" i="14"/>
  <c r="O36" i="14"/>
  <c r="O20" i="14"/>
  <c r="O43" i="14"/>
  <c r="O27" i="14"/>
  <c r="O45" i="14"/>
  <c r="O55" i="14"/>
  <c r="O48" i="1"/>
  <c r="O32" i="1"/>
  <c r="O53" i="1"/>
  <c r="O37" i="1"/>
  <c r="O21" i="1"/>
  <c r="O43" i="1"/>
  <c r="O27" i="1"/>
  <c r="O50" i="1"/>
  <c r="O34" i="1"/>
  <c r="O40" i="1"/>
  <c r="O24" i="1"/>
  <c r="O45" i="1"/>
  <c r="O29" i="1"/>
  <c r="O51" i="1"/>
  <c r="O35" i="1"/>
  <c r="O19" i="1"/>
  <c r="O42" i="1"/>
  <c r="O44" i="1"/>
  <c r="O28" i="1"/>
  <c r="O49" i="1"/>
  <c r="O33" i="1"/>
  <c r="O55" i="1"/>
  <c r="O39" i="1"/>
  <c r="O23" i="1"/>
  <c r="O46" i="1"/>
  <c r="O30" i="1"/>
  <c r="O52" i="1"/>
  <c r="O36" i="1"/>
  <c r="O20" i="1"/>
  <c r="O41" i="1"/>
  <c r="O25" i="1"/>
  <c r="O47" i="1"/>
  <c r="O31" i="1"/>
  <c r="O54" i="1"/>
  <c r="O38" i="1"/>
  <c r="O22" i="1"/>
  <c r="O26" i="1"/>
  <c r="M17" i="19"/>
  <c r="S15" i="19" s="1"/>
  <c r="I17" i="19"/>
  <c r="S17" i="19" s="1"/>
  <c r="R17" i="19"/>
  <c r="R15" i="19"/>
  <c r="E57" i="3"/>
  <c r="E73" i="3"/>
  <c r="E55" i="3"/>
  <c r="E87" i="3"/>
  <c r="E66" i="3"/>
  <c r="E82" i="3"/>
  <c r="E67" i="3"/>
  <c r="E52" i="3"/>
  <c r="E72" i="3"/>
  <c r="E61" i="3"/>
  <c r="E77" i="3"/>
  <c r="E63" i="3"/>
  <c r="E54" i="3"/>
  <c r="E70" i="3"/>
  <c r="E86" i="3"/>
  <c r="E75" i="3"/>
  <c r="E68" i="3"/>
  <c r="E60" i="3"/>
  <c r="E65" i="3"/>
  <c r="E81" i="3"/>
  <c r="E71" i="3"/>
  <c r="E58" i="3"/>
  <c r="E74" i="3"/>
  <c r="E51" i="3"/>
  <c r="E83" i="3"/>
  <c r="E84" i="3"/>
  <c r="E76" i="3"/>
  <c r="E53" i="3"/>
  <c r="E69" i="3"/>
  <c r="E85" i="3"/>
  <c r="E79" i="3"/>
  <c r="E62" i="3"/>
  <c r="E78" i="3"/>
  <c r="E59" i="3"/>
  <c r="E80" i="3"/>
  <c r="E56" i="3"/>
  <c r="E64" i="3"/>
  <c r="I15" i="3"/>
  <c r="I31" i="3"/>
  <c r="I9" i="3"/>
  <c r="I37" i="3"/>
  <c r="I16" i="3"/>
  <c r="I32" i="3"/>
  <c r="I13" i="3"/>
  <c r="I26" i="3"/>
  <c r="I38" i="3"/>
  <c r="I30" i="3"/>
  <c r="I19" i="3"/>
  <c r="I35" i="3"/>
  <c r="I17" i="3"/>
  <c r="I45" i="3"/>
  <c r="I20" i="3"/>
  <c r="I36" i="3"/>
  <c r="I25" i="3"/>
  <c r="I18" i="3"/>
  <c r="I10" i="3"/>
  <c r="I11" i="3"/>
  <c r="I27" i="3"/>
  <c r="I43" i="3"/>
  <c r="I29" i="3"/>
  <c r="I12" i="3"/>
  <c r="I28" i="3"/>
  <c r="I44" i="3"/>
  <c r="I41" i="3"/>
  <c r="I22" i="3"/>
  <c r="I14" i="3"/>
  <c r="I23" i="3"/>
  <c r="I39" i="3"/>
  <c r="I21" i="3"/>
  <c r="I8" i="3"/>
  <c r="I24" i="3"/>
  <c r="I40" i="3"/>
  <c r="I33" i="3"/>
  <c r="I34" i="3"/>
  <c r="I42" i="3"/>
  <c r="E21" i="3"/>
  <c r="E37" i="3"/>
  <c r="E27" i="3"/>
  <c r="E22" i="3"/>
  <c r="E38" i="3"/>
  <c r="E23" i="3"/>
  <c r="E35" i="3"/>
  <c r="E44" i="3"/>
  <c r="E16" i="3"/>
  <c r="E9" i="3"/>
  <c r="E25" i="3"/>
  <c r="E41" i="3"/>
  <c r="E10" i="3"/>
  <c r="E26" i="3"/>
  <c r="E42" i="3"/>
  <c r="E31" i="3"/>
  <c r="E43" i="3"/>
  <c r="E12" i="3"/>
  <c r="E40" i="3"/>
  <c r="E17" i="3"/>
  <c r="E33" i="3"/>
  <c r="E19" i="3"/>
  <c r="E18" i="3"/>
  <c r="E34" i="3"/>
  <c r="E15" i="3"/>
  <c r="E20" i="3"/>
  <c r="E36" i="3"/>
  <c r="E39" i="3"/>
  <c r="E13" i="3"/>
  <c r="E29" i="3"/>
  <c r="E45" i="3"/>
  <c r="E14" i="3"/>
  <c r="E30" i="3"/>
  <c r="E11" i="3"/>
  <c r="E32" i="3"/>
  <c r="E24" i="3"/>
  <c r="E28" i="3"/>
  <c r="I249" i="3"/>
  <c r="I265" i="3"/>
  <c r="I247" i="3"/>
  <c r="I279" i="3"/>
  <c r="I258" i="3"/>
  <c r="I274" i="3"/>
  <c r="I259" i="3"/>
  <c r="I256" i="3"/>
  <c r="I276" i="3"/>
  <c r="I268" i="3"/>
  <c r="I253" i="3"/>
  <c r="I269" i="3"/>
  <c r="I255" i="3"/>
  <c r="I246" i="3"/>
  <c r="I262" i="3"/>
  <c r="I278" i="3"/>
  <c r="I267" i="3"/>
  <c r="I272" i="3"/>
  <c r="I248" i="3"/>
  <c r="I260" i="3"/>
  <c r="I257" i="3"/>
  <c r="I273" i="3"/>
  <c r="I263" i="3"/>
  <c r="I250" i="3"/>
  <c r="I266" i="3"/>
  <c r="I243" i="3"/>
  <c r="I275" i="3"/>
  <c r="I244" i="3"/>
  <c r="I264" i="3"/>
  <c r="I245" i="3"/>
  <c r="I261" i="3"/>
  <c r="I277" i="3"/>
  <c r="I271" i="3"/>
  <c r="I254" i="3"/>
  <c r="I270" i="3"/>
  <c r="I251" i="3"/>
  <c r="I252" i="3"/>
  <c r="I280" i="3"/>
  <c r="E256" i="3"/>
  <c r="E272" i="3"/>
  <c r="E258" i="3"/>
  <c r="E249" i="3"/>
  <c r="E265" i="3"/>
  <c r="E246" i="3"/>
  <c r="E274" i="3"/>
  <c r="E251" i="3"/>
  <c r="E259" i="3"/>
  <c r="E244" i="3"/>
  <c r="E260" i="3"/>
  <c r="E276" i="3"/>
  <c r="E266" i="3"/>
  <c r="E253" i="3"/>
  <c r="E269" i="3"/>
  <c r="E254" i="3"/>
  <c r="E247" i="3"/>
  <c r="E267" i="3"/>
  <c r="E275" i="3"/>
  <c r="E252" i="3"/>
  <c r="E250" i="3"/>
  <c r="E261" i="3"/>
  <c r="E270" i="3"/>
  <c r="E271" i="3"/>
  <c r="E248" i="3"/>
  <c r="E264" i="3"/>
  <c r="E280" i="3"/>
  <c r="E278" i="3"/>
  <c r="E257" i="3"/>
  <c r="E273" i="3"/>
  <c r="E262" i="3"/>
  <c r="E263" i="3"/>
  <c r="E255" i="3"/>
  <c r="E268" i="3"/>
  <c r="E245" i="3"/>
  <c r="E277" i="3"/>
  <c r="E279" i="3"/>
  <c r="E170" i="3"/>
  <c r="E186" i="3"/>
  <c r="E180" i="3"/>
  <c r="E171" i="3"/>
  <c r="E187" i="3"/>
  <c r="E168" i="3"/>
  <c r="E188" i="3"/>
  <c r="E173" i="3"/>
  <c r="E193" i="3"/>
  <c r="E190" i="3"/>
  <c r="E175" i="3"/>
  <c r="E172" i="3"/>
  <c r="E189" i="3"/>
  <c r="E162" i="3"/>
  <c r="E178" i="3"/>
  <c r="E194" i="3"/>
  <c r="E163" i="3"/>
  <c r="E179" i="3"/>
  <c r="E195" i="3"/>
  <c r="E176" i="3"/>
  <c r="E169" i="3"/>
  <c r="E161" i="3"/>
  <c r="E181" i="3"/>
  <c r="E166" i="3"/>
  <c r="E182" i="3"/>
  <c r="E164" i="3"/>
  <c r="E167" i="3"/>
  <c r="E183" i="3"/>
  <c r="E160" i="3"/>
  <c r="E184" i="3"/>
  <c r="E185" i="3"/>
  <c r="E177" i="3"/>
  <c r="E174" i="3"/>
  <c r="E192" i="3"/>
  <c r="E191" i="3"/>
  <c r="E196" i="3"/>
  <c r="E165" i="3"/>
  <c r="I202" i="3"/>
  <c r="I218" i="3"/>
  <c r="I234" i="3"/>
  <c r="I211" i="3"/>
  <c r="I227" i="3"/>
  <c r="I208" i="3"/>
  <c r="I224" i="3"/>
  <c r="I201" i="3"/>
  <c r="I221" i="3"/>
  <c r="I213" i="3"/>
  <c r="I206" i="3"/>
  <c r="I238" i="3"/>
  <c r="I215" i="3"/>
  <c r="I212" i="3"/>
  <c r="I217" i="3"/>
  <c r="I229" i="3"/>
  <c r="I210" i="3"/>
  <c r="I226" i="3"/>
  <c r="I203" i="3"/>
  <c r="I219" i="3"/>
  <c r="I235" i="3"/>
  <c r="I216" i="3"/>
  <c r="I232" i="3"/>
  <c r="I233" i="3"/>
  <c r="I209" i="3"/>
  <c r="I214" i="3"/>
  <c r="I230" i="3"/>
  <c r="I207" i="3"/>
  <c r="I223" i="3"/>
  <c r="I204" i="3"/>
  <c r="I220" i="3"/>
  <c r="I236" i="3"/>
  <c r="I205" i="3"/>
  <c r="I225" i="3"/>
  <c r="I222" i="3"/>
  <c r="I231" i="3"/>
  <c r="I228" i="3"/>
  <c r="I237" i="3"/>
  <c r="E209" i="3"/>
  <c r="E225" i="3"/>
  <c r="E207" i="3"/>
  <c r="E202" i="3"/>
  <c r="E218" i="3"/>
  <c r="E234" i="3"/>
  <c r="E219" i="3"/>
  <c r="E224" i="3"/>
  <c r="E232" i="3"/>
  <c r="E213" i="3"/>
  <c r="E229" i="3"/>
  <c r="E215" i="3"/>
  <c r="E206" i="3"/>
  <c r="E222" i="3"/>
  <c r="E238" i="3"/>
  <c r="E212" i="3"/>
  <c r="E204" i="3"/>
  <c r="E217" i="3"/>
  <c r="E233" i="3"/>
  <c r="E223" i="3"/>
  <c r="E210" i="3"/>
  <c r="E226" i="3"/>
  <c r="E203" i="3"/>
  <c r="E235" i="3"/>
  <c r="E228" i="3"/>
  <c r="E220" i="3"/>
  <c r="E205" i="3"/>
  <c r="E221" i="3"/>
  <c r="E237" i="3"/>
  <c r="E231" i="3"/>
  <c r="E214" i="3"/>
  <c r="E230" i="3"/>
  <c r="E211" i="3"/>
  <c r="E208" i="3"/>
  <c r="E216" i="3"/>
  <c r="E236" i="3"/>
  <c r="E227" i="3"/>
  <c r="I123" i="3"/>
  <c r="I139" i="3"/>
  <c r="I121" i="3"/>
  <c r="I120" i="3"/>
  <c r="I136" i="3"/>
  <c r="I152" i="3"/>
  <c r="I137" i="3"/>
  <c r="I130" i="3"/>
  <c r="I150" i="3"/>
  <c r="I142" i="3"/>
  <c r="I127" i="3"/>
  <c r="I143" i="3"/>
  <c r="I133" i="3"/>
  <c r="I124" i="3"/>
  <c r="I140" i="3"/>
  <c r="I117" i="3"/>
  <c r="I145" i="3"/>
  <c r="I146" i="3"/>
  <c r="I122" i="3"/>
  <c r="I131" i="3"/>
  <c r="I147" i="3"/>
  <c r="I141" i="3"/>
  <c r="I128" i="3"/>
  <c r="I144" i="3"/>
  <c r="I125" i="3"/>
  <c r="I153" i="3"/>
  <c r="I118" i="3"/>
  <c r="I138" i="3"/>
  <c r="I119" i="3"/>
  <c r="I135" i="3"/>
  <c r="I151" i="3"/>
  <c r="I149" i="3"/>
  <c r="I132" i="3"/>
  <c r="I148" i="3"/>
  <c r="I129" i="3"/>
  <c r="I126" i="3"/>
  <c r="I134" i="3"/>
  <c r="I154" i="3"/>
  <c r="E130" i="3"/>
  <c r="E146" i="3"/>
  <c r="E128" i="3"/>
  <c r="E119" i="3"/>
  <c r="E135" i="3"/>
  <c r="E151" i="3"/>
  <c r="E148" i="3"/>
  <c r="E153" i="3"/>
  <c r="E145" i="3"/>
  <c r="E118" i="3"/>
  <c r="E134" i="3"/>
  <c r="E150" i="3"/>
  <c r="E136" i="3"/>
  <c r="E123" i="3"/>
  <c r="E139" i="3"/>
  <c r="E124" i="3"/>
  <c r="E133" i="3"/>
  <c r="E125" i="3"/>
  <c r="E149" i="3"/>
  <c r="E122" i="3"/>
  <c r="E138" i="3"/>
  <c r="E154" i="3"/>
  <c r="E144" i="3"/>
  <c r="E127" i="3"/>
  <c r="E143" i="3"/>
  <c r="E132" i="3"/>
  <c r="E121" i="3"/>
  <c r="E141" i="3"/>
  <c r="E126" i="3"/>
  <c r="E142" i="3"/>
  <c r="E120" i="3"/>
  <c r="E152" i="3"/>
  <c r="E131" i="3"/>
  <c r="E147" i="3"/>
  <c r="E140" i="3"/>
  <c r="E137" i="3"/>
  <c r="E129" i="3"/>
  <c r="G13" i="13" a="1"/>
  <c r="I13" i="13" a="1"/>
  <c r="S16" i="19"/>
  <c r="I92" i="3" a="1"/>
  <c r="G92" i="3" a="1"/>
  <c r="S18" i="19"/>
  <c r="M22" i="7" a="1"/>
  <c r="W18" i="7"/>
  <c r="T13" i="7"/>
  <c r="J16" i="14"/>
  <c r="I14" i="1"/>
  <c r="R18" i="19"/>
  <c r="R16" i="19"/>
  <c r="AO37" i="19"/>
  <c r="AP37" i="19" s="1"/>
  <c r="AQ37" i="19" s="1"/>
  <c r="V13" i="19"/>
  <c r="V12" i="19" s="1"/>
  <c r="V15" i="19"/>
  <c r="W15" i="19"/>
  <c r="W13" i="19"/>
  <c r="V14" i="19"/>
  <c r="W14" i="19"/>
  <c r="W16" i="19" s="1"/>
  <c r="Y13" i="19"/>
  <c r="T37" i="19"/>
  <c r="V37" i="19" s="1"/>
  <c r="AR37" i="19"/>
  <c r="AS37" i="19" s="1"/>
  <c r="Y15" i="19"/>
  <c r="U17" i="19"/>
  <c r="AF37" i="19"/>
  <c r="AH37" i="19" s="1"/>
  <c r="X13" i="19"/>
  <c r="X15" i="19"/>
  <c r="X14" i="19"/>
  <c r="Y14" i="19"/>
  <c r="W37" i="19"/>
  <c r="X37" i="19"/>
  <c r="AJ37" i="19"/>
  <c r="AL37" i="19" s="1"/>
  <c r="Y37" i="19" l="1"/>
  <c r="M80" i="7"/>
  <c r="M36" i="7"/>
  <c r="M44" i="7"/>
  <c r="M323" i="7"/>
  <c r="M241" i="7"/>
  <c r="M30" i="7"/>
  <c r="M205" i="7"/>
  <c r="M26" i="7"/>
  <c r="M185" i="7"/>
  <c r="M150" i="7"/>
  <c r="M231" i="7"/>
  <c r="M177" i="7"/>
  <c r="M152" i="7"/>
  <c r="M321" i="7"/>
  <c r="M258" i="7"/>
  <c r="M54" i="7"/>
  <c r="M121" i="7"/>
  <c r="M83" i="7"/>
  <c r="M282" i="7"/>
  <c r="M246" i="7"/>
  <c r="M309" i="7"/>
  <c r="M97" i="7"/>
  <c r="M68" i="7"/>
  <c r="M52" i="7"/>
  <c r="M69" i="7"/>
  <c r="M245" i="7"/>
  <c r="M88" i="7"/>
  <c r="M112" i="7"/>
  <c r="M34" i="7"/>
  <c r="M193" i="7"/>
  <c r="M178" i="7"/>
  <c r="M238" i="7"/>
  <c r="M217" i="7"/>
  <c r="M180" i="7"/>
  <c r="M22" i="7"/>
  <c r="M260" i="7"/>
  <c r="M182" i="7"/>
  <c r="M189" i="7"/>
  <c r="M168" i="7"/>
  <c r="M342" i="7"/>
  <c r="M343" i="7"/>
  <c r="M73" i="7"/>
  <c r="M292" i="7"/>
  <c r="M316" i="7"/>
  <c r="M313" i="7"/>
  <c r="M233" i="7"/>
  <c r="M336" i="7"/>
  <c r="M157" i="7"/>
  <c r="M134" i="7"/>
  <c r="M28" i="7"/>
  <c r="M114" i="7"/>
  <c r="M222" i="7"/>
  <c r="M93" i="7"/>
  <c r="M116" i="7"/>
  <c r="M285" i="7"/>
  <c r="M244" i="7"/>
  <c r="M295" i="7"/>
  <c r="M302" i="7"/>
  <c r="M29" i="7"/>
  <c r="M268" i="7"/>
  <c r="M315" i="7"/>
  <c r="M196" i="7"/>
  <c r="M124" i="7"/>
  <c r="M294" i="7"/>
  <c r="M56" i="7"/>
  <c r="M158" i="7"/>
  <c r="M290" i="7"/>
  <c r="M117" i="7"/>
  <c r="M251" i="7"/>
  <c r="M232" i="7"/>
  <c r="M344" i="7"/>
  <c r="M129" i="7"/>
  <c r="M99" i="7"/>
  <c r="M105" i="7"/>
  <c r="M208" i="7"/>
  <c r="M301" i="7"/>
  <c r="M264" i="7"/>
  <c r="M212" i="7"/>
  <c r="M77" i="7"/>
  <c r="M183" i="7"/>
  <c r="M89" i="7"/>
  <c r="M173" i="7"/>
  <c r="M197" i="7"/>
  <c r="M90" i="7"/>
  <c r="M115" i="7"/>
  <c r="M257" i="7"/>
  <c r="M181" i="7"/>
  <c r="M176" i="7"/>
  <c r="M141" i="7"/>
  <c r="M136" i="7"/>
  <c r="M305" i="7"/>
  <c r="M254" i="7"/>
  <c r="M216" i="7"/>
  <c r="M341" i="7"/>
  <c r="M119" i="7"/>
  <c r="M276" i="7"/>
  <c r="M81" i="7"/>
  <c r="M95" i="7"/>
  <c r="M190" i="7"/>
  <c r="M328" i="7"/>
  <c r="M239" i="7"/>
  <c r="M137" i="7"/>
  <c r="M296" i="7"/>
  <c r="M213" i="7"/>
  <c r="M106" i="7"/>
  <c r="M131" i="7"/>
  <c r="M261" i="7"/>
  <c r="M92" i="7"/>
  <c r="M184" i="7"/>
  <c r="M153" i="7"/>
  <c r="M164" i="7"/>
  <c r="M311" i="7"/>
  <c r="M256" i="7"/>
  <c r="M35" i="7"/>
  <c r="M46" i="7"/>
  <c r="M127" i="7"/>
  <c r="M286" i="7"/>
  <c r="M107" i="7"/>
  <c r="M123" i="7"/>
  <c r="M325" i="7"/>
  <c r="M58" i="7"/>
  <c r="M334" i="7"/>
  <c r="M113" i="7"/>
  <c r="M145" i="7"/>
  <c r="M60" i="7"/>
  <c r="M85" i="7"/>
  <c r="M249" i="7"/>
  <c r="M125" i="7"/>
  <c r="M120" i="7"/>
  <c r="M76" i="7"/>
  <c r="M312" i="7"/>
  <c r="M206" i="7"/>
  <c r="M240" i="7"/>
  <c r="M96" i="7"/>
  <c r="M308" i="7"/>
  <c r="M65" i="7"/>
  <c r="M267" i="7"/>
  <c r="M210" i="7"/>
  <c r="M288" i="7"/>
  <c r="M283" i="7"/>
  <c r="M109" i="7"/>
  <c r="M174" i="7"/>
  <c r="M32" i="7"/>
  <c r="M188" i="7"/>
  <c r="M300" i="7"/>
  <c r="M167" i="7"/>
  <c r="M228" i="7"/>
  <c r="M236" i="7"/>
  <c r="M224" i="7"/>
  <c r="M330" i="7"/>
  <c r="M307" i="7"/>
  <c r="M165" i="7"/>
  <c r="M40" i="7"/>
  <c r="M253" i="7"/>
  <c r="M128" i="7"/>
  <c r="M337" i="7"/>
  <c r="M317" i="7"/>
  <c r="M138" i="7"/>
  <c r="M333" i="7"/>
  <c r="M270" i="7"/>
  <c r="M322" i="7"/>
  <c r="M110" i="7"/>
  <c r="M204" i="7"/>
  <c r="M140" i="7"/>
  <c r="M154" i="7"/>
  <c r="M179" i="7"/>
  <c r="M273" i="7"/>
  <c r="M33" i="7"/>
  <c r="M303" i="7"/>
  <c r="M200" i="7"/>
  <c r="M287" i="7"/>
  <c r="M103" i="7"/>
  <c r="M272" i="7"/>
  <c r="M304" i="7"/>
  <c r="M94" i="7"/>
  <c r="M191" i="7"/>
  <c r="M340" i="7"/>
  <c r="M223" i="7"/>
  <c r="M227" i="7"/>
  <c r="M159" i="7"/>
  <c r="M198" i="7"/>
  <c r="M118" i="7"/>
  <c r="M39" i="7"/>
  <c r="M23" i="7"/>
  <c r="M156" i="7"/>
  <c r="M170" i="7"/>
  <c r="M195" i="7"/>
  <c r="M277" i="7"/>
  <c r="M37" i="7"/>
  <c r="M48" i="7"/>
  <c r="M27" i="7"/>
  <c r="M327" i="7"/>
  <c r="M111" i="7"/>
  <c r="M279" i="7"/>
  <c r="M38" i="7"/>
  <c r="M102" i="7"/>
  <c r="M219" i="7"/>
  <c r="M64" i="7"/>
  <c r="M230" i="7"/>
  <c r="M259" i="7"/>
  <c r="M187" i="7"/>
  <c r="M289" i="7"/>
  <c r="M143" i="7"/>
  <c r="M59" i="7"/>
  <c r="M51" i="7"/>
  <c r="M122" i="7"/>
  <c r="M147" i="7"/>
  <c r="M265" i="7"/>
  <c r="M100" i="7"/>
  <c r="M324" i="7"/>
  <c r="M335" i="7"/>
  <c r="M192" i="7"/>
  <c r="M319" i="7"/>
  <c r="M263" i="7"/>
  <c r="M67" i="7"/>
  <c r="M50" i="7"/>
  <c r="M155" i="7"/>
  <c r="M314" i="7"/>
  <c r="M135" i="7"/>
  <c r="M151" i="7"/>
  <c r="M61" i="7"/>
  <c r="M82" i="7"/>
  <c r="M25" i="7"/>
  <c r="M104" i="7"/>
  <c r="M202" i="7"/>
  <c r="M70" i="7"/>
  <c r="M306" i="7"/>
  <c r="M284" i="7"/>
  <c r="M252" i="7"/>
  <c r="M144" i="7"/>
  <c r="M49" i="7"/>
  <c r="M329" i="7"/>
  <c r="M162" i="7"/>
  <c r="M43" i="7"/>
  <c r="M133" i="7"/>
  <c r="M214" i="7"/>
  <c r="M91" i="7"/>
  <c r="M55" i="7"/>
  <c r="M163" i="7"/>
  <c r="M108" i="7"/>
  <c r="M75" i="7"/>
  <c r="M207" i="7"/>
  <c r="M132" i="7"/>
  <c r="M63" i="7"/>
  <c r="M299" i="7"/>
  <c r="M218" i="7"/>
  <c r="M225" i="7"/>
  <c r="M310" i="7"/>
  <c r="M320" i="7"/>
  <c r="M98" i="7"/>
  <c r="M87" i="7"/>
  <c r="M78" i="7"/>
  <c r="M175" i="7"/>
  <c r="M332" i="7"/>
  <c r="M201" i="7"/>
  <c r="M166" i="7"/>
  <c r="M235" i="7"/>
  <c r="M24" i="7"/>
  <c r="M262" i="7"/>
  <c r="M318" i="7"/>
  <c r="M243" i="7"/>
  <c r="M160" i="7"/>
  <c r="M171" i="7"/>
  <c r="M169" i="7"/>
  <c r="M79" i="7"/>
  <c r="M47" i="7"/>
  <c r="M297" i="7"/>
  <c r="M229" i="7"/>
  <c r="M326" i="7"/>
  <c r="M45" i="7"/>
  <c r="M126" i="7"/>
  <c r="M339" i="7"/>
  <c r="M86" i="7"/>
  <c r="M203" i="7"/>
  <c r="M84" i="7"/>
  <c r="M209" i="7"/>
  <c r="M194" i="7"/>
  <c r="M242" i="7"/>
  <c r="M72" i="7"/>
  <c r="M280" i="7"/>
  <c r="M338" i="7"/>
  <c r="M250" i="7"/>
  <c r="M146" i="7"/>
  <c r="M278" i="7"/>
  <c r="M31" i="7"/>
  <c r="M172" i="7"/>
  <c r="M186" i="7"/>
  <c r="M211" i="7"/>
  <c r="M281" i="7"/>
  <c r="M71" i="7"/>
  <c r="M62" i="7"/>
  <c r="M41" i="7"/>
  <c r="M42" i="7"/>
  <c r="M139" i="7"/>
  <c r="M298" i="7"/>
  <c r="M53" i="7"/>
  <c r="M130" i="7"/>
  <c r="M226" i="7"/>
  <c r="M101" i="7"/>
  <c r="M248" i="7"/>
  <c r="M266" i="7"/>
  <c r="M215" i="7"/>
  <c r="M234" i="7"/>
  <c r="M199" i="7"/>
  <c r="M331" i="7"/>
  <c r="M221" i="7"/>
  <c r="M57" i="7"/>
  <c r="M161" i="7"/>
  <c r="M255" i="7"/>
  <c r="M271" i="7"/>
  <c r="M293" i="7"/>
  <c r="M275" i="7"/>
  <c r="M237" i="7"/>
  <c r="M142" i="7"/>
  <c r="M74" i="7"/>
  <c r="M148" i="7"/>
  <c r="M247" i="7"/>
  <c r="M274" i="7"/>
  <c r="M149" i="7"/>
  <c r="M269" i="7"/>
  <c r="M291" i="7"/>
  <c r="M66" i="7"/>
  <c r="M220" i="7"/>
  <c r="G108" i="3"/>
  <c r="G105" i="3"/>
  <c r="G111" i="3"/>
  <c r="G103" i="3"/>
  <c r="G99" i="3"/>
  <c r="G94" i="3"/>
  <c r="G93" i="3"/>
  <c r="G104" i="3"/>
  <c r="G112" i="3"/>
  <c r="G100" i="3"/>
  <c r="G98" i="3"/>
  <c r="G102" i="3"/>
  <c r="G106" i="3"/>
  <c r="G92" i="3"/>
  <c r="G95" i="3"/>
  <c r="G109" i="3"/>
  <c r="G97" i="3"/>
  <c r="G101" i="3"/>
  <c r="G110" i="3"/>
  <c r="G96" i="3"/>
  <c r="G107" i="3"/>
  <c r="I103" i="3"/>
  <c r="J103" i="3" s="1"/>
  <c r="I92" i="3"/>
  <c r="J92" i="3" s="1"/>
  <c r="I105" i="3"/>
  <c r="J105" i="3" s="1"/>
  <c r="I101" i="3"/>
  <c r="J101" i="3" s="1"/>
  <c r="I107" i="3"/>
  <c r="J107" i="3" s="1"/>
  <c r="I94" i="3"/>
  <c r="J94" i="3" s="1"/>
  <c r="I111" i="3"/>
  <c r="J111" i="3" s="1"/>
  <c r="I95" i="3"/>
  <c r="J95" i="3" s="1"/>
  <c r="I96" i="3"/>
  <c r="J96" i="3" s="1"/>
  <c r="I108" i="3"/>
  <c r="J108" i="3" s="1"/>
  <c r="I102" i="3"/>
  <c r="J102" i="3" s="1"/>
  <c r="I100" i="3"/>
  <c r="J100" i="3" s="1"/>
  <c r="I93" i="3"/>
  <c r="J93" i="3" s="1"/>
  <c r="I97" i="3"/>
  <c r="J97" i="3" s="1"/>
  <c r="I99" i="3"/>
  <c r="J99" i="3" s="1"/>
  <c r="I109" i="3"/>
  <c r="J109" i="3" s="1"/>
  <c r="I110" i="3"/>
  <c r="J110" i="3" s="1"/>
  <c r="I112" i="3"/>
  <c r="J112" i="3" s="1"/>
  <c r="I104" i="3"/>
  <c r="J104" i="3" s="1"/>
  <c r="I98" i="3"/>
  <c r="J98" i="3" s="1"/>
  <c r="I106" i="3"/>
  <c r="J106" i="3" s="1"/>
  <c r="I25" i="13"/>
  <c r="J25" i="13" s="1"/>
  <c r="I21" i="13"/>
  <c r="J21" i="13" s="1"/>
  <c r="I23" i="13"/>
  <c r="J23" i="13" s="1"/>
  <c r="I19" i="13"/>
  <c r="J19" i="13" s="1"/>
  <c r="I27" i="13"/>
  <c r="J27" i="13" s="1"/>
  <c r="I18" i="13"/>
  <c r="J18" i="13" s="1"/>
  <c r="I13" i="13"/>
  <c r="J13" i="13" s="1"/>
  <c r="I31" i="13"/>
  <c r="J31" i="13" s="1"/>
  <c r="I14" i="13"/>
  <c r="J14" i="13" s="1"/>
  <c r="I20" i="13"/>
  <c r="J20" i="13" s="1"/>
  <c r="I24" i="13"/>
  <c r="J24" i="13" s="1"/>
  <c r="I22" i="13"/>
  <c r="J22" i="13" s="1"/>
  <c r="I26" i="13"/>
  <c r="J26" i="13" s="1"/>
  <c r="I15" i="13"/>
  <c r="J15" i="13" s="1"/>
  <c r="I29" i="13"/>
  <c r="J29" i="13" s="1"/>
  <c r="I17" i="13"/>
  <c r="J17" i="13" s="1"/>
  <c r="I28" i="13"/>
  <c r="J28" i="13" s="1"/>
  <c r="I32" i="13"/>
  <c r="J32" i="13" s="1"/>
  <c r="I30" i="13"/>
  <c r="J30" i="13" s="1"/>
  <c r="I16" i="13"/>
  <c r="J16" i="13" s="1"/>
  <c r="G20" i="13"/>
  <c r="G22" i="13"/>
  <c r="G24" i="13"/>
  <c r="G18" i="13"/>
  <c r="G19" i="13"/>
  <c r="G21" i="13"/>
  <c r="G28" i="13"/>
  <c r="G32" i="13"/>
  <c r="G13" i="13"/>
  <c r="G23" i="13"/>
  <c r="G15" i="13"/>
  <c r="G25" i="13"/>
  <c r="G17" i="13"/>
  <c r="G16" i="13"/>
  <c r="G30" i="13"/>
  <c r="G31" i="13"/>
  <c r="G27" i="13"/>
  <c r="G14" i="13"/>
  <c r="G29" i="13"/>
  <c r="G26" i="13"/>
  <c r="W14" i="7"/>
  <c r="AT37" i="19"/>
  <c r="W10" i="7"/>
  <c r="W11" i="7"/>
  <c r="T9" i="7" l="1"/>
  <c r="B44" i="19"/>
  <c r="C43" i="19"/>
  <c r="Y38" i="19"/>
  <c r="Y45" i="19" s="1"/>
  <c r="Z37" i="19"/>
  <c r="U28" i="7"/>
  <c r="U21" i="7"/>
  <c r="U26" i="7"/>
  <c r="U32" i="7"/>
  <c r="U30" i="7"/>
  <c r="U25" i="7"/>
  <c r="U31" i="7"/>
  <c r="U34" i="7"/>
  <c r="U37" i="7"/>
  <c r="U33" i="7"/>
  <c r="U22" i="7"/>
  <c r="U36" i="7"/>
  <c r="U38" i="7"/>
  <c r="U35" i="7"/>
  <c r="U20" i="7"/>
  <c r="U23" i="7"/>
  <c r="U39" i="7"/>
  <c r="U27" i="7"/>
  <c r="U24" i="7"/>
  <c r="U29" i="7"/>
  <c r="AA37" i="19"/>
  <c r="R18" i="16"/>
  <c r="AR36" i="16"/>
  <c r="T28" i="16"/>
  <c r="T35" i="16"/>
  <c r="AR29" i="16"/>
  <c r="T30" i="16"/>
  <c r="AF30" i="16"/>
  <c r="AR35" i="16"/>
  <c r="Y14" i="16"/>
  <c r="L18" i="16"/>
  <c r="AF25" i="16"/>
  <c r="T34" i="16"/>
  <c r="AF32" i="16"/>
  <c r="AF29" i="16"/>
  <c r="AR24" i="16"/>
  <c r="M43" i="16"/>
  <c r="AF28" i="16"/>
  <c r="AR37" i="16"/>
  <c r="AR34" i="16"/>
  <c r="AR31" i="16"/>
  <c r="X15" i="16"/>
  <c r="U17" i="16"/>
  <c r="H18" i="16"/>
  <c r="I43" i="16" s="1"/>
  <c r="R16" i="16"/>
  <c r="W14" i="16"/>
  <c r="AQ25" i="16"/>
  <c r="AQ35" i="16"/>
  <c r="AQ26" i="16"/>
  <c r="T22" i="16"/>
  <c r="AR28" i="16"/>
  <c r="X13" i="16"/>
  <c r="T29" i="16"/>
  <c r="AF27" i="16"/>
  <c r="AF34" i="16"/>
  <c r="T27" i="16"/>
  <c r="T31" i="16"/>
  <c r="AR32" i="16"/>
  <c r="T25" i="16"/>
  <c r="AR33" i="16"/>
  <c r="T26" i="16"/>
  <c r="Y13" i="16"/>
  <c r="T23" i="16"/>
  <c r="T37" i="16"/>
  <c r="AR25" i="16"/>
  <c r="T32" i="16"/>
  <c r="AF26" i="16"/>
  <c r="W15" i="16"/>
  <c r="AQ37" i="16"/>
  <c r="AQ32" i="16"/>
  <c r="AQ31" i="16"/>
  <c r="T33" i="16"/>
  <c r="AR30" i="16"/>
  <c r="AF24" i="16"/>
  <c r="AF37" i="16"/>
  <c r="X14" i="16"/>
  <c r="T36" i="16"/>
  <c r="AR26" i="16"/>
  <c r="W13" i="16"/>
  <c r="AQ29" i="16"/>
  <c r="AQ27" i="16"/>
  <c r="AR27" i="16"/>
  <c r="AF36" i="16"/>
  <c r="AF33" i="16"/>
  <c r="AF35" i="16"/>
  <c r="T24" i="16"/>
  <c r="AF31" i="16"/>
  <c r="Y15" i="16"/>
  <c r="AQ36" i="16"/>
  <c r="AQ24" i="16"/>
  <c r="AQ30" i="16"/>
  <c r="AQ34" i="16"/>
  <c r="AQ28" i="16"/>
  <c r="AQ33" i="16"/>
  <c r="Q20" i="16"/>
  <c r="V22" i="16"/>
  <c r="W22" i="16"/>
  <c r="X18" i="16" s="1"/>
  <c r="X22" i="16"/>
  <c r="Y22" i="16" l="1"/>
  <c r="AH31" i="16"/>
  <c r="AH36" i="16"/>
  <c r="AH37" i="16"/>
  <c r="AH26" i="16"/>
  <c r="V23" i="16"/>
  <c r="W23" i="16" s="1"/>
  <c r="AS32" i="16"/>
  <c r="AT32" i="16" s="1"/>
  <c r="AH27" i="16"/>
  <c r="AS31" i="16"/>
  <c r="AT31" i="16" s="1"/>
  <c r="AS24" i="16"/>
  <c r="AT24" i="16" s="1"/>
  <c r="AH25" i="16"/>
  <c r="AS29" i="16"/>
  <c r="AT29" i="16" s="1"/>
  <c r="V24" i="16"/>
  <c r="W24" i="16" s="1"/>
  <c r="AS27" i="16"/>
  <c r="AT27" i="16" s="1"/>
  <c r="AH24" i="16"/>
  <c r="AL24" i="16" s="1"/>
  <c r="V32" i="16"/>
  <c r="V26" i="16"/>
  <c r="V31" i="16"/>
  <c r="V29" i="16"/>
  <c r="AS34" i="16"/>
  <c r="AT34" i="16" s="1"/>
  <c r="AH29" i="16"/>
  <c r="AS35" i="16"/>
  <c r="AT35" i="16" s="1"/>
  <c r="V35" i="16"/>
  <c r="V36" i="16"/>
  <c r="V37" i="16"/>
  <c r="AH34" i="16"/>
  <c r="V34" i="16"/>
  <c r="AS36" i="16"/>
  <c r="AT36" i="16" s="1"/>
  <c r="AH35" i="16"/>
  <c r="AS26" i="16"/>
  <c r="AT26" i="16" s="1"/>
  <c r="AS30" i="16"/>
  <c r="AT30" i="16" s="1"/>
  <c r="AS25" i="16"/>
  <c r="AT25" i="16" s="1"/>
  <c r="AS33" i="16"/>
  <c r="AT33" i="16" s="1"/>
  <c r="V27" i="16"/>
  <c r="AS28" i="16"/>
  <c r="AT28" i="16" s="1"/>
  <c r="AS37" i="16"/>
  <c r="AT37" i="16" s="1"/>
  <c r="AH32" i="16"/>
  <c r="AH30" i="16"/>
  <c r="V28" i="16"/>
  <c r="AH33" i="16"/>
  <c r="V33" i="16"/>
  <c r="V25" i="16"/>
  <c r="W16" i="16"/>
  <c r="AH28" i="16"/>
  <c r="V30" i="16"/>
  <c r="Z22" i="16"/>
  <c r="W30" i="16"/>
  <c r="AJ33" i="16"/>
  <c r="W37" i="16"/>
  <c r="AJ24" i="16"/>
  <c r="AJ28" i="16"/>
  <c r="W28" i="16"/>
  <c r="AJ35" i="16"/>
  <c r="W36" i="16"/>
  <c r="W31" i="16"/>
  <c r="X24" i="16"/>
  <c r="AJ26" i="16"/>
  <c r="W25" i="16"/>
  <c r="AJ30" i="16"/>
  <c r="W34" i="16"/>
  <c r="W35" i="16"/>
  <c r="W26" i="16"/>
  <c r="AJ25" i="16"/>
  <c r="AJ37" i="16"/>
  <c r="W33" i="16"/>
  <c r="AJ32" i="16"/>
  <c r="AJ34" i="16"/>
  <c r="AJ29" i="16"/>
  <c r="W32" i="16"/>
  <c r="AJ27" i="16"/>
  <c r="AJ36" i="16"/>
  <c r="W27" i="16"/>
  <c r="W29" i="16"/>
  <c r="X23" i="16"/>
  <c r="AJ31" i="16"/>
  <c r="AA22" i="16"/>
  <c r="Y23" i="16" l="1"/>
  <c r="Y24" i="16"/>
  <c r="AL27" i="16"/>
  <c r="AL32" i="16"/>
  <c r="X26" i="16"/>
  <c r="X25" i="16"/>
  <c r="X36" i="16"/>
  <c r="X29" i="16"/>
  <c r="X32" i="16"/>
  <c r="X33" i="16"/>
  <c r="X35" i="16"/>
  <c r="AL26" i="16"/>
  <c r="AL35" i="16"/>
  <c r="X37" i="16"/>
  <c r="X31" i="16"/>
  <c r="X30" i="16"/>
  <c r="X27" i="16"/>
  <c r="AL29" i="16"/>
  <c r="AL37" i="16"/>
  <c r="X34" i="16"/>
  <c r="X28" i="16"/>
  <c r="AL33" i="16"/>
  <c r="AL31" i="16"/>
  <c r="AL36" i="16"/>
  <c r="AL34" i="16"/>
  <c r="AL25" i="16"/>
  <c r="AL30" i="16"/>
  <c r="AL28" i="16"/>
  <c r="X39" i="16"/>
  <c r="Z24" i="16" l="1"/>
  <c r="AA24" i="16"/>
  <c r="Y28" i="16"/>
  <c r="Y34" i="16"/>
  <c r="Y27" i="16"/>
  <c r="Y30" i="16"/>
  <c r="Y31" i="16"/>
  <c r="Y37" i="16"/>
  <c r="Y35" i="16"/>
  <c r="Y33" i="16"/>
  <c r="Y32" i="16"/>
  <c r="Y29" i="16"/>
  <c r="Y36" i="16"/>
  <c r="Y25" i="16"/>
  <c r="Y26" i="16"/>
  <c r="AA23" i="16"/>
  <c r="Z23" i="16"/>
  <c r="Z36" i="16"/>
  <c r="AA32" i="16"/>
  <c r="AA28" i="16"/>
  <c r="AA33" i="16"/>
  <c r="AA36" i="16"/>
  <c r="Z27" i="16"/>
  <c r="AA37" i="16"/>
  <c r="Z25" i="16"/>
  <c r="AA35" i="16"/>
  <c r="AA34" i="16"/>
  <c r="Z28" i="16"/>
  <c r="AA27" i="16"/>
  <c r="Z26" i="16"/>
  <c r="AA31" i="16"/>
  <c r="AA25" i="16"/>
  <c r="Z30" i="16"/>
  <c r="Z35" i="16"/>
  <c r="Z29" i="16"/>
  <c r="Z34" i="16"/>
  <c r="AA26" i="16"/>
  <c r="Z31" i="16"/>
  <c r="AA30" i="16"/>
  <c r="AA29" i="16"/>
  <c r="Z32" i="16"/>
  <c r="Z33" i="16"/>
  <c r="Z37" i="16"/>
  <c r="R4" i="1"/>
  <c r="Y48" i="16" l="1" a="1"/>
  <c r="Y38" i="16"/>
  <c r="Y45" i="16" s="1"/>
  <c r="X7" i="7"/>
  <c r="W7" i="7"/>
  <c r="F115" i="3"/>
  <c r="Q18" i="1" a="1"/>
  <c r="Z48" i="16" l="1"/>
  <c r="Y48" i="16"/>
  <c r="Q41" i="1"/>
  <c r="D140" i="3"/>
  <c r="D182" i="3"/>
  <c r="D266" i="3"/>
  <c r="D31" i="3"/>
  <c r="D73" i="3"/>
  <c r="J75" i="3"/>
  <c r="D224" i="3"/>
  <c r="Q43" i="1"/>
  <c r="D142" i="3"/>
  <c r="D184" i="3"/>
  <c r="D268" i="3"/>
  <c r="D33" i="3"/>
  <c r="D75" i="3"/>
  <c r="J77" i="3"/>
  <c r="D226" i="3"/>
  <c r="Q34" i="1"/>
  <c r="D133" i="3"/>
  <c r="D175" i="3"/>
  <c r="D259" i="3"/>
  <c r="D24" i="3"/>
  <c r="D66" i="3"/>
  <c r="J68" i="3"/>
  <c r="D217" i="3"/>
  <c r="Q32" i="1"/>
  <c r="D131" i="3"/>
  <c r="D215" i="3"/>
  <c r="D173" i="3"/>
  <c r="D257" i="3"/>
  <c r="D22" i="3"/>
  <c r="D64" i="3"/>
  <c r="J66" i="3"/>
  <c r="Q54" i="1"/>
  <c r="D153" i="3"/>
  <c r="D237" i="3"/>
  <c r="D195" i="3"/>
  <c r="D279" i="3"/>
  <c r="D44" i="3"/>
  <c r="D86" i="3"/>
  <c r="Q27" i="1"/>
  <c r="D126" i="3"/>
  <c r="D210" i="3"/>
  <c r="D168" i="3"/>
  <c r="D252" i="3"/>
  <c r="D17" i="3"/>
  <c r="D59" i="3"/>
  <c r="J61" i="3"/>
  <c r="Q21" i="1"/>
  <c r="D120" i="3"/>
  <c r="D204" i="3"/>
  <c r="D162" i="3"/>
  <c r="D246" i="3"/>
  <c r="D11" i="3"/>
  <c r="D53" i="3"/>
  <c r="J55" i="3"/>
  <c r="Q28" i="1"/>
  <c r="D127" i="3"/>
  <c r="D169" i="3"/>
  <c r="D253" i="3"/>
  <c r="D18" i="3"/>
  <c r="D60" i="3"/>
  <c r="J62" i="3"/>
  <c r="D211" i="3"/>
  <c r="Q35" i="1"/>
  <c r="D134" i="3"/>
  <c r="D218" i="3"/>
  <c r="D176" i="3"/>
  <c r="D260" i="3"/>
  <c r="D25" i="3"/>
  <c r="D67" i="3"/>
  <c r="J69" i="3"/>
  <c r="Q19" i="1"/>
  <c r="D118" i="3"/>
  <c r="D160" i="3"/>
  <c r="D244" i="3"/>
  <c r="D9" i="3"/>
  <c r="D51" i="3"/>
  <c r="J53" i="3"/>
  <c r="D202" i="3"/>
  <c r="Q29" i="1"/>
  <c r="D128" i="3"/>
  <c r="D170" i="3"/>
  <c r="D254" i="3"/>
  <c r="D19" i="3"/>
  <c r="D61" i="3"/>
  <c r="J63" i="3"/>
  <c r="D212" i="3"/>
  <c r="Q42" i="1"/>
  <c r="D141" i="3"/>
  <c r="D183" i="3"/>
  <c r="D267" i="3"/>
  <c r="D32" i="3"/>
  <c r="D74" i="3"/>
  <c r="J76" i="3"/>
  <c r="D225" i="3"/>
  <c r="Q55" i="1"/>
  <c r="D154" i="3"/>
  <c r="D196" i="3"/>
  <c r="D280" i="3"/>
  <c r="D45" i="3"/>
  <c r="D87" i="3"/>
  <c r="D238" i="3"/>
  <c r="Q44" i="1"/>
  <c r="D143" i="3"/>
  <c r="D227" i="3"/>
  <c r="D185" i="3"/>
  <c r="D269" i="3"/>
  <c r="D34" i="3"/>
  <c r="D76" i="3"/>
  <c r="J78" i="3"/>
  <c r="Q40" i="1"/>
  <c r="D139" i="3"/>
  <c r="D223" i="3"/>
  <c r="D181" i="3"/>
  <c r="D265" i="3"/>
  <c r="D30" i="3"/>
  <c r="D72" i="3"/>
  <c r="J74" i="3"/>
  <c r="Q52" i="1"/>
  <c r="D151" i="3"/>
  <c r="D235" i="3"/>
  <c r="D193" i="3"/>
  <c r="D277" i="3"/>
  <c r="D42" i="3"/>
  <c r="D84" i="3"/>
  <c r="J86" i="3"/>
  <c r="Q50" i="1"/>
  <c r="D149" i="3"/>
  <c r="D191" i="3"/>
  <c r="D275" i="3"/>
  <c r="D40" i="3"/>
  <c r="D82" i="3"/>
  <c r="J84" i="3"/>
  <c r="D233" i="3"/>
  <c r="Q26" i="1"/>
  <c r="D125" i="3"/>
  <c r="D167" i="3"/>
  <c r="D251" i="3"/>
  <c r="D16" i="3"/>
  <c r="D58" i="3"/>
  <c r="J60" i="3"/>
  <c r="D209" i="3"/>
  <c r="Q25" i="1"/>
  <c r="D124" i="3"/>
  <c r="D166" i="3"/>
  <c r="D250" i="3"/>
  <c r="D15" i="3"/>
  <c r="D57" i="3"/>
  <c r="J59" i="3"/>
  <c r="D208" i="3"/>
  <c r="Q24" i="1"/>
  <c r="D123" i="3"/>
  <c r="D165" i="3"/>
  <c r="D249" i="3"/>
  <c r="D14" i="3"/>
  <c r="D56" i="3"/>
  <c r="J58" i="3"/>
  <c r="D207" i="3"/>
  <c r="Q45" i="1"/>
  <c r="D144" i="3"/>
  <c r="D186" i="3"/>
  <c r="D270" i="3"/>
  <c r="D35" i="3"/>
  <c r="D77" i="3"/>
  <c r="J79" i="3"/>
  <c r="D228" i="3"/>
  <c r="Q39" i="1"/>
  <c r="D138" i="3"/>
  <c r="D222" i="3"/>
  <c r="D180" i="3"/>
  <c r="D264" i="3"/>
  <c r="D29" i="3"/>
  <c r="D71" i="3"/>
  <c r="J73" i="3"/>
  <c r="Q37" i="1"/>
  <c r="D136" i="3"/>
  <c r="D178" i="3"/>
  <c r="D262" i="3"/>
  <c r="D27" i="3"/>
  <c r="D69" i="3"/>
  <c r="J71" i="3"/>
  <c r="D220" i="3"/>
  <c r="Q30" i="1"/>
  <c r="D129" i="3"/>
  <c r="D213" i="3"/>
  <c r="D171" i="3"/>
  <c r="D255" i="3"/>
  <c r="D20" i="3"/>
  <c r="D62" i="3"/>
  <c r="J64" i="3"/>
  <c r="Q22" i="1"/>
  <c r="D121" i="3"/>
  <c r="D205" i="3"/>
  <c r="D163" i="3"/>
  <c r="D247" i="3"/>
  <c r="D12" i="3"/>
  <c r="D54" i="3"/>
  <c r="J56" i="3"/>
  <c r="Q36" i="1"/>
  <c r="D135" i="3"/>
  <c r="D219" i="3"/>
  <c r="D177" i="3"/>
  <c r="D261" i="3"/>
  <c r="D26" i="3"/>
  <c r="D68" i="3"/>
  <c r="J70" i="3"/>
  <c r="Q53" i="1"/>
  <c r="D152" i="3"/>
  <c r="D236" i="3"/>
  <c r="D194" i="3"/>
  <c r="D278" i="3"/>
  <c r="D43" i="3"/>
  <c r="D85" i="3"/>
  <c r="J87" i="3"/>
  <c r="Q49" i="1"/>
  <c r="D148" i="3"/>
  <c r="D232" i="3"/>
  <c r="D190" i="3"/>
  <c r="D274" i="3"/>
  <c r="D39" i="3"/>
  <c r="D81" i="3"/>
  <c r="J83" i="3"/>
  <c r="Q33" i="1"/>
  <c r="D132" i="3"/>
  <c r="D174" i="3"/>
  <c r="D258" i="3"/>
  <c r="D23" i="3"/>
  <c r="D65" i="3"/>
  <c r="J67" i="3"/>
  <c r="D216" i="3"/>
  <c r="Q38" i="1"/>
  <c r="D137" i="3"/>
  <c r="D179" i="3"/>
  <c r="D263" i="3"/>
  <c r="D28" i="3"/>
  <c r="D70" i="3"/>
  <c r="J72" i="3"/>
  <c r="D221" i="3"/>
  <c r="Q46" i="1"/>
  <c r="D145" i="3"/>
  <c r="D187" i="3"/>
  <c r="D271" i="3"/>
  <c r="D36" i="3"/>
  <c r="D78" i="3"/>
  <c r="J80" i="3"/>
  <c r="D229" i="3"/>
  <c r="Q18" i="1"/>
  <c r="D117" i="3"/>
  <c r="D201" i="3"/>
  <c r="D159" i="3"/>
  <c r="D243" i="3"/>
  <c r="D8" i="3"/>
  <c r="D50" i="3"/>
  <c r="Q48" i="1"/>
  <c r="D147" i="3"/>
  <c r="D231" i="3"/>
  <c r="D189" i="3"/>
  <c r="D273" i="3"/>
  <c r="D38" i="3"/>
  <c r="D80" i="3"/>
  <c r="J82" i="3"/>
  <c r="Q23" i="1"/>
  <c r="D122" i="3"/>
  <c r="D206" i="3"/>
  <c r="D164" i="3"/>
  <c r="D248" i="3"/>
  <c r="D13" i="3"/>
  <c r="D55" i="3"/>
  <c r="J57" i="3"/>
  <c r="Q47" i="1"/>
  <c r="D146" i="3"/>
  <c r="D188" i="3"/>
  <c r="D272" i="3"/>
  <c r="D37" i="3"/>
  <c r="D79" i="3"/>
  <c r="J81" i="3"/>
  <c r="D230" i="3"/>
  <c r="Q31" i="1"/>
  <c r="D130" i="3"/>
  <c r="D172" i="3"/>
  <c r="D256" i="3"/>
  <c r="D21" i="3"/>
  <c r="D63" i="3"/>
  <c r="J65" i="3"/>
  <c r="D214" i="3"/>
  <c r="Q20" i="1"/>
  <c r="D119" i="3"/>
  <c r="D161" i="3"/>
  <c r="D245" i="3"/>
  <c r="D10" i="3"/>
  <c r="D52" i="3"/>
  <c r="J54" i="3"/>
  <c r="D203" i="3"/>
  <c r="Q51" i="1"/>
  <c r="D150" i="3"/>
  <c r="D192" i="3"/>
  <c r="D276" i="3"/>
  <c r="D41" i="3"/>
  <c r="D83" i="3"/>
  <c r="J85" i="3"/>
  <c r="D234" i="3"/>
  <c r="J131" i="3"/>
  <c r="K131" i="3"/>
  <c r="J141" i="3"/>
  <c r="K141" i="3"/>
  <c r="J147" i="3"/>
  <c r="K147" i="3"/>
  <c r="J139" i="3"/>
  <c r="K139" i="3"/>
  <c r="J120" i="3"/>
  <c r="K120" i="3"/>
  <c r="H117" i="3" a="1"/>
  <c r="H132" i="3"/>
  <c r="H120" i="3"/>
  <c r="H146" i="3"/>
  <c r="H131" i="3"/>
  <c r="H139" i="3"/>
  <c r="H125" i="3"/>
  <c r="H127" i="3"/>
  <c r="H135" i="3"/>
  <c r="H150" i="3"/>
  <c r="H124" i="3"/>
  <c r="H147" i="3"/>
  <c r="H141" i="3"/>
  <c r="H149" i="3"/>
  <c r="H151" i="3"/>
  <c r="H117" i="3"/>
  <c r="H138" i="3"/>
  <c r="H137" i="3"/>
  <c r="H143" i="3"/>
  <c r="H133" i="3"/>
  <c r="H130" i="3"/>
  <c r="H136" i="3"/>
  <c r="H128" i="3"/>
  <c r="H153" i="3"/>
  <c r="H142" i="3"/>
  <c r="H154" i="3"/>
  <c r="H152" i="3"/>
  <c r="H145" i="3"/>
  <c r="H121" i="3"/>
  <c r="H140" i="3"/>
  <c r="H119" i="3"/>
  <c r="H122" i="3"/>
  <c r="H123" i="3"/>
  <c r="H129" i="3"/>
  <c r="H144" i="3"/>
  <c r="H134" i="3"/>
  <c r="H148" i="3"/>
  <c r="H126" i="3"/>
  <c r="H118" i="3"/>
  <c r="J150" i="3"/>
  <c r="K150" i="3"/>
  <c r="J142" i="3"/>
  <c r="K142" i="3"/>
  <c r="J146" i="3"/>
  <c r="K146" i="3"/>
  <c r="J123" i="3"/>
  <c r="K123" i="3"/>
  <c r="S18" i="1" a="1"/>
  <c r="S36" i="1"/>
  <c r="U36" i="1"/>
  <c r="S28" i="1"/>
  <c r="U28" i="1"/>
  <c r="S49" i="1"/>
  <c r="U49" i="1"/>
  <c r="S19" i="1"/>
  <c r="U19" i="1"/>
  <c r="S48" i="1"/>
  <c r="U48" i="1"/>
  <c r="S26" i="1"/>
  <c r="U26" i="1"/>
  <c r="S45" i="1"/>
  <c r="U45" i="1"/>
  <c r="S38" i="1"/>
  <c r="U38" i="1"/>
  <c r="S34" i="1"/>
  <c r="U34" i="1"/>
  <c r="S44" i="1"/>
  <c r="U44" i="1"/>
  <c r="S52" i="1"/>
  <c r="U52" i="1"/>
  <c r="S24" i="1"/>
  <c r="U24" i="1"/>
  <c r="S47" i="1"/>
  <c r="U47" i="1"/>
  <c r="S22" i="1"/>
  <c r="U22" i="1"/>
  <c r="S54" i="1"/>
  <c r="U54" i="1"/>
  <c r="S50" i="1"/>
  <c r="U50" i="1"/>
  <c r="S33" i="1"/>
  <c r="U33" i="1"/>
  <c r="S43" i="1"/>
  <c r="U43" i="1"/>
  <c r="S37" i="1"/>
  <c r="U37" i="1"/>
  <c r="S53" i="1"/>
  <c r="U53" i="1"/>
  <c r="S51" i="1"/>
  <c r="U51" i="1"/>
  <c r="S41" i="1"/>
  <c r="U41" i="1"/>
  <c r="S39" i="1"/>
  <c r="U39" i="1"/>
  <c r="S55" i="1"/>
  <c r="U55" i="1"/>
  <c r="S25" i="1"/>
  <c r="U25" i="1"/>
  <c r="S35" i="1"/>
  <c r="U35" i="1"/>
  <c r="S23" i="1"/>
  <c r="U23" i="1"/>
  <c r="S46" i="1"/>
  <c r="U46" i="1"/>
  <c r="S29" i="1"/>
  <c r="U29" i="1"/>
  <c r="S27" i="1"/>
  <c r="U27" i="1"/>
  <c r="S30" i="1"/>
  <c r="U30" i="1"/>
  <c r="S21" i="1"/>
  <c r="U21" i="1"/>
  <c r="S40" i="1"/>
  <c r="U40" i="1"/>
  <c r="S32" i="1"/>
  <c r="U32" i="1"/>
  <c r="S42" i="1"/>
  <c r="U42" i="1"/>
  <c r="S31" i="1"/>
  <c r="U31" i="1"/>
  <c r="S20" i="1"/>
  <c r="U20" i="1"/>
  <c r="S18" i="1"/>
  <c r="U18" i="1"/>
  <c r="J132" i="3"/>
  <c r="K132" i="3"/>
  <c r="J117" i="3"/>
  <c r="K117" i="3"/>
  <c r="R5" i="1"/>
  <c r="J124" i="3"/>
  <c r="K124" i="3"/>
  <c r="J148" i="3"/>
  <c r="K148" i="3"/>
  <c r="J137" i="3"/>
  <c r="K137" i="3"/>
  <c r="J122" i="3"/>
  <c r="K122" i="3"/>
  <c r="J144" i="3"/>
  <c r="K144" i="3"/>
  <c r="J153" i="3"/>
  <c r="K153" i="3"/>
  <c r="J125" i="3"/>
  <c r="K125" i="3"/>
  <c r="J133" i="3"/>
  <c r="K133" i="3"/>
  <c r="J145" i="3"/>
  <c r="K145" i="3"/>
  <c r="J140" i="3"/>
  <c r="K140" i="3"/>
  <c r="W3" i="7"/>
  <c r="T8" i="7"/>
  <c r="R18" i="1" a="1"/>
  <c r="R40" i="1"/>
  <c r="R46" i="1"/>
  <c r="R55" i="1"/>
  <c r="R23" i="1"/>
  <c r="R33" i="1"/>
  <c r="R34" i="1"/>
  <c r="R19" i="1"/>
  <c r="R27" i="1"/>
  <c r="R24" i="1"/>
  <c r="R30" i="1"/>
  <c r="R54" i="1"/>
  <c r="R35" i="1"/>
  <c r="R18" i="1"/>
  <c r="R49" i="1"/>
  <c r="R29" i="1"/>
  <c r="R50" i="1"/>
  <c r="R48" i="1"/>
  <c r="R22" i="1"/>
  <c r="R51" i="1"/>
  <c r="R52" i="1"/>
  <c r="R37" i="1"/>
  <c r="R43" i="1"/>
  <c r="R25" i="1"/>
  <c r="R38" i="1"/>
  <c r="R39" i="1"/>
  <c r="R41" i="1"/>
  <c r="R20" i="1"/>
  <c r="R26" i="1"/>
  <c r="R28" i="1"/>
  <c r="R47" i="1"/>
  <c r="R32" i="1"/>
  <c r="R36" i="1"/>
  <c r="R45" i="1"/>
  <c r="R21" i="1"/>
  <c r="R44" i="1"/>
  <c r="R53" i="1"/>
  <c r="R31" i="1"/>
  <c r="R42" i="1"/>
  <c r="J130" i="3"/>
  <c r="K130" i="3"/>
  <c r="J151" i="3"/>
  <c r="K151" i="3"/>
  <c r="J134" i="3"/>
  <c r="K134" i="3"/>
  <c r="J152" i="3"/>
  <c r="K152" i="3"/>
  <c r="J135" i="3"/>
  <c r="K135" i="3"/>
  <c r="J126" i="3"/>
  <c r="K126" i="3"/>
  <c r="J143" i="3"/>
  <c r="K143" i="3"/>
  <c r="J118" i="3"/>
  <c r="K118" i="3"/>
  <c r="J138" i="3"/>
  <c r="K138" i="3"/>
  <c r="J128" i="3"/>
  <c r="K128" i="3"/>
  <c r="J121" i="3"/>
  <c r="K121" i="3"/>
  <c r="J127" i="3"/>
  <c r="K127" i="3"/>
  <c r="J136" i="3"/>
  <c r="K136" i="3"/>
  <c r="W4" i="7"/>
  <c r="J119" i="3"/>
  <c r="K119" i="3"/>
  <c r="J129" i="3"/>
  <c r="K129" i="3"/>
  <c r="F117" i="3" a="1"/>
  <c r="F138" i="3"/>
  <c r="L139" i="3"/>
  <c r="F148" i="3"/>
  <c r="L149" i="3"/>
  <c r="F118" i="3"/>
  <c r="F139" i="3"/>
  <c r="L140" i="3"/>
  <c r="F117" i="3"/>
  <c r="F151" i="3"/>
  <c r="L152" i="3"/>
  <c r="F134" i="3"/>
  <c r="L135" i="3"/>
  <c r="F143" i="3"/>
  <c r="L144" i="3"/>
  <c r="F154" i="3"/>
  <c r="F152" i="3"/>
  <c r="L153" i="3"/>
  <c r="F144" i="3"/>
  <c r="L145" i="3"/>
  <c r="F121" i="3"/>
  <c r="L122" i="3"/>
  <c r="F147" i="3"/>
  <c r="L148" i="3"/>
  <c r="F137" i="3"/>
  <c r="L138" i="3"/>
  <c r="F128" i="3"/>
  <c r="L129" i="3"/>
  <c r="F146" i="3"/>
  <c r="L147" i="3"/>
  <c r="F153" i="3"/>
  <c r="L154" i="3"/>
  <c r="F126" i="3"/>
  <c r="L127" i="3"/>
  <c r="F123" i="3"/>
  <c r="L124" i="3"/>
  <c r="F136" i="3"/>
  <c r="L137" i="3"/>
  <c r="F132" i="3"/>
  <c r="L133" i="3"/>
  <c r="F120" i="3"/>
  <c r="L121" i="3"/>
  <c r="F129" i="3"/>
  <c r="L130" i="3"/>
  <c r="F131" i="3"/>
  <c r="L132" i="3"/>
  <c r="F122" i="3"/>
  <c r="L123" i="3"/>
  <c r="F130" i="3"/>
  <c r="L131" i="3"/>
  <c r="F140" i="3"/>
  <c r="L141" i="3"/>
  <c r="F145" i="3"/>
  <c r="L146" i="3"/>
  <c r="F125" i="3"/>
  <c r="L126" i="3"/>
  <c r="F119" i="3"/>
  <c r="L120" i="3"/>
  <c r="F141" i="3"/>
  <c r="L142" i="3"/>
  <c r="F142" i="3"/>
  <c r="L143" i="3"/>
  <c r="F127" i="3"/>
  <c r="L128" i="3"/>
  <c r="F124" i="3"/>
  <c r="L125" i="3"/>
  <c r="F133" i="3"/>
  <c r="L134" i="3"/>
  <c r="F149" i="3"/>
  <c r="L150" i="3"/>
  <c r="F150" i="3"/>
  <c r="L151" i="3"/>
  <c r="F135" i="3"/>
  <c r="L136" i="3"/>
  <c r="J149" i="3"/>
  <c r="K149" i="3"/>
  <c r="T20" i="7"/>
  <c r="P16" i="7"/>
  <c r="T27" i="7"/>
  <c r="T36" i="7"/>
  <c r="T37" i="7"/>
  <c r="T35" i="7"/>
  <c r="T26" i="7"/>
  <c r="T25" i="7"/>
  <c r="T29" i="7"/>
  <c r="T24" i="7"/>
  <c r="T38" i="7"/>
  <c r="T28" i="7"/>
  <c r="T39" i="7"/>
  <c r="T31" i="7"/>
  <c r="T32" i="7"/>
  <c r="T22" i="7"/>
  <c r="T34" i="7"/>
  <c r="T30" i="7"/>
  <c r="T33" i="7"/>
  <c r="T23" i="7"/>
  <c r="T21" i="7"/>
  <c r="R4" i="14"/>
  <c r="Q19" i="14" a="1"/>
  <c r="Q25" i="14"/>
  <c r="Q21" i="14"/>
  <c r="Q44" i="14"/>
  <c r="Q24" i="14"/>
  <c r="Q41" i="14"/>
  <c r="Q22" i="14"/>
  <c r="Q49" i="14"/>
  <c r="Q39" i="14"/>
  <c r="Q53" i="14"/>
  <c r="Q32" i="14"/>
  <c r="Q34" i="14"/>
  <c r="Q54" i="14"/>
  <c r="Q38" i="14"/>
  <c r="Q29" i="14"/>
  <c r="Q42" i="14"/>
  <c r="Q46" i="14"/>
  <c r="Q37" i="14"/>
  <c r="Q31" i="14"/>
  <c r="Q50" i="14"/>
  <c r="Q47" i="14"/>
  <c r="Q43" i="14"/>
  <c r="Q30" i="14"/>
  <c r="Q36" i="14"/>
  <c r="Q40" i="14"/>
  <c r="Q23" i="14"/>
  <c r="Q45" i="14"/>
  <c r="Q26" i="14"/>
  <c r="Q51" i="14"/>
  <c r="Q33" i="14"/>
  <c r="Q19" i="14"/>
  <c r="Q56" i="14"/>
  <c r="Q27" i="14"/>
  <c r="Q48" i="14"/>
  <c r="Q55" i="14"/>
  <c r="Q20" i="14"/>
  <c r="Q35" i="14"/>
  <c r="Q52" i="14"/>
  <c r="Q28" i="14"/>
  <c r="F157" i="3"/>
  <c r="J12" i="5"/>
  <c r="AE15" i="16"/>
  <c r="AA12" i="7"/>
  <c r="Z12" i="7"/>
  <c r="AC14" i="7"/>
  <c r="J12" i="17"/>
  <c r="AE15" i="19"/>
  <c r="R5" i="14"/>
  <c r="R19" i="14" a="1"/>
  <c r="R35" i="14"/>
  <c r="R51" i="14"/>
  <c r="R28" i="14"/>
  <c r="R37" i="14"/>
  <c r="R33" i="14"/>
  <c r="R34" i="14"/>
  <c r="R48" i="14"/>
  <c r="R19" i="14"/>
  <c r="R55" i="14"/>
  <c r="R26" i="14"/>
  <c r="R43" i="14"/>
  <c r="R49" i="14"/>
  <c r="R44" i="14"/>
  <c r="R40" i="14"/>
  <c r="R24" i="14"/>
  <c r="R38" i="14"/>
  <c r="R39" i="14"/>
  <c r="R47" i="14"/>
  <c r="R29" i="14"/>
  <c r="R41" i="14"/>
  <c r="R45" i="14"/>
  <c r="R54" i="14"/>
  <c r="R25" i="14"/>
  <c r="R32" i="14"/>
  <c r="R23" i="14"/>
  <c r="R20" i="14"/>
  <c r="R52" i="14"/>
  <c r="R56" i="14"/>
  <c r="R53" i="14"/>
  <c r="R46" i="14"/>
  <c r="R21" i="14"/>
  <c r="R22" i="14"/>
  <c r="R31" i="14"/>
  <c r="R30" i="14"/>
  <c r="R27" i="14"/>
  <c r="R50" i="14"/>
  <c r="R36" i="14"/>
  <c r="R42" i="14"/>
  <c r="F47" i="17"/>
  <c r="M47" i="17"/>
  <c r="F50" i="17"/>
  <c r="M50" i="17"/>
  <c r="F53" i="17"/>
  <c r="M53" i="17"/>
  <c r="F37" i="17"/>
  <c r="M37" i="17"/>
  <c r="F40" i="17"/>
  <c r="M40" i="17"/>
  <c r="Z13" i="7"/>
  <c r="F51" i="5"/>
  <c r="M51" i="5"/>
  <c r="F54" i="5"/>
  <c r="M54" i="5"/>
  <c r="F38" i="5"/>
  <c r="M38" i="5"/>
  <c r="F37" i="5"/>
  <c r="M37" i="5"/>
  <c r="F40" i="5"/>
  <c r="M40" i="5"/>
  <c r="S19" i="14" a="1"/>
  <c r="S46" i="14"/>
  <c r="S49" i="14"/>
  <c r="S54" i="14"/>
  <c r="S32" i="14"/>
  <c r="S55" i="14"/>
  <c r="S37" i="14"/>
  <c r="S24" i="14"/>
  <c r="S53" i="14"/>
  <c r="S20" i="14"/>
  <c r="S30" i="14"/>
  <c r="S34" i="14"/>
  <c r="S28" i="14"/>
  <c r="S39" i="14"/>
  <c r="S40" i="14"/>
  <c r="S23" i="14"/>
  <c r="S29" i="14"/>
  <c r="S43" i="14"/>
  <c r="S27" i="14"/>
  <c r="S22" i="14"/>
  <c r="S38" i="14"/>
  <c r="S21" i="14"/>
  <c r="S52" i="14"/>
  <c r="S26" i="14"/>
  <c r="S25" i="14"/>
  <c r="S42" i="14"/>
  <c r="S44" i="14"/>
  <c r="S50" i="14"/>
  <c r="S56" i="14"/>
  <c r="S48" i="14"/>
  <c r="S33" i="14"/>
  <c r="S31" i="14"/>
  <c r="S19" i="14"/>
  <c r="S45" i="14"/>
  <c r="S36" i="14"/>
  <c r="S51" i="14"/>
  <c r="S41" i="14"/>
  <c r="S35" i="14"/>
  <c r="S47" i="14"/>
  <c r="G38" i="5"/>
  <c r="G37" i="5"/>
  <c r="G40" i="5"/>
  <c r="F38" i="17"/>
  <c r="M38" i="17"/>
  <c r="AC18" i="7"/>
  <c r="F42" i="5"/>
  <c r="M42" i="5"/>
  <c r="H159" i="3" a="1"/>
  <c r="H181" i="3"/>
  <c r="H172" i="3"/>
  <c r="H173" i="3"/>
  <c r="H162" i="3"/>
  <c r="H186" i="3"/>
  <c r="H168" i="3"/>
  <c r="H165" i="3"/>
  <c r="H183" i="3"/>
  <c r="H167" i="3"/>
  <c r="H177" i="3"/>
  <c r="H176" i="3"/>
  <c r="H193" i="3"/>
  <c r="H175" i="3"/>
  <c r="H159" i="3"/>
  <c r="H182" i="3"/>
  <c r="H163" i="3"/>
  <c r="C161" i="3"/>
  <c r="G159" i="3" a="1"/>
  <c r="G163" i="3"/>
  <c r="I163" i="3"/>
  <c r="H160" i="3"/>
  <c r="H185" i="3"/>
  <c r="H179" i="3"/>
  <c r="H180" i="3"/>
  <c r="H190" i="3"/>
  <c r="H164" i="3"/>
  <c r="H161" i="3"/>
  <c r="G161" i="3"/>
  <c r="I161" i="3"/>
  <c r="H166" i="3"/>
  <c r="G166" i="3"/>
  <c r="I166" i="3"/>
  <c r="H174" i="3"/>
  <c r="H195" i="3"/>
  <c r="H194" i="3"/>
  <c r="H188" i="3"/>
  <c r="H189" i="3"/>
  <c r="H191" i="3"/>
  <c r="H187" i="3"/>
  <c r="H196" i="3"/>
  <c r="H171" i="3"/>
  <c r="H184" i="3"/>
  <c r="H170" i="3"/>
  <c r="H178" i="3"/>
  <c r="H192" i="3"/>
  <c r="H169" i="3"/>
  <c r="G42" i="5"/>
  <c r="F43" i="17"/>
  <c r="M43" i="17"/>
  <c r="F46" i="17"/>
  <c r="M46" i="17"/>
  <c r="F49" i="17"/>
  <c r="G49" i="17"/>
  <c r="M49" i="17"/>
  <c r="F52" i="17"/>
  <c r="M52" i="17"/>
  <c r="F36" i="17"/>
  <c r="M36" i="17"/>
  <c r="AE16" i="16"/>
  <c r="AI16" i="16"/>
  <c r="F47" i="5"/>
  <c r="M47" i="5"/>
  <c r="F50" i="5"/>
  <c r="M50" i="5"/>
  <c r="F53" i="5"/>
  <c r="M53" i="5"/>
  <c r="F52" i="5"/>
  <c r="M52" i="5"/>
  <c r="F36" i="5"/>
  <c r="M36" i="5"/>
  <c r="G38" i="17"/>
  <c r="G51" i="5"/>
  <c r="G50" i="5"/>
  <c r="G53" i="5"/>
  <c r="E59" i="5"/>
  <c r="G52" i="5"/>
  <c r="G36" i="5"/>
  <c r="G19" i="5"/>
  <c r="F54" i="17"/>
  <c r="G54" i="17"/>
  <c r="M54" i="17"/>
  <c r="F44" i="17"/>
  <c r="G44" i="17"/>
  <c r="M44" i="17"/>
  <c r="F55" i="5"/>
  <c r="M55" i="5"/>
  <c r="F41" i="5"/>
  <c r="M41" i="5"/>
  <c r="G43" i="17"/>
  <c r="G36" i="17"/>
  <c r="G19" i="17"/>
  <c r="AE16" i="19"/>
  <c r="AI16" i="19"/>
  <c r="F39" i="17"/>
  <c r="G39" i="17"/>
  <c r="M39" i="17"/>
  <c r="F42" i="17"/>
  <c r="G42" i="17"/>
  <c r="M42" i="17"/>
  <c r="F45" i="17"/>
  <c r="G45" i="17"/>
  <c r="M45" i="17"/>
  <c r="F48" i="17"/>
  <c r="G48" i="17"/>
  <c r="M48" i="17"/>
  <c r="N22" i="7" a="1"/>
  <c r="N175" i="7"/>
  <c r="N297" i="7"/>
  <c r="N229" i="7"/>
  <c r="N280" i="7"/>
  <c r="N318" i="7"/>
  <c r="N58" i="7"/>
  <c r="N25" i="7"/>
  <c r="N118" i="7"/>
  <c r="N251" i="7"/>
  <c r="N284" i="7"/>
  <c r="N95" i="7"/>
  <c r="N112" i="7"/>
  <c r="N149" i="7"/>
  <c r="N75" i="7"/>
  <c r="N150" i="7"/>
  <c r="N215" i="7"/>
  <c r="N191" i="7"/>
  <c r="N212" i="7"/>
  <c r="N341" i="7"/>
  <c r="N200" i="7"/>
  <c r="N89" i="7"/>
  <c r="N304" i="7"/>
  <c r="N136" i="7"/>
  <c r="N234" i="7"/>
  <c r="N267" i="7"/>
  <c r="N50" i="7"/>
  <c r="N194" i="7"/>
  <c r="N77" i="7"/>
  <c r="N59" i="7"/>
  <c r="N289" i="7"/>
  <c r="N97" i="7"/>
  <c r="N109" i="7"/>
  <c r="N73" i="7"/>
  <c r="N72" i="7"/>
  <c r="N321" i="7"/>
  <c r="N309" i="7"/>
  <c r="N91" i="7"/>
  <c r="N139" i="7"/>
  <c r="N31" i="7"/>
  <c r="N61" i="7"/>
  <c r="N296" i="7"/>
  <c r="N343" i="7"/>
  <c r="N201" i="7"/>
  <c r="N143" i="7"/>
  <c r="N336" i="7"/>
  <c r="N277" i="7"/>
  <c r="N40" i="7"/>
  <c r="N142" i="7"/>
  <c r="N176" i="7"/>
  <c r="N66" i="7"/>
  <c r="N271" i="7"/>
  <c r="N255" i="7"/>
  <c r="N122" i="7"/>
  <c r="N278" i="7"/>
  <c r="N39" i="7"/>
  <c r="N209" i="7"/>
  <c r="N186" i="7"/>
  <c r="N106" i="7"/>
  <c r="N258" i="7"/>
  <c r="N177" i="7"/>
  <c r="N223" i="7"/>
  <c r="N203" i="7"/>
  <c r="N123" i="7"/>
  <c r="N128" i="7"/>
  <c r="N188" i="7"/>
  <c r="N79" i="7"/>
  <c r="N294" i="7"/>
  <c r="N87" i="7"/>
  <c r="N151" i="7"/>
  <c r="N329" i="7"/>
  <c r="N133" i="7"/>
  <c r="N273" i="7"/>
  <c r="N344" i="7"/>
  <c r="N165" i="7"/>
  <c r="N253" i="7"/>
  <c r="N104" i="7"/>
  <c r="N180" i="7"/>
  <c r="N265" i="7"/>
  <c r="N291" i="7"/>
  <c r="N245" i="7"/>
  <c r="N120" i="7"/>
  <c r="N132" i="7"/>
  <c r="N246" i="7"/>
  <c r="N54" i="7"/>
  <c r="N101" i="7"/>
  <c r="N138" i="7"/>
  <c r="N81" i="7"/>
  <c r="N281" i="7"/>
  <c r="N42" i="7"/>
  <c r="N261" i="7"/>
  <c r="N184" i="7"/>
  <c r="N283" i="7"/>
  <c r="N119" i="7"/>
  <c r="N340" i="7"/>
  <c r="N219" i="7"/>
  <c r="N86" i="7"/>
  <c r="N303" i="7"/>
  <c r="N270" i="7"/>
  <c r="N108" i="7"/>
  <c r="N326" i="7"/>
  <c r="N204" i="7"/>
  <c r="N157" i="7"/>
  <c r="N333" i="7"/>
  <c r="N217" i="7"/>
  <c r="N52" i="7"/>
  <c r="N174" i="7"/>
  <c r="N129" i="7"/>
  <c r="N76" i="7"/>
  <c r="N29" i="7"/>
  <c r="N115" i="7"/>
  <c r="N85" i="7"/>
  <c r="N231" i="7"/>
  <c r="N249" i="7"/>
  <c r="N189" i="7"/>
  <c r="N225" i="7"/>
  <c r="N244" i="7"/>
  <c r="N224" i="7"/>
  <c r="N117" i="7"/>
  <c r="N159" i="7"/>
  <c r="N71" i="7"/>
  <c r="N63" i="7"/>
  <c r="N199" i="7"/>
  <c r="N160" i="7"/>
  <c r="N221" i="7"/>
  <c r="N257" i="7"/>
  <c r="N276" i="7"/>
  <c r="N240" i="7"/>
  <c r="N312" i="7"/>
  <c r="N220" i="7"/>
  <c r="N45" i="7"/>
  <c r="N36" i="7"/>
  <c r="N94" i="7"/>
  <c r="N179" i="7"/>
  <c r="N102" i="7"/>
  <c r="N292" i="7"/>
  <c r="N23" i="7"/>
  <c r="N167" i="7"/>
  <c r="N314" i="7"/>
  <c r="N226" i="7"/>
  <c r="N285" i="7"/>
  <c r="N308" i="7"/>
  <c r="N67" i="7"/>
  <c r="N337" i="7"/>
  <c r="N260" i="7"/>
  <c r="N310" i="7"/>
  <c r="N161" i="7"/>
  <c r="N124" i="7"/>
  <c r="N256" i="7"/>
  <c r="N313" i="7"/>
  <c r="N164" i="7"/>
  <c r="N153" i="7"/>
  <c r="N236" i="7"/>
  <c r="N170" i="7"/>
  <c r="N205" i="7"/>
  <c r="N30" i="7"/>
  <c r="N197" i="7"/>
  <c r="N64" i="7"/>
  <c r="N238" i="7"/>
  <c r="N311" i="7"/>
  <c r="N327" i="7"/>
  <c r="N339" i="7"/>
  <c r="N34" i="7"/>
  <c r="N96" i="7"/>
  <c r="N70" i="7"/>
  <c r="N282" i="7"/>
  <c r="N33" i="7"/>
  <c r="N207" i="7"/>
  <c r="N60" i="7"/>
  <c r="N47" i="7"/>
  <c r="N266" i="7"/>
  <c r="N92" i="7"/>
  <c r="N182" i="7"/>
  <c r="N287" i="7"/>
  <c r="N148" i="7"/>
  <c r="N250" i="7"/>
  <c r="N125" i="7"/>
  <c r="N187" i="7"/>
  <c r="N53" i="7"/>
  <c r="N305" i="7"/>
  <c r="N162" i="7"/>
  <c r="N338" i="7"/>
  <c r="N300" i="7"/>
  <c r="N228" i="7"/>
  <c r="N166" i="7"/>
  <c r="N315" i="7"/>
  <c r="N107" i="7"/>
  <c r="N163" i="7"/>
  <c r="N306" i="7"/>
  <c r="N147" i="7"/>
  <c r="N56" i="7"/>
  <c r="N57" i="7"/>
  <c r="N268" i="7"/>
  <c r="N69" i="7"/>
  <c r="N324" i="7"/>
  <c r="N100" i="7"/>
  <c r="N299" i="7"/>
  <c r="N196" i="7"/>
  <c r="N262" i="7"/>
  <c r="N135" i="7"/>
  <c r="N110" i="7"/>
  <c r="N288" i="7"/>
  <c r="N328" i="7"/>
  <c r="N26" i="7"/>
  <c r="N248" i="7"/>
  <c r="N171" i="7"/>
  <c r="N241" i="7"/>
  <c r="N237" i="7"/>
  <c r="N137" i="7"/>
  <c r="N211" i="7"/>
  <c r="N114" i="7"/>
  <c r="N28" i="7"/>
  <c r="N290" i="7"/>
  <c r="N131" i="7"/>
  <c r="N48" i="7"/>
  <c r="N37" i="7"/>
  <c r="N44" i="7"/>
  <c r="N49" i="7"/>
  <c r="N274" i="7"/>
  <c r="N183" i="7"/>
  <c r="N158" i="7"/>
  <c r="N144" i="7"/>
  <c r="N208" i="7"/>
  <c r="N293" i="7"/>
  <c r="N302" i="7"/>
  <c r="N239" i="7"/>
  <c r="N93" i="7"/>
  <c r="N269" i="7"/>
  <c r="N169" i="7"/>
  <c r="N233" i="7"/>
  <c r="N178" i="7"/>
  <c r="N193" i="7"/>
  <c r="N342" i="7"/>
  <c r="N195" i="7"/>
  <c r="N98" i="7"/>
  <c r="N320" i="7"/>
  <c r="N90" i="7"/>
  <c r="N24" i="7"/>
  <c r="N298" i="7"/>
  <c r="N222" i="7"/>
  <c r="N206" i="7"/>
  <c r="N192" i="7"/>
  <c r="N41" i="7"/>
  <c r="N232" i="7"/>
  <c r="N145" i="7"/>
  <c r="N82" i="7"/>
  <c r="N190" i="7"/>
  <c r="N323" i="7"/>
  <c r="N332" i="7"/>
  <c r="N275" i="7"/>
  <c r="N295" i="7"/>
  <c r="N126" i="7"/>
  <c r="N216" i="7"/>
  <c r="N272" i="7"/>
  <c r="N252" i="7"/>
  <c r="N140" i="7"/>
  <c r="N62" i="7"/>
  <c r="N32" i="7"/>
  <c r="N155" i="7"/>
  <c r="N74" i="7"/>
  <c r="N113" i="7"/>
  <c r="N154" i="7"/>
  <c r="N317" i="7"/>
  <c r="N235" i="7"/>
  <c r="N99" i="7"/>
  <c r="N264" i="7"/>
  <c r="N331" i="7"/>
  <c r="N286" i="7"/>
  <c r="N116" i="7"/>
  <c r="N247" i="7"/>
  <c r="N214" i="7"/>
  <c r="N51" i="7"/>
  <c r="N105" i="7"/>
  <c r="N227" i="7"/>
  <c r="N134" i="7"/>
  <c r="N68" i="7"/>
  <c r="N146" i="7"/>
  <c r="N121" i="7"/>
  <c r="N330" i="7"/>
  <c r="N230" i="7"/>
  <c r="N301" i="7"/>
  <c r="N55" i="7"/>
  <c r="N83" i="7"/>
  <c r="N127" i="7"/>
  <c r="N322" i="7"/>
  <c r="N334" i="7"/>
  <c r="N307" i="7"/>
  <c r="N152" i="7"/>
  <c r="N130" i="7"/>
  <c r="N263" i="7"/>
  <c r="N319" i="7"/>
  <c r="N172" i="7"/>
  <c r="N335" i="7"/>
  <c r="N243" i="7"/>
  <c r="N198" i="7"/>
  <c r="N213" i="7"/>
  <c r="N88" i="7"/>
  <c r="N43" i="7"/>
  <c r="N80" i="7"/>
  <c r="N242" i="7"/>
  <c r="N22" i="7"/>
  <c r="N46" i="7"/>
  <c r="N38" i="7"/>
  <c r="N84" i="7"/>
  <c r="N202" i="7"/>
  <c r="N35" i="7"/>
  <c r="N218" i="7"/>
  <c r="N210" i="7"/>
  <c r="N65" i="7"/>
  <c r="N279" i="7"/>
  <c r="N111" i="7"/>
  <c r="N316" i="7"/>
  <c r="N27" i="7"/>
  <c r="N259" i="7"/>
  <c r="N325" i="7"/>
  <c r="N156" i="7"/>
  <c r="N181" i="7"/>
  <c r="N168" i="7"/>
  <c r="N173" i="7"/>
  <c r="N254" i="7"/>
  <c r="N103" i="7"/>
  <c r="N78" i="7"/>
  <c r="N185" i="7"/>
  <c r="N141" i="7"/>
  <c r="F49" i="5"/>
  <c r="G49" i="5"/>
  <c r="M49" i="5"/>
  <c r="F43" i="5"/>
  <c r="G43" i="5"/>
  <c r="M43" i="5"/>
  <c r="F46" i="5"/>
  <c r="M46" i="5"/>
  <c r="F45" i="5"/>
  <c r="M45" i="5"/>
  <c r="F48" i="5"/>
  <c r="M48" i="5"/>
  <c r="F159" i="3" a="1"/>
  <c r="F178" i="3"/>
  <c r="F181" i="3"/>
  <c r="F159" i="3"/>
  <c r="F186" i="3"/>
  <c r="F180" i="3"/>
  <c r="F190" i="3"/>
  <c r="F193" i="3"/>
  <c r="F184" i="3"/>
  <c r="F176" i="3"/>
  <c r="F194" i="3"/>
  <c r="F196" i="3"/>
  <c r="F166" i="3"/>
  <c r="F192" i="3"/>
  <c r="F162" i="3"/>
  <c r="F191" i="3"/>
  <c r="F163" i="3"/>
  <c r="F185" i="3"/>
  <c r="F164" i="3"/>
  <c r="F168" i="3"/>
  <c r="F188" i="3"/>
  <c r="F179" i="3"/>
  <c r="F165" i="3"/>
  <c r="F169" i="3"/>
  <c r="F160" i="3"/>
  <c r="F172" i="3"/>
  <c r="F161" i="3"/>
  <c r="F167" i="3"/>
  <c r="F171" i="3"/>
  <c r="F174" i="3"/>
  <c r="F173" i="3"/>
  <c r="F183" i="3"/>
  <c r="F177" i="3"/>
  <c r="F195" i="3"/>
  <c r="F170" i="3"/>
  <c r="F175" i="3"/>
  <c r="F189" i="3"/>
  <c r="F182" i="3"/>
  <c r="F187" i="3"/>
  <c r="G47" i="17"/>
  <c r="G50" i="17"/>
  <c r="G53" i="17"/>
  <c r="E59" i="17"/>
  <c r="G37" i="17"/>
  <c r="G40" i="17"/>
  <c r="G47" i="5"/>
  <c r="G46" i="5"/>
  <c r="G45" i="5"/>
  <c r="G48" i="5"/>
  <c r="F51" i="17"/>
  <c r="G51" i="17"/>
  <c r="M51" i="17"/>
  <c r="F41" i="17"/>
  <c r="G41" i="17"/>
  <c r="M41" i="17"/>
  <c r="F39" i="5"/>
  <c r="G39" i="5"/>
  <c r="M39" i="5"/>
  <c r="F44" i="5"/>
  <c r="G44" i="5"/>
  <c r="M44" i="5"/>
  <c r="G46" i="17"/>
  <c r="G52" i="17"/>
  <c r="G41" i="5"/>
  <c r="O21" i="17" a="1"/>
  <c r="O47" i="17"/>
  <c r="O28" i="17"/>
  <c r="O48" i="17"/>
  <c r="O27" i="17"/>
  <c r="O55" i="17"/>
  <c r="O23" i="17"/>
  <c r="O22" i="17"/>
  <c r="O29" i="17"/>
  <c r="O50" i="17"/>
  <c r="O42" i="17"/>
  <c r="O37" i="17"/>
  <c r="O33" i="17"/>
  <c r="O36" i="17"/>
  <c r="O44" i="17"/>
  <c r="O30" i="17"/>
  <c r="O51" i="17"/>
  <c r="O54" i="17"/>
  <c r="O38" i="17"/>
  <c r="O34" i="17"/>
  <c r="O56" i="17"/>
  <c r="O21" i="17"/>
  <c r="O31" i="17"/>
  <c r="O45" i="17"/>
  <c r="O41" i="17"/>
  <c r="O25" i="17"/>
  <c r="O24" i="17"/>
  <c r="O46" i="17"/>
  <c r="O32" i="17"/>
  <c r="O40" i="17"/>
  <c r="O35" i="17"/>
  <c r="O49" i="17"/>
  <c r="O52" i="17"/>
  <c r="O43" i="17"/>
  <c r="O39" i="17"/>
  <c r="O26" i="17"/>
  <c r="O53" i="17"/>
  <c r="AC10" i="7"/>
  <c r="Z9" i="7"/>
  <c r="O21" i="5" a="1"/>
  <c r="O42" i="5"/>
  <c r="O54" i="5"/>
  <c r="O27" i="5"/>
  <c r="O31" i="5"/>
  <c r="O49" i="5"/>
  <c r="O23" i="5"/>
  <c r="O32" i="5"/>
  <c r="O35" i="5"/>
  <c r="O44" i="5"/>
  <c r="O43" i="5"/>
  <c r="O52" i="5"/>
  <c r="O47" i="5"/>
  <c r="O56" i="5"/>
  <c r="O33" i="5"/>
  <c r="O45" i="5"/>
  <c r="O28" i="5"/>
  <c r="O36" i="5"/>
  <c r="O40" i="5"/>
  <c r="O55" i="5"/>
  <c r="O26" i="5"/>
  <c r="O29" i="5"/>
  <c r="O38" i="5"/>
  <c r="O53" i="5"/>
  <c r="O46" i="5"/>
  <c r="O41" i="5"/>
  <c r="O50" i="5"/>
  <c r="O24" i="5"/>
  <c r="O21" i="5"/>
  <c r="O39" i="5"/>
  <c r="O48" i="5"/>
  <c r="O51" i="5"/>
  <c r="O22" i="5"/>
  <c r="O37" i="5"/>
  <c r="O30" i="5"/>
  <c r="O25" i="5"/>
  <c r="O34" i="5"/>
  <c r="AC11" i="7"/>
  <c r="I17" i="5"/>
  <c r="R4" i="5"/>
  <c r="R20" i="5" a="1"/>
  <c r="R46" i="5"/>
  <c r="R54" i="5"/>
  <c r="R28" i="5"/>
  <c r="R53" i="5"/>
  <c r="R24" i="5"/>
  <c r="R57" i="5"/>
  <c r="R27" i="5"/>
  <c r="R45" i="5"/>
  <c r="R32" i="5"/>
  <c r="R37" i="5"/>
  <c r="R21" i="5"/>
  <c r="R35" i="5"/>
  <c r="R50" i="5"/>
  <c r="R22" i="5"/>
  <c r="R36" i="5"/>
  <c r="R55" i="5"/>
  <c r="R56" i="5"/>
  <c r="R40" i="5"/>
  <c r="R20" i="5"/>
  <c r="R34" i="5"/>
  <c r="R42" i="5"/>
  <c r="R39" i="5"/>
  <c r="R44" i="5"/>
  <c r="R29" i="5"/>
  <c r="R33" i="5"/>
  <c r="R23" i="5"/>
  <c r="R49" i="5"/>
  <c r="R30" i="5"/>
  <c r="R48" i="5"/>
  <c r="R31" i="5"/>
  <c r="R47" i="5"/>
  <c r="R52" i="5"/>
  <c r="R26" i="5"/>
  <c r="R41" i="5"/>
  <c r="R43" i="5"/>
  <c r="R38" i="5"/>
  <c r="R25" i="5"/>
  <c r="R51" i="5"/>
  <c r="Q20" i="5" a="1"/>
  <c r="Q55" i="5"/>
  <c r="Q51" i="5"/>
  <c r="Q48" i="5"/>
  <c r="Q29" i="5"/>
  <c r="Q40" i="5"/>
  <c r="Q42" i="5"/>
  <c r="Q49" i="5"/>
  <c r="Q37" i="5"/>
  <c r="Q54" i="5"/>
  <c r="Q41" i="5"/>
  <c r="Q45" i="5"/>
  <c r="Q56" i="5"/>
  <c r="Q43" i="5"/>
  <c r="Q24" i="5"/>
  <c r="Q50" i="5"/>
  <c r="Q44" i="5"/>
  <c r="Q25" i="5"/>
  <c r="Q53" i="5"/>
  <c r="Q27" i="5"/>
  <c r="Q38" i="5"/>
  <c r="Q26" i="5"/>
  <c r="Q33" i="5"/>
  <c r="Q21" i="5"/>
  <c r="Q18" i="5"/>
  <c r="Q57" i="5"/>
  <c r="Q34" i="5"/>
  <c r="Q52" i="5"/>
  <c r="Q23" i="5"/>
  <c r="Q20" i="5"/>
  <c r="Q31" i="5"/>
  <c r="Q22" i="5"/>
  <c r="Q30" i="5"/>
  <c r="Q28" i="5"/>
  <c r="Q32" i="5"/>
  <c r="Q39" i="5"/>
  <c r="Q36" i="5"/>
  <c r="Q47" i="5"/>
  <c r="Q35" i="5"/>
  <c r="Q46" i="5"/>
  <c r="R5" i="5"/>
  <c r="F199" i="3"/>
  <c r="J213" i="3"/>
  <c r="J236" i="3"/>
  <c r="J234" i="3"/>
  <c r="J222" i="3"/>
  <c r="J205" i="3"/>
  <c r="J232" i="3"/>
  <c r="J237" i="3"/>
  <c r="AD7" i="7"/>
  <c r="AC7" i="7"/>
  <c r="X10" i="13"/>
  <c r="J235" i="3"/>
  <c r="J227" i="3"/>
  <c r="AC3" i="7"/>
  <c r="Z8" i="7"/>
  <c r="J206" i="3"/>
  <c r="R4" i="17"/>
  <c r="R5" i="17"/>
  <c r="Q20" i="17" a="1"/>
  <c r="Q29" i="17"/>
  <c r="Q30" i="17"/>
  <c r="Q50" i="17"/>
  <c r="Q42" i="17"/>
  <c r="Q34" i="17"/>
  <c r="Q49" i="17"/>
  <c r="Q37" i="17"/>
  <c r="Q45" i="17"/>
  <c r="Q24" i="17"/>
  <c r="Q52" i="17"/>
  <c r="Q41" i="17"/>
  <c r="Q31" i="17"/>
  <c r="Q21" i="17"/>
  <c r="Q47" i="17"/>
  <c r="Q35" i="17"/>
  <c r="Q53" i="17"/>
  <c r="Q25" i="17"/>
  <c r="Q20" i="17"/>
  <c r="Q40" i="17"/>
  <c r="Q23" i="17"/>
  <c r="Q27" i="17"/>
  <c r="Q55" i="17"/>
  <c r="Q51" i="17"/>
  <c r="Q46" i="17"/>
  <c r="Q38" i="17"/>
  <c r="Q22" i="17"/>
  <c r="Q39" i="17"/>
  <c r="Q33" i="17"/>
  <c r="Q36" i="17"/>
  <c r="Q26" i="17"/>
  <c r="Q43" i="17"/>
  <c r="Q32" i="17"/>
  <c r="Q56" i="17"/>
  <c r="Q44" i="17"/>
  <c r="Q48" i="17"/>
  <c r="Q54" i="17"/>
  <c r="Q28" i="17"/>
  <c r="Q57" i="17"/>
  <c r="R20" i="17" a="1"/>
  <c r="R43" i="17"/>
  <c r="R27" i="17"/>
  <c r="R49" i="17"/>
  <c r="R30" i="17"/>
  <c r="R52" i="17"/>
  <c r="R50" i="17"/>
  <c r="R22" i="17"/>
  <c r="R57" i="17"/>
  <c r="R29" i="17"/>
  <c r="R46" i="17"/>
  <c r="R44" i="17"/>
  <c r="R39" i="17"/>
  <c r="R45" i="17"/>
  <c r="R53" i="17"/>
  <c r="R51" i="17"/>
  <c r="R55" i="17"/>
  <c r="R37" i="17"/>
  <c r="R35" i="17"/>
  <c r="R20" i="17"/>
  <c r="R28" i="17"/>
  <c r="R38" i="17"/>
  <c r="R41" i="17"/>
  <c r="R54" i="17"/>
  <c r="R40" i="17"/>
  <c r="R56" i="17"/>
  <c r="R36" i="17"/>
  <c r="R23" i="17"/>
  <c r="R24" i="17"/>
  <c r="R25" i="17"/>
  <c r="R21" i="17"/>
  <c r="R33" i="17"/>
  <c r="R47" i="17"/>
  <c r="R34" i="17"/>
  <c r="R26" i="17"/>
  <c r="R48" i="17"/>
  <c r="R42" i="17"/>
  <c r="R32" i="17"/>
  <c r="R31" i="17"/>
  <c r="AE17" i="19"/>
  <c r="AF18" i="19"/>
  <c r="AE18" i="19"/>
  <c r="AG37" i="19"/>
  <c r="AF19" i="19"/>
  <c r="AE17" i="16"/>
  <c r="AF19" i="16"/>
  <c r="AF18" i="16"/>
  <c r="AE18" i="16"/>
  <c r="AG31" i="16"/>
  <c r="AG25" i="16"/>
  <c r="AI25" i="16"/>
  <c r="AK25" i="16"/>
  <c r="AM25" i="16"/>
  <c r="AG32" i="16"/>
  <c r="AI32" i="16"/>
  <c r="AK32" i="16"/>
  <c r="AM32" i="16"/>
  <c r="AG27" i="16"/>
  <c r="AI27" i="16"/>
  <c r="AK27" i="16"/>
  <c r="AM27" i="16"/>
  <c r="AG26" i="16"/>
  <c r="AI26" i="16"/>
  <c r="AK26" i="16"/>
  <c r="AM26" i="16"/>
  <c r="AG29" i="16"/>
  <c r="AI29" i="16"/>
  <c r="AK29" i="16"/>
  <c r="AM29" i="16"/>
  <c r="AG36" i="16"/>
  <c r="AI36" i="16"/>
  <c r="AK36" i="16"/>
  <c r="AM36" i="16"/>
  <c r="AG24" i="16"/>
  <c r="AI24" i="16"/>
  <c r="AK24" i="16"/>
  <c r="AM14" i="16"/>
  <c r="AM13" i="16"/>
  <c r="AM24" i="16"/>
  <c r="AG35" i="16"/>
  <c r="AI35" i="16"/>
  <c r="AK35" i="16"/>
  <c r="AM35" i="16"/>
  <c r="AG33" i="16"/>
  <c r="AI33" i="16"/>
  <c r="AK33" i="16"/>
  <c r="AM33" i="16"/>
  <c r="AG34" i="16"/>
  <c r="AI34" i="16"/>
  <c r="AK34" i="16"/>
  <c r="AG30" i="16"/>
  <c r="AI30" i="16"/>
  <c r="AK30" i="16"/>
  <c r="AM30" i="16"/>
  <c r="AG28" i="16"/>
  <c r="AI28" i="16"/>
  <c r="AK28" i="16"/>
  <c r="AM28" i="16"/>
  <c r="F241" i="3"/>
  <c r="J253" i="3"/>
  <c r="J279" i="3"/>
  <c r="J274" i="3"/>
  <c r="J258" i="3"/>
  <c r="J256" i="3"/>
  <c r="J257" i="3"/>
  <c r="J276" i="3"/>
  <c r="J251" i="3"/>
  <c r="J277" i="3"/>
  <c r="AG37" i="16"/>
  <c r="AI37" i="16"/>
  <c r="AK37" i="16"/>
  <c r="AM37" i="16"/>
  <c r="AI37" i="19"/>
  <c r="AK37" i="19"/>
  <c r="AM37" i="19"/>
  <c r="AN37" i="19"/>
  <c r="AU37" i="19"/>
  <c r="AW37" i="19"/>
  <c r="AW38" i="19"/>
  <c r="H10" i="19"/>
  <c r="B73" i="19"/>
  <c r="AN38" i="19"/>
  <c r="Z45" i="19"/>
  <c r="AA45" i="19"/>
  <c r="B59" i="19"/>
  <c r="AV37" i="19"/>
  <c r="AI31" i="16"/>
  <c r="AK31" i="16"/>
  <c r="AM31" i="16"/>
  <c r="AM34" i="16"/>
  <c r="J225" i="3"/>
  <c r="J259" i="3"/>
  <c r="J266" i="3"/>
  <c r="J215" i="3"/>
  <c r="J269" i="3"/>
  <c r="J220" i="3"/>
  <c r="J226" i="3"/>
  <c r="F201" i="3" a="1"/>
  <c r="F209" i="3"/>
  <c r="F220" i="3"/>
  <c r="F214" i="3"/>
  <c r="F211" i="3"/>
  <c r="F230" i="3"/>
  <c r="F201" i="3"/>
  <c r="F205" i="3"/>
  <c r="F231" i="3"/>
  <c r="F229" i="3"/>
  <c r="F238" i="3"/>
  <c r="F204" i="3"/>
  <c r="F218" i="3"/>
  <c r="F219" i="3"/>
  <c r="F207" i="3"/>
  <c r="F212" i="3"/>
  <c r="F232" i="3"/>
  <c r="F217" i="3"/>
  <c r="F235" i="3"/>
  <c r="F206" i="3"/>
  <c r="F202" i="3"/>
  <c r="F237" i="3"/>
  <c r="F234" i="3"/>
  <c r="F225" i="3"/>
  <c r="F210" i="3"/>
  <c r="F221" i="3"/>
  <c r="F228" i="3"/>
  <c r="F224" i="3"/>
  <c r="F226" i="3"/>
  <c r="F227" i="3"/>
  <c r="F223" i="3"/>
  <c r="F236" i="3"/>
  <c r="F216" i="3"/>
  <c r="F233" i="3"/>
  <c r="F203" i="3"/>
  <c r="F215" i="3"/>
  <c r="F222" i="3"/>
  <c r="F213" i="3"/>
  <c r="F208" i="3"/>
  <c r="J244" i="3"/>
  <c r="J255" i="3"/>
  <c r="J267" i="3"/>
  <c r="J272" i="3"/>
  <c r="J268" i="3"/>
  <c r="J247" i="3"/>
  <c r="J210" i="3"/>
  <c r="J265" i="3"/>
  <c r="J204" i="3"/>
  <c r="J201" i="3"/>
  <c r="J264" i="3"/>
  <c r="J252" i="3"/>
  <c r="J221" i="3"/>
  <c r="J262" i="3"/>
  <c r="J228" i="3"/>
  <c r="J263" i="3"/>
  <c r="J209" i="3"/>
  <c r="J223" i="3"/>
  <c r="J211" i="3"/>
  <c r="J233" i="3"/>
  <c r="J208" i="3"/>
  <c r="J260" i="3"/>
  <c r="J207" i="3"/>
  <c r="J270" i="3"/>
  <c r="J202" i="3"/>
  <c r="J214" i="3"/>
  <c r="J224" i="3"/>
  <c r="J218" i="3"/>
  <c r="J212" i="3"/>
  <c r="J254" i="3"/>
  <c r="J273" i="3"/>
  <c r="J248" i="3"/>
  <c r="H201" i="3" a="1"/>
  <c r="H209" i="3"/>
  <c r="H228" i="3"/>
  <c r="H237" i="3"/>
  <c r="H207" i="3"/>
  <c r="H219" i="3"/>
  <c r="H225" i="3"/>
  <c r="H235" i="3"/>
  <c r="H206" i="3"/>
  <c r="H214" i="3"/>
  <c r="H203" i="3"/>
  <c r="H227" i="3"/>
  <c r="H202" i="3"/>
  <c r="H201" i="3"/>
  <c r="H232" i="3"/>
  <c r="H208" i="3"/>
  <c r="H218" i="3"/>
  <c r="H204" i="3"/>
  <c r="H224" i="3"/>
  <c r="H220" i="3"/>
  <c r="H205" i="3"/>
  <c r="H223" i="3"/>
  <c r="H226" i="3"/>
  <c r="H229" i="3"/>
  <c r="H233" i="3"/>
  <c r="H213" i="3"/>
  <c r="H217" i="3"/>
  <c r="H238" i="3"/>
  <c r="H221" i="3"/>
  <c r="H212" i="3"/>
  <c r="H231" i="3"/>
  <c r="H216" i="3"/>
  <c r="H222" i="3"/>
  <c r="H215" i="3"/>
  <c r="H236" i="3"/>
  <c r="H210" i="3"/>
  <c r="H234" i="3"/>
  <c r="H230" i="3"/>
  <c r="H211" i="3"/>
  <c r="J219" i="3"/>
  <c r="J231" i="3"/>
  <c r="J203" i="3"/>
  <c r="J246" i="3"/>
  <c r="J249" i="3"/>
  <c r="C119" i="3"/>
  <c r="J275" i="3"/>
  <c r="J278" i="3"/>
  <c r="J229" i="3"/>
  <c r="J245" i="3"/>
  <c r="J230" i="3"/>
  <c r="AC4" i="7"/>
  <c r="J216" i="3"/>
  <c r="J261" i="3"/>
  <c r="J250" i="3"/>
  <c r="J217" i="3"/>
  <c r="J271" i="3"/>
  <c r="H243" i="3" a="1"/>
  <c r="H269" i="3"/>
  <c r="H248" i="3"/>
  <c r="H276" i="3"/>
  <c r="H250" i="3"/>
  <c r="H279" i="3"/>
  <c r="H254" i="3"/>
  <c r="H270" i="3"/>
  <c r="H266" i="3"/>
  <c r="H243" i="3"/>
  <c r="H280" i="3"/>
  <c r="H261" i="3"/>
  <c r="H256" i="3"/>
  <c r="H263" i="3"/>
  <c r="H249" i="3"/>
  <c r="H277" i="3"/>
  <c r="H273" i="3"/>
  <c r="H255" i="3"/>
  <c r="H257" i="3"/>
  <c r="H251" i="3"/>
  <c r="H259" i="3"/>
  <c r="H265" i="3"/>
  <c r="H258" i="3"/>
  <c r="H260" i="3"/>
  <c r="H268" i="3"/>
  <c r="H275" i="3"/>
  <c r="H244" i="3"/>
  <c r="H253" i="3"/>
  <c r="H247" i="3"/>
  <c r="H274" i="3"/>
  <c r="H272" i="3"/>
  <c r="H262" i="3"/>
  <c r="H278" i="3"/>
  <c r="H267" i="3"/>
  <c r="H271" i="3"/>
  <c r="H246" i="3"/>
  <c r="H264" i="3"/>
  <c r="H252" i="3"/>
  <c r="H245" i="3"/>
  <c r="J243" i="3"/>
  <c r="F243" i="3" a="1"/>
  <c r="F278" i="3"/>
  <c r="F270" i="3"/>
  <c r="F276" i="3"/>
  <c r="F267" i="3"/>
  <c r="F254" i="3"/>
  <c r="F260" i="3"/>
  <c r="F248" i="3"/>
  <c r="F256" i="3"/>
  <c r="F258" i="3"/>
  <c r="F255" i="3"/>
  <c r="F253" i="3"/>
  <c r="F262" i="3"/>
  <c r="F271" i="3"/>
  <c r="F247" i="3"/>
  <c r="F265" i="3"/>
  <c r="F269" i="3"/>
  <c r="F261" i="3"/>
  <c r="F274" i="3"/>
  <c r="F251" i="3"/>
  <c r="F246" i="3"/>
  <c r="F268" i="3"/>
  <c r="F279" i="3"/>
  <c r="F275" i="3"/>
  <c r="F244" i="3"/>
  <c r="F243" i="3"/>
  <c r="F259" i="3"/>
  <c r="F257" i="3"/>
  <c r="F263" i="3"/>
  <c r="F252" i="3"/>
  <c r="F272" i="3"/>
  <c r="F264" i="3"/>
  <c r="F280" i="3"/>
  <c r="F277" i="3"/>
  <c r="F266" i="3"/>
  <c r="F245" i="3"/>
  <c r="F250" i="3"/>
  <c r="F273" i="3"/>
  <c r="F249" i="3"/>
  <c r="G117" i="3" a="1"/>
  <c r="G148" i="3"/>
  <c r="G132" i="3"/>
  <c r="G135" i="3"/>
  <c r="G128" i="3"/>
  <c r="G142" i="3"/>
  <c r="G131" i="3"/>
  <c r="G141" i="3"/>
  <c r="G127" i="3"/>
  <c r="G119" i="3"/>
  <c r="G146" i="3"/>
  <c r="G137" i="3"/>
  <c r="G130" i="3"/>
  <c r="G118" i="3"/>
  <c r="G134" i="3"/>
  <c r="G149" i="3"/>
  <c r="G124" i="3"/>
  <c r="G121" i="3"/>
  <c r="G123" i="3"/>
  <c r="G144" i="3"/>
  <c r="G129" i="3"/>
  <c r="G133" i="3"/>
  <c r="G117" i="3"/>
  <c r="G145" i="3"/>
  <c r="G138" i="3"/>
  <c r="G147" i="3"/>
  <c r="G122" i="3"/>
  <c r="G143" i="3"/>
  <c r="G136" i="3"/>
  <c r="G139" i="3"/>
  <c r="G120" i="3"/>
  <c r="G151" i="3"/>
  <c r="G140" i="3"/>
  <c r="G125" i="3"/>
  <c r="G154" i="3"/>
  <c r="G150" i="3"/>
  <c r="G152" i="3"/>
  <c r="G126" i="3"/>
  <c r="G153" i="3"/>
  <c r="C203" i="3"/>
  <c r="C245" i="3"/>
  <c r="G201" i="3" a="1"/>
  <c r="G215" i="3"/>
  <c r="G207" i="3"/>
  <c r="G222" i="3"/>
  <c r="G234" i="3"/>
  <c r="G226" i="3"/>
  <c r="G202" i="3"/>
  <c r="G206" i="3"/>
  <c r="G214" i="3"/>
  <c r="G216" i="3"/>
  <c r="G225" i="3"/>
  <c r="G203" i="3"/>
  <c r="G231" i="3"/>
  <c r="G205" i="3"/>
  <c r="G229" i="3"/>
  <c r="G232" i="3"/>
  <c r="G227" i="3"/>
  <c r="G209" i="3"/>
  <c r="G228" i="3"/>
  <c r="G236" i="3"/>
  <c r="G204" i="3"/>
  <c r="G230" i="3"/>
  <c r="G221" i="3"/>
  <c r="G212" i="3"/>
  <c r="G219" i="3"/>
  <c r="G237" i="3"/>
  <c r="G233" i="3"/>
  <c r="G218" i="3"/>
  <c r="G238" i="3"/>
  <c r="G201" i="3"/>
  <c r="G211" i="3"/>
  <c r="G235" i="3"/>
  <c r="G210" i="3"/>
  <c r="G223" i="3"/>
  <c r="G220" i="3"/>
  <c r="G217" i="3"/>
  <c r="G213" i="3"/>
  <c r="G224" i="3"/>
  <c r="G208" i="3"/>
  <c r="G170" i="3"/>
  <c r="I170" i="3"/>
  <c r="G191" i="3"/>
  <c r="I191" i="3"/>
  <c r="G174" i="3"/>
  <c r="I174" i="3"/>
  <c r="G173" i="3"/>
  <c r="I173" i="3"/>
  <c r="G181" i="3"/>
  <c r="I181" i="3"/>
  <c r="G189" i="3"/>
  <c r="I189" i="3"/>
  <c r="G165" i="3"/>
  <c r="I165" i="3"/>
  <c r="G171" i="3"/>
  <c r="I171" i="3"/>
  <c r="G176" i="3"/>
  <c r="I176" i="3"/>
  <c r="G192" i="3"/>
  <c r="I192" i="3"/>
  <c r="G196" i="3"/>
  <c r="G190" i="3"/>
  <c r="I190" i="3"/>
  <c r="G179" i="3"/>
  <c r="I179" i="3"/>
  <c r="G186" i="3"/>
  <c r="I186" i="3"/>
  <c r="G169" i="3"/>
  <c r="I169" i="3"/>
  <c r="G195" i="3"/>
  <c r="I195" i="3"/>
  <c r="G182" i="3"/>
  <c r="I182" i="3"/>
  <c r="G177" i="3"/>
  <c r="I177" i="3"/>
  <c r="G184" i="3"/>
  <c r="I184" i="3"/>
  <c r="G194" i="3"/>
  <c r="I194" i="3"/>
  <c r="G175" i="3"/>
  <c r="I175" i="3"/>
  <c r="G172" i="3"/>
  <c r="I172" i="3"/>
  <c r="G180" i="3"/>
  <c r="I180" i="3"/>
  <c r="G159" i="3"/>
  <c r="I159" i="3"/>
  <c r="G160" i="3"/>
  <c r="I160" i="3"/>
  <c r="G187" i="3"/>
  <c r="I187" i="3"/>
  <c r="G164" i="3"/>
  <c r="I164" i="3"/>
  <c r="G188" i="3"/>
  <c r="I188" i="3"/>
  <c r="G178" i="3"/>
  <c r="I178" i="3"/>
  <c r="G193" i="3"/>
  <c r="I193" i="3"/>
  <c r="G167" i="3"/>
  <c r="I167" i="3"/>
  <c r="G185" i="3"/>
  <c r="I185" i="3"/>
  <c r="G183" i="3"/>
  <c r="I183" i="3"/>
  <c r="G168" i="3"/>
  <c r="I168" i="3"/>
  <c r="G162" i="3"/>
  <c r="I162" i="3"/>
  <c r="G243" i="3" a="1"/>
  <c r="G261" i="3"/>
  <c r="G252" i="3"/>
  <c r="G260" i="3"/>
  <c r="G267" i="3"/>
  <c r="G253" i="3"/>
  <c r="G269" i="3"/>
  <c r="G279" i="3"/>
  <c r="G277" i="3"/>
  <c r="G258" i="3"/>
  <c r="G266" i="3"/>
  <c r="G257" i="3"/>
  <c r="G248" i="3"/>
  <c r="G268" i="3"/>
  <c r="G270" i="3"/>
  <c r="G259" i="3"/>
  <c r="G244" i="3"/>
  <c r="G265" i="3"/>
  <c r="G246" i="3"/>
  <c r="G273" i="3"/>
  <c r="G243" i="3"/>
  <c r="G278" i="3"/>
  <c r="G276" i="3"/>
  <c r="G254" i="3"/>
  <c r="G255" i="3"/>
  <c r="G256" i="3"/>
  <c r="G249" i="3"/>
  <c r="G262" i="3"/>
  <c r="G272" i="3"/>
  <c r="G250" i="3"/>
  <c r="G245" i="3"/>
  <c r="G280" i="3"/>
  <c r="G275" i="3"/>
  <c r="G264" i="3"/>
  <c r="G247" i="3"/>
  <c r="G274" i="3"/>
  <c r="G251" i="3"/>
  <c r="G271" i="3"/>
  <c r="G263" i="3"/>
  <c r="S20" i="5" a="1"/>
  <c r="S43" i="5"/>
  <c r="S33" i="5"/>
  <c r="S47" i="5"/>
  <c r="S30" i="5"/>
  <c r="S45" i="5"/>
  <c r="S35" i="5"/>
  <c r="S57" i="5"/>
  <c r="S37" i="5"/>
  <c r="S20" i="5"/>
  <c r="S36" i="5"/>
  <c r="S31" i="5"/>
  <c r="S26" i="5"/>
  <c r="S44" i="5"/>
  <c r="S38" i="5"/>
  <c r="S53" i="5"/>
  <c r="S54" i="5"/>
  <c r="S46" i="5"/>
  <c r="S28" i="5"/>
  <c r="S41" i="5"/>
  <c r="S25" i="5"/>
  <c r="S32" i="5"/>
  <c r="S51" i="5"/>
  <c r="S24" i="5"/>
  <c r="S39" i="5"/>
  <c r="S23" i="5"/>
  <c r="S52" i="5"/>
  <c r="S29" i="5"/>
  <c r="S56" i="5"/>
  <c r="S50" i="5"/>
  <c r="S40" i="5"/>
  <c r="S22" i="5"/>
  <c r="S49" i="5"/>
  <c r="S27" i="5"/>
  <c r="S34" i="5"/>
  <c r="S42" i="5"/>
  <c r="S21" i="5"/>
  <c r="S48" i="5"/>
  <c r="S55" i="5"/>
  <c r="C10" i="3"/>
  <c r="G8" i="3" a="1"/>
  <c r="G43" i="3"/>
  <c r="G20" i="3"/>
  <c r="G14" i="3"/>
  <c r="G25" i="3"/>
  <c r="G36" i="3"/>
  <c r="G26" i="3"/>
  <c r="G30" i="3"/>
  <c r="G35" i="3"/>
  <c r="G40" i="3"/>
  <c r="G41" i="3"/>
  <c r="G19" i="3"/>
  <c r="G10" i="3"/>
  <c r="G8" i="3"/>
  <c r="G12" i="3"/>
  <c r="G44" i="3"/>
  <c r="G33" i="3"/>
  <c r="G24" i="3"/>
  <c r="G28" i="3"/>
  <c r="G16" i="3"/>
  <c r="G42" i="3"/>
  <c r="G34" i="3"/>
  <c r="G38" i="3"/>
  <c r="G21" i="3"/>
  <c r="G9" i="3"/>
  <c r="G17" i="3"/>
  <c r="G13" i="3"/>
  <c r="G15" i="3"/>
  <c r="G39" i="3"/>
  <c r="G29" i="3"/>
  <c r="G37" i="3"/>
  <c r="G11" i="3"/>
  <c r="G27" i="3"/>
  <c r="G32" i="3"/>
  <c r="G31" i="3"/>
  <c r="G23" i="3"/>
  <c r="G18" i="3"/>
  <c r="G22" i="3"/>
  <c r="G45" i="3"/>
  <c r="C52" i="3"/>
  <c r="G50" i="3" a="1"/>
  <c r="G81" i="3"/>
  <c r="G62" i="3"/>
  <c r="G78" i="3"/>
  <c r="G59" i="3"/>
  <c r="G75" i="3"/>
  <c r="G52" i="3"/>
  <c r="G68" i="3"/>
  <c r="G77" i="3"/>
  <c r="G61" i="3"/>
  <c r="G53" i="3"/>
  <c r="G50" i="3"/>
  <c r="G66" i="3"/>
  <c r="G82" i="3"/>
  <c r="G63" i="3"/>
  <c r="G79" i="3"/>
  <c r="G56" i="3"/>
  <c r="G76" i="3"/>
  <c r="G51" i="3"/>
  <c r="G73" i="3"/>
  <c r="G57" i="3"/>
  <c r="G54" i="3"/>
  <c r="G70" i="3"/>
  <c r="G86" i="3"/>
  <c r="G67" i="3"/>
  <c r="G83" i="3"/>
  <c r="G60" i="3"/>
  <c r="G84" i="3"/>
  <c r="G72" i="3"/>
  <c r="G85" i="3"/>
  <c r="G69" i="3"/>
  <c r="G58" i="3"/>
  <c r="G74" i="3"/>
  <c r="G55" i="3"/>
  <c r="G71" i="3"/>
  <c r="G87" i="3"/>
  <c r="G64" i="3"/>
  <c r="G65" i="3"/>
  <c r="G80" i="3"/>
  <c r="V25" i="7"/>
  <c r="V29" i="7"/>
  <c r="V24" i="7"/>
  <c r="V37" i="7"/>
  <c r="V35" i="7"/>
  <c r="W29" i="7"/>
  <c r="W24" i="7"/>
  <c r="X24" i="7"/>
  <c r="V39" i="7"/>
  <c r="W39" i="7"/>
  <c r="X39" i="7"/>
  <c r="R39" i="7"/>
  <c r="V20" i="7"/>
  <c r="V38" i="7"/>
  <c r="V28" i="7"/>
  <c r="W28" i="7"/>
  <c r="V26" i="7"/>
  <c r="W26" i="7"/>
  <c r="X26" i="7"/>
  <c r="X29" i="7"/>
  <c r="R24" i="7"/>
  <c r="W38" i="7"/>
  <c r="W35" i="7"/>
  <c r="X28" i="7"/>
  <c r="R26" i="7"/>
  <c r="W25" i="7"/>
  <c r="V30" i="7"/>
  <c r="V23" i="7"/>
  <c r="W23" i="7"/>
  <c r="V31" i="7"/>
  <c r="W31" i="7"/>
  <c r="X31" i="7"/>
  <c r="V32" i="7"/>
  <c r="W32" i="7"/>
  <c r="X32" i="7"/>
  <c r="R32" i="7"/>
  <c r="V22" i="7"/>
  <c r="W22" i="7"/>
  <c r="X22" i="7"/>
  <c r="W30" i="7"/>
  <c r="R29" i="7"/>
  <c r="X23" i="7"/>
  <c r="W20" i="7"/>
  <c r="R31" i="7"/>
  <c r="W37" i="7"/>
  <c r="X38" i="7"/>
  <c r="X35" i="7"/>
  <c r="R28" i="7"/>
  <c r="R22" i="7"/>
  <c r="R38" i="7"/>
  <c r="X25" i="7"/>
  <c r="X15" i="7"/>
  <c r="V27" i="7"/>
  <c r="W27" i="7"/>
  <c r="X27" i="7"/>
  <c r="V36" i="7"/>
  <c r="W36" i="7"/>
  <c r="X36" i="7"/>
  <c r="R36" i="7"/>
  <c r="V21" i="7"/>
  <c r="W21" i="7"/>
  <c r="X21" i="7"/>
  <c r="R21" i="7"/>
  <c r="V34" i="7"/>
  <c r="W34" i="7"/>
  <c r="V33" i="7"/>
  <c r="W33" i="7"/>
  <c r="X33" i="7"/>
  <c r="R33" i="7"/>
  <c r="X30" i="7"/>
  <c r="R30" i="7"/>
  <c r="R27" i="7"/>
  <c r="R23" i="7"/>
  <c r="X20" i="7"/>
  <c r="X37" i="7"/>
  <c r="R37" i="7"/>
  <c r="X34" i="7"/>
  <c r="R34" i="7"/>
  <c r="R35" i="7"/>
  <c r="R25" i="7"/>
  <c r="X18" i="7"/>
  <c r="K249" i="3"/>
  <c r="K267" i="3"/>
  <c r="K264" i="3"/>
  <c r="K252" i="3"/>
  <c r="K227" i="3"/>
  <c r="K210" i="3"/>
  <c r="K223" i="3"/>
  <c r="K228" i="3"/>
  <c r="K247" i="3"/>
  <c r="K263" i="3"/>
  <c r="K270" i="3"/>
  <c r="K224" i="3"/>
  <c r="K232" i="3"/>
  <c r="K265" i="3"/>
  <c r="K274" i="3"/>
  <c r="K268" i="3"/>
  <c r="K246" i="3"/>
  <c r="K272" i="3"/>
  <c r="K273" i="3"/>
  <c r="K243" i="3"/>
  <c r="K245" i="3"/>
  <c r="K254" i="3"/>
  <c r="K218" i="3"/>
  <c r="K208" i="3"/>
  <c r="K213" i="3"/>
  <c r="K212" i="3"/>
  <c r="K226" i="3"/>
  <c r="K216" i="3"/>
  <c r="K214" i="3"/>
  <c r="K204" i="3"/>
  <c r="K225" i="3"/>
  <c r="K237" i="3"/>
  <c r="K253" i="3"/>
  <c r="K262" i="3"/>
  <c r="K275" i="3"/>
  <c r="K206" i="3"/>
  <c r="K203" i="3"/>
  <c r="K220" i="3"/>
  <c r="K279" i="3"/>
  <c r="K256" i="3"/>
  <c r="K269" i="3"/>
  <c r="K278" i="3"/>
  <c r="K260" i="3"/>
  <c r="K250" i="3"/>
  <c r="K244" i="3"/>
  <c r="K277" i="3"/>
  <c r="K251" i="3"/>
  <c r="K211" i="3"/>
  <c r="K201" i="3"/>
  <c r="K229" i="3"/>
  <c r="K219" i="3"/>
  <c r="K233" i="3"/>
  <c r="K207" i="3"/>
  <c r="K236" i="3"/>
  <c r="K231" i="3"/>
  <c r="K258" i="3"/>
  <c r="K276" i="3"/>
  <c r="K255" i="3"/>
  <c r="K257" i="3"/>
  <c r="K266" i="3"/>
  <c r="K271" i="3"/>
  <c r="K202" i="3"/>
  <c r="K221" i="3"/>
  <c r="K215" i="3"/>
  <c r="K235" i="3"/>
  <c r="K209" i="3"/>
  <c r="K205" i="3"/>
  <c r="K259" i="3"/>
  <c r="K248" i="3"/>
  <c r="K261" i="3"/>
  <c r="K234" i="3"/>
  <c r="K217" i="3"/>
  <c r="K230" i="3"/>
  <c r="K222" i="3"/>
  <c r="H8" i="3" a="1"/>
  <c r="H36" i="3"/>
  <c r="H23" i="3"/>
  <c r="H15" i="3"/>
  <c r="H31" i="3"/>
  <c r="H33" i="3"/>
  <c r="H32" i="3"/>
  <c r="H27" i="3"/>
  <c r="H39" i="3"/>
  <c r="H9" i="3"/>
  <c r="H22" i="3"/>
  <c r="H24" i="3"/>
  <c r="H13" i="3"/>
  <c r="H30" i="3"/>
  <c r="H21" i="3"/>
  <c r="H34" i="3"/>
  <c r="H25" i="3"/>
  <c r="H16" i="3"/>
  <c r="H45" i="3"/>
  <c r="H18" i="3"/>
  <c r="H43" i="3"/>
  <c r="H14" i="3"/>
  <c r="H42" i="3"/>
  <c r="H26" i="3"/>
  <c r="H40" i="3"/>
  <c r="H8" i="3"/>
  <c r="H12" i="3"/>
  <c r="H19" i="3"/>
  <c r="H37" i="3"/>
  <c r="H29" i="3"/>
  <c r="H17" i="3"/>
  <c r="H41" i="3"/>
  <c r="H10" i="3"/>
  <c r="H28" i="3"/>
  <c r="H35" i="3"/>
  <c r="H20" i="3"/>
  <c r="H44" i="3"/>
  <c r="H38" i="3"/>
  <c r="H11" i="3"/>
  <c r="F8" i="3" a="1"/>
  <c r="F41" i="3"/>
  <c r="L42" i="3"/>
  <c r="F24" i="3"/>
  <c r="L25" i="3"/>
  <c r="F26" i="3"/>
  <c r="L27" i="3"/>
  <c r="F9" i="3"/>
  <c r="F8" i="3"/>
  <c r="F31" i="3"/>
  <c r="L32" i="3"/>
  <c r="F11" i="3"/>
  <c r="L12" i="3"/>
  <c r="F18" i="3"/>
  <c r="L19" i="3"/>
  <c r="F15" i="3"/>
  <c r="L16" i="3"/>
  <c r="F28" i="3"/>
  <c r="L29" i="3"/>
  <c r="F17" i="3"/>
  <c r="L18" i="3"/>
  <c r="F25" i="3"/>
  <c r="L26" i="3"/>
  <c r="F10" i="3"/>
  <c r="L11" i="3"/>
  <c r="F32" i="3"/>
  <c r="L33" i="3"/>
  <c r="F30" i="3"/>
  <c r="L31" i="3"/>
  <c r="F45" i="3"/>
  <c r="F44" i="3"/>
  <c r="L45" i="3"/>
  <c r="F33" i="3"/>
  <c r="L34" i="3"/>
  <c r="F35" i="3"/>
  <c r="L36" i="3"/>
  <c r="F43" i="3"/>
  <c r="L44" i="3"/>
  <c r="F13" i="3"/>
  <c r="L14" i="3"/>
  <c r="F23" i="3"/>
  <c r="L24" i="3"/>
  <c r="F42" i="3"/>
  <c r="L43" i="3"/>
  <c r="F12" i="3"/>
  <c r="L13" i="3"/>
  <c r="F19" i="3"/>
  <c r="L20" i="3"/>
  <c r="F29" i="3"/>
  <c r="L30" i="3"/>
  <c r="F39" i="3"/>
  <c r="L40" i="3"/>
  <c r="F34" i="3"/>
  <c r="L35" i="3"/>
  <c r="F40" i="3"/>
  <c r="L41" i="3"/>
  <c r="F14" i="3"/>
  <c r="L15" i="3"/>
  <c r="F37" i="3"/>
  <c r="L38" i="3"/>
  <c r="F22" i="3"/>
  <c r="L23" i="3"/>
  <c r="F27" i="3"/>
  <c r="L28" i="3"/>
  <c r="F21" i="3"/>
  <c r="L22" i="3"/>
  <c r="F36" i="3"/>
  <c r="L37" i="3"/>
  <c r="F16" i="3"/>
  <c r="L17" i="3"/>
  <c r="F38" i="3"/>
  <c r="L39" i="3"/>
  <c r="F20" i="3"/>
  <c r="L21" i="3"/>
  <c r="J23" i="3"/>
  <c r="J12" i="3"/>
  <c r="J41" i="3"/>
  <c r="J25" i="3"/>
  <c r="J22" i="3"/>
  <c r="J26" i="3"/>
  <c r="J9" i="3"/>
  <c r="J40" i="3"/>
  <c r="J17" i="3"/>
  <c r="J37" i="3"/>
  <c r="J27" i="3"/>
  <c r="J36" i="3"/>
  <c r="J19" i="3"/>
  <c r="J11" i="3"/>
  <c r="J30" i="3"/>
  <c r="J31" i="3"/>
  <c r="J10" i="3"/>
  <c r="J29" i="3"/>
  <c r="J21" i="3"/>
  <c r="J32" i="3"/>
  <c r="J33" i="3"/>
  <c r="J28" i="3"/>
  <c r="J24" i="3"/>
  <c r="J42" i="3"/>
  <c r="J8" i="3"/>
  <c r="J14" i="3"/>
  <c r="J39" i="3"/>
  <c r="J15" i="3"/>
  <c r="J38" i="3"/>
  <c r="J16" i="3"/>
  <c r="J35" i="3"/>
  <c r="J18" i="3"/>
  <c r="J20" i="3"/>
  <c r="J34" i="3"/>
  <c r="J13" i="3"/>
  <c r="F50" i="3" a="1"/>
  <c r="F82" i="3"/>
  <c r="F74" i="3"/>
  <c r="F65" i="3"/>
  <c r="F54" i="3"/>
  <c r="F53" i="3"/>
  <c r="F75" i="3"/>
  <c r="F78" i="3"/>
  <c r="F66" i="3"/>
  <c r="F86" i="3"/>
  <c r="F67" i="3"/>
  <c r="F59" i="3"/>
  <c r="F72" i="3"/>
  <c r="F58" i="3"/>
  <c r="F55" i="3"/>
  <c r="F68" i="3"/>
  <c r="F62" i="3"/>
  <c r="F57" i="3"/>
  <c r="F70" i="3"/>
  <c r="F63" i="3"/>
  <c r="F77" i="3"/>
  <c r="F73" i="3"/>
  <c r="F50" i="3"/>
  <c r="F64" i="3"/>
  <c r="F87" i="3"/>
  <c r="F61" i="3"/>
  <c r="F81" i="3"/>
  <c r="F80" i="3"/>
  <c r="F71" i="3"/>
  <c r="F83" i="3"/>
  <c r="F51" i="3"/>
  <c r="F79" i="3"/>
  <c r="F84" i="3"/>
  <c r="F60" i="3"/>
  <c r="F69" i="3"/>
  <c r="F56" i="3"/>
  <c r="F76" i="3"/>
  <c r="F85" i="3"/>
  <c r="F52" i="3"/>
  <c r="H50" i="3" a="1"/>
  <c r="H66" i="3"/>
  <c r="I66" i="3"/>
  <c r="H57" i="3"/>
  <c r="I57" i="3"/>
  <c r="H72" i="3"/>
  <c r="I72" i="3"/>
  <c r="H54" i="3"/>
  <c r="I54" i="3"/>
  <c r="H73" i="3"/>
  <c r="I73" i="3"/>
  <c r="H80" i="3"/>
  <c r="I80" i="3"/>
  <c r="H70" i="3"/>
  <c r="I70" i="3"/>
  <c r="H76" i="3"/>
  <c r="I76" i="3"/>
  <c r="H63" i="3"/>
  <c r="I63" i="3"/>
  <c r="H65" i="3"/>
  <c r="I65" i="3"/>
  <c r="H62" i="3"/>
  <c r="I62" i="3"/>
  <c r="H75" i="3"/>
  <c r="I75" i="3"/>
  <c r="H77" i="3"/>
  <c r="I77" i="3"/>
  <c r="H53" i="3"/>
  <c r="I53" i="3"/>
  <c r="H85" i="3"/>
  <c r="H64" i="3"/>
  <c r="I64" i="3"/>
  <c r="H56" i="3"/>
  <c r="I56" i="3"/>
  <c r="H59" i="3"/>
  <c r="I59" i="3"/>
  <c r="H79" i="3"/>
  <c r="I79" i="3"/>
  <c r="H74" i="3"/>
  <c r="I74" i="3"/>
  <c r="H52" i="3"/>
  <c r="I52" i="3"/>
  <c r="H83" i="3"/>
  <c r="I83" i="3"/>
  <c r="H69" i="3"/>
  <c r="I69" i="3"/>
  <c r="H82" i="3"/>
  <c r="I82" i="3"/>
  <c r="H58" i="3"/>
  <c r="I58" i="3"/>
  <c r="H50" i="3"/>
  <c r="I50" i="3"/>
  <c r="H81" i="3"/>
  <c r="I81" i="3"/>
  <c r="H78" i="3"/>
  <c r="I78" i="3"/>
  <c r="H71" i="3"/>
  <c r="I71" i="3"/>
  <c r="H86" i="3"/>
  <c r="H51" i="3"/>
  <c r="I51" i="3"/>
  <c r="H87" i="3"/>
  <c r="H61" i="3"/>
  <c r="I61" i="3"/>
  <c r="H67" i="3"/>
  <c r="I67" i="3"/>
  <c r="H84" i="3"/>
  <c r="I84" i="3"/>
  <c r="H55" i="3"/>
  <c r="I55" i="3"/>
  <c r="H68" i="3"/>
  <c r="I68" i="3"/>
  <c r="H60" i="3"/>
  <c r="I60" i="3"/>
  <c r="O44" i="7"/>
  <c r="O205" i="7"/>
  <c r="O231" i="7"/>
  <c r="O258" i="7"/>
  <c r="O282" i="7"/>
  <c r="O68" i="7"/>
  <c r="O88" i="7"/>
  <c r="O178" i="7"/>
  <c r="O22" i="7"/>
  <c r="O168" i="7"/>
  <c r="O292" i="7"/>
  <c r="O336" i="7"/>
  <c r="O114" i="7"/>
  <c r="O285" i="7"/>
  <c r="O29" i="7"/>
  <c r="O124" i="7"/>
  <c r="O290" i="7"/>
  <c r="O344" i="7"/>
  <c r="O208" i="7"/>
  <c r="O77" i="7"/>
  <c r="O197" i="7"/>
  <c r="O181" i="7"/>
  <c r="O305" i="7"/>
  <c r="O119" i="7"/>
  <c r="O190" i="7"/>
  <c r="O296" i="7"/>
  <c r="O261" i="7"/>
  <c r="O164" i="7"/>
  <c r="O46" i="7"/>
  <c r="O123" i="7"/>
  <c r="O113" i="7"/>
  <c r="O249" i="7"/>
  <c r="O312" i="7"/>
  <c r="O308" i="7"/>
  <c r="O288" i="7"/>
  <c r="O32" i="7"/>
  <c r="O228" i="7"/>
  <c r="O307" i="7"/>
  <c r="O128" i="7"/>
  <c r="O333" i="7"/>
  <c r="O204" i="7"/>
  <c r="O273" i="7"/>
  <c r="O287" i="7"/>
  <c r="O94" i="7"/>
  <c r="O227" i="7"/>
  <c r="O39" i="7"/>
  <c r="O195" i="7"/>
  <c r="O27" i="7"/>
  <c r="O38" i="7"/>
  <c r="O230" i="7"/>
  <c r="O143" i="7"/>
  <c r="O147" i="7"/>
  <c r="O335" i="7"/>
  <c r="O67" i="7"/>
  <c r="O135" i="7"/>
  <c r="O25" i="7"/>
  <c r="O306" i="7"/>
  <c r="O49" i="7"/>
  <c r="O133" i="7"/>
  <c r="O163" i="7"/>
  <c r="O132" i="7"/>
  <c r="O225" i="7"/>
  <c r="O87" i="7"/>
  <c r="O201" i="7"/>
  <c r="O262" i="7"/>
  <c r="O171" i="7"/>
  <c r="O297" i="7"/>
  <c r="O126" i="7"/>
  <c r="O84" i="7"/>
  <c r="O72" i="7"/>
  <c r="O146" i="7"/>
  <c r="O186" i="7"/>
  <c r="O62" i="7"/>
  <c r="O298" i="7"/>
  <c r="O101" i="7"/>
  <c r="O234" i="7"/>
  <c r="O57" i="7"/>
  <c r="O293" i="7"/>
  <c r="O74" i="7"/>
  <c r="O149" i="7"/>
  <c r="O220" i="7"/>
  <c r="K32" i="3"/>
  <c r="K41" i="3"/>
  <c r="K19" i="3"/>
  <c r="K18" i="3"/>
  <c r="K8" i="3"/>
  <c r="K25" i="3"/>
  <c r="K15" i="3"/>
  <c r="K21" i="3"/>
  <c r="K35" i="3"/>
  <c r="O80" i="7"/>
  <c r="O152" i="7"/>
  <c r="O309" i="7"/>
  <c r="O34" i="7"/>
  <c r="O182" i="7"/>
  <c r="O313" i="7"/>
  <c r="O134" i="7"/>
  <c r="O295" i="7"/>
  <c r="O315" i="7"/>
  <c r="O56" i="7"/>
  <c r="O99" i="7"/>
  <c r="O89" i="7"/>
  <c r="O141" i="7"/>
  <c r="O81" i="7"/>
  <c r="O106" i="7"/>
  <c r="O256" i="7"/>
  <c r="O58" i="7"/>
  <c r="O120" i="7"/>
  <c r="O240" i="7"/>
  <c r="O109" i="7"/>
  <c r="O224" i="7"/>
  <c r="O40" i="7"/>
  <c r="O322" i="7"/>
  <c r="O154" i="7"/>
  <c r="O272" i="7"/>
  <c r="O198" i="7"/>
  <c r="O37" i="7"/>
  <c r="O219" i="7"/>
  <c r="O187" i="7"/>
  <c r="O100" i="7"/>
  <c r="O155" i="7"/>
  <c r="O202" i="7"/>
  <c r="O252" i="7"/>
  <c r="O91" i="7"/>
  <c r="O75" i="7"/>
  <c r="O320" i="7"/>
  <c r="O235" i="7"/>
  <c r="O79" i="7"/>
  <c r="O86" i="7"/>
  <c r="O338" i="7"/>
  <c r="O281" i="7"/>
  <c r="O42" i="7"/>
  <c r="O130" i="7"/>
  <c r="O331" i="7"/>
  <c r="O247" i="7"/>
  <c r="O291" i="7"/>
  <c r="K40" i="3"/>
  <c r="K38" i="3"/>
  <c r="K30" i="3"/>
  <c r="K37" i="3"/>
  <c r="O323" i="7"/>
  <c r="O26" i="7"/>
  <c r="O177" i="7"/>
  <c r="O54" i="7"/>
  <c r="O246" i="7"/>
  <c r="O52" i="7"/>
  <c r="O112" i="7"/>
  <c r="O238" i="7"/>
  <c r="O260" i="7"/>
  <c r="O342" i="7"/>
  <c r="O316" i="7"/>
  <c r="O157" i="7"/>
  <c r="O222" i="7"/>
  <c r="O244" i="7"/>
  <c r="O268" i="7"/>
  <c r="O294" i="7"/>
  <c r="O117" i="7"/>
  <c r="O129" i="7"/>
  <c r="O301" i="7"/>
  <c r="O183" i="7"/>
  <c r="O90" i="7"/>
  <c r="O176" i="7"/>
  <c r="O254" i="7"/>
  <c r="O276" i="7"/>
  <c r="O328" i="7"/>
  <c r="O213" i="7"/>
  <c r="O92" i="7"/>
  <c r="O311" i="7"/>
  <c r="O127" i="7"/>
  <c r="O325" i="7"/>
  <c r="O145" i="7"/>
  <c r="O125" i="7"/>
  <c r="O206" i="7"/>
  <c r="O65" i="7"/>
  <c r="O283" i="7"/>
  <c r="O188" i="7"/>
  <c r="O236" i="7"/>
  <c r="O165" i="7"/>
  <c r="O337" i="7"/>
  <c r="O270" i="7"/>
  <c r="O140" i="7"/>
  <c r="O33" i="7"/>
  <c r="O103" i="7"/>
  <c r="O191" i="7"/>
  <c r="O159" i="7"/>
  <c r="O23" i="7"/>
  <c r="O277" i="7"/>
  <c r="O327" i="7"/>
  <c r="O102" i="7"/>
  <c r="O259" i="7"/>
  <c r="O59" i="7"/>
  <c r="O265" i="7"/>
  <c r="O192" i="7"/>
  <c r="O50" i="7"/>
  <c r="O151" i="7"/>
  <c r="O104" i="7"/>
  <c r="O284" i="7"/>
  <c r="O329" i="7"/>
  <c r="O214" i="7"/>
  <c r="O108" i="7"/>
  <c r="O63" i="7"/>
  <c r="O310" i="7"/>
  <c r="O78" i="7"/>
  <c r="O166" i="7"/>
  <c r="O318" i="7"/>
  <c r="O169" i="7"/>
  <c r="O229" i="7"/>
  <c r="O339" i="7"/>
  <c r="O209" i="7"/>
  <c r="O280" i="7"/>
  <c r="O278" i="7"/>
  <c r="O211" i="7"/>
  <c r="O41" i="7"/>
  <c r="O53" i="7"/>
  <c r="O248" i="7"/>
  <c r="O199" i="7"/>
  <c r="O161" i="7"/>
  <c r="O275" i="7"/>
  <c r="O148" i="7"/>
  <c r="O269" i="7"/>
  <c r="K12" i="3"/>
  <c r="K29" i="3"/>
  <c r="K13" i="3"/>
  <c r="K31" i="3"/>
  <c r="K14" i="3"/>
  <c r="K17" i="3"/>
  <c r="K24" i="3"/>
  <c r="K22" i="3"/>
  <c r="K26" i="3"/>
  <c r="O241" i="7"/>
  <c r="O185" i="7"/>
  <c r="O121" i="7"/>
  <c r="O69" i="7"/>
  <c r="O217" i="7"/>
  <c r="O343" i="7"/>
  <c r="O93" i="7"/>
  <c r="O251" i="7"/>
  <c r="O264" i="7"/>
  <c r="O115" i="7"/>
  <c r="O216" i="7"/>
  <c r="O239" i="7"/>
  <c r="O184" i="7"/>
  <c r="O286" i="7"/>
  <c r="O60" i="7"/>
  <c r="O267" i="7"/>
  <c r="O300" i="7"/>
  <c r="O317" i="7"/>
  <c r="O303" i="7"/>
  <c r="O340" i="7"/>
  <c r="O156" i="7"/>
  <c r="O111" i="7"/>
  <c r="O51" i="7"/>
  <c r="O319" i="7"/>
  <c r="O61" i="7"/>
  <c r="O162" i="7"/>
  <c r="O299" i="7"/>
  <c r="O175" i="7"/>
  <c r="O243" i="7"/>
  <c r="O326" i="7"/>
  <c r="O194" i="7"/>
  <c r="O31" i="7"/>
  <c r="O266" i="7"/>
  <c r="O237" i="7"/>
  <c r="K10" i="3"/>
  <c r="K28" i="3"/>
  <c r="K11" i="3"/>
  <c r="O36" i="7"/>
  <c r="O30" i="7"/>
  <c r="O150" i="7"/>
  <c r="O321" i="7"/>
  <c r="O83" i="7"/>
  <c r="O97" i="7"/>
  <c r="O245" i="7"/>
  <c r="O193" i="7"/>
  <c r="O180" i="7"/>
  <c r="O189" i="7"/>
  <c r="O73" i="7"/>
  <c r="O233" i="7"/>
  <c r="O28" i="7"/>
  <c r="O116" i="7"/>
  <c r="O302" i="7"/>
  <c r="O196" i="7"/>
  <c r="O158" i="7"/>
  <c r="O232" i="7"/>
  <c r="O105" i="7"/>
  <c r="O212" i="7"/>
  <c r="O173" i="7"/>
  <c r="O257" i="7"/>
  <c r="O136" i="7"/>
  <c r="O341" i="7"/>
  <c r="O95" i="7"/>
  <c r="O137" i="7"/>
  <c r="O131" i="7"/>
  <c r="O153" i="7"/>
  <c r="O35" i="7"/>
  <c r="O107" i="7"/>
  <c r="O334" i="7"/>
  <c r="O85" i="7"/>
  <c r="O76" i="7"/>
  <c r="O96" i="7"/>
  <c r="O210" i="7"/>
  <c r="O174" i="7"/>
  <c r="O167" i="7"/>
  <c r="O330" i="7"/>
  <c r="O253" i="7"/>
  <c r="O138" i="7"/>
  <c r="O110" i="7"/>
  <c r="O179" i="7"/>
  <c r="O200" i="7"/>
  <c r="O304" i="7"/>
  <c r="O223" i="7"/>
  <c r="O118" i="7"/>
  <c r="O170" i="7"/>
  <c r="O48" i="7"/>
  <c r="O279" i="7"/>
  <c r="O64" i="7"/>
  <c r="O289" i="7"/>
  <c r="O122" i="7"/>
  <c r="O324" i="7"/>
  <c r="O263" i="7"/>
  <c r="O314" i="7"/>
  <c r="O82" i="7"/>
  <c r="O70" i="7"/>
  <c r="O144" i="7"/>
  <c r="O43" i="7"/>
  <c r="O55" i="7"/>
  <c r="O207" i="7"/>
  <c r="O218" i="7"/>
  <c r="O98" i="7"/>
  <c r="O332" i="7"/>
  <c r="O24" i="7"/>
  <c r="O160" i="7"/>
  <c r="O47" i="7"/>
  <c r="O45" i="7"/>
  <c r="O203" i="7"/>
  <c r="O242" i="7"/>
  <c r="O250" i="7"/>
  <c r="O172" i="7"/>
  <c r="O71" i="7"/>
  <c r="O139" i="7"/>
  <c r="O226" i="7"/>
  <c r="O215" i="7"/>
  <c r="O221" i="7"/>
  <c r="O271" i="7"/>
  <c r="O142" i="7"/>
  <c r="O274" i="7"/>
  <c r="O66" i="7"/>
  <c r="K23" i="3"/>
  <c r="K39" i="3"/>
  <c r="K20" i="3"/>
  <c r="K42" i="3"/>
  <c r="K34" i="3"/>
  <c r="K27" i="3"/>
  <c r="K16" i="3"/>
  <c r="K33" i="3"/>
  <c r="K36" i="3"/>
  <c r="O255" i="7"/>
  <c r="K9" i="3"/>
  <c r="Y54" i="19" a="1"/>
  <c r="Z54" i="19"/>
  <c r="Y54" i="19"/>
  <c r="AN37" i="16"/>
  <c r="AW37" i="16" s="1"/>
  <c r="AN32" i="16"/>
  <c r="AW32" i="16" s="1"/>
  <c r="AN27" i="16"/>
  <c r="AW27" i="16" s="1"/>
  <c r="AN24" i="16"/>
  <c r="AW18" i="16" s="1"/>
  <c r="AN29" i="16"/>
  <c r="AW29" i="16" s="1"/>
  <c r="AN33" i="16"/>
  <c r="AW33" i="16" s="1"/>
  <c r="AN28" i="16"/>
  <c r="AW28" i="16" s="1"/>
  <c r="AN25" i="16"/>
  <c r="AW25" i="16" s="1"/>
  <c r="AN30" i="16"/>
  <c r="AW30" i="16" s="1"/>
  <c r="AN34" i="16"/>
  <c r="AW34" i="16" s="1"/>
  <c r="AN26" i="16"/>
  <c r="AN35" i="16"/>
  <c r="AW35" i="16" s="1"/>
  <c r="AN36" i="16"/>
  <c r="AW36" i="16" s="1"/>
  <c r="AN31" i="16"/>
  <c r="AW31" i="16" s="1"/>
  <c r="AW26" i="16"/>
  <c r="AU27" i="16"/>
  <c r="AU33" i="16"/>
  <c r="AU34" i="16"/>
  <c r="AU32" i="16"/>
  <c r="AV30" i="16"/>
  <c r="AV36" i="16"/>
  <c r="AV31" i="16"/>
  <c r="AU31" i="16"/>
  <c r="AU37" i="16"/>
  <c r="AV28" i="16"/>
  <c r="AV34" i="16"/>
  <c r="AV27" i="16"/>
  <c r="AU29" i="16"/>
  <c r="AV26" i="16"/>
  <c r="AV35" i="16"/>
  <c r="AU36" i="16"/>
  <c r="AV25" i="16"/>
  <c r="AU25" i="16"/>
  <c r="AU30" i="16"/>
  <c r="AU26" i="16"/>
  <c r="AV29" i="16"/>
  <c r="AU35" i="16"/>
  <c r="AV33" i="16"/>
  <c r="AV24" i="16"/>
  <c r="AU24" i="16"/>
  <c r="AV37" i="16"/>
  <c r="AV32" i="16"/>
  <c r="AU28" i="16"/>
  <c r="Z23" i="7"/>
  <c r="Z38" i="7"/>
  <c r="Z20" i="7"/>
  <c r="Z25" i="7"/>
  <c r="AA26" i="7"/>
  <c r="AA38" i="7"/>
  <c r="Z26" i="7"/>
  <c r="AB26" i="7"/>
  <c r="AC26" i="7"/>
  <c r="AD26" i="7"/>
  <c r="Y49" i="16" l="1" a="1"/>
  <c r="AN38" i="16"/>
  <c r="Z45" i="16" s="1"/>
  <c r="AW24" i="16"/>
  <c r="AW38" i="16" s="1"/>
  <c r="H10" i="16" s="1"/>
  <c r="AF26" i="7"/>
  <c r="AG26" i="7"/>
  <c r="Z32" i="7"/>
  <c r="Z33" i="7"/>
  <c r="Z29" i="7"/>
  <c r="AA20" i="7"/>
  <c r="AA29" i="7"/>
  <c r="AA37" i="7"/>
  <c r="AA23" i="7"/>
  <c r="AA34" i="7"/>
  <c r="Z27" i="7"/>
  <c r="Z34" i="7"/>
  <c r="AB34" i="7"/>
  <c r="AC34" i="7"/>
  <c r="Z36" i="7"/>
  <c r="AA31" i="7"/>
  <c r="AA25" i="7"/>
  <c r="AB25" i="7"/>
  <c r="AC25" i="7"/>
  <c r="AD25" i="7"/>
  <c r="Y49" i="16" l="1"/>
  <c r="Z49" i="16"/>
  <c r="AA45" i="16"/>
  <c r="AF25" i="7"/>
  <c r="AG25" i="7"/>
  <c r="Z24" i="7"/>
  <c r="Z37" i="7"/>
  <c r="AA32" i="7"/>
  <c r="AA24" i="7"/>
  <c r="AB23" i="7"/>
  <c r="AC23" i="7"/>
  <c r="Z22" i="7"/>
  <c r="Z31" i="7"/>
  <c r="Z30" i="7"/>
  <c r="Z21" i="7"/>
  <c r="AA22" i="7"/>
  <c r="AA21" i="7"/>
  <c r="AA36" i="7"/>
  <c r="AA39" i="7"/>
  <c r="AD23" i="7"/>
  <c r="Y51" i="16" l="1" a="1"/>
  <c r="AF23" i="7"/>
  <c r="AG23" i="7"/>
  <c r="Z35" i="7"/>
  <c r="Z28" i="7"/>
  <c r="AA30" i="7"/>
  <c r="AA33" i="7"/>
  <c r="AA28" i="7"/>
  <c r="AA35" i="7"/>
  <c r="AD34" i="7"/>
  <c r="Z51" i="16" l="1"/>
  <c r="Z52" i="16"/>
  <c r="Y51" i="16"/>
  <c r="Y52" i="16"/>
  <c r="AF34" i="7"/>
  <c r="AG34" i="7"/>
  <c r="Z39" i="7"/>
  <c r="AA27" i="7"/>
  <c r="S20" i="17" a="1"/>
  <c r="Y54" i="16" l="1" a="1"/>
  <c r="S53" i="17"/>
  <c r="T67" i="17"/>
  <c r="U67" i="17"/>
  <c r="V67" i="17"/>
  <c r="S34" i="17"/>
  <c r="S24" i="17"/>
  <c r="S32" i="17"/>
  <c r="S21" i="17"/>
  <c r="S25" i="17"/>
  <c r="S43" i="17"/>
  <c r="S35" i="17"/>
  <c r="S22" i="17"/>
  <c r="S57" i="17"/>
  <c r="S52" i="17"/>
  <c r="S29" i="17"/>
  <c r="S40" i="17"/>
  <c r="S42" i="17"/>
  <c r="S28" i="17"/>
  <c r="S33" i="17"/>
  <c r="S46" i="17"/>
  <c r="S30" i="17"/>
  <c r="S26" i="17"/>
  <c r="S51" i="17"/>
  <c r="S37" i="17"/>
  <c r="S36" i="17"/>
  <c r="S48" i="17"/>
  <c r="S49" i="17"/>
  <c r="S55" i="17"/>
  <c r="S39" i="17"/>
  <c r="S47" i="17"/>
  <c r="S41" i="17"/>
  <c r="S20" i="17"/>
  <c r="S38" i="17"/>
  <c r="S54" i="17"/>
  <c r="S44" i="17"/>
  <c r="S50" i="17"/>
  <c r="S45" i="17"/>
  <c r="S31" i="17"/>
  <c r="S23" i="17"/>
  <c r="S56" i="17"/>
  <c r="S27" i="17"/>
  <c r="AB22" i="7"/>
  <c r="AC22" i="7"/>
  <c r="AD22" i="7"/>
  <c r="Y54" i="16" l="1"/>
  <c r="Z54" i="16"/>
  <c r="AF22" i="7"/>
  <c r="AG22" i="7"/>
  <c r="AB35" i="7"/>
  <c r="AC35" i="7"/>
  <c r="AB20" i="7"/>
  <c r="AC20" i="7"/>
  <c r="AD18" i="7"/>
  <c r="AB21" i="7"/>
  <c r="AC21" i="7"/>
  <c r="AB27" i="7"/>
  <c r="AC27" i="7"/>
  <c r="AD27" i="7"/>
  <c r="AF27" i="7"/>
  <c r="AG27" i="7"/>
  <c r="AB30" i="7"/>
  <c r="AC30" i="7"/>
  <c r="AD30" i="7"/>
  <c r="AF30" i="7"/>
  <c r="AG30" i="7"/>
  <c r="AB33" i="7"/>
  <c r="AC33" i="7"/>
  <c r="AD33" i="7"/>
  <c r="AF33" i="7"/>
  <c r="AG33" i="7"/>
  <c r="AB37" i="7"/>
  <c r="AC37" i="7"/>
  <c r="AB39" i="7"/>
  <c r="AC39" i="7"/>
  <c r="AD39" i="7"/>
  <c r="AF39" i="7"/>
  <c r="AG39" i="7"/>
  <c r="AB32" i="7"/>
  <c r="AC32" i="7"/>
  <c r="AD37" i="7"/>
  <c r="AF37" i="7"/>
  <c r="AG37" i="7"/>
  <c r="AB29" i="7"/>
  <c r="AC29" i="7"/>
  <c r="AD29" i="7"/>
  <c r="AF29" i="7"/>
  <c r="AG29" i="7"/>
  <c r="AB36" i="7"/>
  <c r="AC36" i="7"/>
  <c r="AD36" i="7"/>
  <c r="AF36" i="7"/>
  <c r="AG36" i="7"/>
  <c r="AB28" i="7"/>
  <c r="AC28" i="7"/>
  <c r="AD28" i="7"/>
  <c r="AF28" i="7"/>
  <c r="AG28" i="7"/>
  <c r="AB38" i="7"/>
  <c r="AC38" i="7"/>
  <c r="AD38" i="7"/>
  <c r="AF38" i="7"/>
  <c r="AG38" i="7"/>
  <c r="AD32" i="7"/>
  <c r="AF32" i="7"/>
  <c r="AG32" i="7"/>
  <c r="AD35" i="7"/>
  <c r="AF35" i="7"/>
  <c r="AG35" i="7"/>
  <c r="AD1" i="7"/>
  <c r="AB24" i="7"/>
  <c r="AC24" i="7"/>
  <c r="AD24" i="7"/>
  <c r="AF24" i="7"/>
  <c r="AG24" i="7"/>
  <c r="AB31" i="7"/>
  <c r="AC31" i="7"/>
  <c r="AD31" i="7"/>
  <c r="AF31" i="7"/>
  <c r="AG31" i="7"/>
  <c r="AD20" i="7"/>
  <c r="R20" i="7"/>
  <c r="AF20" i="7"/>
  <c r="AG20" i="7"/>
  <c r="AD21" i="7"/>
  <c r="AF21" i="7"/>
  <c r="AG21" i="7"/>
  <c r="AG18" i="7"/>
</calcChain>
</file>

<file path=xl/comments1.xml><?xml version="1.0" encoding="utf-8"?>
<comments xmlns="http://schemas.openxmlformats.org/spreadsheetml/2006/main">
  <authors>
    <author>Ferdinando Ametrano</author>
  </authors>
  <commentList>
    <comment ref="N6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R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7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7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R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C8" authorId="0" shapeId="0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N8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R8" authorId="0" shapeId="0">
      <text>
        <r>
          <rPr>
            <sz val="8"/>
            <color indexed="81"/>
            <rFont val="Tahoma"/>
            <family val="2"/>
          </rPr>
          <t>holiday calendar (e.g. TARGET) to advance from global EvaluationDate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N9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R9" authorId="0" shape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10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10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11" authorId="0" shape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T11" authorId="0" shape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R12" authorId="0" shapeId="0">
      <text>
        <r>
          <rPr>
            <sz val="8"/>
            <color indexed="81"/>
            <rFont val="Tahoma"/>
            <family val="2"/>
          </rPr>
          <t>Bootstrapping accuracy.</t>
        </r>
      </text>
    </comment>
    <comment ref="R13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14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N6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R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7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7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R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C8" authorId="0" shapeId="0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N8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R8" authorId="0" shapeId="0">
      <text>
        <r>
          <rPr>
            <sz val="8"/>
            <color indexed="81"/>
            <rFont val="Tahoma"/>
            <family val="2"/>
          </rPr>
          <t>holiday calendar (e.g. TARGET) to advance from global EvaluationDate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N9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R9" authorId="0" shape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10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10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11" authorId="0" shape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T11" authorId="0" shape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R12" authorId="0" shapeId="0">
      <text>
        <r>
          <rPr>
            <sz val="8"/>
            <color indexed="81"/>
            <rFont val="Tahoma"/>
            <family val="2"/>
          </rPr>
          <t>Bootstrapping accuracy.</t>
        </r>
      </text>
    </comment>
    <comment ref="R13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14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N6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R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7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7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R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C8" authorId="0" shapeId="0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N8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R8" authorId="0" shapeId="0">
      <text>
        <r>
          <rPr>
            <sz val="8"/>
            <color indexed="81"/>
            <rFont val="Tahoma"/>
            <family val="2"/>
          </rPr>
          <t>holiday calendar (e.g. TARGET) to advance from global EvaluationDate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N9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R9" authorId="0" shape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10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10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11" authorId="0" shape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T11" authorId="0" shape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R12" authorId="0" shapeId="0">
      <text>
        <r>
          <rPr>
            <sz val="8"/>
            <color indexed="81"/>
            <rFont val="Tahoma"/>
            <family val="2"/>
          </rPr>
          <t>Bootstrapping accuracy.</t>
        </r>
      </text>
    </comment>
    <comment ref="R13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14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N6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R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C7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N7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R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C8" authorId="0" shapeId="0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N8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R8" authorId="0" shapeId="0">
      <text>
        <r>
          <rPr>
            <sz val="8"/>
            <color indexed="81"/>
            <rFont val="Tahoma"/>
            <family val="2"/>
          </rPr>
          <t>holiday calendar (e.g. TARGET) to advance from global EvaluationDate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N9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R9" authorId="0" shapeId="0">
      <text>
        <r>
          <rPr>
            <sz val="8"/>
            <color indexed="81"/>
            <rFont val="Tahoma"/>
            <family val="2"/>
          </rPr>
          <t>DayCounter ID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N10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10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R11" authorId="0" shape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T11" authorId="0" shapeId="0">
      <text>
        <r>
          <rPr>
            <sz val="8"/>
            <color indexed="81"/>
            <rFont val="Tahoma"/>
            <family val="2"/>
          </rPr>
          <t>BackwardFlat, ForwardFlat, Linear, LogLinear, CubicSpline, or LogCubic. If omitted, default = LogLinear is used.</t>
        </r>
      </text>
    </comment>
    <comment ref="R12" authorId="0" shapeId="0">
      <text>
        <r>
          <rPr>
            <sz val="8"/>
            <color indexed="81"/>
            <rFont val="Tahoma"/>
            <family val="2"/>
          </rPr>
          <t>Bootstrapping accuracy.</t>
        </r>
      </text>
    </comment>
    <comment ref="R13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R14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W5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5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L5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AO5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AR5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AU5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W6" authorId="0" shapeId="0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AC6" authorId="0" shapeId="0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AL6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AR6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AU6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G7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W7" authorId="0" shapeId="0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AC7" authorId="0" shapeId="0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AL7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O7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R7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U7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G8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W8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8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L8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AO8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AR8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AU8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G9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W9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9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L9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O9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R9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U9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G10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G11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12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AC12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W13" authorId="0" shapeId="0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AC13" authorId="0" shapeId="0">
      <text>
        <r>
          <rPr>
            <sz val="8"/>
            <color indexed="81"/>
            <rFont val="Tahoma"/>
            <family val="2"/>
          </rPr>
          <t>index tenor (e.g. 3W for three weeks, 6M for six months, 1Y for one year)</t>
        </r>
      </text>
    </comment>
    <comment ref="W14" authorId="0" shapeId="0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AC14" authorId="0" shapeId="0">
      <text>
        <r>
          <rPr>
            <sz val="8"/>
            <color indexed="81"/>
            <rFont val="Tahoma"/>
            <family val="2"/>
          </rPr>
          <t>forecasting yield term structure</t>
        </r>
      </text>
    </comment>
    <comment ref="W15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AC15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W16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AC16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6.xml><?xml version="1.0" encoding="utf-8"?>
<comments xmlns="http://schemas.openxmlformats.org/spreadsheetml/2006/main">
  <authors>
    <author>Ferdinando Ametrano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7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8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48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49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50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51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52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90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91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92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93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94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115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116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117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118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119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157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158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159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160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161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199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200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201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202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203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241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242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243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244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245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7.xml><?xml version="1.0" encoding="utf-8"?>
<comments xmlns="http://schemas.openxmlformats.org/spreadsheetml/2006/main">
  <authors>
    <author>Ferdinando Ametrano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7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8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48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49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50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51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52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90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91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92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93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94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115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116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117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118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119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157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158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159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160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161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199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200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201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202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203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C241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C242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C243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C244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C245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comments8.xml><?xml version="1.0" encoding="utf-8"?>
<comments xmlns="http://schemas.openxmlformats.org/spreadsheetml/2006/main">
  <authors>
    <author>Ferdinando Ametrano</author>
  </authors>
  <commentList>
    <comment ref="F3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N3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Q3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T3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W3" authorId="0" shapeId="0">
      <text>
        <r>
          <rPr>
            <sz val="8"/>
            <color indexed="81"/>
            <rFont val="Tahoma"/>
            <family val="2"/>
          </rPr>
          <t>max number of IMM (March, June, September, December) Futures to be included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W4" authorId="0" shapeId="0">
      <text>
        <r>
          <rPr>
            <sz val="8"/>
            <color indexed="81"/>
            <rFont val="Tahoma"/>
            <family val="2"/>
          </rPr>
          <t>max number of Serial (January, February, April, May, July, August, October, November) Futures to be included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N5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Q5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T5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W5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N6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Q6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W6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  <comment ref="N7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Q7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T7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W7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Dependancy tracking trigger</t>
        </r>
      </text>
    </comment>
  </commentList>
</comments>
</file>

<file path=xl/sharedStrings.xml><?xml version="1.0" encoding="utf-8"?>
<sst xmlns="http://schemas.openxmlformats.org/spreadsheetml/2006/main" count="2646" uniqueCount="855">
  <si>
    <t>OIS_SWAP-USD-FED (OIS)-50Y-</t>
  </si>
  <si>
    <t>USSO50 PREB Curncy</t>
  </si>
  <si>
    <t>SWAP-USD-USLIBOR6M-50Y-</t>
  </si>
  <si>
    <t>GEN-USD-SWAP*-3M-50Y</t>
  </si>
  <si>
    <t>SWAP-USD-USLIBOR1M-50Y-</t>
  </si>
  <si>
    <t>OIS_SWAP-USD-FED (OIS)-40Y-</t>
  </si>
  <si>
    <t>USSO40 PREB Curncy</t>
  </si>
  <si>
    <t>SWAP-USD-USLIBOR6M-40Y-</t>
  </si>
  <si>
    <t>GEN-USD-SWAP*-3M-40Y</t>
  </si>
  <si>
    <t>SWAP-USD-USLIBOR1M-40Y-</t>
  </si>
  <si>
    <t>OIS_SWAP-USD-FED (OIS)-30Y-</t>
  </si>
  <si>
    <t>USSO30 PREB Curncy</t>
  </si>
  <si>
    <t>SWAP-USD-USLIBOR6M-30Y-</t>
  </si>
  <si>
    <t>GEN-USD-SWAP*-3M-30Y</t>
  </si>
  <si>
    <t>SWAP-USD-USLIBOR1M-30Y-</t>
  </si>
  <si>
    <t>OIS_SWAP-USD-FED (OIS)-25Y-</t>
  </si>
  <si>
    <t>USSO25 ICPL Curncy</t>
  </si>
  <si>
    <t>SWAP-USD-USLIBOR6M-25Y-</t>
  </si>
  <si>
    <t>GEN-USD-SWAP*-3M-25Y</t>
  </si>
  <si>
    <t>SWAP-USD-USLIBOR1M-25Y-</t>
  </si>
  <si>
    <t>OIS_SWAP-USD-FED (OIS)-20Y-</t>
  </si>
  <si>
    <t>USSO20 ICPL Curncy</t>
  </si>
  <si>
    <t>CCS-USD/MXN-28D-10920D-</t>
  </si>
  <si>
    <t>SWAP-USD-USLIBOR6M-20Y-</t>
  </si>
  <si>
    <t>GEN-USD-SWAP*-3M-20Y</t>
  </si>
  <si>
    <t>SWAP-USD-USLIBOR1M-20Y-</t>
  </si>
  <si>
    <t>OIS_SWAP-USD-FED (OIS)-15Y-</t>
  </si>
  <si>
    <t>USSO15 ICPL Curncy</t>
  </si>
  <si>
    <t>CCS-USD/MXN-28D-7280D-</t>
  </si>
  <si>
    <t>SWAP-USD-USLIBOR6M-15Y-</t>
  </si>
  <si>
    <t>GEN-USD-SWAP*-3M-15Y</t>
  </si>
  <si>
    <t>SWAP-USD-USLIBOR1M-15Y-</t>
  </si>
  <si>
    <t>OIS_SWAP-USD-FED (OIS)-12Y-</t>
  </si>
  <si>
    <t>USSO12 ICPL Curncy</t>
  </si>
  <si>
    <t>CCS-USD/MXN-28D-5460D-</t>
  </si>
  <si>
    <t>SWAP-USD-USLIBOR6M-12Y-</t>
  </si>
  <si>
    <t>GEN-USD-SWAP*-3M-12Y</t>
  </si>
  <si>
    <t>SWAP-USD-USLIBOR1M-12Y-</t>
  </si>
  <si>
    <t>OIS_SWAP-USD-FED (OIS)-10Y-</t>
  </si>
  <si>
    <t>USSO10 ICPL Curncy</t>
  </si>
  <si>
    <t>CCS-USD/MXN-28D-4368D-</t>
  </si>
  <si>
    <t>SWAP-USD-USLIBOR6M-10Y-</t>
  </si>
  <si>
    <t>GEN-USD-SWAP*-3M-10Y</t>
  </si>
  <si>
    <t>SWAP-USD-USLIBOR1M-10Y-</t>
  </si>
  <si>
    <t>OIS_SWAP-USD-FED (OIS)-9Y-</t>
  </si>
  <si>
    <t>USSO9 ICPL Curncy</t>
  </si>
  <si>
    <t>CCS-USD/MXN-28D-3640D-</t>
  </si>
  <si>
    <t>SWAP-USD-USLIBOR6M-9Y-</t>
  </si>
  <si>
    <t>GEN-USD-SWAP*-3M-9Y</t>
  </si>
  <si>
    <t>SWAP-USD-USLIBOR1M-9Y-</t>
  </si>
  <si>
    <t>OIS_SWAP-USD-FED (OIS)-8Y-</t>
  </si>
  <si>
    <t>USSO8 ICPL Curncy</t>
  </si>
  <si>
    <t>CCS-USD/MXN-28D-2548D-</t>
  </si>
  <si>
    <t>SWAP-USD-USLIBOR6M-8Y-</t>
  </si>
  <si>
    <t>GEN-USD-SWAP*-3M-8Y</t>
  </si>
  <si>
    <t>SWAP-USD-USLIBOR1M-8Y-</t>
  </si>
  <si>
    <t>OIS_SWAP-USD-FED (OIS)-7Y-</t>
  </si>
  <si>
    <t>USSO7 ICPL Curncy</t>
  </si>
  <si>
    <t>CCS-USD/MXN-28D-1820D-</t>
  </si>
  <si>
    <t>SWAP-USD-USLIBOR6M-7Y-</t>
  </si>
  <si>
    <t>GEN-USD-SWAP*-3M-7Y</t>
  </si>
  <si>
    <t>SWAP-USD-USLIBOR1M-7Y-</t>
  </si>
  <si>
    <t>OIS_SWAP-USD-FED (OIS)-6Y-</t>
  </si>
  <si>
    <t>USSO6 ICPL Curncy</t>
  </si>
  <si>
    <t>CCS-USD/MXN-28D-1456D-</t>
  </si>
  <si>
    <t>SWAP-USD-USLIBOR6M-6Y-</t>
  </si>
  <si>
    <t>GEN-USD-SWAP*-3M-6Y</t>
  </si>
  <si>
    <t>SWAP-USD-USLIBOR1M-6Y-</t>
  </si>
  <si>
    <t>OIS_SWAP-USD-FED (OIS)-5Y-</t>
  </si>
  <si>
    <t>USSO5 ICPL Curncy</t>
  </si>
  <si>
    <t>CCS-USD/MXN-28D-1092D-</t>
  </si>
  <si>
    <t>SWAP-USD-USLIBOR6M-5Y-</t>
  </si>
  <si>
    <t>GEN-USD-SWAP*-3M-5Y</t>
  </si>
  <si>
    <t>SWAP-USD-USLIBOR1M-5Y-</t>
  </si>
  <si>
    <t>OIS_SWAP-USD-FED (OIS)-4Y-</t>
  </si>
  <si>
    <t>USSO4 ICPL Curncy</t>
  </si>
  <si>
    <t>CCS-USD/MXN-28D-728D-</t>
  </si>
  <si>
    <t>SWAP-USD-USLIBOR6M-4Y-</t>
  </si>
  <si>
    <t>GEN-USD-SWAP*-3M-4Y</t>
  </si>
  <si>
    <t>SWAP-USD-USLIBOR1M-4Y-</t>
  </si>
  <si>
    <t>OIS_SWAP-USD-FED (OIS)-3Y-</t>
  </si>
  <si>
    <t>USSO3 ICPL Curncy</t>
  </si>
  <si>
    <t>CCS-USD/MXN-28D-364D-</t>
  </si>
  <si>
    <t>SWAP-USD-USLIBOR6M-3Y-</t>
  </si>
  <si>
    <t>GEN-USD-SWAP*-3M-3Y</t>
  </si>
  <si>
    <t>SWAP-USD-USLIBOR1M-3Y-</t>
  </si>
  <si>
    <t>OIS_SWAP-USD-FED (OIS)-2Y-</t>
  </si>
  <si>
    <t>USSO2 ICPL Curncy</t>
  </si>
  <si>
    <t>CCS-USD/MXN-28D-252D-</t>
  </si>
  <si>
    <t>SWAP-USD-USLIBOR6M-2Y-</t>
  </si>
  <si>
    <t>GEN-USD-SWAP*-3M-2Y</t>
  </si>
  <si>
    <t>SWAP-USD-USLIBOR1M-2Y-</t>
  </si>
  <si>
    <t>OIS_SWAP-USD-FED (OIS)-21M-</t>
  </si>
  <si>
    <t>USSO1I ICPL Curncy</t>
  </si>
  <si>
    <t>CCS-USD/MXN-28D-168D-</t>
  </si>
  <si>
    <t>DEPO-USD-FIX-18M-</t>
  </si>
  <si>
    <t>GEN-USD-DEPO-18M</t>
  </si>
  <si>
    <t>OIS_SWAP-USD-FED (OIS)-18M-</t>
  </si>
  <si>
    <t>USSO1F ICPL Curncy</t>
  </si>
  <si>
    <t>CCS-USD/MXN-28D-84D-</t>
  </si>
  <si>
    <t>DEPO-USD-FIX-15M-</t>
  </si>
  <si>
    <t>GEN-USD-DEPO-15M</t>
  </si>
  <si>
    <t>OIS_SWAP-USD-FED (OIS)-15M-</t>
  </si>
  <si>
    <t>USSO1C ICPL Curncy</t>
  </si>
  <si>
    <t>SWAP-MXN-MXNTIIE28D-10920D-</t>
  </si>
  <si>
    <t>DEPO-USD-FIX-12M-</t>
  </si>
  <si>
    <t>GEN-USD-DEPO-12M</t>
  </si>
  <si>
    <t>OIS_SWAP-USD-FED (OIS)-12M-</t>
  </si>
  <si>
    <t>USSO1 ICPL Curncy</t>
  </si>
  <si>
    <t>SWAP-MXN-MXNTIIE28D-7280D-</t>
  </si>
  <si>
    <t>DEPO-USD-FIX-11M-</t>
  </si>
  <si>
    <t>GEN-USD-DEPO-11M</t>
  </si>
  <si>
    <t>OIS_SWAP-USD-FED (OIS)-11M-</t>
  </si>
  <si>
    <t>USSOK ICPL Curncy</t>
  </si>
  <si>
    <t>SWAP-MXN-MXNTIIE28D-5460D-</t>
  </si>
  <si>
    <t>DEPO-USD-FIX-10M-</t>
  </si>
  <si>
    <t>GEN-USD-DEPO-10M</t>
  </si>
  <si>
    <t>OIS_SWAP-USD-FED (OIS)-10M-</t>
  </si>
  <si>
    <t>USSOJ ICPL Curncy</t>
  </si>
  <si>
    <t>SWAP-MXN-MXNTIIE28D-4368D-</t>
  </si>
  <si>
    <t>DEPO-USD-FIX-9M-</t>
  </si>
  <si>
    <t>GEN-USD-DEPO-9M</t>
  </si>
  <si>
    <t>OIS_SWAP-USD-FED (OIS)-9M-</t>
  </si>
  <si>
    <t>USSOI ICPL Curncy</t>
  </si>
  <si>
    <t>SWAP-MXN-MXNTIIE28D-3640D-</t>
  </si>
  <si>
    <t>DEPO-USD-FIX-8M-</t>
  </si>
  <si>
    <t>GEN-USD-DEPO-8M</t>
  </si>
  <si>
    <t>OIS_SWAP-USD-FED (OIS)-8M-</t>
  </si>
  <si>
    <t>USSOH ICPL Curncy</t>
  </si>
  <si>
    <t>SWAP-MXN-MXNTIIE28D-2548D-</t>
  </si>
  <si>
    <t>DEPO-USD-FIX-7M-</t>
  </si>
  <si>
    <t>GEN-USD-DEPO-7M</t>
  </si>
  <si>
    <t>OIS_SWAP-USD-FED (OIS)-7M-</t>
  </si>
  <si>
    <t>USSOG ICPL Curncy</t>
  </si>
  <si>
    <t>result=params[1]</t>
  </si>
  <si>
    <t>UDI-MXN-FXFLTCCS-28D-10920D-</t>
  </si>
  <si>
    <t>SWAP-MXN-MXNTIIE28D-1820D-</t>
  </si>
  <si>
    <t>DEPO-USD-FIX-6M-</t>
  </si>
  <si>
    <t>GEN-USD-DEPO-6M</t>
  </si>
  <si>
    <t>OIS_SWAP-USD-FED (OIS)-6M-</t>
  </si>
  <si>
    <t>USSOF ICPL Curncy</t>
  </si>
  <si>
    <t xml:space="preserve"> fxg_h[a]={int(float(params[2])):float(b)}</t>
  </si>
  <si>
    <t>UDI-MXN-FXFLTCCS-28D-7280D-</t>
  </si>
  <si>
    <t>SWAP-MXN-MXNTIIE28D-1456D-</t>
  </si>
  <si>
    <t>DEPO-USD-FIX-5M-</t>
  </si>
  <si>
    <t>GEN-USD-DEPO-5M</t>
  </si>
  <si>
    <t>OIS_SWAP-USD-FED (OIS)-5M-</t>
  </si>
  <si>
    <t>USSOE ICPL Curncy</t>
  </si>
  <si>
    <t>for a, b in data:</t>
  </si>
  <si>
    <t>UDI-MXN-FXFLTCCS-28D-5460D-</t>
  </si>
  <si>
    <t>SWAP-MXN-MXNTIIE28D-1092D-</t>
  </si>
  <si>
    <t>DEPO-USD-FIX-4M-</t>
  </si>
  <si>
    <t>GEN-USD-DEPO-4M</t>
  </si>
  <si>
    <t>OIS_SWAP-USD-FED (OIS)-4M-</t>
  </si>
  <si>
    <t>USSOD ICPL Curncy</t>
  </si>
  <si>
    <t>fxg_h=store[params[1]].d</t>
  </si>
  <si>
    <t>UDI-MXN-FXFLTCCS-28D-3640D-</t>
  </si>
  <si>
    <t>SWAP-MXN-MXNTIIE28D-728D-</t>
  </si>
  <si>
    <t>DEPO-USD-FIX-3M-</t>
  </si>
  <si>
    <t>GEN-USD-DEPO-3M</t>
  </si>
  <si>
    <t>OIS_SWAP-USD-FED (OIS)-3M-</t>
  </si>
  <si>
    <t>USSOC ICPL Curncy</t>
  </si>
  <si>
    <t>data=api.GetXLSMatrix(params[0])</t>
  </si>
  <si>
    <t>UDI-MXN-FXFLTCCS-28D-2548D-</t>
  </si>
  <si>
    <t>SWAP-MXN-MXNTIIE28D-364D-</t>
  </si>
  <si>
    <t>DEPO-USD-FIX-2M-</t>
  </si>
  <si>
    <t>GEN-USD-DEPO-2M</t>
  </si>
  <si>
    <t>OIS_SWAP-USD-FED (OIS)-2M-</t>
  </si>
  <si>
    <t>USSOB ICPL Curncy</t>
  </si>
  <si>
    <t>UDI-MXN-FXFLTCCS-28D-1820D-</t>
  </si>
  <si>
    <t>SWAP-MXN-MXNTIIE28D-252D-</t>
  </si>
  <si>
    <t>DEPO-USD-FIX-1M-</t>
  </si>
  <si>
    <t>GEN-USD-DEPO-1M</t>
  </si>
  <si>
    <t>OIS_SWAP-USD-FED (OIS)-1M-</t>
  </si>
  <si>
    <t>USSOA ICPL Curncy</t>
  </si>
  <si>
    <t>UDI-MXN-FXFLTCCS-28D-1092D-</t>
  </si>
  <si>
    <t>SWAP-MXN-MXNTIIE28D-168D-</t>
  </si>
  <si>
    <t>DEPO-USD-FIX-1W-</t>
  </si>
  <si>
    <t>GEN-USD-DEPO-1W</t>
  </si>
  <si>
    <t>OIS_SWAP-USD-FED (OIS)-1W-</t>
  </si>
  <si>
    <t>USSO1Z CMPN Curncy</t>
  </si>
  <si>
    <t>UDI-MXN-FXFLTCCS-28D-728D-</t>
  </si>
  <si>
    <t>SWAP-MXN-MXNTIIE28D-84D-</t>
  </si>
  <si>
    <t>DEPO-USD-FIX-1D-</t>
  </si>
  <si>
    <t>GEN-USD-DEPO-1D</t>
  </si>
  <si>
    <t>UDI-MXN-FXFLTCCS-28D-364D-</t>
  </si>
  <si>
    <t>SWAP-MXN-MXNTIIE28D-28D-</t>
  </si>
  <si>
    <t>DEPO-USD-FIX-T/N-</t>
  </si>
  <si>
    <t>USD-T/N</t>
  </si>
  <si>
    <t>USD/MXN</t>
  </si>
  <si>
    <t>UDI-MXN-FXFLTCCS-28D-182D-</t>
  </si>
  <si>
    <t>DEPO-MXN-FIX-O/N-</t>
  </si>
  <si>
    <t>DEPO-USD-FIX-O/N-</t>
  </si>
  <si>
    <t>USD-O/N</t>
  </si>
  <si>
    <t>MAD</t>
  </si>
  <si>
    <t>PIP</t>
  </si>
  <si>
    <t>AC</t>
  </si>
  <si>
    <t>BLOOMBERG</t>
  </si>
  <si>
    <t>UDI_TIIE_COLUSD</t>
  </si>
  <si>
    <t>MXN_BO_SWAP_COL + MXN_BASIS_COL</t>
  </si>
  <si>
    <t>USD_DEPOSWAP_6M_MCY</t>
  </si>
  <si>
    <t>USD_DEPOSWAP_3M_MCY</t>
  </si>
  <si>
    <t>USD_SWAP_1M_MCY</t>
  </si>
  <si>
    <t>USD_OIS_COL_MCY</t>
  </si>
  <si>
    <t>O/N</t>
  </si>
  <si>
    <t>T/N</t>
  </si>
  <si>
    <t>1D</t>
  </si>
  <si>
    <t>1W</t>
  </si>
  <si>
    <t>1M</t>
  </si>
  <si>
    <t>2M</t>
  </si>
  <si>
    <t>3M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</si>
  <si>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</si>
  <si>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</si>
  <si>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</si>
  <si>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</si>
  <si>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</si>
  <si>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</si>
  <si>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</si>
  <si>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</si>
  <si>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</si>
  <si>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</si>
  <si>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</si>
  <si>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</si>
  <si>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</si>
  <si>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</si>
  <si>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</si>
  <si>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</si>
  <si>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</si>
  <si>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</si>
  <si>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</si>
  <si>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</si>
  <si>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</si>
  <si>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</si>
  <si>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</si>
  <si>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</si>
  <si>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13M</t>
  </si>
  <si>
    <t>14M</t>
  </si>
  <si>
    <t>15M</t>
  </si>
  <si>
    <t>18M</t>
  </si>
  <si>
    <t>21M</t>
  </si>
  <si>
    <t>2Y</t>
  </si>
  <si>
    <t>27M</t>
  </si>
  <si>
    <t>Euribor</t>
  </si>
  <si>
    <t>Error</t>
  </si>
  <si>
    <t>ObjectID</t>
  </si>
  <si>
    <t>Tenor</t>
  </si>
  <si>
    <t>YieldCurve</t>
  </si>
  <si>
    <t>Permanent</t>
  </si>
  <si>
    <t>Trigger</t>
  </si>
  <si>
    <t>3m</t>
  </si>
  <si>
    <t>Quote</t>
  </si>
  <si>
    <t>TARGET</t>
  </si>
  <si>
    <t>Following</t>
  </si>
  <si>
    <t>Actual/360</t>
  </si>
  <si>
    <t>Modified Following</t>
  </si>
  <si>
    <t>Target</t>
  </si>
  <si>
    <t>Annual</t>
  </si>
  <si>
    <t>30/360 (Bond Basis)</t>
  </si>
  <si>
    <t>EUR_TRADER_3M</t>
  </si>
  <si>
    <t>AllRateHelpers</t>
  </si>
  <si>
    <t>Priority</t>
  </si>
  <si>
    <t>Selected</t>
  </si>
  <si>
    <t>NImmFutures</t>
  </si>
  <si>
    <t>NSerialFutures</t>
  </si>
  <si>
    <t>FrontFuturesRollingDays</t>
  </si>
  <si>
    <t>DepoFuturesPriority</t>
  </si>
  <si>
    <t>AllDepos</t>
  </si>
  <si>
    <t>PiecewiseYieldCurve</t>
  </si>
  <si>
    <t>NDays</t>
  </si>
  <si>
    <t>Calendar</t>
  </si>
  <si>
    <t>DayCounter</t>
  </si>
  <si>
    <t>TraitsID</t>
  </si>
  <si>
    <t>Discount</t>
  </si>
  <si>
    <t>InterpolatorID</t>
  </si>
  <si>
    <t>LogLinear</t>
  </si>
  <si>
    <t>Accuracy</t>
  </si>
  <si>
    <t>2D</t>
  </si>
  <si>
    <t>0d</t>
  </si>
  <si>
    <t>Linear</t>
  </si>
  <si>
    <t>TermStructureDayCounter</t>
  </si>
  <si>
    <t>Actual/365 (Fixed)</t>
  </si>
  <si>
    <t>Dates</t>
  </si>
  <si>
    <t>Discount Factor</t>
  </si>
  <si>
    <t>Discount Rates</t>
  </si>
  <si>
    <t>Swap definition</t>
  </si>
  <si>
    <t>Fixed Leg Frequency</t>
  </si>
  <si>
    <t>Business day convention</t>
  </si>
  <si>
    <t>Day Count Convention</t>
  </si>
  <si>
    <t>Ibor rate</t>
  </si>
  <si>
    <t>Floating Leg Spread</t>
  </si>
  <si>
    <t>ForwardStart</t>
  </si>
  <si>
    <t>Deposit Definition</t>
  </si>
  <si>
    <t>Business Day convention</t>
  </si>
  <si>
    <t>EndofMonth rule</t>
  </si>
  <si>
    <t>Day count convention</t>
  </si>
  <si>
    <t>Discount Curve</t>
  </si>
  <si>
    <t>Murex Zero rates</t>
  </si>
  <si>
    <t>Abs difference</t>
  </si>
  <si>
    <t>EUR</t>
  </si>
  <si>
    <t>MERCURY</t>
  </si>
  <si>
    <t>MUREX LATAM</t>
  </si>
  <si>
    <t>MXN_BO_SWAP_COL</t>
  </si>
  <si>
    <t>MXN_BASIS_COL</t>
  </si>
  <si>
    <t>USD_OIS_COL</t>
  </si>
  <si>
    <t>USD_DEPOSWAP_3M</t>
  </si>
  <si>
    <t>USD_SWAP_1M</t>
  </si>
  <si>
    <t>USD_DEPOSWAP_6M</t>
  </si>
  <si>
    <t>UDI-TIIE_COLUSD</t>
  </si>
  <si>
    <t>USDBASISTRADCOL</t>
  </si>
  <si>
    <t>USD_COL_EUR</t>
  </si>
  <si>
    <t>EURBASTRACOLUSD</t>
  </si>
  <si>
    <t>EUR_BAS_COLUSD</t>
  </si>
  <si>
    <t>MXN_COL_EUR</t>
  </si>
  <si>
    <t>MXN_BAS_COL_EU</t>
  </si>
  <si>
    <t>UDI_COL_EUR</t>
  </si>
  <si>
    <t>UDI_TIIE_COLEUR</t>
  </si>
  <si>
    <t>EUR COL EUR</t>
  </si>
  <si>
    <t>EUR_DISC_COL</t>
  </si>
  <si>
    <t>EUR-TRADER-3M</t>
  </si>
  <si>
    <t>EUR_DEPOSWAP_3M</t>
  </si>
  <si>
    <t>EUR_FUTSWAP2</t>
  </si>
  <si>
    <t>EUR_DEPOSWAP_6M</t>
  </si>
  <si>
    <t>Effective date</t>
  </si>
  <si>
    <t>60Y</t>
  </si>
  <si>
    <t>70Y</t>
  </si>
  <si>
    <t>80Y</t>
  </si>
  <si>
    <t>100Y</t>
  </si>
  <si>
    <t>Spot date</t>
  </si>
  <si>
    <t>Curve</t>
  </si>
  <si>
    <t>Object name</t>
  </si>
  <si>
    <t>UnitedKingdom::Exchange</t>
  </si>
  <si>
    <t>UnitedStates::NYSE</t>
  </si>
  <si>
    <t>12M</t>
  </si>
  <si>
    <t>USD</t>
  </si>
  <si>
    <t>Floating Leg</t>
  </si>
  <si>
    <t>USD Floating Schedule</t>
  </si>
  <si>
    <t>EUR Floating Schedule</t>
  </si>
  <si>
    <t>USD Floating Leg</t>
  </si>
  <si>
    <t>EUR Swap</t>
  </si>
  <si>
    <t>USD Swap</t>
  </si>
  <si>
    <t>Value EUR Swap</t>
  </si>
  <si>
    <t>Libor</t>
  </si>
  <si>
    <t>Pricing Engine</t>
  </si>
  <si>
    <t>Value USD Swap</t>
  </si>
  <si>
    <t>FX rate</t>
  </si>
  <si>
    <t>Notional EUR</t>
  </si>
  <si>
    <t>Notional USD</t>
  </si>
  <si>
    <t>CCS Value</t>
  </si>
  <si>
    <t>Error function</t>
  </si>
  <si>
    <t>DF</t>
  </si>
  <si>
    <t>CCS EURUSD_C_US</t>
  </si>
  <si>
    <t>resettable leg = USD</t>
  </si>
  <si>
    <t>EUR BASIS TEST</t>
  </si>
  <si>
    <t>EUR CLP BAS SWP</t>
  </si>
  <si>
    <t>Schedule</t>
  </si>
  <si>
    <t>Discount EUR</t>
  </si>
  <si>
    <t>Discount USD</t>
  </si>
  <si>
    <t>EUR Floating Leg 1</t>
  </si>
  <si>
    <t>EUR Floating Leg 2</t>
  </si>
  <si>
    <t>USD Floating Leg 2</t>
  </si>
  <si>
    <t>Mx Generator name</t>
  </si>
  <si>
    <t>Ibor rate 2</t>
  </si>
  <si>
    <t>EUR-TR-EON-DISC</t>
  </si>
  <si>
    <t>MXN_BASIS_COL_FX</t>
  </si>
  <si>
    <t>Notionals USD</t>
  </si>
  <si>
    <t>2d</t>
  </si>
  <si>
    <t>Effective Date</t>
  </si>
  <si>
    <t>Resettable Flag</t>
  </si>
  <si>
    <t>curve</t>
  </si>
  <si>
    <t>CAD_SWP_FWD + CAD_BASIS_CLUSD</t>
  </si>
  <si>
    <t>JPY-TRADR-TONAR</t>
  </si>
  <si>
    <t>JPY-TRADER-6M_MCY</t>
  </si>
  <si>
    <t>JPY_TRADER_3M_MCY</t>
  </si>
  <si>
    <t>JPYBASTRACOLUSD</t>
  </si>
  <si>
    <t>ASK</t>
  </si>
  <si>
    <t>BID</t>
  </si>
  <si>
    <t>MID</t>
  </si>
  <si>
    <t>MXN SINV Curncy</t>
  </si>
  <si>
    <t>CADMXN SINV Curncy</t>
  </si>
  <si>
    <t>MXNON  SINV Curncy</t>
  </si>
  <si>
    <t>MXN1W SINV Curncy</t>
  </si>
  <si>
    <t>MXN1M SINV Curncy</t>
  </si>
  <si>
    <t>MXN2M SINV Curncy</t>
  </si>
  <si>
    <t>MXN3M SINV Curncy</t>
  </si>
  <si>
    <t>MXN6M SINV Curncy</t>
  </si>
  <si>
    <t>MXN9M SINV Curncy</t>
  </si>
  <si>
    <t>MXN12M SINV Curncy</t>
  </si>
  <si>
    <t>MXN18M SINV Curncy</t>
  </si>
  <si>
    <t>MXN2Y SINV Curncy</t>
  </si>
  <si>
    <t>MXN3Y SINV Curncy</t>
  </si>
  <si>
    <t>MXN4Y SINV Curncy</t>
  </si>
  <si>
    <t>N</t>
  </si>
  <si>
    <t>CH_EUR_COL_CLP</t>
  </si>
  <si>
    <t>CH_EUR_COL_EUR</t>
  </si>
  <si>
    <t>CH_EUR_COL_USD</t>
  </si>
  <si>
    <t>CH_EUR_NO_COL</t>
  </si>
  <si>
    <t>CLE_BASIS_TH</t>
  </si>
  <si>
    <t>EUR :Std</t>
  </si>
  <si>
    <t>EUR CALL MONEY</t>
  </si>
  <si>
    <t>EUR-TRADER</t>
  </si>
  <si>
    <t>EUR-TRADER-12M</t>
  </si>
  <si>
    <t>EUR-TRADER-1M</t>
  </si>
  <si>
    <t>EUR-TRADER-DISC</t>
  </si>
  <si>
    <t>EUR-TRADR-EONIA</t>
  </si>
  <si>
    <t>EUR/USD BASIS</t>
  </si>
  <si>
    <t>EUR_12M</t>
  </si>
  <si>
    <t>EUR_1M</t>
  </si>
  <si>
    <t>EUR_3M</t>
  </si>
  <si>
    <t>EUR_6M</t>
  </si>
  <si>
    <t>EUR_BAS_COLMX</t>
  </si>
  <si>
    <t>EUR_BAS_MX-EUR</t>
  </si>
  <si>
    <t>EUR_BAS_NCOL</t>
  </si>
  <si>
    <t>EUR_BAS_USD-EUR</t>
  </si>
  <si>
    <t>EUR_BO_FWDFX</t>
  </si>
  <si>
    <t>EUR_BO_SWAP</t>
  </si>
  <si>
    <t>EUR_BRA</t>
  </si>
  <si>
    <t>EUR_BSNC</t>
  </si>
  <si>
    <t>EUR_CALMNY_DISC</t>
  </si>
  <si>
    <t>EUR_CLE_BASIS</t>
  </si>
  <si>
    <t>EUR_CLE_DERIV</t>
  </si>
  <si>
    <t>EUR_COL_EUR</t>
  </si>
  <si>
    <t>EUR_COL_MXN</t>
  </si>
  <si>
    <t>EUR_COL_USD</t>
  </si>
  <si>
    <t>EUR_DEPOSWAP12M</t>
  </si>
  <si>
    <t>EUR_DEPO_FX</t>
  </si>
  <si>
    <t>EUR_FO_FWDFX</t>
  </si>
  <si>
    <t>EUR_FUTSWAP</t>
  </si>
  <si>
    <t>EUR_FUTSWAP_12M</t>
  </si>
  <si>
    <t>EUR_FUTSWAP_1M</t>
  </si>
  <si>
    <t>EUR_FUTSWAP_3M</t>
  </si>
  <si>
    <t>EUR_FUTSWAP_6M</t>
  </si>
  <si>
    <t>EUR_FUTSWAP_MD</t>
  </si>
  <si>
    <t>EUR_FX_BRL</t>
  </si>
  <si>
    <t>EUR_MXN_BASIS</t>
  </si>
  <si>
    <t>EUR_SWAPCOL_12M</t>
  </si>
  <si>
    <t>EUR_SWAPCOL_1M</t>
  </si>
  <si>
    <t>EUR_SWAPCOL_3M</t>
  </si>
  <si>
    <t>EUR_SWAPCOL_6M</t>
  </si>
  <si>
    <t>EUR_SWAP_1M</t>
  </si>
  <si>
    <t>EUR_TRADER_LD.</t>
  </si>
  <si>
    <t>EUR_UNCOLAT</t>
  </si>
  <si>
    <t>USLIBOR3M</t>
  </si>
  <si>
    <t>Spot Date</t>
  </si>
  <si>
    <t>Market</t>
  </si>
  <si>
    <t>Mercury</t>
  </si>
  <si>
    <t>Quantlib</t>
  </si>
  <si>
    <t>EURIBOR3M</t>
  </si>
  <si>
    <t>Cubic</t>
  </si>
  <si>
    <t>USD_OIS_COL_mx</t>
  </si>
  <si>
    <t>EURBASTRACOLUSD_mx</t>
  </si>
  <si>
    <t>Eur discounting</t>
  </si>
  <si>
    <t>USD discounting</t>
  </si>
  <si>
    <t>EUR_DEPOSWAP_3M_mx</t>
  </si>
  <si>
    <t>USD_DEPOSWAP_3M_mx</t>
  </si>
  <si>
    <t>EUR ESTIMATION</t>
  </si>
  <si>
    <t>USD estimation</t>
  </si>
  <si>
    <t>21m</t>
  </si>
  <si>
    <t>Overnight</t>
  </si>
  <si>
    <t>MinDistance</t>
  </si>
  <si>
    <t>EUR-EONIA-O/N</t>
  </si>
  <si>
    <t>EUR-O/N*</t>
  </si>
  <si>
    <t>GEN-EUR-USD-CCS-RESET-3M</t>
  </si>
  <si>
    <t>GEN-USD/MXN-SWAP-POINT-ON</t>
  </si>
  <si>
    <t>CAD-MX-O/N</t>
  </si>
  <si>
    <t>JPY-TONAR-SWAP-PD_1D</t>
  </si>
  <si>
    <t>GEN-JPY-FRA-6M-SPOT</t>
  </si>
  <si>
    <t>GEN-JPY-FRA-3M-SPOT</t>
  </si>
  <si>
    <t>GEN-JPY-USD-CCS-RESET-1Y</t>
  </si>
  <si>
    <t>EUR-EONIA-T/N</t>
  </si>
  <si>
    <t>EUR-T/N*</t>
  </si>
  <si>
    <t>GEN-EUR-USD-CCS-RESET-6M</t>
  </si>
  <si>
    <t>GEN-USD/MXN-SWAP-POINT-TN</t>
  </si>
  <si>
    <t>CAD-MX-T/N</t>
  </si>
  <si>
    <t>GEN-JPY-TONAR-SWAP-PD-2W</t>
  </si>
  <si>
    <t>GEN-JPY-SWAP*-6M-1Y</t>
  </si>
  <si>
    <t>GEN-JPY-FUT-JUN 16</t>
  </si>
  <si>
    <t>GEN-JPY-USD-CCS-RESET-2Y</t>
  </si>
  <si>
    <t>EUR-EONIA-1D</t>
  </si>
  <si>
    <t>EUR-1D</t>
  </si>
  <si>
    <t>GEN-EUR-USD-CCS-RESET-9M</t>
  </si>
  <si>
    <t>GEN-USD/MXN-SWAP-POINT-SN</t>
  </si>
  <si>
    <t>CAD-MX-1D</t>
  </si>
  <si>
    <t>GEN-JPY-TONAR-SWAP-PD-3W</t>
  </si>
  <si>
    <t>GEN-JPY-SWAP*-6M-2Y</t>
  </si>
  <si>
    <t>GEN-JPY-FUT-SEP 16</t>
  </si>
  <si>
    <t>GEN-JPY-USD-CCS-RESET-3Y</t>
  </si>
  <si>
    <t>GEN-EUR-EONIA-DEPO-1W</t>
  </si>
  <si>
    <t>GEN-EUR-DEPO-1W</t>
  </si>
  <si>
    <t>GEN-EUR-USD-CCS-RESET-1Y</t>
  </si>
  <si>
    <t>GEN-USD/MXN-SWAP-POINT-1W</t>
  </si>
  <si>
    <t>GEN-CAD-DEPO-3M</t>
  </si>
  <si>
    <t>GEN-JPY-TONAR-SWAP-PD-1M</t>
  </si>
  <si>
    <t>GEN-JPY-SWAP*-6M-3Y</t>
  </si>
  <si>
    <t>GEN-JPY-FUT-DEC 16</t>
  </si>
  <si>
    <t>GEN-JPY-USD-CCS-RESET-4Y</t>
  </si>
  <si>
    <t>GEN-EUR-EONIA-DEPO-1M</t>
  </si>
  <si>
    <t>GEN-EUR-DEPO-1M</t>
  </si>
  <si>
    <t>GEN-EUR-USD-CCS-RESET-2Y</t>
  </si>
  <si>
    <t>GEN-USD/MXN-SWAP-POINT-2W</t>
  </si>
  <si>
    <t>GEN-CAD-DEPO-6M</t>
  </si>
  <si>
    <t>GEN-JPY-TONAR-SWAP-PD-2M</t>
  </si>
  <si>
    <t>GEN-JPY-SWAP*-6M-4Y</t>
  </si>
  <si>
    <t>GEN-JPY-FUT-MAR 17</t>
  </si>
  <si>
    <t>GEN-JPY-USD-CCS-RESET-5Y</t>
  </si>
  <si>
    <t>GEN-EUR-EONIA-DEPO-2M</t>
  </si>
  <si>
    <t>GEN-EUR-DEPO-2M</t>
  </si>
  <si>
    <t>GEN-EUR-USD-CCS-RESET-3Y</t>
  </si>
  <si>
    <t>GEN-USD/MXN-SWAP-POINT-3W</t>
  </si>
  <si>
    <t>GEN-CAD-DEPO-9M</t>
  </si>
  <si>
    <t>GEN-JPY-TONAR-SWAP-PD-3M</t>
  </si>
  <si>
    <t>GEN-JPY-SWAP*-6M-5Y</t>
  </si>
  <si>
    <t>GEN-JPY-BASIS-SWAP*-3M-6M-2Y</t>
  </si>
  <si>
    <t>GEN-JPY-USD-CCS-RESET-7Y</t>
  </si>
  <si>
    <t>GEN-EUR-EONIA-DEPO-3M</t>
  </si>
  <si>
    <t>GEN-EUR-DEPO-3M</t>
  </si>
  <si>
    <t>GEN-EUR-USD-CCS-RESET-4Y</t>
  </si>
  <si>
    <t>GEN-USD/MXN-SWAP-POINT-1M</t>
  </si>
  <si>
    <t>GEN-CAD-DEPO-12M</t>
  </si>
  <si>
    <t>GEN-JPY-TONAR-SWAP-PD-4M</t>
  </si>
  <si>
    <t>GEN-JPY-SWAP*-6M-6Y</t>
  </si>
  <si>
    <t>GEN-JPY-BASIS-SWAP*-3M-6M-3Y</t>
  </si>
  <si>
    <t>GEN-JPY-USD-CCS-RESET-10Y</t>
  </si>
  <si>
    <t>GEN-EUR-EONIA-DEPO-4M</t>
  </si>
  <si>
    <t>GEN-EUR-DEPO-4M</t>
  </si>
  <si>
    <t>GEN-EUR-USD-CCS-RESET-5Y</t>
  </si>
  <si>
    <t>GEN-USD/MXN-SWAP-POINT-2M</t>
  </si>
  <si>
    <t>GEN-CAD-DEPO-15M</t>
  </si>
  <si>
    <t>GEN-JPY-TONAR-SWAP-PD-5M</t>
  </si>
  <si>
    <t>GEN-JPY-SWAP*-6M-7Y</t>
  </si>
  <si>
    <t>GEN-JPY-BASIS-SWAP*-3M-6M-4Y</t>
  </si>
  <si>
    <t>GEN-JPY-USD-CCS-RESET-15Y</t>
  </si>
  <si>
    <t>GEN-EUR-EONIA-DEPO-5M</t>
  </si>
  <si>
    <t>GEN-EUR-DEPO-5M</t>
  </si>
  <si>
    <t>GEN-EUR-USD-CCS-RESET-6Y</t>
  </si>
  <si>
    <t>GEN-USD/MXN-SWAP-POINT-3M</t>
  </si>
  <si>
    <t>GEN-CAD-DEPO-18M</t>
  </si>
  <si>
    <t>GEN-JPY-TONAR-SWAP-PD-6M</t>
  </si>
  <si>
    <t>GEN-JPY-SWAP*-6M-8Y</t>
  </si>
  <si>
    <t>GEN-JPY-BASIS-SWAP*-3M-6M-5Y</t>
  </si>
  <si>
    <t>GEN-JPY-USD-CCS-RESET-20Y</t>
  </si>
  <si>
    <t>GEN-EUR-EONIA-DEPO-6M</t>
  </si>
  <si>
    <t>GEN-EUR-DEPO-6M</t>
  </si>
  <si>
    <t>GEN-EUR-USD-CCS-RESET-7Y</t>
  </si>
  <si>
    <t>GEN-USD/MXN-SWAP-POINT-4M</t>
  </si>
  <si>
    <t>GEN-CAD-SWAP-SA3S-2Y</t>
  </si>
  <si>
    <t>GEN-JPY-TONAR-SWAP-PD-7M</t>
  </si>
  <si>
    <t>GEN-JPY-SWAP*-6M-9Y</t>
  </si>
  <si>
    <t>GEN-JPY-BASIS-SWAP*-3M-6M-6Y</t>
  </si>
  <si>
    <t>GEN-JPY-USD-CCS-RESET-30Y</t>
  </si>
  <si>
    <t>GEN-EUR-EONIA-DEPO-7M</t>
  </si>
  <si>
    <t>GEN-EUR-DEPO-7M</t>
  </si>
  <si>
    <t>GEN-EUR-USD-CCS-RESET-8Y</t>
  </si>
  <si>
    <t>GEN-USD/MXN-SWAP-POINT-5M</t>
  </si>
  <si>
    <t>GEN-CAD-SWAP-SA3S-3Y</t>
  </si>
  <si>
    <t>GEN-JPY-TONAR-SWAP-PD-8M</t>
  </si>
  <si>
    <t>GEN-JPY-SWAP*-6M-10Y</t>
  </si>
  <si>
    <t>GEN-JPY-BASIS-SWAP*-3M-6M-7Y</t>
  </si>
  <si>
    <t>GEN-EUR-EONIA-DEPO-8M</t>
  </si>
  <si>
    <t>GEN-EUR-DEPO-8M</t>
  </si>
  <si>
    <t>GEN-EUR-USD-CCS-RESET-9Y</t>
  </si>
  <si>
    <t>GEN-USD/MXN-SWAP-POINT-6M</t>
  </si>
  <si>
    <t>GEN-CAD-SWAP-SA3S-4Y</t>
  </si>
  <si>
    <t>GEN-JPY-TONAR-SWAP-PD-9M</t>
  </si>
  <si>
    <t>GEN-JPY-SWAP*-6M-12Y</t>
  </si>
  <si>
    <t>GEN-JPY-BASIS-SWAP*-3M-6M-8Y</t>
  </si>
  <si>
    <t>GEN-EUR-EONIA-DEPO-9M</t>
  </si>
  <si>
    <t>GEN-EUR-DEPO-9M</t>
  </si>
  <si>
    <t>GEN-EUR-USD-CCS-RESET-10Y</t>
  </si>
  <si>
    <t>GEN-USD/MXN-SWAP-POINT-7M</t>
  </si>
  <si>
    <t>GEN-CAD-SWAP-SA3S-5Y</t>
  </si>
  <si>
    <t>GEN-JPY-TONAR-SWAP-PD-10M</t>
  </si>
  <si>
    <t>GEN-JPY-SWAP*-6M-15Y</t>
  </si>
  <si>
    <t>GEN-JPY-BASIS-SWAP*-3M-6M-9Y</t>
  </si>
  <si>
    <t>GEN-EUR-EONIA-DEPO-10M</t>
  </si>
  <si>
    <t>GEN-EUR-DEPO-10M</t>
  </si>
  <si>
    <t>GEN-EUR-USD-CCS-RESET-12Y</t>
  </si>
  <si>
    <t>GEN-USD/MXN-SWAP-POINT-8M</t>
  </si>
  <si>
    <t>GEN-CAD-SWAP-SA3S-6Y</t>
  </si>
  <si>
    <t>GEN-JPY-TONAR-SWAP-PD-11M</t>
  </si>
  <si>
    <t>GEN-JPY-SWAP*-6M-20Y</t>
  </si>
  <si>
    <t>GEN-JPY-BASIS-SWAP*-3M-6M-10Y</t>
  </si>
  <si>
    <t>GEN-EUR-EONIA-DEPO-11M</t>
  </si>
  <si>
    <t>GEN-EUR-DEPO-11M</t>
  </si>
  <si>
    <t>GEN-EUR-USD-CCS-RESET-15Y</t>
  </si>
  <si>
    <t>GEN-USD/MXN-SWAP-POINT-9M</t>
  </si>
  <si>
    <t>GEN-CAD-SWAP-SA3S-7Y</t>
  </si>
  <si>
    <t>GEN-JPY-TONAR-SWAP-PD-1Y</t>
  </si>
  <si>
    <t>GEN-JPY-SWAP*-6M-25Y</t>
  </si>
  <si>
    <t>GEN-JPY-BASIS-SWAP*-3M-6M-15Y</t>
  </si>
  <si>
    <t>GEN-EUR-EONIA-DEPO-1Y</t>
  </si>
  <si>
    <t>GEN-EUR-DEPO-1Y</t>
  </si>
  <si>
    <t>GEN-EUR-USD-CCS-RESET-20Y</t>
  </si>
  <si>
    <t>GEN-USD/MXN-SWAP-POINT-10M</t>
  </si>
  <si>
    <t>GEN-EUR-DEPO-12M</t>
  </si>
  <si>
    <t>GEN-CAD-SWAP-SA3S-8Y</t>
  </si>
  <si>
    <t>GEN-JPY-TONAR-SWAP-PD-15M</t>
  </si>
  <si>
    <t>GEN-JPY-SWAP*-6M-30Y</t>
  </si>
  <si>
    <t>GEN-JPY-BASIS-SWAP*-3M-6M-20Y</t>
  </si>
  <si>
    <t>GEN-EUR-EONIA-DEPO-15M</t>
  </si>
  <si>
    <t>GEN-EUR-SWAP-3M-13M</t>
  </si>
  <si>
    <t>GEN-EUR-USD-CCS-RESET-25Y</t>
  </si>
  <si>
    <t>GEN-USD/MXN-SWAP-POINT-11M</t>
  </si>
  <si>
    <t>GEN-EUR-SWAP-13M</t>
  </si>
  <si>
    <t>GEN-CAD-SWAP-SA3S-9Y</t>
  </si>
  <si>
    <t>GEN-JPY-TONAR-SWAP-PD-18M</t>
  </si>
  <si>
    <t>GEN-JPY-BASIS-SWAP*-3M-6M-30Y</t>
  </si>
  <si>
    <t>GEN-EUR-EONIA-DEPO-18M</t>
  </si>
  <si>
    <t>GEN-EUR-SWAP-3M-14M</t>
  </si>
  <si>
    <t>GEN-EUR-USD-CCS-RESET-30Y</t>
  </si>
  <si>
    <t>GEN-USD/MXN-SWAP-POINT-1Y</t>
  </si>
  <si>
    <t>GEN-EUR-SWAP-14M</t>
  </si>
  <si>
    <t>GEN-CAD-SWAP-SA3S-10Y</t>
  </si>
  <si>
    <t>GEN-JPY-TONAR-SWAP-PD-2Y</t>
  </si>
  <si>
    <t>GEN-EUR-EONIA-DEPO-21M</t>
  </si>
  <si>
    <t>GEN-EUR-SWAP-3M-15M</t>
  </si>
  <si>
    <t>GEN-EUR-USD-CCS-RESET-40Y</t>
  </si>
  <si>
    <t>GEN-USD/MXN-SWAP-POINT-15M</t>
  </si>
  <si>
    <t>GEN-EUR-SWAP-15M</t>
  </si>
  <si>
    <t>GEN-CAD-SWAP-SA3S-12Y</t>
  </si>
  <si>
    <t>GEN-JPY-TONAR-SWAP-PD-3Y</t>
  </si>
  <si>
    <t>GEN-EUR-EONIA-DEPO-2Y</t>
  </si>
  <si>
    <t>GEN-EUR-SWAP-3M-18M</t>
  </si>
  <si>
    <t>GEN-EUR-USD-CCS-RESET-50Y</t>
  </si>
  <si>
    <t>GEN-USD/MXN-SWAP-POINT-18M</t>
  </si>
  <si>
    <t>GEN-EUR-SWAP-16M</t>
  </si>
  <si>
    <t>GEN-CAD-SWAP-SA3S-15Y</t>
  </si>
  <si>
    <t>GEN-JPY-TONAR-SWAP-PD-4Y</t>
  </si>
  <si>
    <t>GEN-EUR-EONIA-DEPO-3Y</t>
  </si>
  <si>
    <t>GEN-EUR-SWAP-3M-21M</t>
  </si>
  <si>
    <t>GEN-USD/MXN-SWAP-POINT-2Y</t>
  </si>
  <si>
    <t>GEN-EUR-SWAP-17M</t>
  </si>
  <si>
    <t>GEN-CAD-SWAP-SA3S-20Y</t>
  </si>
  <si>
    <t>GEN-JPY-TONAR-SWAP-PD-5Y</t>
  </si>
  <si>
    <t>GEN-EUR-EONIA-DEPO-4Y</t>
  </si>
  <si>
    <t>GEN-EUR-SWAP-3M-2Y</t>
  </si>
  <si>
    <t>GEN-USD-MXN-CCS-1092D</t>
  </si>
  <si>
    <t>GEN-EUR-SWAP-18M</t>
  </si>
  <si>
    <t>GEN-CAD-SWAP-SA3S-25Y</t>
  </si>
  <si>
    <t>GEN-JPY-TONAR-SWAP-PD-6Y</t>
  </si>
  <si>
    <t>GEN-EUR-EONIA-DEPO-5Y</t>
  </si>
  <si>
    <t>GEN-EUR-SWAP-3M-27M</t>
  </si>
  <si>
    <t>GEN-USD-MXN-CCS-1456D</t>
  </si>
  <si>
    <t>GEN-EUR-SWAP-21M</t>
  </si>
  <si>
    <t>GEN-CAD-SWAP-SA3S-30Y</t>
  </si>
  <si>
    <t>GEN-JPY-TONAR-SWAP-PD-7Y</t>
  </si>
  <si>
    <t>GEN-EUR-EONIA-DEPO-6Y</t>
  </si>
  <si>
    <t>GEN-EUR-SWAP-3M-3Y</t>
  </si>
  <si>
    <t>GEN-USD-MXN-CCS-1820D</t>
  </si>
  <si>
    <t>GEN-EUR-SWAP-2Y</t>
  </si>
  <si>
    <t>GEN-CAD-SWAP-SA3S-40Y</t>
  </si>
  <si>
    <t>GEN-JPY-TONAR-SWAP-PD-8Y</t>
  </si>
  <si>
    <t>GEN-EUR-EONIA-DEPO-7Y</t>
  </si>
  <si>
    <t>GEN-EUR-SWAP-3M-4Y</t>
  </si>
  <si>
    <t>GEN-USD-MXN-CCS-2548D</t>
  </si>
  <si>
    <t>GEN-EUR-SWAP-3Y</t>
  </si>
  <si>
    <t>GEN-CAD-SWAP-SA3S-50Y</t>
  </si>
  <si>
    <t>GEN-JPY-TONAR-SWAP-PD-9Y</t>
  </si>
  <si>
    <t>GEN-EUR-EONIA-DEPO-8Y</t>
  </si>
  <si>
    <t>GEN-EUR-SWAP-3M-5Y</t>
  </si>
  <si>
    <t>GEN-USD-MXN-CCS-3640D</t>
  </si>
  <si>
    <t>GEN-EUR-SWAP-4Y</t>
  </si>
  <si>
    <t>GEN-CAD-USD-CCS-RESET-3M</t>
  </si>
  <si>
    <t>GEN-JPY-TONAR-SWAP-PD-10Y</t>
  </si>
  <si>
    <t>GEN-EUR-EONIA-DEPO-9Y</t>
  </si>
  <si>
    <t>GEN-EUR-SWAP-3M-6Y</t>
  </si>
  <si>
    <t>GEN-USD-MXN-CCS-4368D</t>
  </si>
  <si>
    <t>GEN-EUR-SWAP-5Y</t>
  </si>
  <si>
    <t>GEN-CAD-USD-CCS-RESET-6M</t>
  </si>
  <si>
    <t>GEN-JPY-TONAR-SWAP-PD-11Y</t>
  </si>
  <si>
    <t>GEN-EUR-EONIA-DEPO-10Y</t>
  </si>
  <si>
    <t>GEN-EUR-SWAP-3M-7Y</t>
  </si>
  <si>
    <t>GEN-USD-MXN-CCS-5460D</t>
  </si>
  <si>
    <t>GEN-EUR-SWAP-6Y</t>
  </si>
  <si>
    <t>GEN-CAD-USD-CCS-RESET-9M</t>
  </si>
  <si>
    <t>GEN-JPY-TONAR-SWAP-PD-12Y</t>
  </si>
  <si>
    <t>GEN-EUR-EONIA-DEPO-12Y</t>
  </si>
  <si>
    <t>GEN-EUR-SWAP-3M-8Y</t>
  </si>
  <si>
    <t>GEN-USD-MXN-CCS-7280D</t>
  </si>
  <si>
    <t>GEN-EUR-SWAP-7Y</t>
  </si>
  <si>
    <t>GEN-CAD-USD-CCS-RESET-1Y</t>
  </si>
  <si>
    <t>GEN-JPY-TONAR-SWAP-PD-15Y</t>
  </si>
  <si>
    <t>GEN-EUR-EONIA-DEPO-15Y</t>
  </si>
  <si>
    <t>GEN-EUR-SWAP-3M-9Y</t>
  </si>
  <si>
    <t>GEN-USD-MXN-CCS-10920D</t>
  </si>
  <si>
    <t>GEN-EUR-SWAP-8Y</t>
  </si>
  <si>
    <t>GEN-CAD-USD-CCS-RESET-2Y</t>
  </si>
  <si>
    <t>GEN-JPY-TONAR-SWAP-PD-20Y</t>
  </si>
  <si>
    <t>GEN-EUR-EONIA-DEPO-20Y</t>
  </si>
  <si>
    <t>GEN-EUR-SWAP-3M-10Y</t>
  </si>
  <si>
    <t>GEN-EUR-SWAP-9Y</t>
  </si>
  <si>
    <t>GEN-CAD-USD-CCS-RESET-3Y</t>
  </si>
  <si>
    <t>GEN-JPY-TONAR-SWAP-PD-25Y</t>
  </si>
  <si>
    <t>GEN-EUR-EONIA-DEPO-25Y</t>
  </si>
  <si>
    <t>GEN-EUR-SWAP-3M-12Y</t>
  </si>
  <si>
    <t>GEN-EUR-SWAP-10Y</t>
  </si>
  <si>
    <t>GEN-CAD-USD-CCS-RESET-4Y</t>
  </si>
  <si>
    <t>GEN-JPY-TONAR-SWAP-PD-30Y</t>
  </si>
  <si>
    <t>GEN-EUR-EONIA-DEPO-30Y</t>
  </si>
  <si>
    <t>GEN-EUR-SWAP-3M-15Y</t>
  </si>
  <si>
    <t>GEN-EUR-SWAP-12Y</t>
  </si>
  <si>
    <t>GEN-CAD-USD-CCS-RESET-5Y</t>
  </si>
  <si>
    <t>GEN-JPY-TONAR-SWAP-PD-35Y</t>
  </si>
  <si>
    <t>GEN-EUR-EONIA-DEPO-40Y</t>
  </si>
  <si>
    <t>GEN-EUR-SWAP-3M-20Y</t>
  </si>
  <si>
    <t>GEN-EUR-SWAP-15Y</t>
  </si>
  <si>
    <t>GEN-CAD-USD-CCS-RESET-6Y</t>
  </si>
  <si>
    <t>GEN-JPY-TONAR-SWAP-PD-40Y</t>
  </si>
  <si>
    <t>GEN-EUR-EONIA-DEPO-50Y</t>
  </si>
  <si>
    <t>GEN-EUR-SWAP-3M-25Y</t>
  </si>
  <si>
    <t>GEN-EUR-SWAP-20Y</t>
  </si>
  <si>
    <t>GEN-CAD-USD-CCS-RESET-7Y</t>
  </si>
  <si>
    <t>GEN-JPY-TONAR-SWAP-PD-50Y</t>
  </si>
  <si>
    <t>GEN-EUR-SWAP-3M-30Y</t>
  </si>
  <si>
    <t>GEN-EUR-SWAP-25Y</t>
  </si>
  <si>
    <t>GEN-CAD-USD-CCS-RESET-8Y</t>
  </si>
  <si>
    <t>GEN-EUR-SWAP-3M-40Y</t>
  </si>
  <si>
    <t>GEN-EUR-SWAP-30Y</t>
  </si>
  <si>
    <t>GEN-CAD-USD-CCS-RESET-9Y</t>
  </si>
  <si>
    <t>GEN-EUR-SWAP-3M-50Y</t>
  </si>
  <si>
    <t>GEN-EUR-SWAP-35Y</t>
  </si>
  <si>
    <t>GEN-CAD-USD-CCS-RESET-10Y</t>
  </si>
  <si>
    <t>GEN-EUR-SWAP-40Y</t>
  </si>
  <si>
    <t>GEN-CAD-USD-CCS-RESET-12Y</t>
  </si>
  <si>
    <t>GEN-EUR-SWAP-50Y</t>
  </si>
  <si>
    <t>GEN-CAD-USD-CCS-RESET-15Y</t>
  </si>
  <si>
    <t>GEN-CAD-USD-CCS-RESET-20Y</t>
  </si>
  <si>
    <t>GEN-CAD-USD-CCS-RESET-30Y</t>
  </si>
  <si>
    <t>GEN-CAD-USD-CCS-RESET-40Y</t>
  </si>
  <si>
    <t>GEN-CAD-USD-CCS-RESET-50Y</t>
  </si>
  <si>
    <t>EURBASTRACOLUSD_QL</t>
  </si>
  <si>
    <t>EUR_TRADER_3M_QL</t>
  </si>
  <si>
    <t>USD_OIS_COL00_QL</t>
  </si>
  <si>
    <t>USD_DEPOSWAP_3M_QL</t>
  </si>
  <si>
    <t>Abs. difference</t>
  </si>
  <si>
    <t>QL</t>
  </si>
  <si>
    <t>Mercury Forwards</t>
  </si>
  <si>
    <t>QL Forwards</t>
  </si>
  <si>
    <t>60y</t>
  </si>
  <si>
    <t>Abs.difference</t>
  </si>
  <si>
    <t>EffectiveDate</t>
  </si>
  <si>
    <t>TerminationDate</t>
  </si>
  <si>
    <t>MXN</t>
  </si>
  <si>
    <t>Flat Curves</t>
  </si>
  <si>
    <t/>
  </si>
  <si>
    <t>FlatForward</t>
  </si>
  <si>
    <t>EstimationFlat</t>
  </si>
  <si>
    <t>ForwardRate</t>
  </si>
  <si>
    <t>28D</t>
  </si>
  <si>
    <t>4w</t>
  </si>
  <si>
    <t>NullCalendar</t>
  </si>
  <si>
    <t>Mexico::BMV</t>
  </si>
  <si>
    <t>Rate</t>
  </si>
  <si>
    <t>Convention</t>
  </si>
  <si>
    <t>TermDateConv</t>
  </si>
  <si>
    <t>Compounding</t>
  </si>
  <si>
    <t>Continuous</t>
  </si>
  <si>
    <t>GenRule</t>
  </si>
  <si>
    <t>Forward</t>
  </si>
  <si>
    <t>Frequency</t>
  </si>
  <si>
    <t>EndOfMonth</t>
  </si>
  <si>
    <t>FirstDate</t>
  </si>
  <si>
    <t>NextToLastDate</t>
  </si>
  <si>
    <t>DiscountFlat</t>
  </si>
  <si>
    <t>Backward</t>
  </si>
  <si>
    <t>FX MXN/USD</t>
  </si>
  <si>
    <t>Notional MXN</t>
  </si>
  <si>
    <t>Zero function</t>
  </si>
  <si>
    <t>Curve Name</t>
  </si>
  <si>
    <t>MXN_BASIS-COL</t>
  </si>
  <si>
    <t>Schedule Floating leg</t>
  </si>
  <si>
    <t>Schedule Fixed Leg</t>
  </si>
  <si>
    <t>Fixed Leg</t>
  </si>
  <si>
    <t>Swap</t>
  </si>
  <si>
    <t>Value in MXN</t>
  </si>
  <si>
    <t>Value in USD</t>
  </si>
  <si>
    <t>Schedule USD</t>
  </si>
  <si>
    <t>Floating Leg MXN</t>
  </si>
  <si>
    <t>Floating Leg USD</t>
  </si>
  <si>
    <t>Swap MXN</t>
  </si>
  <si>
    <t>Swap USD</t>
  </si>
  <si>
    <t>Set Pricing Engine MXN</t>
  </si>
  <si>
    <t>Set Pricing Engine USD</t>
  </si>
  <si>
    <t>MXN Swap</t>
  </si>
  <si>
    <t>Error Function</t>
  </si>
  <si>
    <t>1m</t>
  </si>
  <si>
    <t>USD_SWAP_1M_QL</t>
  </si>
  <si>
    <t>USLIBOR1M</t>
  </si>
  <si>
    <t>USD_SWAP_1M_Mercury</t>
  </si>
  <si>
    <t>USD_OIS_COL_Mercury</t>
  </si>
  <si>
    <t>Estimation Curve</t>
  </si>
  <si>
    <t>Ibor Rate</t>
  </si>
  <si>
    <t>Day Count convention</t>
  </si>
  <si>
    <t>=qlInterpolatedYieldCurve(B26;B27:B1677;C27:C1677;C19;C18;;;C20;C21)</t>
  </si>
  <si>
    <t>=qlInterpolatedYieldCurve(F26;F27:F1677;G27:G1677;G19;G18;;;G20;G21)</t>
  </si>
  <si>
    <t>Value in USD 00</t>
  </si>
  <si>
    <t xml:space="preserve">derivative 1 0 </t>
  </si>
  <si>
    <t xml:space="preserve">derivative 0 1 </t>
  </si>
  <si>
    <t>derivative 1 0</t>
  </si>
  <si>
    <t>derivative 0 1</t>
  </si>
  <si>
    <t>Pillar</t>
  </si>
  <si>
    <t>Jacobian Matrix</t>
  </si>
  <si>
    <t>inverse</t>
  </si>
  <si>
    <t>x0</t>
  </si>
  <si>
    <t>F</t>
  </si>
  <si>
    <t>x1</t>
  </si>
  <si>
    <t>h</t>
  </si>
  <si>
    <t>=qlSettingsSetEvaluationDate(hoy)</t>
  </si>
  <si>
    <t>MXNTIIE28D</t>
  </si>
  <si>
    <t>EUR/USD</t>
  </si>
  <si>
    <t>ReRead</t>
  </si>
  <si>
    <t>Label</t>
  </si>
  <si>
    <t>Market Rate</t>
  </si>
  <si>
    <t>USD-DEPO</t>
  </si>
  <si>
    <t>USD-SWAP-3M</t>
  </si>
  <si>
    <t>USD-1D-MX</t>
  </si>
  <si>
    <t>USD-FED-SWAP-MX-MXN</t>
  </si>
  <si>
    <t>compounded</t>
  </si>
  <si>
    <t>00-Jan-00</t>
  </si>
  <si>
    <t>CS USDMXN CLUSD</t>
  </si>
  <si>
    <t>51Y</t>
  </si>
  <si>
    <t xml:space="preserve"> -   </t>
  </si>
  <si>
    <t>IL__0771165960</t>
  </si>
  <si>
    <t>=TABLE(L37;H37)</t>
  </si>
  <si>
    <t>Mercury Forward Rates</t>
  </si>
  <si>
    <t>QL Forwards Rates</t>
  </si>
  <si>
    <t>Mercury Zero Rates</t>
  </si>
  <si>
    <t>QL Zero Rates</t>
  </si>
  <si>
    <t>Quantlib Zero Rates</t>
  </si>
  <si>
    <t>IL__0574782960</t>
  </si>
  <si>
    <t>MXN_BO_SWAP_COL#0153</t>
  </si>
  <si>
    <t>DISC_ 733501640</t>
  </si>
  <si>
    <t>obj_0025d#0034</t>
  </si>
  <si>
    <t>MXN_BASIS-COL#0144</t>
  </si>
  <si>
    <t>DISC_ 662236856</t>
  </si>
  <si>
    <t>obj_0025c#0034</t>
  </si>
  <si>
    <t>EURBASTRACOLUSD_QL#0129</t>
  </si>
  <si>
    <t>DISC_ 733500160</t>
  </si>
  <si>
    <t>obj_0024d#0035</t>
  </si>
  <si>
    <t>EUR_TRADER_3M_QL#0001</t>
  </si>
  <si>
    <t>DISC_ 662236496</t>
  </si>
  <si>
    <t>obj_00258#0034</t>
  </si>
  <si>
    <t>USD_OIS_COL00_QL#0003</t>
  </si>
  <si>
    <t>DISC_ 733501320</t>
  </si>
  <si>
    <t>obj_0025a#0034</t>
  </si>
  <si>
    <t>USD_DEPOSWAP_3M_QL#0002</t>
  </si>
  <si>
    <t>DISC_ 733500000</t>
  </si>
  <si>
    <t>obj_00259#0034</t>
  </si>
  <si>
    <t>USD_SWAP_1M_QL#0002</t>
  </si>
  <si>
    <t>DISC_ 662236696</t>
  </si>
  <si>
    <t>obj_0025b#0034</t>
  </si>
  <si>
    <t>Quantlib Forwards Rates</t>
  </si>
  <si>
    <t>Absolute difference</t>
  </si>
  <si>
    <t>"EUR-TRADER-3M_GEN-EUR-DEPO-4M"</t>
  </si>
  <si>
    <t>EUR_TRADER_3M_GEN-EUR-DEPO-4M</t>
  </si>
  <si>
    <t>ZeroYield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</si>
</sst>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4">
    <numFmt numFmtId="43" formatCode="_(* #,##0.00_);_(* \(#,##0.00\);_(* &quot;-&quot;??_);_(@_)"/>
    <numFmt numFmtId="164" formatCode="[$-409]dd\-mmm\-yy;@"/>
    <numFmt numFmtId="165" formatCode="0.0000"/>
    <numFmt numFmtId="166" formatCode="0.000000000"/>
    <numFmt numFmtId="167" formatCode="_-* #,##0.00\ _€_-;\-* #,##0.00\ _€_-;_-* &quot;-&quot;??\ _€_-;_-@_-"/>
    <numFmt numFmtId="168" formatCode="_-* #,##0.00_-;\-* #,##0.00_-;_-* &quot;-&quot;??_-;_-@_-"/>
    <numFmt numFmtId="169" formatCode="0.0000%"/>
    <numFmt numFmtId="170" formatCode="mm/dd/yy;@"/>
    <numFmt numFmtId="171" formatCode="0.000%"/>
    <numFmt numFmtId="172" formatCode="0.00000"/>
    <numFmt numFmtId="173" formatCode="0.000"/>
    <numFmt numFmtId="174" formatCode="0.000000"/>
    <numFmt numFmtId="175" formatCode="#,##0.0000"/>
    <numFmt numFmtId="176" formatCode="_-* #,##0.000000000_-;\-* #,##0.000000000_-;_-* &quot;-&quot;??_-;_-@_-"/>
    <numFmt numFmtId="177" formatCode="_(* #,##0.000000_);_(* \(#,##0.000000\);_(* &quot;-&quot;??_);_(@_)"/>
    <numFmt numFmtId="178" formatCode="_-* #,##0_-;\-* #,##0_-;_-* &quot;-&quot;??_-;_-@_-"/>
    <numFmt numFmtId="179" formatCode="###,###,###,##0.00"/>
    <numFmt numFmtId="180" formatCode="_-* #,##0_-;\-* #,##0_-;_-* &quot;-&quot;_-;_-@_-"/>
    <numFmt numFmtId="181" formatCode="_-* #,##0\ _p_t_a_-;\-* #,##0\ _p_t_a_-;_-* &quot;-&quot;\ _p_t_a_-;_-@_-"/>
    <numFmt numFmtId="182" formatCode="_-&quot;£&quot;* #,##0.00_-;\-&quot;£&quot;* #,##0.00_-;_-&quot;£&quot;* &quot;-&quot;??_-;_-@_-"/>
    <numFmt numFmtId="183" formatCode="_-* #,##0.00\ [$€-1]_-;\-* #,##0.00\ [$€-1]_-;_-* &quot;-&quot;??\ [$€-1]_-"/>
    <numFmt numFmtId="184" formatCode="_-[$€]* #,##0.00_-;\-[$€]* #,##0.00_-;_-[$€]* &quot;-&quot;??_-;_-@_-"/>
    <numFmt numFmtId="185" formatCode="_([$€]\ * #,##0.00_);_([$€]\ * \(#,##0.00\);_([$€]\ * &quot;-&quot;??_);_(@_)"/>
    <numFmt numFmtId="186" formatCode="[Magenta]General"/>
    <numFmt numFmtId="187" formatCode="[Magenta]#,##0;[Magenta]\(#,##0\)"/>
    <numFmt numFmtId="188" formatCode="[Blue]General"/>
    <numFmt numFmtId="189" formatCode="_(&quot;R$&quot;\ * #,##0_);_(&quot;R$&quot;\ * \(#,##0\);_(&quot;R$&quot;\ * &quot;-&quot;_);_(@_)"/>
    <numFmt numFmtId="190" formatCode="&quot;Cr$&quot;#,##0.00_);[Red]\(&quot;Cr$&quot;#,##0.00\)"/>
    <numFmt numFmtId="191" formatCode="mmm"/>
    <numFmt numFmtId="192" formatCode="#,##0;[Red]\(#,##0\)"/>
    <numFmt numFmtId="193" formatCode="0.0000000"/>
    <numFmt numFmtId="194" formatCode="0.00000%"/>
    <numFmt numFmtId="195" formatCode="#,##0.0"/>
    <numFmt numFmtId="196" formatCode="ddd\,\ d\-mmm\-yyyy"/>
    <numFmt numFmtId="197" formatCode="#,##0.00000000"/>
    <numFmt numFmtId="198" formatCode="_(* #,##0_);_(* \(#,##0\);_(* &quot;-&quot;??_);_(@_)"/>
    <numFmt numFmtId="199" formatCode="#,##0.000"/>
    <numFmt numFmtId="200" formatCode="[$-409]d\-mmm\-yyyy;@"/>
    <numFmt numFmtId="201" formatCode="0.00000000"/>
    <numFmt numFmtId="202" formatCode="#,##0.000000"/>
    <numFmt numFmtId="203" formatCode="0.0000000000"/>
    <numFmt numFmtId="204" formatCode="0.00000000000"/>
    <numFmt numFmtId="205" formatCode="0.00000000%"/>
    <numFmt numFmtId="206" formatCode="m/d/yy;@"/>
  </numFmts>
  <fonts count="10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name val="Arial"/>
      <family val="2"/>
    </font>
    <font>
      <sz val="10"/>
      <name val="Segoe UI"/>
      <family val="2"/>
    </font>
    <font>
      <b/>
      <sz val="10"/>
      <name val="Segoe UI"/>
      <family val="2"/>
    </font>
    <font>
      <b/>
      <sz val="10"/>
      <color theme="0"/>
      <name val="Segoe UI"/>
      <family val="2"/>
    </font>
    <font>
      <b/>
      <sz val="12"/>
      <color theme="3"/>
      <name val="Segoe UI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i/>
      <sz val="8"/>
      <color theme="1" tint="0.499984740745262"/>
      <name val="Courier New"/>
      <family val="3"/>
    </font>
    <font>
      <b/>
      <sz val="8"/>
      <color theme="3" tint="0.39997558519241921"/>
      <name val="Courier New"/>
      <family val="3"/>
    </font>
    <font>
      <i/>
      <sz val="8"/>
      <color theme="0" tint="-0.34998626667073579"/>
      <name val="Courier New"/>
      <family val="3"/>
    </font>
    <font>
      <i/>
      <sz val="11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indexed="63"/>
      <name val="Calibri"/>
      <family val="2"/>
    </font>
    <font>
      <sz val="10"/>
      <name val="Helv"/>
    </font>
    <font>
      <sz val="11"/>
      <color indexed="8"/>
      <name val="Arial"/>
      <family val="2"/>
    </font>
    <font>
      <sz val="11"/>
      <color indexed="9"/>
      <name val="Calibri"/>
      <family val="2"/>
    </font>
    <font>
      <sz val="11"/>
      <color indexed="9"/>
      <name val="Arial"/>
      <family val="2"/>
    </font>
    <font>
      <sz val="11"/>
      <color indexed="20"/>
      <name val="Calibri"/>
      <family val="2"/>
    </font>
    <font>
      <sz val="11"/>
      <color indexed="20"/>
      <name val="Arial"/>
      <family val="2"/>
    </font>
    <font>
      <sz val="12"/>
      <name val="Tms Rmn"/>
    </font>
    <font>
      <b/>
      <sz val="8"/>
      <color indexed="64"/>
      <name val="Tahoma"/>
      <family val="2"/>
    </font>
    <font>
      <sz val="8"/>
      <color indexed="64"/>
      <name val="Tahoma"/>
      <family val="2"/>
    </font>
    <font>
      <sz val="11"/>
      <color indexed="17"/>
      <name val="Calibri"/>
      <family val="2"/>
    </font>
    <font>
      <b/>
      <sz val="9"/>
      <color indexed="12"/>
      <name val="Tahoma"/>
      <family val="2"/>
    </font>
    <font>
      <b/>
      <sz val="11"/>
      <color indexed="52"/>
      <name val="Arial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9"/>
      <name val="Arial"/>
      <family val="2"/>
    </font>
    <font>
      <sz val="10"/>
      <name val="Tahoma"/>
      <family val="2"/>
    </font>
    <font>
      <sz val="10"/>
      <name val="BERNHARD"/>
    </font>
    <font>
      <sz val="10"/>
      <name val="MS Sans Serif"/>
      <family val="2"/>
    </font>
    <font>
      <sz val="8.5"/>
      <name val="MS Sans Serif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Courier"/>
      <family val="3"/>
    </font>
    <font>
      <i/>
      <sz val="11"/>
      <color indexed="23"/>
      <name val="Calibri"/>
      <family val="2"/>
    </font>
    <font>
      <i/>
      <sz val="11"/>
      <color indexed="23"/>
      <name val="Arial"/>
      <family val="2"/>
    </font>
    <font>
      <sz val="11"/>
      <color indexed="17"/>
      <name val="Arial"/>
      <family val="2"/>
    </font>
    <font>
      <b/>
      <sz val="9"/>
      <color indexed="46"/>
      <name val="Tahoma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56"/>
      <name val="Arial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56"/>
      <name val="Arial"/>
      <family val="2"/>
    </font>
    <font>
      <b/>
      <sz val="13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62"/>
      <name val="Calibri"/>
      <family val="2"/>
    </font>
    <font>
      <u/>
      <sz val="6"/>
      <color indexed="36"/>
      <name val="Arial"/>
      <family val="2"/>
    </font>
    <font>
      <u/>
      <sz val="7.7"/>
      <color indexed="12"/>
      <name val="Arial"/>
      <family val="2"/>
    </font>
    <font>
      <u/>
      <sz val="9"/>
      <color indexed="12"/>
      <name val="Arial"/>
      <family val="2"/>
    </font>
    <font>
      <sz val="8"/>
      <name val="Helv"/>
    </font>
    <font>
      <sz val="8.25"/>
      <name val="Helv"/>
    </font>
    <font>
      <sz val="11"/>
      <color indexed="62"/>
      <name val="Arial"/>
      <family val="2"/>
    </font>
    <font>
      <b/>
      <sz val="9"/>
      <color indexed="63"/>
      <name val="Tahoma"/>
      <family val="2"/>
    </font>
    <font>
      <sz val="11"/>
      <color indexed="52"/>
      <name val="Arial"/>
      <family val="2"/>
    </font>
    <font>
      <b/>
      <sz val="12"/>
      <color indexed="20"/>
      <name val="Tahoma"/>
      <family val="2"/>
    </font>
    <font>
      <sz val="11"/>
      <color indexed="60"/>
      <name val="Calibri"/>
      <family val="2"/>
    </font>
    <font>
      <sz val="11"/>
      <color indexed="60"/>
      <name val="Arial"/>
      <family val="2"/>
    </font>
    <font>
      <sz val="7"/>
      <name val="Small Fonts"/>
      <family val="2"/>
    </font>
    <font>
      <sz val="10"/>
      <name val="Times New Roman"/>
      <family val="1"/>
    </font>
    <font>
      <sz val="8"/>
      <name val="Helvetica"/>
    </font>
    <font>
      <b/>
      <sz val="11"/>
      <color indexed="63"/>
      <name val="Arial"/>
      <family val="2"/>
    </font>
    <font>
      <i/>
      <sz val="8"/>
      <color indexed="12"/>
      <name val="Arial"/>
      <family val="2"/>
    </font>
    <font>
      <sz val="10"/>
      <name val="Trebuchet MS"/>
      <family val="2"/>
    </font>
    <font>
      <sz val="8"/>
      <name val="Tahoma"/>
      <family val="2"/>
    </font>
    <font>
      <i/>
      <sz val="10"/>
      <name val="Arial"/>
      <family val="2"/>
    </font>
    <font>
      <b/>
      <sz val="9"/>
      <color indexed="8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0"/>
      <color indexed="9"/>
      <name val="Arial"/>
      <family val="2"/>
    </font>
    <font>
      <b/>
      <sz val="11"/>
      <color indexed="8"/>
      <name val="Arial"/>
      <family val="2"/>
    </font>
    <font>
      <b/>
      <sz val="11"/>
      <color indexed="8"/>
      <name val="Calibri"/>
      <family val="2"/>
    </font>
    <font>
      <sz val="11"/>
      <color indexed="10"/>
      <name val="Arial"/>
      <family val="2"/>
    </font>
    <font>
      <b/>
      <sz val="11"/>
      <name val="Arial"/>
      <family val="2"/>
    </font>
    <font>
      <sz val="8"/>
      <color indexed="18"/>
      <name val="Helvetica"/>
    </font>
    <font>
      <sz val="8"/>
      <color theme="2" tint="-9.9978637043366805E-2"/>
      <name val="Courier New"/>
      <family val="3"/>
    </font>
    <font>
      <sz val="10"/>
      <color theme="2" tint="-9.9978637043366805E-2"/>
      <name val="Segoe UI"/>
      <family val="2"/>
    </font>
    <font>
      <b/>
      <sz val="10"/>
      <color theme="2" tint="-9.9978637043366805E-2"/>
      <name val="Segoe UI"/>
      <family val="2"/>
    </font>
    <font>
      <i/>
      <sz val="11"/>
      <color theme="0" tint="-0.499984740745262"/>
      <name val="Calibri"/>
      <family val="2"/>
      <scheme val="minor"/>
    </font>
    <font>
      <i/>
      <sz val="8"/>
      <color theme="0" tint="-0.499984740745262"/>
      <name val="Courier New"/>
      <family val="3"/>
    </font>
    <font>
      <b/>
      <sz val="11"/>
      <color rgb="FFC00000"/>
      <name val="Calibri"/>
      <family val="2"/>
      <scheme val="minor"/>
    </font>
    <font>
      <b/>
      <sz val="8"/>
      <name val="Arial"/>
      <family val="2"/>
    </font>
    <font>
      <sz val="8"/>
      <color indexed="10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0"/>
      <color theme="1"/>
      <name val="Segoe UI"/>
      <family val="2"/>
    </font>
    <font>
      <b/>
      <sz val="15"/>
      <color theme="0"/>
      <name val="Segoe UI"/>
      <family val="2"/>
    </font>
    <font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0"/>
        </stop>
        <stop position="1">
          <color theme="8" tint="0.80001220740379042"/>
        </stop>
      </gradientFill>
    </fill>
    <fill>
      <patternFill patternType="solid">
        <fgColor rgb="FFFF0000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solid">
        <fgColor indexed="63"/>
        <bgColor indexed="64"/>
      </patternFill>
    </fill>
    <fill>
      <patternFill patternType="mediumGray">
        <fgColor indexed="9"/>
        <bgColor indexed="22"/>
      </patternFill>
    </fill>
    <fill>
      <patternFill patternType="solid">
        <fgColor indexed="5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mediumGray">
        <fgColor indexed="9"/>
        <bgColor indexed="13"/>
      </patternFill>
    </fill>
    <fill>
      <patternFill patternType="solid">
        <fgColor indexed="1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gradientFill degree="90">
        <stop position="0">
          <color theme="0"/>
        </stop>
        <stop position="1">
          <color theme="0" tint="-0.1490218817712943"/>
        </stop>
      </gradientFill>
    </fill>
    <fill>
      <patternFill patternType="solid">
        <fgColor rgb="FFFFFF00"/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rgb="FFFF0000"/>
        </stop>
        <stop position="1">
          <color rgb="FF0070C0"/>
        </stop>
      </gradientFill>
    </fill>
    <fill>
      <patternFill patternType="solid">
        <fgColor rgb="FFFFFF00"/>
        <bgColor indexed="64"/>
      </patternFill>
    </fill>
  </fills>
  <borders count="10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thin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 style="dashed">
        <color theme="0" tint="-0.499984740745262"/>
      </left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</borders>
  <cellStyleXfs count="29418">
    <xf numFmtId="0" fontId="0" fillId="0" borderId="0"/>
    <xf numFmtId="164" fontId="3" fillId="0" borderId="0"/>
    <xf numFmtId="164" fontId="3" fillId="3" borderId="2" applyNumberFormat="0" applyFont="0" applyAlignment="0" applyProtection="0"/>
    <xf numFmtId="164" fontId="2" fillId="2" borderId="1" applyNumberFormat="0" applyAlignment="0" applyProtection="0"/>
    <xf numFmtId="164" fontId="3" fillId="3" borderId="2" applyNumberFormat="0" applyFont="0" applyAlignment="0" applyProtection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3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9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9" fillId="0" borderId="0"/>
    <xf numFmtId="164" fontId="3" fillId="0" borderId="0"/>
    <xf numFmtId="164" fontId="3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3" borderId="2" applyNumberFormat="0" applyFont="0" applyAlignment="0" applyProtection="0"/>
    <xf numFmtId="0" fontId="3" fillId="3" borderId="2" applyNumberFormat="0" applyFont="0" applyAlignment="0" applyProtection="0"/>
    <xf numFmtId="164" fontId="3" fillId="3" borderId="2" applyNumberFormat="0" applyFont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164" fontId="21" fillId="0" borderId="0"/>
    <xf numFmtId="0" fontId="1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" fillId="0" borderId="0"/>
    <xf numFmtId="0" fontId="24" fillId="25" borderId="40" applyNumberFormat="0" applyAlignment="0" applyProtection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5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5" fillId="0" borderId="0"/>
    <xf numFmtId="0" fontId="2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26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6" fillId="27" borderId="0" applyNumberFormat="0" applyBorder="0" applyAlignment="0" applyProtection="0"/>
    <xf numFmtId="0" fontId="26" fillId="27" borderId="0" applyNumberFormat="0" applyBorder="0" applyAlignment="0" applyProtection="0"/>
    <xf numFmtId="0" fontId="26" fillId="27" borderId="0" applyNumberFormat="0" applyBorder="0" applyAlignment="0" applyProtection="0"/>
    <xf numFmtId="0" fontId="26" fillId="27" borderId="0" applyNumberFormat="0" applyBorder="0" applyAlignment="0" applyProtection="0"/>
    <xf numFmtId="0" fontId="26" fillId="27" borderId="0" applyNumberFormat="0" applyBorder="0" applyAlignment="0" applyProtection="0"/>
    <xf numFmtId="0" fontId="26" fillId="27" borderId="0" applyNumberFormat="0" applyBorder="0" applyAlignment="0" applyProtection="0"/>
    <xf numFmtId="0" fontId="26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26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26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26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26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28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26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26" fillId="34" borderId="0" applyNumberFormat="0" applyBorder="0" applyAlignment="0" applyProtection="0"/>
    <xf numFmtId="0" fontId="26" fillId="34" borderId="0" applyNumberFormat="0" applyBorder="0" applyAlignment="0" applyProtection="0"/>
    <xf numFmtId="0" fontId="26" fillId="34" borderId="0" applyNumberFormat="0" applyBorder="0" applyAlignment="0" applyProtection="0"/>
    <xf numFmtId="0" fontId="26" fillId="34" borderId="0" applyNumberFormat="0" applyBorder="0" applyAlignment="0" applyProtection="0"/>
    <xf numFmtId="0" fontId="26" fillId="34" borderId="0" applyNumberFormat="0" applyBorder="0" applyAlignment="0" applyProtection="0"/>
    <xf numFmtId="0" fontId="26" fillId="34" borderId="0" applyNumberFormat="0" applyBorder="0" applyAlignment="0" applyProtection="0"/>
    <xf numFmtId="0" fontId="26" fillId="34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26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32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26" fillId="28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9" fillId="27" borderId="0" applyNumberFormat="0" applyBorder="0" applyAlignment="0" applyProtection="0"/>
    <xf numFmtId="0" fontId="1" fillId="13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9" fillId="29" borderId="0" applyNumberFormat="0" applyBorder="0" applyAlignment="0" applyProtection="0"/>
    <xf numFmtId="0" fontId="1" fillId="15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9" fillId="31" borderId="0" applyNumberFormat="0" applyBorder="0" applyAlignment="0" applyProtection="0"/>
    <xf numFmtId="0" fontId="1" fillId="17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1" fillId="19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9" fillId="34" borderId="0" applyNumberFormat="0" applyBorder="0" applyAlignment="0" applyProtection="0"/>
    <xf numFmtId="0" fontId="1" fillId="21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9" fillId="28" borderId="0" applyNumberFormat="0" applyBorder="0" applyAlignment="0" applyProtection="0"/>
    <xf numFmtId="0" fontId="1" fillId="23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26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25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26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26" fillId="30" borderId="0" applyNumberFormat="0" applyBorder="0" applyAlignment="0" applyProtection="0"/>
    <xf numFmtId="0" fontId="26" fillId="30" borderId="0" applyNumberFormat="0" applyBorder="0" applyAlignment="0" applyProtection="0"/>
    <xf numFmtId="0" fontId="26" fillId="30" borderId="0" applyNumberFormat="0" applyBorder="0" applyAlignment="0" applyProtection="0"/>
    <xf numFmtId="0" fontId="26" fillId="30" borderId="0" applyNumberFormat="0" applyBorder="0" applyAlignment="0" applyProtection="0"/>
    <xf numFmtId="0" fontId="26" fillId="30" borderId="0" applyNumberFormat="0" applyBorder="0" applyAlignment="0" applyProtection="0"/>
    <xf numFmtId="0" fontId="26" fillId="30" borderId="0" applyNumberFormat="0" applyBorder="0" applyAlignment="0" applyProtection="0"/>
    <xf numFmtId="0" fontId="26" fillId="30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26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26" fillId="36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26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25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26" fillId="33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26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26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7" borderId="0" applyNumberFormat="0" applyBorder="0" applyAlignment="0" applyProtection="0"/>
    <xf numFmtId="0" fontId="26" fillId="38" borderId="0" applyNumberFormat="0" applyBorder="0" applyAlignment="0" applyProtection="0"/>
    <xf numFmtId="0" fontId="26" fillId="38" borderId="0" applyNumberFormat="0" applyBorder="0" applyAlignment="0" applyProtection="0"/>
    <xf numFmtId="0" fontId="26" fillId="38" borderId="0" applyNumberFormat="0" applyBorder="0" applyAlignment="0" applyProtection="0"/>
    <xf numFmtId="0" fontId="26" fillId="38" borderId="0" applyNumberFormat="0" applyBorder="0" applyAlignment="0" applyProtection="0"/>
    <xf numFmtId="0" fontId="26" fillId="38" borderId="0" applyNumberFormat="0" applyBorder="0" applyAlignment="0" applyProtection="0"/>
    <xf numFmtId="0" fontId="26" fillId="38" borderId="0" applyNumberFormat="0" applyBorder="0" applyAlignment="0" applyProtection="0"/>
    <xf numFmtId="0" fontId="26" fillId="38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1" fillId="14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9" fillId="30" borderId="0" applyNumberFormat="0" applyBorder="0" applyAlignment="0" applyProtection="0"/>
    <xf numFmtId="0" fontId="1" fillId="1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9" fillId="36" borderId="0" applyNumberFormat="0" applyBorder="0" applyAlignment="0" applyProtection="0"/>
    <xf numFmtId="0" fontId="1" fillId="18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9" fillId="33" borderId="0" applyNumberFormat="0" applyBorder="0" applyAlignment="0" applyProtection="0"/>
    <xf numFmtId="0" fontId="1" fillId="20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9" fillId="35" borderId="0" applyNumberFormat="0" applyBorder="0" applyAlignment="0" applyProtection="0"/>
    <xf numFmtId="0" fontId="1" fillId="22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9" fillId="38" borderId="0" applyNumberFormat="0" applyBorder="0" applyAlignment="0" applyProtection="0"/>
    <xf numFmtId="0" fontId="1" fillId="24" borderId="0" applyNumberFormat="0" applyBorder="0" applyAlignment="0" applyProtection="0"/>
    <xf numFmtId="0" fontId="27" fillId="39" borderId="0" applyNumberFormat="0" applyBorder="0" applyAlignment="0" applyProtection="0"/>
    <xf numFmtId="0" fontId="27" fillId="39" borderId="0" applyNumberFormat="0" applyBorder="0" applyAlignment="0" applyProtection="0"/>
    <xf numFmtId="0" fontId="28" fillId="39" borderId="0" applyNumberFormat="0" applyBorder="0" applyAlignment="0" applyProtection="0"/>
    <xf numFmtId="0" fontId="27" fillId="39" borderId="0" applyNumberFormat="0" applyBorder="0" applyAlignment="0" applyProtection="0"/>
    <xf numFmtId="0" fontId="27" fillId="40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8" fillId="39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8" fillId="30" borderId="0" applyNumberFormat="0" applyBorder="0" applyAlignment="0" applyProtection="0"/>
    <xf numFmtId="0" fontId="27" fillId="30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0" fontId="27" fillId="36" borderId="0" applyNumberFormat="0" applyBorder="0" applyAlignment="0" applyProtection="0"/>
    <xf numFmtId="0" fontId="27" fillId="36" borderId="0" applyNumberFormat="0" applyBorder="0" applyAlignment="0" applyProtection="0"/>
    <xf numFmtId="0" fontId="28" fillId="36" borderId="0" applyNumberFormat="0" applyBorder="0" applyAlignment="0" applyProtection="0"/>
    <xf numFmtId="0" fontId="27" fillId="36" borderId="0" applyNumberFormat="0" applyBorder="0" applyAlignment="0" applyProtection="0"/>
    <xf numFmtId="0" fontId="27" fillId="37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8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25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8" fillId="40" borderId="0" applyNumberFormat="0" applyBorder="0" applyAlignment="0" applyProtection="0"/>
    <xf numFmtId="0" fontId="27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30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7" fillId="39" borderId="0" applyNumberFormat="0" applyBorder="0" applyAlignment="0" applyProtection="0"/>
    <xf numFmtId="0" fontId="27" fillId="30" borderId="0" applyNumberFormat="0" applyBorder="0" applyAlignment="0" applyProtection="0"/>
    <xf numFmtId="0" fontId="27" fillId="36" borderId="0" applyNumberFormat="0" applyBorder="0" applyAlignment="0" applyProtection="0"/>
    <xf numFmtId="0" fontId="27" fillId="41" borderId="0" applyNumberFormat="0" applyBorder="0" applyAlignment="0" applyProtection="0"/>
    <xf numFmtId="0" fontId="27" fillId="40" borderId="0" applyNumberFormat="0" applyBorder="0" applyAlignment="0" applyProtection="0"/>
    <xf numFmtId="0" fontId="27" fillId="42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8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0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8" fillId="44" borderId="0" applyNumberFormat="0" applyBorder="0" applyAlignment="0" applyProtection="0"/>
    <xf numFmtId="0" fontId="27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8" fillId="45" borderId="0" applyNumberFormat="0" applyBorder="0" applyAlignment="0" applyProtection="0"/>
    <xf numFmtId="0" fontId="27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8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6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8" fillId="40" borderId="0" applyNumberFormat="0" applyBorder="0" applyAlignment="0" applyProtection="0"/>
    <xf numFmtId="0" fontId="27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8" fillId="47" borderId="0" applyNumberFormat="0" applyBorder="0" applyAlignment="0" applyProtection="0"/>
    <xf numFmtId="0" fontId="27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8" fillId="47" borderId="0" applyNumberFormat="0" applyBorder="0" applyAlignment="0" applyProtection="0"/>
    <xf numFmtId="0" fontId="22" fillId="33" borderId="0" applyNumberFormat="0" applyBorder="0" applyAlignment="0" applyProtection="0"/>
    <xf numFmtId="0" fontId="29" fillId="29" borderId="0" applyNumberFormat="0" applyBorder="0" applyAlignment="0" applyProtection="0"/>
    <xf numFmtId="0" fontId="29" fillId="29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30" fillId="29" borderId="0" applyNumberFormat="0" applyBorder="0" applyAlignment="0" applyProtection="0"/>
    <xf numFmtId="0" fontId="29" fillId="29" borderId="0" applyNumberFormat="0" applyBorder="0" applyAlignment="0" applyProtection="0"/>
    <xf numFmtId="0" fontId="30" fillId="29" borderId="0" applyNumberFormat="0" applyBorder="0" applyAlignment="0" applyProtection="0"/>
    <xf numFmtId="0" fontId="30" fillId="29" borderId="0" applyNumberFormat="0" applyBorder="0" applyAlignment="0" applyProtection="0"/>
    <xf numFmtId="0" fontId="30" fillId="29" borderId="0" applyNumberFormat="0" applyBorder="0" applyAlignment="0" applyProtection="0"/>
    <xf numFmtId="0" fontId="30" fillId="29" borderId="0" applyNumberFormat="0" applyBorder="0" applyAlignment="0" applyProtection="0"/>
    <xf numFmtId="0" fontId="30" fillId="29" borderId="0" applyNumberFormat="0" applyBorder="0" applyAlignment="0" applyProtection="0"/>
    <xf numFmtId="0" fontId="30" fillId="29" borderId="0" applyNumberFormat="0" applyBorder="0" applyAlignment="0" applyProtection="0"/>
    <xf numFmtId="0" fontId="30" fillId="29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8" borderId="0">
      <alignment horizontal="left" vertical="top" wrapText="1"/>
    </xf>
    <xf numFmtId="0" fontId="32" fillId="8" borderId="0">
      <alignment horizontal="left" vertical="top" wrapText="1"/>
    </xf>
    <xf numFmtId="179" fontId="33" fillId="48" borderId="0">
      <alignment horizontal="right" vertical="top" wrapText="1"/>
    </xf>
    <xf numFmtId="0" fontId="34" fillId="31" borderId="0" applyNumberFormat="0" applyBorder="0" applyAlignment="0" applyProtection="0"/>
    <xf numFmtId="171" fontId="35" fillId="49" borderId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6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7" fillId="50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6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37" fillId="25" borderId="42" applyNumberFormat="0" applyAlignment="0" applyProtection="0"/>
    <xf numFmtId="0" fontId="23" fillId="2" borderId="39" applyNumberFormat="0" applyAlignment="0" applyProtection="0"/>
    <xf numFmtId="0" fontId="38" fillId="51" borderId="43" applyNumberFormat="0" applyAlignment="0" applyProtection="0"/>
    <xf numFmtId="0" fontId="39" fillId="0" borderId="44" applyNumberFormat="0" applyFill="0" applyAlignment="0" applyProtection="0"/>
    <xf numFmtId="0" fontId="38" fillId="51" borderId="43" applyNumberFormat="0" applyAlignment="0" applyProtection="0"/>
    <xf numFmtId="0" fontId="38" fillId="51" borderId="43" applyNumberFormat="0" applyAlignment="0" applyProtection="0"/>
    <xf numFmtId="0" fontId="40" fillId="51" borderId="43" applyNumberFormat="0" applyAlignment="0" applyProtection="0"/>
    <xf numFmtId="0" fontId="38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0" fontId="40" fillId="51" borderId="43" applyNumberFormat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42" fillId="0" borderId="0"/>
    <xf numFmtId="0" fontId="25" fillId="0" borderId="0"/>
    <xf numFmtId="0" fontId="42" fillId="0" borderId="0"/>
    <xf numFmtId="0" fontId="25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64" fontId="3" fillId="0" borderId="0"/>
    <xf numFmtId="0" fontId="43" fillId="52" borderId="31" applyNumberFormat="0" applyFont="0" applyBorder="0" applyAlignment="0" applyProtection="0">
      <alignment horizontal="centerContinuous"/>
    </xf>
    <xf numFmtId="0" fontId="44" fillId="53" borderId="27" applyNumberFormat="0" applyBorder="0">
      <alignment horizontal="left"/>
    </xf>
    <xf numFmtId="0" fontId="44" fillId="53" borderId="27" applyNumberFormat="0" applyBorder="0">
      <alignment horizontal="left"/>
    </xf>
    <xf numFmtId="0" fontId="44" fillId="53" borderId="27" applyNumberFormat="0" applyBorder="0">
      <alignment horizontal="left"/>
    </xf>
    <xf numFmtId="0" fontId="44" fillId="53" borderId="27" applyNumberFormat="0" applyBorder="0">
      <alignment horizontal="left"/>
    </xf>
    <xf numFmtId="164" fontId="3" fillId="0" borderId="0"/>
    <xf numFmtId="0" fontId="45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164" fontId="3" fillId="0" borderId="0"/>
    <xf numFmtId="0" fontId="46" fillId="0" borderId="0">
      <protection locked="0"/>
    </xf>
    <xf numFmtId="0" fontId="46" fillId="0" borderId="0">
      <protection locked="0"/>
    </xf>
    <xf numFmtId="0" fontId="46" fillId="0" borderId="0">
      <protection locked="0"/>
    </xf>
    <xf numFmtId="164" fontId="3" fillId="0" borderId="0"/>
    <xf numFmtId="0" fontId="46" fillId="0" borderId="0">
      <protection locked="0"/>
    </xf>
    <xf numFmtId="0" fontId="46" fillId="0" borderId="0">
      <protection locked="0"/>
    </xf>
    <xf numFmtId="0" fontId="46" fillId="0" borderId="0">
      <protection locked="0"/>
    </xf>
    <xf numFmtId="164" fontId="3" fillId="0" borderId="0"/>
    <xf numFmtId="0" fontId="47" fillId="0" borderId="0" applyNumberFormat="0" applyFill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1" borderId="0" applyNumberFormat="0" applyBorder="0" applyAlignment="0" applyProtection="0"/>
    <xf numFmtId="0" fontId="27" fillId="40" borderId="0" applyNumberFormat="0" applyBorder="0" applyAlignment="0" applyProtection="0"/>
    <xf numFmtId="0" fontId="27" fillId="47" borderId="0" applyNumberFormat="0" applyBorder="0" applyAlignment="0" applyProtection="0"/>
    <xf numFmtId="0" fontId="48" fillId="28" borderId="42" applyNumberFormat="0" applyAlignment="0" applyProtection="0"/>
    <xf numFmtId="0" fontId="48" fillId="28" borderId="42" applyNumberFormat="0" applyAlignment="0" applyProtection="0"/>
    <xf numFmtId="0" fontId="48" fillId="28" borderId="42" applyNumberFormat="0" applyAlignment="0" applyProtection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0" fontId="48" fillId="28" borderId="42" applyNumberFormat="0" applyAlignment="0" applyProtection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164" fontId="3" fillId="0" borderId="0"/>
    <xf numFmtId="0" fontId="3" fillId="0" borderId="0"/>
    <xf numFmtId="0" fontId="49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185" fontId="8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84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64" fontId="3" fillId="0" borderId="0"/>
    <xf numFmtId="184" fontId="3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164" fontId="3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45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164" fontId="3" fillId="0" borderId="0"/>
    <xf numFmtId="0" fontId="45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164" fontId="3" fillId="0" borderId="0"/>
    <xf numFmtId="0" fontId="45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164" fontId="3" fillId="0" borderId="0"/>
    <xf numFmtId="0" fontId="45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164" fontId="3" fillId="0" borderId="0"/>
    <xf numFmtId="0" fontId="45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164" fontId="3" fillId="0" borderId="0"/>
    <xf numFmtId="0" fontId="45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164" fontId="3" fillId="0" borderId="0"/>
    <xf numFmtId="0" fontId="45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164" fontId="3" fillId="0" borderId="0"/>
    <xf numFmtId="0" fontId="45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164" fontId="3" fillId="0" borderId="0"/>
    <xf numFmtId="0" fontId="45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164" fontId="3" fillId="0" borderId="0"/>
    <xf numFmtId="0" fontId="34" fillId="31" borderId="0" applyNumberFormat="0" applyBorder="0" applyAlignment="0" applyProtection="0"/>
    <xf numFmtId="0" fontId="34" fillId="31" borderId="0" applyNumberFormat="0" applyBorder="0" applyAlignment="0" applyProtection="0"/>
    <xf numFmtId="0" fontId="52" fillId="31" borderId="0" applyNumberFormat="0" applyBorder="0" applyAlignment="0" applyProtection="0"/>
    <xf numFmtId="0" fontId="34" fillId="31" borderId="0" applyNumberFormat="0" applyBorder="0" applyAlignment="0" applyProtection="0"/>
    <xf numFmtId="164" fontId="3" fillId="0" borderId="0"/>
    <xf numFmtId="0" fontId="52" fillId="31" borderId="0" applyNumberFormat="0" applyBorder="0" applyAlignment="0" applyProtection="0"/>
    <xf numFmtId="0" fontId="52" fillId="31" borderId="0" applyNumberFormat="0" applyBorder="0" applyAlignment="0" applyProtection="0"/>
    <xf numFmtId="0" fontId="52" fillId="31" borderId="0" applyNumberFormat="0" applyBorder="0" applyAlignment="0" applyProtection="0"/>
    <xf numFmtId="0" fontId="52" fillId="31" borderId="0" applyNumberFormat="0" applyBorder="0" applyAlignment="0" applyProtection="0"/>
    <xf numFmtId="0" fontId="52" fillId="31" borderId="0" applyNumberFormat="0" applyBorder="0" applyAlignment="0" applyProtection="0"/>
    <xf numFmtId="0" fontId="52" fillId="31" borderId="0" applyNumberFormat="0" applyBorder="0" applyAlignment="0" applyProtection="0"/>
    <xf numFmtId="0" fontId="52" fillId="31" borderId="0" applyNumberFormat="0" applyBorder="0" applyAlignment="0" applyProtection="0"/>
    <xf numFmtId="0" fontId="53" fillId="54" borderId="0">
      <alignment horizontal="left"/>
    </xf>
    <xf numFmtId="0" fontId="3" fillId="55" borderId="36" applyNumberFormat="0" applyFont="0" applyBorder="0" applyAlignment="0">
      <alignment horizontal="centerContinuous"/>
    </xf>
    <xf numFmtId="0" fontId="3" fillId="55" borderId="36" applyNumberFormat="0" applyFont="0" applyBorder="0" applyAlignment="0">
      <alignment horizontal="centerContinuous"/>
    </xf>
    <xf numFmtId="0" fontId="3" fillId="55" borderId="36" applyNumberFormat="0" applyFont="0" applyBorder="0" applyAlignment="0">
      <alignment horizontal="centerContinuous"/>
    </xf>
    <xf numFmtId="0" fontId="3" fillId="55" borderId="36" applyNumberFormat="0" applyFont="0" applyBorder="0" applyAlignment="0">
      <alignment horizontal="centerContinuous"/>
    </xf>
    <xf numFmtId="0" fontId="3" fillId="55" borderId="36" applyNumberFormat="0" applyFont="0" applyBorder="0" applyAlignment="0">
      <alignment horizontal="centerContinuous"/>
    </xf>
    <xf numFmtId="0" fontId="3" fillId="55" borderId="36" applyNumberFormat="0" applyFont="0" applyBorder="0" applyAlignment="0">
      <alignment horizontal="centerContinuous"/>
    </xf>
    <xf numFmtId="164" fontId="3" fillId="0" borderId="0"/>
    <xf numFmtId="164" fontId="3" fillId="0" borderId="0"/>
    <xf numFmtId="0" fontId="54" fillId="0" borderId="45" applyNumberFormat="0" applyAlignment="0" applyProtection="0">
      <alignment horizontal="left" vertical="center"/>
    </xf>
    <xf numFmtId="0" fontId="54" fillId="0" borderId="38">
      <alignment horizontal="left" vertical="center"/>
    </xf>
    <xf numFmtId="0" fontId="54" fillId="0" borderId="38">
      <alignment horizontal="left" vertical="center"/>
    </xf>
    <xf numFmtId="164" fontId="3" fillId="0" borderId="0"/>
    <xf numFmtId="0" fontId="55" fillId="0" borderId="46" applyNumberFormat="0" applyFill="0" applyAlignment="0" applyProtection="0"/>
    <xf numFmtId="0" fontId="55" fillId="0" borderId="46" applyNumberFormat="0" applyFill="0" applyAlignment="0" applyProtection="0"/>
    <xf numFmtId="0" fontId="56" fillId="0" borderId="46" applyNumberFormat="0" applyFill="0" applyAlignment="0" applyProtection="0"/>
    <xf numFmtId="0" fontId="55" fillId="0" borderId="46" applyNumberFormat="0" applyFill="0" applyAlignment="0" applyProtection="0"/>
    <xf numFmtId="0" fontId="57" fillId="0" borderId="47" applyNumberFormat="0" applyFill="0" applyAlignment="0" applyProtection="0"/>
    <xf numFmtId="164" fontId="3" fillId="0" borderId="0"/>
    <xf numFmtId="0" fontId="56" fillId="0" borderId="46" applyNumberFormat="0" applyFill="0" applyAlignment="0" applyProtection="0"/>
    <xf numFmtId="0" fontId="56" fillId="0" borderId="46" applyNumberFormat="0" applyFill="0" applyAlignment="0" applyProtection="0"/>
    <xf numFmtId="0" fontId="56" fillId="0" borderId="46" applyNumberFormat="0" applyFill="0" applyAlignment="0" applyProtection="0"/>
    <xf numFmtId="0" fontId="56" fillId="0" borderId="46" applyNumberFormat="0" applyFill="0" applyAlignment="0" applyProtection="0"/>
    <xf numFmtId="0" fontId="56" fillId="0" borderId="46" applyNumberFormat="0" applyFill="0" applyAlignment="0" applyProtection="0"/>
    <xf numFmtId="0" fontId="56" fillId="0" borderId="46" applyNumberFormat="0" applyFill="0" applyAlignment="0" applyProtection="0"/>
    <xf numFmtId="0" fontId="56" fillId="0" borderId="46" applyNumberFormat="0" applyFill="0" applyAlignment="0" applyProtection="0"/>
    <xf numFmtId="0" fontId="58" fillId="0" borderId="48" applyNumberFormat="0" applyFill="0" applyAlignment="0" applyProtection="0"/>
    <xf numFmtId="0" fontId="58" fillId="0" borderId="48" applyNumberFormat="0" applyFill="0" applyAlignment="0" applyProtection="0"/>
    <xf numFmtId="0" fontId="59" fillId="0" borderId="48" applyNumberFormat="0" applyFill="0" applyAlignment="0" applyProtection="0"/>
    <xf numFmtId="0" fontId="58" fillId="0" borderId="48" applyNumberFormat="0" applyFill="0" applyAlignment="0" applyProtection="0"/>
    <xf numFmtId="0" fontId="60" fillId="0" borderId="48" applyNumberFormat="0" applyFill="0" applyAlignment="0" applyProtection="0"/>
    <xf numFmtId="164" fontId="3" fillId="0" borderId="0"/>
    <xf numFmtId="0" fontId="59" fillId="0" borderId="48" applyNumberFormat="0" applyFill="0" applyAlignment="0" applyProtection="0"/>
    <xf numFmtId="0" fontId="59" fillId="0" borderId="48" applyNumberFormat="0" applyFill="0" applyAlignment="0" applyProtection="0"/>
    <xf numFmtId="0" fontId="59" fillId="0" borderId="48" applyNumberFormat="0" applyFill="0" applyAlignment="0" applyProtection="0"/>
    <xf numFmtId="0" fontId="59" fillId="0" borderId="48" applyNumberFormat="0" applyFill="0" applyAlignment="0" applyProtection="0"/>
    <xf numFmtId="0" fontId="59" fillId="0" borderId="48" applyNumberFormat="0" applyFill="0" applyAlignment="0" applyProtection="0"/>
    <xf numFmtId="0" fontId="59" fillId="0" borderId="48" applyNumberFormat="0" applyFill="0" applyAlignment="0" applyProtection="0"/>
    <xf numFmtId="0" fontId="59" fillId="0" borderId="48" applyNumberFormat="0" applyFill="0" applyAlignment="0" applyProtection="0"/>
    <xf numFmtId="0" fontId="47" fillId="0" borderId="49" applyNumberFormat="0" applyFill="0" applyAlignment="0" applyProtection="0"/>
    <xf numFmtId="0" fontId="47" fillId="0" borderId="49" applyNumberFormat="0" applyFill="0" applyAlignment="0" applyProtection="0"/>
    <xf numFmtId="0" fontId="47" fillId="0" borderId="49" applyNumberFormat="0" applyFill="0" applyAlignment="0" applyProtection="0"/>
    <xf numFmtId="0" fontId="47" fillId="0" borderId="49" applyNumberFormat="0" applyFill="0" applyAlignment="0" applyProtection="0"/>
    <xf numFmtId="0" fontId="61" fillId="0" borderId="49" applyNumberFormat="0" applyFill="0" applyAlignment="0" applyProtection="0"/>
    <xf numFmtId="0" fontId="47" fillId="0" borderId="49" applyNumberFormat="0" applyFill="0" applyAlignment="0" applyProtection="0"/>
    <xf numFmtId="0" fontId="47" fillId="0" borderId="49" applyNumberFormat="0" applyFill="0" applyAlignment="0" applyProtection="0"/>
    <xf numFmtId="0" fontId="62" fillId="0" borderId="50" applyNumberFormat="0" applyFill="0" applyAlignment="0" applyProtection="0"/>
    <xf numFmtId="0" fontId="62" fillId="0" borderId="50" applyNumberFormat="0" applyFill="0" applyAlignment="0" applyProtection="0"/>
    <xf numFmtId="0" fontId="61" fillId="0" borderId="49" applyNumberFormat="0" applyFill="0" applyAlignment="0" applyProtection="0"/>
    <xf numFmtId="164" fontId="3" fillId="0" borderId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61" fillId="0" borderId="49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64" fontId="3" fillId="0" borderId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3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0" fontId="65" fillId="0" borderId="0" applyNumberFormat="0" applyFill="0" applyBorder="0" applyAlignment="0" applyProtection="0">
      <alignment vertical="top"/>
      <protection locked="0"/>
    </xf>
    <xf numFmtId="0" fontId="29" fillId="29" borderId="0" applyNumberFormat="0" applyBorder="0" applyAlignment="0" applyProtection="0"/>
    <xf numFmtId="186" fontId="66" fillId="0" borderId="0">
      <alignment horizontal="center"/>
      <protection locked="0"/>
    </xf>
    <xf numFmtId="187" fontId="67" fillId="0" borderId="0">
      <alignment horizontal="center"/>
      <protection locked="0"/>
    </xf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0" fontId="4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0" fontId="4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48" fillId="28" borderId="42" applyNumberFormat="0" applyAlignment="0" applyProtection="0"/>
    <xf numFmtId="0" fontId="48" fillId="28" borderId="42" applyNumberFormat="0" applyAlignment="0" applyProtection="0"/>
    <xf numFmtId="0" fontId="48" fillId="28" borderId="42" applyNumberFormat="0" applyAlignment="0" applyProtection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0" fontId="48" fillId="28" borderId="42" applyNumberFormat="0" applyAlignment="0" applyProtection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0" fontId="48" fillId="28" borderId="42" applyNumberFormat="0" applyAlignment="0" applyProtection="0"/>
    <xf numFmtId="164" fontId="3" fillId="0" borderId="0"/>
    <xf numFmtId="0" fontId="4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48" fillId="37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0" fontId="68" fillId="28" borderId="42" applyNumberFormat="0" applyAlignment="0" applyProtection="0"/>
    <xf numFmtId="0" fontId="68" fillId="28" borderId="42" applyNumberFormat="0" applyAlignment="0" applyProtection="0"/>
    <xf numFmtId="164" fontId="3" fillId="0" borderId="0"/>
    <xf numFmtId="0" fontId="68" fillId="28" borderId="42" applyNumberFormat="0" applyAlignment="0" applyProtection="0"/>
    <xf numFmtId="164" fontId="3" fillId="0" borderId="0"/>
    <xf numFmtId="2" fontId="3" fillId="56" borderId="15" applyNumberFormat="0" applyBorder="0">
      <alignment horizontal="right" vertical="center"/>
    </xf>
    <xf numFmtId="2" fontId="3" fillId="56" borderId="15" applyNumberFormat="0" applyBorder="0">
      <alignment horizontal="right" vertical="center"/>
    </xf>
    <xf numFmtId="2" fontId="3" fillId="56" borderId="15" applyNumberFormat="0" applyBorder="0">
      <alignment horizontal="right" vertical="center"/>
    </xf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69" fillId="8" borderId="0"/>
    <xf numFmtId="188" fontId="66" fillId="0" borderId="0">
      <alignment horizontal="center"/>
      <protection locked="0"/>
    </xf>
    <xf numFmtId="188" fontId="66" fillId="0" borderId="0">
      <alignment horizontal="center"/>
      <protection locked="0"/>
    </xf>
    <xf numFmtId="0" fontId="39" fillId="0" borderId="44" applyNumberFormat="0" applyFill="0" applyAlignment="0" applyProtection="0"/>
    <xf numFmtId="0" fontId="39" fillId="0" borderId="44" applyNumberFormat="0" applyFill="0" applyAlignment="0" applyProtection="0"/>
    <xf numFmtId="0" fontId="70" fillId="0" borderId="44" applyNumberFormat="0" applyFill="0" applyAlignment="0" applyProtection="0"/>
    <xf numFmtId="0" fontId="39" fillId="0" borderId="44" applyNumberFormat="0" applyFill="0" applyAlignment="0" applyProtection="0"/>
    <xf numFmtId="164" fontId="3" fillId="0" borderId="0"/>
    <xf numFmtId="0" fontId="70" fillId="0" borderId="44" applyNumberFormat="0" applyFill="0" applyAlignment="0" applyProtection="0"/>
    <xf numFmtId="0" fontId="70" fillId="0" borderId="44" applyNumberFormat="0" applyFill="0" applyAlignment="0" applyProtection="0"/>
    <xf numFmtId="0" fontId="70" fillId="0" borderId="44" applyNumberFormat="0" applyFill="0" applyAlignment="0" applyProtection="0"/>
    <xf numFmtId="0" fontId="70" fillId="0" borderId="44" applyNumberFormat="0" applyFill="0" applyAlignment="0" applyProtection="0"/>
    <xf numFmtId="0" fontId="70" fillId="0" borderId="44" applyNumberFormat="0" applyFill="0" applyAlignment="0" applyProtection="0"/>
    <xf numFmtId="0" fontId="70" fillId="0" borderId="44" applyNumberFormat="0" applyFill="0" applyAlignment="0" applyProtection="0"/>
    <xf numFmtId="0" fontId="70" fillId="0" borderId="44" applyNumberFormat="0" applyFill="0" applyAlignment="0" applyProtection="0"/>
    <xf numFmtId="0" fontId="71" fillId="48" borderId="40">
      <alignment vertical="center"/>
    </xf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164" fontId="3" fillId="0" borderId="0"/>
    <xf numFmtId="189" fontId="3" fillId="0" borderId="0" applyFont="0" applyFill="0" applyBorder="0" applyAlignment="0" applyProtection="0"/>
    <xf numFmtId="190" fontId="25" fillId="0" borderId="0" applyFont="0" applyFill="0" applyBorder="0" applyAlignment="0" applyProtection="0"/>
    <xf numFmtId="0" fontId="45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164" fontId="3" fillId="0" borderId="0"/>
    <xf numFmtId="0" fontId="72" fillId="37" borderId="0" applyNumberFormat="0" applyBorder="0" applyAlignment="0" applyProtection="0"/>
    <xf numFmtId="0" fontId="72" fillId="37" borderId="0" applyNumberFormat="0" applyBorder="0" applyAlignment="0" applyProtection="0"/>
    <xf numFmtId="0" fontId="73" fillId="37" borderId="0" applyNumberFormat="0" applyBorder="0" applyAlignment="0" applyProtection="0"/>
    <xf numFmtId="0" fontId="72" fillId="37" borderId="0" applyNumberFormat="0" applyBorder="0" applyAlignment="0" applyProtection="0"/>
    <xf numFmtId="164" fontId="3" fillId="0" borderId="0"/>
    <xf numFmtId="0" fontId="73" fillId="37" borderId="0" applyNumberFormat="0" applyBorder="0" applyAlignment="0" applyProtection="0"/>
    <xf numFmtId="0" fontId="72" fillId="37" borderId="0" applyNumberFormat="0" applyBorder="0" applyAlignment="0" applyProtection="0"/>
    <xf numFmtId="164" fontId="3" fillId="0" borderId="0"/>
    <xf numFmtId="0" fontId="73" fillId="37" borderId="0" applyNumberFormat="0" applyBorder="0" applyAlignment="0" applyProtection="0"/>
    <xf numFmtId="0" fontId="73" fillId="37" borderId="0" applyNumberFormat="0" applyBorder="0" applyAlignment="0" applyProtection="0"/>
    <xf numFmtId="0" fontId="73" fillId="37" borderId="0" applyNumberFormat="0" applyBorder="0" applyAlignment="0" applyProtection="0"/>
    <xf numFmtId="0" fontId="73" fillId="37" borderId="0" applyNumberFormat="0" applyBorder="0" applyAlignment="0" applyProtection="0"/>
    <xf numFmtId="0" fontId="73" fillId="37" borderId="0" applyNumberFormat="0" applyBorder="0" applyAlignment="0" applyProtection="0"/>
    <xf numFmtId="0" fontId="73" fillId="37" borderId="0" applyNumberFormat="0" applyBorder="0" applyAlignment="0" applyProtection="0"/>
    <xf numFmtId="37" fontId="74" fillId="0" borderId="0"/>
    <xf numFmtId="37" fontId="74" fillId="0" borderId="0"/>
    <xf numFmtId="37" fontId="74" fillId="0" borderId="0"/>
    <xf numFmtId="164" fontId="3" fillId="0" borderId="0"/>
    <xf numFmtId="0" fontId="49" fillId="0" borderId="0"/>
    <xf numFmtId="191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164" fontId="3" fillId="0" borderId="0"/>
    <xf numFmtId="0" fontId="9" fillId="0" borderId="0"/>
    <xf numFmtId="0" fontId="9" fillId="0" borderId="0"/>
    <xf numFmtId="0" fontId="9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5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1" fillId="0" borderId="0"/>
    <xf numFmtId="164" fontId="1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164" fontId="1" fillId="0" borderId="0"/>
    <xf numFmtId="164" fontId="3" fillId="0" borderId="0"/>
    <xf numFmtId="164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1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164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164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41" fillId="0" borderId="0"/>
    <xf numFmtId="0" fontId="3" fillId="0" borderId="0"/>
    <xf numFmtId="0" fontId="3" fillId="0" borderId="0"/>
    <xf numFmtId="0" fontId="3" fillId="0" borderId="0"/>
    <xf numFmtId="0" fontId="4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1" fillId="0" borderId="0"/>
    <xf numFmtId="0" fontId="41" fillId="0" borderId="0"/>
    <xf numFmtId="0" fontId="4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4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1" fillId="0" borderId="0"/>
    <xf numFmtId="0" fontId="1" fillId="0" borderId="0"/>
    <xf numFmtId="0" fontId="1" fillId="0" borderId="0"/>
    <xf numFmtId="164" fontId="3" fillId="0" borderId="0"/>
    <xf numFmtId="0" fontId="3" fillId="0" borderId="0"/>
    <xf numFmtId="0" fontId="3" fillId="0" borderId="0"/>
    <xf numFmtId="0" fontId="41" fillId="0" borderId="0"/>
    <xf numFmtId="0" fontId="41" fillId="0" borderId="0"/>
    <xf numFmtId="0" fontId="4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41" fillId="0" borderId="0"/>
    <xf numFmtId="0" fontId="3" fillId="0" borderId="0"/>
    <xf numFmtId="0" fontId="3" fillId="0" borderId="0"/>
    <xf numFmtId="0" fontId="1" fillId="0" borderId="0"/>
    <xf numFmtId="164" fontId="3" fillId="0" borderId="0"/>
    <xf numFmtId="164" fontId="3" fillId="0" borderId="0"/>
    <xf numFmtId="0" fontId="1" fillId="0" borderId="0"/>
    <xf numFmtId="0" fontId="9" fillId="0" borderId="0"/>
    <xf numFmtId="0" fontId="9" fillId="0" borderId="0"/>
    <xf numFmtId="164" fontId="3" fillId="0" borderId="0"/>
    <xf numFmtId="0" fontId="9" fillId="0" borderId="0"/>
    <xf numFmtId="0" fontId="9" fillId="0" borderId="0"/>
    <xf numFmtId="0" fontId="41" fillId="0" borderId="0"/>
    <xf numFmtId="164" fontId="3" fillId="0" borderId="0"/>
    <xf numFmtId="164" fontId="3" fillId="3" borderId="2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3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3" fillId="3" borderId="2" applyNumberFormat="0" applyFont="0" applyAlignment="0" applyProtection="0"/>
    <xf numFmtId="0" fontId="3" fillId="3" borderId="2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41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41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9" fillId="32" borderId="51" applyNumberFormat="0" applyFont="0" applyAlignment="0" applyProtection="0"/>
    <xf numFmtId="164" fontId="3" fillId="0" borderId="0"/>
    <xf numFmtId="0" fontId="9" fillId="32" borderId="51" applyNumberFormat="0" applyFont="0" applyAlignment="0" applyProtection="0"/>
    <xf numFmtId="0" fontId="41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0" fontId="3" fillId="32" borderId="51" applyNumberFormat="0" applyFont="0" applyAlignment="0" applyProtection="0"/>
    <xf numFmtId="164" fontId="3" fillId="0" borderId="0"/>
    <xf numFmtId="192" fontId="76" fillId="0" borderId="0" applyProtection="0">
      <alignment horizontal="center"/>
    </xf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24" fillId="25" borderId="40" applyNumberFormat="0" applyAlignment="0" applyProtection="0"/>
    <xf numFmtId="0" fontId="24" fillId="25" borderId="40" applyNumberFormat="0" applyAlignment="0" applyProtection="0"/>
    <xf numFmtId="164" fontId="3" fillId="0" borderId="0"/>
    <xf numFmtId="0" fontId="24" fillId="25" borderId="40" applyNumberFormat="0" applyAlignment="0" applyProtection="0"/>
    <xf numFmtId="0" fontId="24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24" fillId="25" borderId="40" applyNumberFormat="0" applyAlignment="0" applyProtection="0"/>
    <xf numFmtId="0" fontId="24" fillId="25" borderId="40" applyNumberFormat="0" applyAlignment="0" applyProtection="0"/>
    <xf numFmtId="164" fontId="3" fillId="0" borderId="0"/>
    <xf numFmtId="0" fontId="2" fillId="50" borderId="1" applyNumberFormat="0" applyAlignment="0" applyProtection="0"/>
    <xf numFmtId="0" fontId="2" fillId="50" borderId="1" applyNumberFormat="0" applyAlignment="0" applyProtection="0"/>
    <xf numFmtId="0" fontId="24" fillId="25" borderId="40" applyNumberFormat="0" applyAlignment="0" applyProtection="0"/>
    <xf numFmtId="0" fontId="24" fillId="25" borderId="40" applyNumberFormat="0" applyAlignment="0" applyProtection="0"/>
    <xf numFmtId="0" fontId="24" fillId="25" borderId="40" applyNumberFormat="0" applyAlignment="0" applyProtection="0"/>
    <xf numFmtId="0" fontId="24" fillId="25" borderId="40" applyNumberFormat="0" applyAlignment="0" applyProtection="0"/>
    <xf numFmtId="164" fontId="3" fillId="0" borderId="0"/>
    <xf numFmtId="0" fontId="24" fillId="25" borderId="40" applyNumberFormat="0" applyAlignment="0" applyProtection="0"/>
    <xf numFmtId="164" fontId="3" fillId="0" borderId="0"/>
    <xf numFmtId="0" fontId="24" fillId="25" borderId="40" applyNumberFormat="0" applyAlignment="0" applyProtection="0"/>
    <xf numFmtId="0" fontId="24" fillId="25" borderId="40" applyNumberFormat="0" applyAlignment="0" applyProtection="0"/>
    <xf numFmtId="164" fontId="3" fillId="0" borderId="0"/>
    <xf numFmtId="0" fontId="24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24" fillId="50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0" fontId="77" fillId="25" borderId="40" applyNumberFormat="0" applyAlignment="0" applyProtection="0"/>
    <xf numFmtId="0" fontId="77" fillId="25" borderId="40" applyNumberFormat="0" applyAlignment="0" applyProtection="0"/>
    <xf numFmtId="164" fontId="3" fillId="0" borderId="0"/>
    <xf numFmtId="0" fontId="77" fillId="25" borderId="40" applyNumberFormat="0" applyAlignment="0" applyProtection="0"/>
    <xf numFmtId="164" fontId="3" fillId="0" borderId="0"/>
    <xf numFmtId="4" fontId="78" fillId="0" borderId="37" applyNumberFormat="0" applyFill="0" applyBorder="0" applyAlignment="0" applyProtection="0">
      <alignment horizontal="right"/>
    </xf>
    <xf numFmtId="4" fontId="78" fillId="0" borderId="37" applyNumberFormat="0" applyFill="0" applyBorder="0" applyAlignment="0" applyProtection="0">
      <alignment horizontal="right"/>
    </xf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41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41" fillId="0" borderId="0" applyFont="0" applyFill="0" applyBorder="0" applyAlignment="0" applyProtection="0"/>
    <xf numFmtId="164" fontId="3" fillId="0" borderId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75" fillId="0" borderId="0" applyFont="0" applyFill="0" applyBorder="0" applyAlignment="0" applyProtection="0"/>
    <xf numFmtId="164" fontId="3" fillId="0" borderId="0"/>
    <xf numFmtId="9" fontId="75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164" fontId="3" fillId="0" borderId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164" fontId="3" fillId="0" borderId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164" fontId="3" fillId="0" borderId="0"/>
    <xf numFmtId="164" fontId="3" fillId="0" borderId="0"/>
    <xf numFmtId="164" fontId="3" fillId="0" borderId="0"/>
    <xf numFmtId="9" fontId="3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1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3" fontId="79" fillId="0" borderId="0">
      <alignment vertical="center"/>
    </xf>
    <xf numFmtId="0" fontId="80" fillId="57" borderId="0"/>
    <xf numFmtId="0" fontId="80" fillId="8" borderId="0"/>
    <xf numFmtId="0" fontId="80" fillId="58" borderId="0"/>
    <xf numFmtId="0" fontId="80" fillId="57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/>
    <xf numFmtId="0" fontId="45" fillId="0" borderId="0">
      <protection locked="0"/>
    </xf>
    <xf numFmtId="164" fontId="3" fillId="0" borderId="0"/>
    <xf numFmtId="0" fontId="45" fillId="0" borderId="0">
      <protection locked="0"/>
    </xf>
    <xf numFmtId="0" fontId="81" fillId="48" borderId="29">
      <alignment horizontal="center"/>
    </xf>
    <xf numFmtId="38" fontId="66" fillId="0" borderId="0"/>
    <xf numFmtId="0" fontId="82" fillId="49" borderId="0"/>
    <xf numFmtId="0" fontId="24" fillId="25" borderId="40" applyNumberFormat="0" applyAlignment="0" applyProtection="0"/>
    <xf numFmtId="0" fontId="24" fillId="25" borderId="40" applyNumberFormat="0" applyAlignment="0" applyProtection="0"/>
    <xf numFmtId="0" fontId="24" fillId="25" borderId="40" applyNumberFormat="0" applyAlignment="0" applyProtection="0"/>
    <xf numFmtId="164" fontId="3" fillId="0" borderId="0"/>
    <xf numFmtId="0" fontId="24" fillId="25" borderId="40" applyNumberFormat="0" applyAlignment="0" applyProtection="0"/>
    <xf numFmtId="164" fontId="3" fillId="0" borderId="0"/>
    <xf numFmtId="0" fontId="24" fillId="25" borderId="40" applyNumberFormat="0" applyAlignment="0" applyProtection="0"/>
    <xf numFmtId="0" fontId="24" fillId="25" borderId="40" applyNumberFormat="0" applyAlignment="0" applyProtection="0"/>
    <xf numFmtId="164" fontId="3" fillId="0" borderId="0"/>
    <xf numFmtId="0" fontId="24" fillId="25" borderId="40" applyNumberFormat="0" applyAlignment="0" applyProtection="0"/>
    <xf numFmtId="38" fontId="43" fillId="0" borderId="0" applyFont="0" applyFill="0" applyBorder="0" applyAlignment="0" applyProtection="0"/>
    <xf numFmtId="4" fontId="25" fillId="0" borderId="0" applyFont="0" applyFill="0" applyBorder="0" applyAlignment="0" applyProtection="0"/>
    <xf numFmtId="0" fontId="43" fillId="0" borderId="0"/>
    <xf numFmtId="0" fontId="3" fillId="0" borderId="0"/>
    <xf numFmtId="0" fontId="83" fillId="49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top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top"/>
    </xf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top"/>
    </xf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top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top"/>
    </xf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top"/>
    </xf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vertical="top"/>
    </xf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3" fillId="0" borderId="0"/>
    <xf numFmtId="0" fontId="3" fillId="0" borderId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4" fillId="49" borderId="0"/>
    <xf numFmtId="0" fontId="85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3" fillId="59" borderId="0" applyNumberFormat="0">
      <alignment horizontal="left"/>
    </xf>
    <xf numFmtId="0" fontId="3" fillId="59" borderId="0" applyNumberFormat="0">
      <alignment horizontal="left"/>
    </xf>
    <xf numFmtId="0" fontId="3" fillId="59" borderId="0" applyNumberFormat="0">
      <alignment horizontal="left"/>
    </xf>
    <xf numFmtId="0" fontId="3" fillId="59" borderId="0" applyNumberFormat="0">
      <alignment horizontal="left"/>
    </xf>
    <xf numFmtId="0" fontId="3" fillId="59" borderId="0" applyNumberFormat="0">
      <alignment horizontal="left"/>
    </xf>
    <xf numFmtId="0" fontId="3" fillId="59" borderId="0" applyNumberFormat="0">
      <alignment horizontal="left"/>
    </xf>
    <xf numFmtId="164" fontId="3" fillId="0" borderId="0"/>
    <xf numFmtId="0" fontId="3" fillId="59" borderId="0" applyNumberFormat="0">
      <alignment horizontal="left"/>
    </xf>
    <xf numFmtId="0" fontId="3" fillId="59" borderId="0" applyNumberFormat="0">
      <alignment horizontal="left"/>
    </xf>
    <xf numFmtId="0" fontId="3" fillId="59" borderId="0" applyNumberFormat="0">
      <alignment horizontal="left"/>
    </xf>
    <xf numFmtId="0" fontId="3" fillId="59" borderId="0" applyNumberFormat="0">
      <alignment horizontal="left"/>
    </xf>
    <xf numFmtId="164" fontId="3" fillId="0" borderId="0"/>
    <xf numFmtId="164" fontId="3" fillId="0" borderId="0"/>
    <xf numFmtId="0" fontId="86" fillId="0" borderId="0" applyNumberFormat="0" applyFill="0" applyBorder="0" applyAlignment="0" applyProtection="0"/>
    <xf numFmtId="0" fontId="87" fillId="60" borderId="0" applyNumberFormat="0" applyBorder="0" applyAlignment="0" applyProtection="0"/>
    <xf numFmtId="0" fontId="86" fillId="0" borderId="0" applyNumberFormat="0" applyFill="0" applyBorder="0" applyAlignment="0" applyProtection="0"/>
    <xf numFmtId="0" fontId="87" fillId="60" borderId="0" applyNumberFormat="0" applyBorder="0" applyAlignment="0" applyProtection="0"/>
    <xf numFmtId="164" fontId="3" fillId="0" borderId="0"/>
    <xf numFmtId="0" fontId="86" fillId="0" borderId="0" applyNumberFormat="0" applyFill="0" applyBorder="0" applyAlignment="0" applyProtection="0"/>
    <xf numFmtId="0" fontId="87" fillId="60" borderId="0" applyNumberFormat="0" applyBorder="0" applyAlignment="0" applyProtection="0"/>
    <xf numFmtId="164" fontId="3" fillId="0" borderId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55" fillId="0" borderId="46" applyNumberFormat="0" applyFill="0" applyAlignment="0" applyProtection="0"/>
    <xf numFmtId="0" fontId="58" fillId="0" borderId="48" applyNumberFormat="0" applyFill="0" applyAlignment="0" applyProtection="0"/>
    <xf numFmtId="0" fontId="47" fillId="0" borderId="49" applyNumberFormat="0" applyFill="0" applyAlignment="0" applyProtection="0"/>
    <xf numFmtId="0" fontId="47" fillId="0" borderId="49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9" fillId="0" borderId="52" applyNumberFormat="0" applyFill="0" applyAlignment="0" applyProtection="0"/>
    <xf numFmtId="0" fontId="89" fillId="0" borderId="52" applyNumberFormat="0" applyFill="0" applyAlignment="0" applyProtection="0"/>
    <xf numFmtId="164" fontId="3" fillId="0" borderId="0"/>
    <xf numFmtId="0" fontId="89" fillId="0" borderId="52" applyNumberFormat="0" applyFill="0" applyAlignment="0" applyProtection="0"/>
    <xf numFmtId="0" fontId="89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9" fillId="0" borderId="52" applyNumberFormat="0" applyFill="0" applyAlignment="0" applyProtection="0"/>
    <xf numFmtId="0" fontId="89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9" fillId="0" borderId="52" applyNumberFormat="0" applyFill="0" applyAlignment="0" applyProtection="0"/>
    <xf numFmtId="0" fontId="89" fillId="0" borderId="52" applyNumberFormat="0" applyFill="0" applyAlignment="0" applyProtection="0"/>
    <xf numFmtId="0" fontId="89" fillId="0" borderId="52" applyNumberFormat="0" applyFill="0" applyAlignment="0" applyProtection="0"/>
    <xf numFmtId="0" fontId="89" fillId="0" borderId="52" applyNumberFormat="0" applyFill="0" applyAlignment="0" applyProtection="0"/>
    <xf numFmtId="164" fontId="3" fillId="0" borderId="0"/>
    <xf numFmtId="0" fontId="89" fillId="0" borderId="52" applyNumberFormat="0" applyFill="0" applyAlignment="0" applyProtection="0"/>
    <xf numFmtId="164" fontId="3" fillId="0" borderId="0"/>
    <xf numFmtId="0" fontId="89" fillId="0" borderId="52" applyNumberFormat="0" applyFill="0" applyAlignment="0" applyProtection="0"/>
    <xf numFmtId="0" fontId="89" fillId="0" borderId="52" applyNumberFormat="0" applyFill="0" applyAlignment="0" applyProtection="0"/>
    <xf numFmtId="164" fontId="3" fillId="0" borderId="0"/>
    <xf numFmtId="0" fontId="89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9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0" fontId="88" fillId="0" borderId="52" applyNumberFormat="0" applyFill="0" applyAlignment="0" applyProtection="0"/>
    <xf numFmtId="164" fontId="3" fillId="0" borderId="0"/>
    <xf numFmtId="0" fontId="88" fillId="0" borderId="52" applyNumberFormat="0" applyFill="0" applyAlignment="0" applyProtection="0"/>
    <xf numFmtId="164" fontId="3" fillId="0" borderId="0"/>
    <xf numFmtId="0" fontId="3" fillId="61" borderId="0" applyNumberFormat="0" applyBorder="0" applyAlignment="0">
      <protection locked="0"/>
    </xf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164" fontId="3" fillId="0" borderId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1" fillId="62" borderId="0">
      <alignment horizontal="right"/>
    </xf>
    <xf numFmtId="0" fontId="92" fillId="0" borderId="0">
      <alignment horizontal="center"/>
    </xf>
    <xf numFmtId="164" fontId="3" fillId="0" borderId="0"/>
    <xf numFmtId="168" fontId="3" fillId="0" borderId="0" applyFont="0" applyFill="0" applyBorder="0" applyAlignment="0" applyProtection="0"/>
    <xf numFmtId="0" fontId="61" fillId="0" borderId="64" applyNumberFormat="0" applyFill="0" applyAlignment="0" applyProtection="0"/>
    <xf numFmtId="0" fontId="62" fillId="0" borderId="59" applyNumberFormat="0" applyFill="0" applyAlignment="0" applyProtection="0"/>
    <xf numFmtId="0" fontId="47" fillId="0" borderId="58" applyNumberFormat="0" applyFill="0" applyAlignment="0" applyProtection="0"/>
    <xf numFmtId="0" fontId="61" fillId="0" borderId="58" applyNumberFormat="0" applyFill="0" applyAlignment="0" applyProtection="0"/>
    <xf numFmtId="0" fontId="61" fillId="0" borderId="58" applyNumberFormat="0" applyFill="0" applyAlignment="0" applyProtection="0"/>
    <xf numFmtId="0" fontId="61" fillId="0" borderId="58" applyNumberFormat="0" applyFill="0" applyAlignment="0" applyProtection="0"/>
    <xf numFmtId="0" fontId="61" fillId="0" borderId="58" applyNumberFormat="0" applyFill="0" applyAlignment="0" applyProtection="0"/>
    <xf numFmtId="0" fontId="61" fillId="0" borderId="58" applyNumberFormat="0" applyFill="0" applyAlignment="0" applyProtection="0"/>
    <xf numFmtId="0" fontId="61" fillId="0" borderId="58" applyNumberFormat="0" applyFill="0" applyAlignment="0" applyProtection="0"/>
    <xf numFmtId="0" fontId="61" fillId="0" borderId="58" applyNumberFormat="0" applyFill="0" applyAlignment="0" applyProtection="0"/>
    <xf numFmtId="0" fontId="47" fillId="0" borderId="58" applyNumberFormat="0" applyFill="0" applyAlignment="0" applyProtection="0"/>
    <xf numFmtId="0" fontId="61" fillId="0" borderId="58" applyNumberFormat="0" applyFill="0" applyAlignment="0" applyProtection="0"/>
    <xf numFmtId="0" fontId="47" fillId="0" borderId="58" applyNumberFormat="0" applyFill="0" applyAlignment="0" applyProtection="0"/>
    <xf numFmtId="0" fontId="47" fillId="0" borderId="58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64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60" applyNumberFormat="0" applyFill="0" applyAlignment="0" applyProtection="0"/>
    <xf numFmtId="0" fontId="75" fillId="0" borderId="0"/>
    <xf numFmtId="0" fontId="9" fillId="0" borderId="0"/>
    <xf numFmtId="0" fontId="26" fillId="0" borderId="0"/>
    <xf numFmtId="0" fontId="24" fillId="25" borderId="40" applyNumberFormat="0" applyAlignment="0" applyProtection="0"/>
    <xf numFmtId="0" fontId="47" fillId="0" borderId="62" applyNumberFormat="0" applyFill="0" applyAlignment="0" applyProtection="0"/>
    <xf numFmtId="0" fontId="61" fillId="0" borderId="58" applyNumberFormat="0" applyFill="0" applyAlignment="0" applyProtection="0"/>
    <xf numFmtId="0" fontId="47" fillId="0" borderId="58" applyNumberFormat="0" applyFill="0" applyAlignment="0" applyProtection="0"/>
    <xf numFmtId="0" fontId="61" fillId="0" borderId="58" applyNumberFormat="0" applyFill="0" applyAlignment="0" applyProtection="0"/>
    <xf numFmtId="0" fontId="47" fillId="0" borderId="58" applyNumberFormat="0" applyFill="0" applyAlignment="0" applyProtection="0"/>
    <xf numFmtId="0" fontId="77" fillId="25" borderId="40" applyNumberFormat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0" fontId="45" fillId="0" borderId="0">
      <protection locked="0"/>
    </xf>
    <xf numFmtId="0" fontId="24" fillId="25" borderId="40" applyNumberFormat="0" applyAlignment="0" applyProtection="0"/>
    <xf numFmtId="168" fontId="3" fillId="0" borderId="0" applyFont="0" applyFill="0" applyBorder="0" applyAlignment="0" applyProtection="0"/>
    <xf numFmtId="164" fontId="3" fillId="0" borderId="0"/>
    <xf numFmtId="0" fontId="61" fillId="0" borderId="60" applyNumberFormat="0" applyFill="0" applyAlignment="0" applyProtection="0"/>
    <xf numFmtId="0" fontId="24" fillId="25" borderId="40" applyNumberFormat="0" applyAlignment="0" applyProtection="0"/>
    <xf numFmtId="0" fontId="61" fillId="0" borderId="62" applyNumberFormat="0" applyFill="0" applyAlignment="0" applyProtection="0"/>
    <xf numFmtId="0" fontId="61" fillId="0" borderId="62" applyNumberFormat="0" applyFill="0" applyAlignment="0" applyProtection="0"/>
    <xf numFmtId="0" fontId="61" fillId="0" borderId="64" applyNumberFormat="0" applyFill="0" applyAlignment="0" applyProtection="0"/>
    <xf numFmtId="0" fontId="61" fillId="0" borderId="58" applyNumberFormat="0" applyFill="0" applyAlignment="0" applyProtection="0"/>
    <xf numFmtId="0" fontId="61" fillId="0" borderId="64" applyNumberFormat="0" applyFill="0" applyAlignment="0" applyProtection="0"/>
    <xf numFmtId="0" fontId="61" fillId="0" borderId="60" applyNumberFormat="0" applyFill="0" applyAlignment="0" applyProtection="0"/>
    <xf numFmtId="0" fontId="9" fillId="0" borderId="0"/>
    <xf numFmtId="168" fontId="3" fillId="0" borderId="0" applyFont="0" applyFill="0" applyBorder="0" applyAlignment="0" applyProtection="0"/>
    <xf numFmtId="0" fontId="61" fillId="0" borderId="62" applyNumberFormat="0" applyFill="0" applyAlignment="0" applyProtection="0"/>
    <xf numFmtId="0" fontId="61" fillId="0" borderId="60" applyNumberFormat="0" applyFill="0" applyAlignment="0" applyProtection="0"/>
    <xf numFmtId="0" fontId="3" fillId="0" borderId="0"/>
    <xf numFmtId="0" fontId="3" fillId="0" borderId="0"/>
    <xf numFmtId="0" fontId="3" fillId="0" borderId="0"/>
    <xf numFmtId="0" fontId="61" fillId="0" borderId="60" applyNumberFormat="0" applyFill="0" applyAlignment="0" applyProtection="0"/>
    <xf numFmtId="0" fontId="3" fillId="0" borderId="0"/>
    <xf numFmtId="0" fontId="3" fillId="0" borderId="0"/>
    <xf numFmtId="0" fontId="9" fillId="0" borderId="0"/>
    <xf numFmtId="168" fontId="3" fillId="0" borderId="0" applyFont="0" applyFill="0" applyBorder="0" applyAlignment="0" applyProtection="0"/>
    <xf numFmtId="164" fontId="3" fillId="0" borderId="0"/>
    <xf numFmtId="0" fontId="77" fillId="25" borderId="40" applyNumberFormat="0" applyAlignment="0" applyProtection="0"/>
    <xf numFmtId="0" fontId="61" fillId="0" borderId="58" applyNumberFormat="0" applyFill="0" applyAlignment="0" applyProtection="0"/>
    <xf numFmtId="0" fontId="61" fillId="0" borderId="62" applyNumberFormat="0" applyFill="0" applyAlignment="0" applyProtection="0"/>
    <xf numFmtId="0" fontId="61" fillId="0" borderId="60" applyNumberForma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/>
    <xf numFmtId="0" fontId="47" fillId="0" borderId="62" applyNumberFormat="0" applyFill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7" fillId="0" borderId="62" applyNumberFormat="0" applyFill="0" applyAlignment="0" applyProtection="0"/>
    <xf numFmtId="0" fontId="61" fillId="0" borderId="60" applyNumberFormat="0" applyFill="0" applyAlignment="0" applyProtection="0"/>
    <xf numFmtId="0" fontId="24" fillId="25" borderId="40" applyNumberFormat="0" applyAlignment="0" applyProtection="0"/>
    <xf numFmtId="0" fontId="45" fillId="0" borderId="0">
      <protection locked="0"/>
    </xf>
    <xf numFmtId="0" fontId="61" fillId="0" borderId="58" applyNumberFormat="0" applyFill="0" applyAlignment="0" applyProtection="0"/>
    <xf numFmtId="0" fontId="62" fillId="0" borderId="63" applyNumberFormat="0" applyFill="0" applyAlignment="0" applyProtection="0"/>
    <xf numFmtId="0" fontId="61" fillId="0" borderId="62" applyNumberFormat="0" applyFill="0" applyAlignment="0" applyProtection="0"/>
    <xf numFmtId="0" fontId="61" fillId="0" borderId="64" applyNumberFormat="0" applyFill="0" applyAlignment="0" applyProtection="0"/>
    <xf numFmtId="0" fontId="61" fillId="0" borderId="60" applyNumberFormat="0" applyFill="0" applyAlignment="0" applyProtection="0"/>
    <xf numFmtId="0" fontId="61" fillId="0" borderId="58" applyNumberFormat="0" applyFill="0" applyAlignment="0" applyProtection="0"/>
    <xf numFmtId="0" fontId="47" fillId="0" borderId="58" applyNumberFormat="0" applyFill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61" fillId="0" borderId="62" applyNumberFormat="0" applyFill="0" applyAlignment="0" applyProtection="0"/>
    <xf numFmtId="0" fontId="62" fillId="0" borderId="59" applyNumberFormat="0" applyFill="0" applyAlignment="0" applyProtection="0"/>
    <xf numFmtId="0" fontId="47" fillId="0" borderId="60" applyNumberFormat="0" applyFill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61" fillId="0" borderId="64" applyNumberFormat="0" applyFill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61" fillId="0" borderId="60" applyNumberFormat="0" applyFill="0" applyAlignment="0" applyProtection="0"/>
    <xf numFmtId="0" fontId="45" fillId="0" borderId="0">
      <protection locked="0"/>
    </xf>
    <xf numFmtId="0" fontId="47" fillId="0" borderId="64" applyNumberFormat="0" applyFill="0" applyAlignment="0" applyProtection="0"/>
    <xf numFmtId="0" fontId="61" fillId="0" borderId="64" applyNumberFormat="0" applyFill="0" applyAlignment="0" applyProtection="0"/>
    <xf numFmtId="0" fontId="62" fillId="0" borderId="65" applyNumberFormat="0" applyFill="0" applyAlignment="0" applyProtection="0"/>
    <xf numFmtId="0" fontId="62" fillId="0" borderId="61" applyNumberFormat="0" applyFill="0" applyAlignment="0" applyProtection="0"/>
    <xf numFmtId="0" fontId="61" fillId="0" borderId="62" applyNumberFormat="0" applyFill="0" applyAlignment="0" applyProtection="0"/>
    <xf numFmtId="0" fontId="45" fillId="0" borderId="0">
      <protection locked="0"/>
    </xf>
    <xf numFmtId="0" fontId="61" fillId="0" borderId="62" applyNumberFormat="0" applyFill="0" applyAlignment="0" applyProtection="0"/>
    <xf numFmtId="0" fontId="47" fillId="0" borderId="62" applyNumberFormat="0" applyFill="0" applyAlignment="0" applyProtection="0"/>
    <xf numFmtId="164" fontId="3" fillId="0" borderId="0"/>
    <xf numFmtId="0" fontId="47" fillId="0" borderId="58" applyNumberFormat="0" applyFill="0" applyAlignment="0" applyProtection="0"/>
    <xf numFmtId="0" fontId="45" fillId="0" borderId="0">
      <protection locked="0"/>
    </xf>
    <xf numFmtId="0" fontId="9" fillId="0" borderId="0"/>
    <xf numFmtId="0" fontId="61" fillId="0" borderId="58" applyNumberFormat="0" applyFill="0" applyAlignment="0" applyProtection="0"/>
    <xf numFmtId="0" fontId="61" fillId="0" borderId="58" applyNumberFormat="0" applyFill="0" applyAlignment="0" applyProtection="0"/>
    <xf numFmtId="0" fontId="47" fillId="0" borderId="64" applyNumberFormat="0" applyFill="0" applyAlignment="0" applyProtection="0"/>
    <xf numFmtId="0" fontId="47" fillId="0" borderId="60" applyNumberFormat="0" applyFill="0" applyAlignment="0" applyProtection="0"/>
    <xf numFmtId="0" fontId="47" fillId="0" borderId="64" applyNumberFormat="0" applyFill="0" applyAlignment="0" applyProtection="0"/>
    <xf numFmtId="0" fontId="61" fillId="0" borderId="64" applyNumberFormat="0" applyFill="0" applyAlignment="0" applyProtection="0"/>
    <xf numFmtId="0" fontId="1" fillId="0" borderId="0"/>
    <xf numFmtId="164" fontId="2" fillId="2" borderId="1" applyNumberFormat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3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4" fontId="3" fillId="3" borderId="2" applyNumberFormat="0" applyFont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164" fontId="3" fillId="0" borderId="0"/>
    <xf numFmtId="0" fontId="1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" fillId="0" borderId="0"/>
    <xf numFmtId="0" fontId="24" fillId="25" borderId="40" applyNumberFormat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44" fillId="53" borderId="27" applyNumberFormat="0" applyBorder="0">
      <alignment horizontal="left"/>
    </xf>
    <xf numFmtId="0" fontId="44" fillId="53" borderId="27" applyNumberFormat="0" applyBorder="0">
      <alignment horizontal="lef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25" borderId="40" applyNumberFormat="0" applyAlignment="0" applyProtection="0"/>
    <xf numFmtId="164" fontId="3" fillId="0" borderId="0"/>
    <xf numFmtId="9" fontId="1" fillId="0" borderId="0" applyFont="0" applyFill="0" applyBorder="0" applyAlignment="0" applyProtection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1" fillId="0" borderId="0"/>
    <xf numFmtId="0" fontId="1" fillId="0" borderId="0"/>
    <xf numFmtId="164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3" fillId="3" borderId="2" applyNumberFormat="0" applyFont="0" applyAlignment="0" applyProtection="0"/>
    <xf numFmtId="0" fontId="8" fillId="0" borderId="0"/>
    <xf numFmtId="0" fontId="8" fillId="0" borderId="0"/>
    <xf numFmtId="164" fontId="3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1" fillId="0" borderId="0"/>
    <xf numFmtId="0" fontId="1" fillId="0" borderId="0"/>
    <xf numFmtId="0" fontId="8" fillId="0" borderId="0"/>
    <xf numFmtId="164" fontId="2" fillId="2" borderId="1" applyNumberFormat="0" applyAlignment="0" applyProtection="0"/>
    <xf numFmtId="0" fontId="1" fillId="0" borderId="0"/>
    <xf numFmtId="0" fontId="47" fillId="0" borderId="60" applyNumberFormat="0" applyFill="0" applyAlignment="0" applyProtection="0"/>
    <xf numFmtId="0" fontId="24" fillId="25" borderId="40" applyNumberFormat="0" applyAlignment="0" applyProtection="0"/>
    <xf numFmtId="0" fontId="61" fillId="0" borderId="64" applyNumberFormat="0" applyFill="0" applyAlignment="0" applyProtection="0"/>
    <xf numFmtId="0" fontId="9" fillId="0" borderId="0"/>
    <xf numFmtId="168" fontId="3" fillId="0" borderId="0" applyFont="0" applyFill="0" applyBorder="0" applyAlignment="0" applyProtection="0"/>
    <xf numFmtId="164" fontId="3" fillId="0" borderId="0"/>
    <xf numFmtId="168" fontId="3" fillId="0" borderId="0" applyFont="0" applyFill="0" applyBorder="0" applyAlignment="0" applyProtection="0"/>
    <xf numFmtId="0" fontId="45" fillId="0" borderId="0">
      <protection locked="0"/>
    </xf>
    <xf numFmtId="0" fontId="24" fillId="25" borderId="40" applyNumberFormat="0" applyAlignment="0" applyProtection="0"/>
    <xf numFmtId="164" fontId="3" fillId="0" borderId="0"/>
    <xf numFmtId="168" fontId="3" fillId="0" borderId="0" applyFont="0" applyFill="0" applyBorder="0" applyAlignment="0" applyProtection="0"/>
    <xf numFmtId="0" fontId="61" fillId="0" borderId="100" applyNumberFormat="0" applyFill="0" applyAlignment="0" applyProtection="0"/>
    <xf numFmtId="0" fontId="62" fillId="0" borderId="91" applyNumberFormat="0" applyFill="0" applyAlignment="0" applyProtection="0"/>
    <xf numFmtId="0" fontId="47" fillId="0" borderId="96" applyNumberFormat="0" applyFill="0" applyAlignment="0" applyProtection="0"/>
    <xf numFmtId="0" fontId="61" fillId="0" borderId="96" applyNumberFormat="0" applyFill="0" applyAlignment="0" applyProtection="0"/>
    <xf numFmtId="0" fontId="47" fillId="0" borderId="90" applyNumberFormat="0" applyFill="0" applyAlignment="0" applyProtection="0"/>
    <xf numFmtId="0" fontId="61" fillId="0" borderId="96" applyNumberFormat="0" applyFill="0" applyAlignment="0" applyProtection="0"/>
    <xf numFmtId="0" fontId="24" fillId="25" borderId="40" applyNumberFormat="0" applyAlignment="0" applyProtection="0"/>
    <xf numFmtId="0" fontId="61" fillId="0" borderId="92" applyNumberFormat="0" applyFill="0" applyAlignment="0" applyProtection="0"/>
    <xf numFmtId="0" fontId="61" fillId="0" borderId="98" applyNumberFormat="0" applyFill="0" applyAlignment="0" applyProtection="0"/>
    <xf numFmtId="0" fontId="61" fillId="0" borderId="94" applyNumberFormat="0" applyFill="0" applyAlignment="0" applyProtection="0"/>
    <xf numFmtId="0" fontId="61" fillId="0" borderId="98" applyNumberFormat="0" applyFill="0" applyAlignment="0" applyProtection="0"/>
    <xf numFmtId="0" fontId="61" fillId="0" borderId="96" applyNumberFormat="0" applyFill="0" applyAlignment="0" applyProtection="0"/>
    <xf numFmtId="0" fontId="61" fillId="0" borderId="100" applyNumberFormat="0" applyFill="0" applyAlignment="0" applyProtection="0"/>
    <xf numFmtId="0" fontId="45" fillId="0" borderId="0">
      <protection locked="0"/>
    </xf>
    <xf numFmtId="0" fontId="45" fillId="0" borderId="0">
      <protection locked="0"/>
    </xf>
    <xf numFmtId="0" fontId="62" fillId="0" borderId="97" applyNumberFormat="0" applyFill="0" applyAlignment="0" applyProtection="0"/>
    <xf numFmtId="168" fontId="3" fillId="0" borderId="0" applyFont="0" applyFill="0" applyBorder="0" applyAlignment="0" applyProtection="0"/>
    <xf numFmtId="0" fontId="61" fillId="0" borderId="92" applyNumberFormat="0" applyFill="0" applyAlignment="0" applyProtection="0"/>
    <xf numFmtId="0" fontId="61" fillId="0" borderId="98" applyNumberFormat="0" applyFill="0" applyAlignment="0" applyProtection="0"/>
    <xf numFmtId="164" fontId="106" fillId="0" borderId="0"/>
    <xf numFmtId="0" fontId="61" fillId="0" borderId="92" applyNumberFormat="0" applyFill="0" applyAlignment="0" applyProtection="0"/>
    <xf numFmtId="0" fontId="61" fillId="0" borderId="90" applyNumberFormat="0" applyFill="0" applyAlignment="0" applyProtection="0"/>
    <xf numFmtId="0" fontId="45" fillId="0" borderId="0">
      <protection locked="0"/>
    </xf>
    <xf numFmtId="0" fontId="24" fillId="25" borderId="40" applyNumberFormat="0" applyAlignment="0" applyProtection="0"/>
    <xf numFmtId="164" fontId="106" fillId="0" borderId="0"/>
    <xf numFmtId="0" fontId="61" fillId="0" borderId="92" applyNumberFormat="0" applyFill="0" applyAlignment="0" applyProtection="0"/>
    <xf numFmtId="0" fontId="24" fillId="25" borderId="40" applyNumberFormat="0" applyAlignment="0" applyProtection="0"/>
    <xf numFmtId="0" fontId="61" fillId="0" borderId="92" applyNumberFormat="0" applyFill="0" applyAlignment="0" applyProtection="0"/>
    <xf numFmtId="0" fontId="24" fillId="25" borderId="40" applyNumberFormat="0" applyAlignment="0" applyProtection="0"/>
    <xf numFmtId="0" fontId="47" fillId="0" borderId="98" applyNumberFormat="0" applyFill="0" applyAlignment="0" applyProtection="0"/>
    <xf numFmtId="0" fontId="45" fillId="0" borderId="0">
      <protection locked="0"/>
    </xf>
    <xf numFmtId="0" fontId="61" fillId="0" borderId="96" applyNumberFormat="0" applyFill="0" applyAlignment="0" applyProtection="0"/>
    <xf numFmtId="0" fontId="61" fillId="0" borderId="90" applyNumberFormat="0" applyFill="0" applyAlignment="0" applyProtection="0"/>
    <xf numFmtId="0" fontId="62" fillId="0" borderId="99" applyNumberFormat="0" applyFill="0" applyAlignment="0" applyProtection="0"/>
    <xf numFmtId="0" fontId="61" fillId="0" borderId="96" applyNumberFormat="0" applyFill="0" applyAlignment="0" applyProtection="0"/>
    <xf numFmtId="0" fontId="45" fillId="0" borderId="0">
      <protection locked="0"/>
    </xf>
    <xf numFmtId="0" fontId="61" fillId="0" borderId="92" applyNumberFormat="0" applyFill="0" applyAlignment="0" applyProtection="0"/>
    <xf numFmtId="168" fontId="3" fillId="0" borderId="0" applyFont="0" applyFill="0" applyBorder="0" applyAlignment="0" applyProtection="0"/>
    <xf numFmtId="0" fontId="61" fillId="0" borderId="100" applyNumberFormat="0" applyFill="0" applyAlignment="0" applyProtection="0"/>
    <xf numFmtId="0" fontId="61" fillId="0" borderId="96" applyNumberFormat="0" applyFill="0" applyAlignment="0" applyProtection="0"/>
    <xf numFmtId="0" fontId="61" fillId="0" borderId="94" applyNumberFormat="0" applyFill="0" applyAlignment="0" applyProtection="0"/>
    <xf numFmtId="0" fontId="61" fillId="0" borderId="94" applyNumberFormat="0" applyFill="0" applyAlignment="0" applyProtection="0"/>
    <xf numFmtId="0" fontId="47" fillId="0" borderId="98" applyNumberFormat="0" applyFill="0" applyAlignment="0" applyProtection="0"/>
    <xf numFmtId="0" fontId="61" fillId="0" borderId="96" applyNumberFormat="0" applyFill="0" applyAlignment="0" applyProtection="0"/>
    <xf numFmtId="0" fontId="47" fillId="0" borderId="96" applyNumberFormat="0" applyFill="0" applyAlignment="0" applyProtection="0"/>
    <xf numFmtId="0" fontId="61" fillId="0" borderId="96" applyNumberFormat="0" applyFill="0" applyAlignment="0" applyProtection="0"/>
    <xf numFmtId="0" fontId="61" fillId="0" borderId="94" applyNumberFormat="0" applyFill="0" applyAlignment="0" applyProtection="0"/>
    <xf numFmtId="0" fontId="61" fillId="0" borderId="96" applyNumberFormat="0" applyFill="0" applyAlignment="0" applyProtection="0"/>
    <xf numFmtId="0" fontId="47" fillId="0" borderId="94" applyNumberFormat="0" applyFill="0" applyAlignment="0" applyProtection="0"/>
    <xf numFmtId="0" fontId="61" fillId="0" borderId="100" applyNumberFormat="0" applyFill="0" applyAlignment="0" applyProtection="0"/>
    <xf numFmtId="0" fontId="47" fillId="0" borderId="96" applyNumberFormat="0" applyFill="0" applyAlignment="0" applyProtection="0"/>
    <xf numFmtId="0" fontId="61" fillId="0" borderId="90" applyNumberFormat="0" applyFill="0" applyAlignment="0" applyProtection="0"/>
    <xf numFmtId="0" fontId="61" fillId="0" borderId="96" applyNumberFormat="0" applyFill="0" applyAlignment="0" applyProtection="0"/>
    <xf numFmtId="168" fontId="3" fillId="0" borderId="0" applyFont="0" applyFill="0" applyBorder="0" applyAlignment="0" applyProtection="0"/>
    <xf numFmtId="0" fontId="47" fillId="0" borderId="92" applyNumberFormat="0" applyFill="0" applyAlignment="0" applyProtection="0"/>
    <xf numFmtId="0" fontId="47" fillId="0" borderId="96" applyNumberFormat="0" applyFill="0" applyAlignment="0" applyProtection="0"/>
    <xf numFmtId="0" fontId="47" fillId="0" borderId="98" applyNumberFormat="0" applyFill="0" applyAlignment="0" applyProtection="0"/>
    <xf numFmtId="0" fontId="61" fillId="0" borderId="98" applyNumberFormat="0" applyFill="0" applyAlignment="0" applyProtection="0"/>
    <xf numFmtId="0" fontId="45" fillId="0" borderId="0">
      <protection locked="0"/>
    </xf>
    <xf numFmtId="0" fontId="61" fillId="0" borderId="90" applyNumberFormat="0" applyFill="0" applyAlignment="0" applyProtection="0"/>
    <xf numFmtId="0" fontId="61" fillId="0" borderId="98" applyNumberFormat="0" applyFill="0" applyAlignment="0" applyProtection="0"/>
    <xf numFmtId="0" fontId="47" fillId="0" borderId="98" applyNumberFormat="0" applyFill="0" applyAlignment="0" applyProtection="0"/>
    <xf numFmtId="0" fontId="45" fillId="0" borderId="0">
      <protection locked="0"/>
    </xf>
    <xf numFmtId="164" fontId="106" fillId="0" borderId="0"/>
    <xf numFmtId="0" fontId="47" fillId="0" borderId="92" applyNumberFormat="0" applyFill="0" applyAlignment="0" applyProtection="0"/>
    <xf numFmtId="0" fontId="61" fillId="0" borderId="96" applyNumberFormat="0" applyFill="0" applyAlignment="0" applyProtection="0"/>
    <xf numFmtId="0" fontId="61" fillId="0" borderId="98" applyNumberFormat="0" applyFill="0" applyAlignment="0" applyProtection="0"/>
    <xf numFmtId="0" fontId="47" fillId="0" borderId="94" applyNumberFormat="0" applyFill="0" applyAlignment="0" applyProtection="0"/>
    <xf numFmtId="0" fontId="61" fillId="0" borderId="96" applyNumberFormat="0" applyFill="0" applyAlignment="0" applyProtection="0"/>
    <xf numFmtId="0" fontId="47" fillId="0" borderId="90" applyNumberFormat="0" applyFill="0" applyAlignment="0" applyProtection="0"/>
    <xf numFmtId="0" fontId="61" fillId="0" borderId="96" applyNumberFormat="0" applyFill="0" applyAlignment="0" applyProtection="0"/>
    <xf numFmtId="0" fontId="61" fillId="0" borderId="96" applyNumberFormat="0" applyFill="0" applyAlignment="0" applyProtection="0"/>
    <xf numFmtId="0" fontId="61" fillId="0" borderId="94" applyNumberFormat="0" applyFill="0" applyAlignment="0" applyProtection="0"/>
    <xf numFmtId="0" fontId="47" fillId="0" borderId="96" applyNumberFormat="0" applyFill="0" applyAlignment="0" applyProtection="0"/>
    <xf numFmtId="0" fontId="47" fillId="0" borderId="100" applyNumberFormat="0" applyFill="0" applyAlignment="0" applyProtection="0"/>
    <xf numFmtId="168" fontId="3" fillId="0" borderId="0" applyFont="0" applyFill="0" applyBorder="0" applyAlignment="0" applyProtection="0"/>
    <xf numFmtId="0" fontId="47" fillId="0" borderId="96" applyNumberFormat="0" applyFill="0" applyAlignment="0" applyProtection="0"/>
    <xf numFmtId="164" fontId="106" fillId="0" borderId="0"/>
    <xf numFmtId="164" fontId="106" fillId="0" borderId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168" fontId="3" fillId="0" borderId="0" applyFont="0" applyFill="0" applyBorder="0" applyAlignment="0" applyProtection="0"/>
    <xf numFmtId="0" fontId="61" fillId="0" borderId="100" applyNumberFormat="0" applyFill="0" applyAlignment="0" applyProtection="0"/>
    <xf numFmtId="0" fontId="47" fillId="0" borderId="92" applyNumberFormat="0" applyFill="0" applyAlignment="0" applyProtection="0"/>
    <xf numFmtId="164" fontId="106" fillId="0" borderId="0"/>
    <xf numFmtId="0" fontId="61" fillId="0" borderId="90" applyNumberFormat="0" applyFill="0" applyAlignment="0" applyProtection="0"/>
    <xf numFmtId="0" fontId="61" fillId="0" borderId="90" applyNumberFormat="0" applyFill="0" applyAlignment="0" applyProtection="0"/>
    <xf numFmtId="0" fontId="24" fillId="25" borderId="40" applyNumberFormat="0" applyAlignment="0" applyProtection="0"/>
    <xf numFmtId="0" fontId="45" fillId="0" borderId="0">
      <protection locked="0"/>
    </xf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61" fillId="0" borderId="98" applyNumberFormat="0" applyFill="0" applyAlignment="0" applyProtection="0"/>
    <xf numFmtId="0" fontId="47" fillId="0" borderId="90" applyNumberFormat="0" applyFill="0" applyAlignment="0" applyProtection="0"/>
    <xf numFmtId="164" fontId="106" fillId="0" borderId="0"/>
    <xf numFmtId="0" fontId="61" fillId="0" borderId="96" applyNumberFormat="0" applyFill="0" applyAlignment="0" applyProtection="0"/>
    <xf numFmtId="0" fontId="61" fillId="0" borderId="90" applyNumberFormat="0" applyFill="0" applyAlignment="0" applyProtection="0"/>
    <xf numFmtId="0" fontId="61" fillId="0" borderId="100" applyNumberFormat="0" applyFill="0" applyAlignment="0" applyProtection="0"/>
    <xf numFmtId="0" fontId="47" fillId="0" borderId="94" applyNumberFormat="0" applyFill="0" applyAlignment="0" applyProtection="0"/>
    <xf numFmtId="0" fontId="61" fillId="0" borderId="98" applyNumberFormat="0" applyFill="0" applyAlignment="0" applyProtection="0"/>
    <xf numFmtId="0" fontId="62" fillId="0" borderId="95" applyNumberFormat="0" applyFill="0" applyAlignment="0" applyProtection="0"/>
    <xf numFmtId="0" fontId="24" fillId="25" borderId="40" applyNumberFormat="0" applyAlignment="0" applyProtection="0"/>
    <xf numFmtId="164" fontId="106" fillId="0" borderId="0"/>
    <xf numFmtId="0" fontId="61" fillId="0" borderId="100" applyNumberFormat="0" applyFill="0" applyAlignment="0" applyProtection="0"/>
    <xf numFmtId="0" fontId="47" fillId="0" borderId="96" applyNumberFormat="0" applyFill="0" applyAlignment="0" applyProtection="0"/>
    <xf numFmtId="0" fontId="47" fillId="0" borderId="90" applyNumberFormat="0" applyFill="0" applyAlignment="0" applyProtection="0"/>
    <xf numFmtId="0" fontId="47" fillId="0" borderId="100" applyNumberFormat="0" applyFill="0" applyAlignment="0" applyProtection="0"/>
    <xf numFmtId="0" fontId="61" fillId="0" borderId="94" applyNumberFormat="0" applyFill="0" applyAlignment="0" applyProtection="0"/>
    <xf numFmtId="0" fontId="47" fillId="0" borderId="90" applyNumberFormat="0" applyFill="0" applyAlignment="0" applyProtection="0"/>
    <xf numFmtId="0" fontId="45" fillId="0" borderId="0">
      <protection locked="0"/>
    </xf>
    <xf numFmtId="0" fontId="61" fillId="0" borderId="90" applyNumberFormat="0" applyFill="0" applyAlignment="0" applyProtection="0"/>
    <xf numFmtId="0" fontId="61" fillId="0" borderId="92" applyNumberFormat="0" applyFill="0" applyAlignment="0" applyProtection="0"/>
    <xf numFmtId="0" fontId="24" fillId="25" borderId="40" applyNumberFormat="0" applyAlignment="0" applyProtection="0"/>
    <xf numFmtId="0" fontId="61" fillId="0" borderId="90" applyNumberFormat="0" applyFill="0" applyAlignment="0" applyProtection="0"/>
    <xf numFmtId="0" fontId="45" fillId="0" borderId="0">
      <protection locked="0"/>
    </xf>
    <xf numFmtId="0" fontId="24" fillId="25" borderId="40" applyNumberFormat="0" applyAlignment="0" applyProtection="0"/>
    <xf numFmtId="0" fontId="24" fillId="25" borderId="40" applyNumberFormat="0" applyAlignment="0" applyProtection="0"/>
    <xf numFmtId="0" fontId="45" fillId="0" borderId="0">
      <protection locked="0"/>
    </xf>
    <xf numFmtId="0" fontId="24" fillId="25" borderId="40" applyNumberFormat="0" applyAlignment="0" applyProtection="0"/>
    <xf numFmtId="0" fontId="24" fillId="25" borderId="40" applyNumberFormat="0" applyAlignment="0" applyProtection="0"/>
    <xf numFmtId="168" fontId="3" fillId="0" borderId="0" applyFont="0" applyFill="0" applyBorder="0" applyAlignment="0" applyProtection="0"/>
    <xf numFmtId="164" fontId="106" fillId="0" borderId="0"/>
    <xf numFmtId="0" fontId="61" fillId="0" borderId="92" applyNumberFormat="0" applyFill="0" applyAlignment="0" applyProtection="0"/>
    <xf numFmtId="0" fontId="62" fillId="0" borderId="93" applyNumberFormat="0" applyFill="0" applyAlignment="0" applyProtection="0"/>
    <xf numFmtId="0" fontId="61" fillId="0" borderId="100" applyNumberFormat="0" applyFill="0" applyAlignment="0" applyProtection="0"/>
    <xf numFmtId="0" fontId="47" fillId="0" borderId="88" applyNumberFormat="0" applyFill="0" applyAlignment="0" applyProtection="0"/>
    <xf numFmtId="0" fontId="47" fillId="0" borderId="88" applyNumberFormat="0" applyFill="0" applyAlignment="0" applyProtection="0"/>
    <xf numFmtId="0" fontId="61" fillId="0" borderId="88" applyNumberFormat="0" applyFill="0" applyAlignment="0" applyProtection="0"/>
    <xf numFmtId="0" fontId="47" fillId="0" borderId="88" applyNumberFormat="0" applyFill="0" applyAlignment="0" applyProtection="0"/>
    <xf numFmtId="0" fontId="61" fillId="0" borderId="88" applyNumberFormat="0" applyFill="0" applyAlignment="0" applyProtection="0"/>
    <xf numFmtId="0" fontId="61" fillId="0" borderId="88" applyNumberFormat="0" applyFill="0" applyAlignment="0" applyProtection="0"/>
    <xf numFmtId="0" fontId="61" fillId="0" borderId="88" applyNumberFormat="0" applyFill="0" applyAlignment="0" applyProtection="0"/>
    <xf numFmtId="0" fontId="61" fillId="0" borderId="88" applyNumberFormat="0" applyFill="0" applyAlignment="0" applyProtection="0"/>
    <xf numFmtId="0" fontId="61" fillId="0" borderId="88" applyNumberFormat="0" applyFill="0" applyAlignment="0" applyProtection="0"/>
    <xf numFmtId="0" fontId="61" fillId="0" borderId="88" applyNumberFormat="0" applyFill="0" applyAlignment="0" applyProtection="0"/>
    <xf numFmtId="0" fontId="61" fillId="0" borderId="88" applyNumberFormat="0" applyFill="0" applyAlignment="0" applyProtection="0"/>
    <xf numFmtId="0" fontId="47" fillId="0" borderId="88" applyNumberFormat="0" applyFill="0" applyAlignment="0" applyProtection="0"/>
    <xf numFmtId="0" fontId="47" fillId="0" borderId="92" applyNumberFormat="0" applyFill="0" applyAlignment="0" applyProtection="0"/>
    <xf numFmtId="0" fontId="62" fillId="0" borderId="89" applyNumberFormat="0" applyFill="0" applyAlignment="0" applyProtection="0"/>
    <xf numFmtId="0" fontId="61" fillId="0" borderId="90" applyNumberFormat="0" applyFill="0" applyAlignment="0" applyProtection="0"/>
    <xf numFmtId="0" fontId="61" fillId="0" borderId="90" applyNumberFormat="0" applyFill="0" applyAlignment="0" applyProtection="0"/>
    <xf numFmtId="0" fontId="62" fillId="0" borderId="91" applyNumberFormat="0" applyFill="0" applyAlignment="0" applyProtection="0"/>
    <xf numFmtId="0" fontId="61" fillId="0" borderId="90" applyNumberFormat="0" applyFill="0" applyAlignment="0" applyProtection="0"/>
    <xf numFmtId="0" fontId="61" fillId="0" borderId="90" applyNumberFormat="0" applyFill="0" applyAlignment="0" applyProtection="0"/>
    <xf numFmtId="0" fontId="62" fillId="0" borderId="101" applyNumberFormat="0" applyFill="0" applyAlignment="0" applyProtection="0"/>
    <xf numFmtId="0" fontId="47" fillId="0" borderId="90" applyNumberFormat="0" applyFill="0" applyAlignment="0" applyProtection="0"/>
    <xf numFmtId="0" fontId="61" fillId="0" borderId="90" applyNumberFormat="0" applyFill="0" applyAlignment="0" applyProtection="0"/>
    <xf numFmtId="0" fontId="61" fillId="0" borderId="96" applyNumberFormat="0" applyFill="0" applyAlignment="0" applyProtection="0"/>
    <xf numFmtId="168" fontId="3" fillId="0" borderId="0" applyFont="0" applyFill="0" applyBorder="0" applyAlignment="0" applyProtection="0"/>
    <xf numFmtId="0" fontId="47" fillId="0" borderId="96" applyNumberFormat="0" applyFill="0" applyAlignment="0" applyProtection="0"/>
    <xf numFmtId="0" fontId="61" fillId="0" borderId="94" applyNumberFormat="0" applyFill="0" applyAlignment="0" applyProtection="0"/>
    <xf numFmtId="0" fontId="61" fillId="0" borderId="90" applyNumberFormat="0" applyFill="0" applyAlignment="0" applyProtection="0"/>
    <xf numFmtId="0" fontId="61" fillId="0" borderId="94" applyNumberFormat="0" applyFill="0" applyAlignment="0" applyProtection="0"/>
    <xf numFmtId="0" fontId="47" fillId="0" borderId="94" applyNumberFormat="0" applyFill="0" applyAlignment="0" applyProtection="0"/>
    <xf numFmtId="0" fontId="47" fillId="0" borderId="90" applyNumberFormat="0" applyFill="0" applyAlignment="0" applyProtection="0"/>
    <xf numFmtId="0" fontId="61" fillId="0" borderId="90" applyNumberFormat="0" applyFill="0" applyAlignment="0" applyProtection="0"/>
    <xf numFmtId="164" fontId="106" fillId="0" borderId="0"/>
    <xf numFmtId="0" fontId="62" fillId="0" borderId="97" applyNumberFormat="0" applyFill="0" applyAlignment="0" applyProtection="0"/>
    <xf numFmtId="168" fontId="3" fillId="0" borderId="0" applyFont="0" applyFill="0" applyBorder="0" applyAlignment="0" applyProtection="0"/>
    <xf numFmtId="0" fontId="47" fillId="0" borderId="90" applyNumberFormat="0" applyFill="0" applyAlignment="0" applyProtection="0"/>
    <xf numFmtId="0" fontId="1" fillId="0" borderId="0"/>
    <xf numFmtId="164" fontId="2" fillId="2" borderId="1" applyNumberFormat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3" fillId="0" borderId="0"/>
    <xf numFmtId="0" fontId="8" fillId="0" borderId="0"/>
    <xf numFmtId="0" fontId="8" fillId="0" borderId="0"/>
    <xf numFmtId="164" fontId="3" fillId="3" borderId="2" applyNumberFormat="0" applyFont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164" fontId="3" fillId="0" borderId="0"/>
    <xf numFmtId="0" fontId="1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" fillId="0" borderId="0"/>
    <xf numFmtId="0" fontId="24" fillId="25" borderId="40" applyNumberFormat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100" applyNumberFormat="0" applyFill="0" applyAlignment="0" applyProtection="0"/>
    <xf numFmtId="0" fontId="62" fillId="0" borderId="97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2" fillId="0" borderId="97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2" fillId="0" borderId="97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2" fillId="0" borderId="97" applyNumberFormat="0" applyFill="0" applyAlignment="0" applyProtection="0"/>
    <xf numFmtId="0" fontId="62" fillId="0" borderId="97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1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2" fillId="0" borderId="97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164" fontId="3" fillId="0" borderId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164" fontId="3" fillId="0" borderId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2" fillId="0" borderId="97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164" fontId="3" fillId="0" borderId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164" fontId="3" fillId="0" borderId="0"/>
    <xf numFmtId="164" fontId="3" fillId="0" borderId="0"/>
    <xf numFmtId="0" fontId="47" fillId="0" borderId="100" applyNumberFormat="0" applyFill="0" applyAlignment="0" applyProtection="0"/>
    <xf numFmtId="164" fontId="3" fillId="0" borderId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164" fontId="3" fillId="0" borderId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2" fillId="0" borderId="97" applyNumberFormat="0" applyFill="0" applyAlignment="0" applyProtection="0"/>
    <xf numFmtId="164" fontId="3" fillId="0" borderId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2" fillId="0" borderId="97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62" fillId="0" borderId="97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2" fillId="0" borderId="97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2" fillId="0" borderId="97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61" fillId="0" borderId="100" applyNumberFormat="0" applyFill="0" applyAlignment="0" applyProtection="0"/>
    <xf numFmtId="0" fontId="47" fillId="0" borderId="100" applyNumberFormat="0" applyFill="0" applyAlignment="0" applyProtection="0"/>
    <xf numFmtId="0" fontId="47" fillId="0" borderId="100" applyNumberFormat="0" applyFill="0" applyAlignment="0" applyProtection="0"/>
    <xf numFmtId="0" fontId="61" fillId="0" borderId="100" applyNumberFormat="0" applyFill="0" applyAlignment="0" applyProtection="0"/>
    <xf numFmtId="164" fontId="3" fillId="0" borderId="0"/>
    <xf numFmtId="0" fontId="47" fillId="0" borderId="100" applyNumberFormat="0" applyFill="0" applyAlignment="0" applyProtection="0"/>
  </cellStyleXfs>
  <cellXfs count="507">
    <xf numFmtId="0" fontId="0" fillId="0" borderId="0" xfId="0"/>
    <xf numFmtId="164" fontId="4" fillId="4" borderId="0" xfId="1" applyFont="1" applyFill="1"/>
    <xf numFmtId="0" fontId="10" fillId="8" borderId="12" xfId="0" applyFont="1" applyFill="1" applyBorder="1" applyAlignment="1">
      <alignment horizontal="right"/>
    </xf>
    <xf numFmtId="0" fontId="11" fillId="9" borderId="12" xfId="0" applyFont="1" applyFill="1" applyBorder="1" applyAlignment="1">
      <alignment horizontal="center"/>
    </xf>
    <xf numFmtId="0" fontId="10" fillId="8" borderId="13" xfId="0" applyFont="1" applyFill="1" applyBorder="1" applyAlignment="1">
      <alignment horizontal="right"/>
    </xf>
    <xf numFmtId="0" fontId="12" fillId="9" borderId="13" xfId="0" applyFont="1" applyFill="1" applyBorder="1" applyAlignment="1">
      <alignment horizontal="center"/>
    </xf>
    <xf numFmtId="0" fontId="11" fillId="10" borderId="12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right"/>
    </xf>
    <xf numFmtId="0" fontId="11" fillId="10" borderId="14" xfId="0" applyFont="1" applyFill="1" applyBorder="1" applyAlignment="1">
      <alignment horizontal="center"/>
    </xf>
    <xf numFmtId="0" fontId="11" fillId="10" borderId="13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right"/>
    </xf>
    <xf numFmtId="0" fontId="11" fillId="10" borderId="0" xfId="0" applyFont="1" applyFill="1" applyBorder="1" applyAlignment="1">
      <alignment horizontal="center"/>
    </xf>
    <xf numFmtId="0" fontId="12" fillId="9" borderId="16" xfId="0" applyFont="1" applyFill="1" applyBorder="1" applyAlignment="1">
      <alignment horizontal="center"/>
    </xf>
    <xf numFmtId="0" fontId="11" fillId="10" borderId="16" xfId="0" applyFont="1" applyFill="1" applyBorder="1" applyAlignment="1">
      <alignment horizontal="right"/>
    </xf>
    <xf numFmtId="169" fontId="11" fillId="10" borderId="16" xfId="0" applyNumberFormat="1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11" fillId="10" borderId="0" xfId="0" applyFont="1" applyFill="1" applyBorder="1" applyAlignment="1">
      <alignment horizontal="right"/>
    </xf>
    <xf numFmtId="169" fontId="11" fillId="10" borderId="0" xfId="0" applyNumberFormat="1" applyFont="1" applyFill="1" applyBorder="1" applyAlignment="1">
      <alignment horizontal="center"/>
    </xf>
    <xf numFmtId="0" fontId="11" fillId="10" borderId="18" xfId="0" applyFont="1" applyFill="1" applyBorder="1" applyAlignment="1">
      <alignment horizontal="center"/>
    </xf>
    <xf numFmtId="0" fontId="11" fillId="0" borderId="0" xfId="0" applyFont="1" applyBorder="1" applyAlignment="1">
      <alignment horizontal="right"/>
    </xf>
    <xf numFmtId="0" fontId="11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1" fillId="0" borderId="0" xfId="0" applyFont="1"/>
    <xf numFmtId="3" fontId="11" fillId="10" borderId="12" xfId="0" applyNumberFormat="1" applyFont="1" applyFill="1" applyBorder="1" applyAlignment="1">
      <alignment horizontal="center"/>
    </xf>
    <xf numFmtId="0" fontId="11" fillId="0" borderId="17" xfId="0" applyFont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11" fillId="0" borderId="22" xfId="0" applyFont="1" applyBorder="1" applyAlignment="1">
      <alignment horizontal="right"/>
    </xf>
    <xf numFmtId="3" fontId="11" fillId="10" borderId="14" xfId="0" applyNumberFormat="1" applyFont="1" applyFill="1" applyBorder="1" applyAlignment="1">
      <alignment horizontal="center"/>
    </xf>
    <xf numFmtId="15" fontId="7" fillId="7" borderId="11" xfId="1" applyNumberFormat="1" applyFont="1" applyFill="1" applyBorder="1" applyAlignment="1">
      <alignment horizontal="center" vertical="center"/>
    </xf>
    <xf numFmtId="15" fontId="7" fillId="7" borderId="10" xfId="1" applyNumberFormat="1" applyFont="1" applyFill="1" applyBorder="1" applyAlignment="1">
      <alignment horizontal="center" vertical="center"/>
    </xf>
    <xf numFmtId="170" fontId="0" fillId="0" borderId="0" xfId="0" applyNumberFormat="1"/>
    <xf numFmtId="0" fontId="11" fillId="10" borderId="15" xfId="0" applyFont="1" applyFill="1" applyBorder="1" applyAlignment="1">
      <alignment horizontal="center"/>
    </xf>
    <xf numFmtId="0" fontId="11" fillId="10" borderId="18" xfId="0" applyFont="1" applyFill="1" applyBorder="1" applyAlignment="1">
      <alignment horizontal="right"/>
    </xf>
    <xf numFmtId="169" fontId="11" fillId="10" borderId="18" xfId="0" applyNumberFormat="1" applyFont="1" applyFill="1" applyBorder="1" applyAlignment="1">
      <alignment horizontal="center"/>
    </xf>
    <xf numFmtId="0" fontId="11" fillId="10" borderId="24" xfId="0" applyFont="1" applyFill="1" applyBorder="1" applyAlignment="1">
      <alignment horizontal="center"/>
    </xf>
    <xf numFmtId="0" fontId="0" fillId="0" borderId="25" xfId="0" applyBorder="1"/>
    <xf numFmtId="0" fontId="11" fillId="0" borderId="27" xfId="0" applyFont="1" applyBorder="1"/>
    <xf numFmtId="0" fontId="10" fillId="8" borderId="16" xfId="0" applyFont="1" applyFill="1" applyBorder="1" applyAlignment="1">
      <alignment horizontal="right"/>
    </xf>
    <xf numFmtId="0" fontId="10" fillId="8" borderId="28" xfId="0" applyFont="1" applyFill="1" applyBorder="1" applyAlignment="1">
      <alignment horizontal="right"/>
    </xf>
    <xf numFmtId="0" fontId="11" fillId="9" borderId="27" xfId="0" applyFont="1" applyFill="1" applyBorder="1" applyAlignment="1">
      <alignment horizontal="right"/>
    </xf>
    <xf numFmtId="0" fontId="11" fillId="10" borderId="28" xfId="0" applyFont="1" applyFill="1" applyBorder="1" applyAlignment="1">
      <alignment horizontal="center"/>
    </xf>
    <xf numFmtId="0" fontId="11" fillId="9" borderId="29" xfId="0" applyFont="1" applyFill="1" applyBorder="1" applyAlignment="1">
      <alignment horizontal="right"/>
    </xf>
    <xf numFmtId="0" fontId="11" fillId="10" borderId="30" xfId="0" applyFont="1" applyFill="1" applyBorder="1" applyAlignment="1">
      <alignment horizontal="center"/>
    </xf>
    <xf numFmtId="0" fontId="0" fillId="0" borderId="30" xfId="0" applyBorder="1"/>
    <xf numFmtId="0" fontId="11" fillId="9" borderId="31" xfId="0" applyFont="1" applyFill="1" applyBorder="1" applyAlignment="1">
      <alignment horizontal="right"/>
    </xf>
    <xf numFmtId="0" fontId="12" fillId="9" borderId="23" xfId="0" applyFont="1" applyFill="1" applyBorder="1" applyAlignment="1">
      <alignment horizontal="center"/>
    </xf>
    <xf numFmtId="0" fontId="11" fillId="10" borderId="23" xfId="0" applyFont="1" applyFill="1" applyBorder="1" applyAlignment="1">
      <alignment horizontal="right"/>
    </xf>
    <xf numFmtId="169" fontId="11" fillId="10" borderId="23" xfId="0" applyNumberFormat="1" applyFont="1" applyFill="1" applyBorder="1" applyAlignment="1">
      <alignment horizontal="center"/>
    </xf>
    <xf numFmtId="0" fontId="11" fillId="0" borderId="23" xfId="0" applyFont="1" applyBorder="1" applyAlignment="1">
      <alignment horizontal="right"/>
    </xf>
    <xf numFmtId="0" fontId="0" fillId="0" borderId="32" xfId="0" applyBorder="1"/>
    <xf numFmtId="0" fontId="11" fillId="10" borderId="32" xfId="0" applyFont="1" applyFill="1" applyBorder="1" applyAlignment="1">
      <alignment horizontal="center"/>
    </xf>
    <xf numFmtId="0" fontId="0" fillId="0" borderId="12" xfId="0" applyBorder="1"/>
    <xf numFmtId="0" fontId="0" fillId="0" borderId="33" xfId="0" applyBorder="1"/>
    <xf numFmtId="0" fontId="0" fillId="0" borderId="34" xfId="0" applyBorder="1"/>
    <xf numFmtId="0" fontId="0" fillId="0" borderId="35" xfId="0" applyFill="1" applyBorder="1"/>
    <xf numFmtId="0" fontId="0" fillId="0" borderId="35" xfId="0" applyBorder="1"/>
    <xf numFmtId="0" fontId="16" fillId="0" borderId="33" xfId="0" applyFont="1" applyBorder="1"/>
    <xf numFmtId="14" fontId="0" fillId="0" borderId="0" xfId="0" applyNumberFormat="1" applyAlignment="1">
      <alignment horizontal="center"/>
    </xf>
    <xf numFmtId="171" fontId="0" fillId="0" borderId="16" xfId="163" applyNumberFormat="1" applyFon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0" fontId="0" fillId="0" borderId="38" xfId="0" applyBorder="1"/>
    <xf numFmtId="0" fontId="16" fillId="0" borderId="18" xfId="0" applyFont="1" applyBorder="1"/>
    <xf numFmtId="173" fontId="0" fillId="0" borderId="0" xfId="0" applyNumberFormat="1" applyBorder="1" applyAlignment="1">
      <alignment horizontal="center"/>
    </xf>
    <xf numFmtId="0" fontId="16" fillId="0" borderId="34" xfId="0" applyFont="1" applyBorder="1"/>
    <xf numFmtId="0" fontId="16" fillId="0" borderId="24" xfId="0" applyFont="1" applyBorder="1"/>
    <xf numFmtId="171" fontId="0" fillId="0" borderId="0" xfId="163" applyNumberFormat="1" applyFont="1" applyBorder="1" applyAlignment="1">
      <alignment horizontal="center"/>
    </xf>
    <xf numFmtId="164" fontId="15" fillId="11" borderId="26" xfId="74" applyFont="1" applyFill="1" applyBorder="1" applyAlignment="1">
      <alignment horizontal="center" vertical="center"/>
    </xf>
    <xf numFmtId="0" fontId="14" fillId="12" borderId="26" xfId="168" applyFont="1" applyFill="1" applyBorder="1" applyAlignment="1">
      <alignment horizontal="center"/>
    </xf>
    <xf numFmtId="0" fontId="14" fillId="12" borderId="26" xfId="170" applyFont="1" applyFill="1" applyBorder="1" applyAlignment="1">
      <alignment horizontal="center"/>
    </xf>
    <xf numFmtId="164" fontId="3" fillId="12" borderId="26" xfId="74" applyFill="1" applyBorder="1" applyAlignment="1">
      <alignment horizontal="center"/>
    </xf>
    <xf numFmtId="0" fontId="16" fillId="0" borderId="35" xfId="0" applyFont="1" applyBorder="1"/>
    <xf numFmtId="172" fontId="0" fillId="0" borderId="16" xfId="0" applyNumberFormat="1" applyBorder="1" applyAlignment="1">
      <alignment horizontal="center"/>
    </xf>
    <xf numFmtId="173" fontId="0" fillId="0" borderId="16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4" fontId="0" fillId="0" borderId="29" xfId="0" applyNumberFormat="1" applyBorder="1" applyAlignment="1">
      <alignment horizontal="center"/>
    </xf>
    <xf numFmtId="171" fontId="0" fillId="0" borderId="28" xfId="0" applyNumberFormat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0" fontId="16" fillId="0" borderId="15" xfId="0" applyFont="1" applyBorder="1"/>
    <xf numFmtId="170" fontId="11" fillId="9" borderId="27" xfId="0" applyNumberFormat="1" applyFont="1" applyFill="1" applyBorder="1" applyAlignment="1">
      <alignment horizontal="right"/>
    </xf>
    <xf numFmtId="172" fontId="0" fillId="0" borderId="0" xfId="0" applyNumberFormat="1" applyAlignment="1">
      <alignment horizontal="center"/>
    </xf>
    <xf numFmtId="172" fontId="0" fillId="0" borderId="23" xfId="0" applyNumberFormat="1" applyBorder="1" applyAlignment="1">
      <alignment horizontal="center"/>
    </xf>
    <xf numFmtId="173" fontId="0" fillId="0" borderId="2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14" fontId="0" fillId="0" borderId="31" xfId="0" applyNumberFormat="1" applyBorder="1" applyAlignment="1">
      <alignment horizontal="center"/>
    </xf>
    <xf numFmtId="170" fontId="11" fillId="9" borderId="29" xfId="0" applyNumberFormat="1" applyFont="1" applyFill="1" applyBorder="1" applyAlignment="1">
      <alignment horizontal="right"/>
    </xf>
    <xf numFmtId="171" fontId="0" fillId="0" borderId="23" xfId="163" applyNumberFormat="1" applyFont="1" applyBorder="1" applyAlignment="1">
      <alignment horizontal="center"/>
    </xf>
    <xf numFmtId="0" fontId="0" fillId="0" borderId="0" xfId="0"/>
    <xf numFmtId="0" fontId="11" fillId="0" borderId="27" xfId="0" applyFont="1" applyBorder="1"/>
    <xf numFmtId="0" fontId="0" fillId="0" borderId="36" xfId="0" applyBorder="1"/>
    <xf numFmtId="0" fontId="0" fillId="0" borderId="30" xfId="0" applyBorder="1"/>
    <xf numFmtId="171" fontId="0" fillId="0" borderId="0" xfId="163" applyNumberFormat="1" applyFont="1" applyAlignment="1">
      <alignment horizontal="center"/>
    </xf>
    <xf numFmtId="14" fontId="0" fillId="0" borderId="0" xfId="0" applyNumberFormat="1"/>
    <xf numFmtId="0" fontId="0" fillId="0" borderId="37" xfId="0" applyBorder="1"/>
    <xf numFmtId="0" fontId="11" fillId="10" borderId="25" xfId="0" applyFont="1" applyFill="1" applyBorder="1" applyAlignment="1">
      <alignment horizontal="center"/>
    </xf>
    <xf numFmtId="0" fontId="0" fillId="0" borderId="25" xfId="0" applyFill="1" applyBorder="1"/>
    <xf numFmtId="4" fontId="10" fillId="10" borderId="16" xfId="171" applyNumberFormat="1" applyFont="1" applyFill="1" applyBorder="1" applyAlignment="1">
      <alignment horizontal="right"/>
    </xf>
    <xf numFmtId="4" fontId="10" fillId="10" borderId="16" xfId="0" applyNumberFormat="1" applyFont="1" applyFill="1" applyBorder="1" applyAlignment="1">
      <alignment horizontal="right"/>
    </xf>
    <xf numFmtId="4" fontId="10" fillId="10" borderId="0" xfId="171" applyNumberFormat="1" applyFont="1" applyFill="1" applyBorder="1" applyAlignment="1">
      <alignment horizontal="right"/>
    </xf>
    <xf numFmtId="4" fontId="10" fillId="10" borderId="0" xfId="0" applyNumberFormat="1" applyFont="1" applyFill="1" applyBorder="1" applyAlignment="1">
      <alignment horizontal="right"/>
    </xf>
    <xf numFmtId="0" fontId="10" fillId="8" borderId="16" xfId="0" applyFont="1" applyFill="1" applyBorder="1" applyAlignment="1">
      <alignment horizontal="center"/>
    </xf>
    <xf numFmtId="171" fontId="17" fillId="10" borderId="16" xfId="0" applyNumberFormat="1" applyFont="1" applyFill="1" applyBorder="1" applyAlignment="1">
      <alignment horizontal="center"/>
    </xf>
    <xf numFmtId="171" fontId="17" fillId="10" borderId="0" xfId="0" applyNumberFormat="1" applyFont="1" applyFill="1" applyBorder="1" applyAlignment="1">
      <alignment horizontal="center"/>
    </xf>
    <xf numFmtId="0" fontId="18" fillId="10" borderId="0" xfId="0" applyFont="1" applyFill="1" applyBorder="1" applyAlignment="1">
      <alignment horizontal="right"/>
    </xf>
    <xf numFmtId="14" fontId="0" fillId="0" borderId="37" xfId="0" applyNumberFormat="1" applyBorder="1"/>
    <xf numFmtId="165" fontId="11" fillId="0" borderId="30" xfId="0" applyNumberFormat="1" applyFont="1" applyBorder="1" applyAlignment="1">
      <alignment horizontal="center"/>
    </xf>
    <xf numFmtId="43" fontId="0" fillId="0" borderId="32" xfId="171" applyFont="1" applyBorder="1"/>
    <xf numFmtId="0" fontId="0" fillId="0" borderId="31" xfId="0" applyFill="1" applyBorder="1"/>
    <xf numFmtId="0" fontId="11" fillId="0" borderId="29" xfId="0" applyFont="1" applyBorder="1" applyAlignment="1">
      <alignment horizontal="right"/>
    </xf>
    <xf numFmtId="0" fontId="11" fillId="0" borderId="37" xfId="0" applyFont="1" applyBorder="1" applyAlignment="1">
      <alignment horizontal="center"/>
    </xf>
    <xf numFmtId="0" fontId="11" fillId="0" borderId="32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1" fillId="0" borderId="31" xfId="0" applyFont="1" applyBorder="1" applyAlignment="1">
      <alignment horizontal="right"/>
    </xf>
    <xf numFmtId="14" fontId="11" fillId="0" borderId="29" xfId="0" applyNumberFormat="1" applyFont="1" applyBorder="1" applyAlignment="1">
      <alignment horizontal="center"/>
    </xf>
    <xf numFmtId="0" fontId="0" fillId="0" borderId="0" xfId="0"/>
    <xf numFmtId="0" fontId="0" fillId="0" borderId="36" xfId="0" applyBorder="1"/>
    <xf numFmtId="43" fontId="0" fillId="0" borderId="0" xfId="171" applyFont="1"/>
    <xf numFmtId="0" fontId="16" fillId="0" borderId="27" xfId="0" applyFont="1" applyBorder="1"/>
    <xf numFmtId="0" fontId="16" fillId="0" borderId="28" xfId="0" applyFont="1" applyBorder="1"/>
    <xf numFmtId="0" fontId="16" fillId="0" borderId="29" xfId="0" applyFont="1" applyBorder="1"/>
    <xf numFmtId="0" fontId="16" fillId="0" borderId="30" xfId="0" applyFont="1" applyBorder="1"/>
    <xf numFmtId="0" fontId="16" fillId="0" borderId="31" xfId="0" applyFont="1" applyBorder="1"/>
    <xf numFmtId="0" fontId="16" fillId="0" borderId="32" xfId="0" applyFont="1" applyBorder="1"/>
    <xf numFmtId="0" fontId="16" fillId="0" borderId="36" xfId="0" applyFont="1" applyFill="1" applyBorder="1"/>
    <xf numFmtId="0" fontId="19" fillId="0" borderId="37" xfId="0" applyFont="1" applyBorder="1"/>
    <xf numFmtId="0" fontId="0" fillId="0" borderId="26" xfId="0" applyBorder="1"/>
    <xf numFmtId="0" fontId="0" fillId="0" borderId="37" xfId="0" applyBorder="1"/>
    <xf numFmtId="43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27" xfId="0" applyFill="1" applyBorder="1"/>
    <xf numFmtId="43" fontId="0" fillId="0" borderId="28" xfId="171" applyFont="1" applyBorder="1"/>
    <xf numFmtId="4" fontId="0" fillId="0" borderId="0" xfId="0" applyNumberFormat="1"/>
    <xf numFmtId="0" fontId="16" fillId="0" borderId="0" xfId="0" applyFont="1" applyBorder="1"/>
    <xf numFmtId="0" fontId="19" fillId="0" borderId="0" xfId="0" applyFont="1" applyBorder="1"/>
    <xf numFmtId="0" fontId="0" fillId="0" borderId="0" xfId="0" applyBorder="1"/>
    <xf numFmtId="165" fontId="11" fillId="0" borderId="0" xfId="0" applyNumberFormat="1" applyFont="1" applyBorder="1" applyAlignment="1">
      <alignment horizontal="center"/>
    </xf>
    <xf numFmtId="174" fontId="0" fillId="0" borderId="0" xfId="0" applyNumberFormat="1" applyAlignment="1">
      <alignment horizontal="center"/>
    </xf>
    <xf numFmtId="0" fontId="20" fillId="0" borderId="26" xfId="0" applyFont="1" applyBorder="1"/>
    <xf numFmtId="0" fontId="0" fillId="0" borderId="28" xfId="0" applyBorder="1"/>
    <xf numFmtId="177" fontId="4" fillId="4" borderId="0" xfId="171" applyNumberFormat="1" applyFont="1" applyFill="1"/>
    <xf numFmtId="0" fontId="0" fillId="0" borderId="16" xfId="0" applyBorder="1"/>
    <xf numFmtId="165" fontId="5" fillId="3" borderId="4" xfId="4" applyNumberFormat="1" applyFont="1" applyBorder="1" applyAlignment="1">
      <alignment horizontal="center" vertical="center"/>
    </xf>
    <xf numFmtId="176" fontId="3" fillId="0" borderId="0" xfId="59" applyNumberFormat="1" applyFont="1"/>
    <xf numFmtId="10" fontId="0" fillId="0" borderId="32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10" fontId="0" fillId="0" borderId="30" xfId="0" applyNumberFormat="1" applyBorder="1" applyAlignment="1">
      <alignment horizontal="center"/>
    </xf>
    <xf numFmtId="0" fontId="0" fillId="0" borderId="27" xfId="0" applyBorder="1"/>
    <xf numFmtId="0" fontId="0" fillId="0" borderId="37" xfId="0" applyBorder="1" applyAlignment="1">
      <alignment horizontal="center"/>
    </xf>
    <xf numFmtId="176" fontId="3" fillId="0" borderId="0" xfId="59" applyNumberFormat="1" applyFont="1"/>
    <xf numFmtId="0" fontId="0" fillId="0" borderId="36" xfId="0" applyBorder="1" applyAlignment="1">
      <alignment horizontal="center"/>
    </xf>
    <xf numFmtId="165" fontId="5" fillId="3" borderId="2" xfId="4" applyNumberFormat="1" applyFont="1" applyAlignment="1">
      <alignment horizontal="center" vertical="center"/>
    </xf>
    <xf numFmtId="165" fontId="6" fillId="6" borderId="2" xfId="4" applyNumberFormat="1" applyFont="1" applyFill="1" applyAlignment="1">
      <alignment horizontal="center" vertical="center"/>
    </xf>
    <xf numFmtId="176" fontId="3" fillId="0" borderId="0" xfId="59" applyNumberFormat="1" applyFont="1"/>
    <xf numFmtId="164" fontId="4" fillId="4" borderId="0" xfId="74" applyFont="1" applyFill="1"/>
    <xf numFmtId="164" fontId="4" fillId="5" borderId="3" xfId="306" applyNumberFormat="1" applyFont="1" applyFill="1" applyBorder="1" applyAlignment="1">
      <alignment horizontal="left" vertical="center"/>
    </xf>
    <xf numFmtId="2" fontId="93" fillId="10" borderId="13" xfId="0" applyNumberFormat="1" applyFont="1" applyFill="1" applyBorder="1" applyAlignment="1">
      <alignment horizontal="center"/>
    </xf>
    <xf numFmtId="164" fontId="94" fillId="5" borderId="3" xfId="306" applyNumberFormat="1" applyFont="1" applyFill="1" applyBorder="1" applyAlignment="1">
      <alignment horizontal="left" vertical="center"/>
    </xf>
    <xf numFmtId="165" fontId="95" fillId="3" borderId="2" xfId="4" applyNumberFormat="1" applyFont="1" applyAlignment="1">
      <alignment horizontal="center" vertical="center"/>
    </xf>
    <xf numFmtId="14" fontId="0" fillId="0" borderId="28" xfId="0" applyNumberFormat="1" applyBorder="1"/>
    <xf numFmtId="14" fontId="0" fillId="0" borderId="32" xfId="0" applyNumberFormat="1" applyBorder="1"/>
    <xf numFmtId="0" fontId="0" fillId="0" borderId="53" xfId="0" applyBorder="1"/>
    <xf numFmtId="0" fontId="0" fillId="0" borderId="54" xfId="0" applyBorder="1"/>
    <xf numFmtId="164" fontId="4" fillId="5" borderId="55" xfId="306" applyNumberFormat="1" applyFont="1" applyFill="1" applyBorder="1" applyAlignment="1">
      <alignment horizontal="left" vertical="center"/>
    </xf>
    <xf numFmtId="165" fontId="5" fillId="3" borderId="56" xfId="4" applyNumberFormat="1" applyFont="1" applyBorder="1" applyAlignment="1">
      <alignment horizontal="center" vertical="center"/>
    </xf>
    <xf numFmtId="164" fontId="4" fillId="5" borderId="5" xfId="306" applyNumberFormat="1" applyFont="1" applyFill="1" applyBorder="1" applyAlignment="1">
      <alignment horizontal="left" vertical="center"/>
    </xf>
    <xf numFmtId="164" fontId="4" fillId="5" borderId="36" xfId="306" applyNumberFormat="1" applyFont="1" applyFill="1" applyBorder="1" applyAlignment="1">
      <alignment horizontal="left" vertical="center"/>
    </xf>
    <xf numFmtId="165" fontId="6" fillId="6" borderId="57" xfId="4" applyNumberFormat="1" applyFont="1" applyFill="1" applyBorder="1" applyAlignment="1">
      <alignment horizontal="center" vertical="center"/>
    </xf>
    <xf numFmtId="14" fontId="11" fillId="0" borderId="36" xfId="0" applyNumberFormat="1" applyFont="1" applyBorder="1" applyAlignment="1">
      <alignment horizontal="center"/>
    </xf>
    <xf numFmtId="14" fontId="0" fillId="0" borderId="38" xfId="0" applyNumberFormat="1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172" fontId="0" fillId="0" borderId="0" xfId="0" applyNumberFormat="1"/>
    <xf numFmtId="165" fontId="0" fillId="0" borderId="0" xfId="0" applyNumberFormat="1"/>
    <xf numFmtId="0" fontId="16" fillId="0" borderId="0" xfId="0" applyFont="1" applyFill="1" applyBorder="1"/>
    <xf numFmtId="165" fontId="11" fillId="0" borderId="30" xfId="0" applyNumberFormat="1" applyFont="1" applyFill="1" applyBorder="1" applyAlignment="1">
      <alignment horizontal="center"/>
    </xf>
    <xf numFmtId="15" fontId="7" fillId="7" borderId="11" xfId="74" applyNumberFormat="1" applyFont="1" applyFill="1" applyBorder="1" applyAlignment="1">
      <alignment horizontal="center" vertical="center"/>
    </xf>
    <xf numFmtId="10" fontId="0" fillId="0" borderId="0" xfId="163" applyNumberFormat="1" applyFont="1"/>
    <xf numFmtId="10" fontId="0" fillId="0" borderId="0" xfId="0" applyNumberFormat="1"/>
    <xf numFmtId="0" fontId="0" fillId="0" borderId="0" xfId="0" quotePrefix="1"/>
    <xf numFmtId="164" fontId="3" fillId="0" borderId="0" xfId="21573"/>
    <xf numFmtId="164" fontId="3" fillId="0" borderId="0" xfId="21573" applyFont="1"/>
    <xf numFmtId="0" fontId="1" fillId="0" borderId="26" xfId="24080" applyBorder="1"/>
    <xf numFmtId="165" fontId="5" fillId="3" borderId="2" xfId="4" applyNumberFormat="1" applyFont="1" applyAlignment="1">
      <alignment horizontal="center" vertical="center"/>
    </xf>
    <xf numFmtId="165" fontId="6" fillId="6" borderId="2" xfId="4" applyNumberFormat="1" applyFont="1" applyFill="1" applyAlignment="1">
      <alignment horizontal="center" vertical="center"/>
    </xf>
    <xf numFmtId="0" fontId="1" fillId="0" borderId="0" xfId="21583"/>
    <xf numFmtId="0" fontId="1" fillId="0" borderId="38" xfId="21583" applyBorder="1"/>
    <xf numFmtId="175" fontId="10" fillId="0" borderId="0" xfId="0" applyNumberFormat="1" applyFont="1" applyFill="1" applyBorder="1" applyAlignment="1">
      <alignment horizontal="right"/>
    </xf>
    <xf numFmtId="175" fontId="10" fillId="0" borderId="16" xfId="0" applyNumberFormat="1" applyFont="1" applyFill="1" applyBorder="1" applyAlignment="1">
      <alignment horizontal="right"/>
    </xf>
    <xf numFmtId="0" fontId="0" fillId="26" borderId="26" xfId="0" applyFill="1" applyBorder="1"/>
    <xf numFmtId="174" fontId="5" fillId="3" borderId="2" xfId="4" applyNumberFormat="1" applyFont="1" applyAlignment="1">
      <alignment horizontal="center" vertical="center"/>
    </xf>
    <xf numFmtId="193" fontId="5" fillId="3" borderId="2" xfId="4" applyNumberFormat="1" applyFont="1" applyAlignment="1">
      <alignment horizontal="center" vertical="center"/>
    </xf>
    <xf numFmtId="171" fontId="17" fillId="0" borderId="0" xfId="0" applyNumberFormat="1" applyFont="1" applyFill="1" applyBorder="1" applyAlignment="1">
      <alignment horizontal="center"/>
    </xf>
    <xf numFmtId="174" fontId="0" fillId="0" borderId="0" xfId="0" applyNumberFormat="1"/>
    <xf numFmtId="193" fontId="0" fillId="0" borderId="0" xfId="0" applyNumberFormat="1"/>
    <xf numFmtId="171" fontId="0" fillId="0" borderId="0" xfId="163" applyNumberFormat="1" applyFont="1"/>
    <xf numFmtId="194" fontId="0" fillId="0" borderId="0" xfId="163" applyNumberFormat="1" applyFont="1"/>
    <xf numFmtId="171" fontId="0" fillId="0" borderId="0" xfId="0" applyNumberFormat="1"/>
    <xf numFmtId="195" fontId="0" fillId="0" borderId="0" xfId="0" applyNumberFormat="1"/>
    <xf numFmtId="172" fontId="20" fillId="0" borderId="30" xfId="0" applyNumberFormat="1" applyFont="1" applyBorder="1" applyAlignment="1">
      <alignment horizontal="center"/>
    </xf>
    <xf numFmtId="172" fontId="20" fillId="0" borderId="29" xfId="0" applyNumberFormat="1" applyFont="1" applyBorder="1" applyAlignment="1">
      <alignment horizontal="center"/>
    </xf>
    <xf numFmtId="10" fontId="98" fillId="0" borderId="31" xfId="163" applyNumberFormat="1" applyFont="1" applyBorder="1" applyAlignment="1">
      <alignment horizontal="center"/>
    </xf>
    <xf numFmtId="171" fontId="98" fillId="0" borderId="31" xfId="163" applyNumberFormat="1" applyFont="1" applyBorder="1" applyAlignment="1">
      <alignment horizontal="center"/>
    </xf>
    <xf numFmtId="171" fontId="98" fillId="0" borderId="28" xfId="163" applyNumberFormat="1" applyFont="1" applyBorder="1" applyAlignment="1">
      <alignment horizontal="center"/>
    </xf>
    <xf numFmtId="171" fontId="98" fillId="0" borderId="27" xfId="163" applyNumberFormat="1" applyFont="1" applyBorder="1" applyAlignment="1">
      <alignment horizontal="center"/>
    </xf>
    <xf numFmtId="0" fontId="19" fillId="0" borderId="26" xfId="0" applyFont="1" applyBorder="1"/>
    <xf numFmtId="171" fontId="98" fillId="0" borderId="53" xfId="163" applyNumberFormat="1" applyFont="1" applyBorder="1" applyAlignment="1">
      <alignment horizontal="center"/>
    </xf>
    <xf numFmtId="10" fontId="98" fillId="0" borderId="54" xfId="163" applyNumberFormat="1" applyFont="1" applyBorder="1" applyAlignment="1">
      <alignment horizontal="center"/>
    </xf>
    <xf numFmtId="171" fontId="0" fillId="0" borderId="30" xfId="163" applyNumberFormat="1" applyFont="1" applyBorder="1" applyAlignment="1">
      <alignment horizontal="center"/>
    </xf>
    <xf numFmtId="14" fontId="0" fillId="0" borderId="54" xfId="0" applyNumberFormat="1" applyBorder="1" applyAlignment="1">
      <alignment horizontal="center"/>
    </xf>
    <xf numFmtId="14" fontId="0" fillId="0" borderId="66" xfId="0" applyNumberFormat="1" applyBorder="1" applyAlignment="1">
      <alignment horizontal="center"/>
    </xf>
    <xf numFmtId="0" fontId="97" fillId="0" borderId="36" xfId="0" applyFont="1" applyFill="1" applyBorder="1"/>
    <xf numFmtId="0" fontId="0" fillId="0" borderId="26" xfId="0" applyFill="1" applyBorder="1"/>
    <xf numFmtId="0" fontId="1" fillId="0" borderId="31" xfId="21583" applyBorder="1"/>
    <xf numFmtId="165" fontId="0" fillId="0" borderId="23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32" xfId="0" applyNumberFormat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4" fontId="0" fillId="0" borderId="0" xfId="0" applyNumberFormat="1"/>
    <xf numFmtId="0" fontId="12" fillId="9" borderId="38" xfId="0" applyFont="1" applyFill="1" applyBorder="1" applyAlignment="1">
      <alignment horizontal="center"/>
    </xf>
    <xf numFmtId="171" fontId="20" fillId="0" borderId="0" xfId="163" applyNumberFormat="1" applyFont="1" applyBorder="1" applyAlignment="1">
      <alignment horizontal="center"/>
    </xf>
    <xf numFmtId="0" fontId="11" fillId="10" borderId="38" xfId="0" applyFont="1" applyFill="1" applyBorder="1" applyAlignment="1">
      <alignment horizontal="right"/>
    </xf>
    <xf numFmtId="14" fontId="20" fillId="0" borderId="66" xfId="0" applyNumberFormat="1" applyFont="1" applyBorder="1" applyAlignment="1">
      <alignment horizontal="center"/>
    </xf>
    <xf numFmtId="4" fontId="10" fillId="10" borderId="38" xfId="171" applyNumberFormat="1" applyFont="1" applyFill="1" applyBorder="1" applyAlignment="1">
      <alignment horizontal="right"/>
    </xf>
    <xf numFmtId="172" fontId="98" fillId="0" borderId="29" xfId="163" applyNumberFormat="1" applyFont="1" applyBorder="1" applyAlignment="1">
      <alignment horizontal="center"/>
    </xf>
    <xf numFmtId="4" fontId="10" fillId="10" borderId="37" xfId="0" applyNumberFormat="1" applyFont="1" applyFill="1" applyBorder="1" applyAlignment="1">
      <alignment horizontal="right"/>
    </xf>
    <xf numFmtId="3" fontId="0" fillId="0" borderId="0" xfId="0" applyNumberFormat="1"/>
    <xf numFmtId="10" fontId="98" fillId="0" borderId="0" xfId="163" applyNumberFormat="1" applyFont="1" applyBorder="1" applyAlignment="1">
      <alignment horizontal="center"/>
    </xf>
    <xf numFmtId="171" fontId="0" fillId="0" borderId="27" xfId="163" applyNumberFormat="1" applyFont="1" applyBorder="1" applyAlignment="1">
      <alignment horizontal="center"/>
    </xf>
    <xf numFmtId="171" fontId="0" fillId="0" borderId="32" xfId="163" applyNumberFormat="1" applyFont="1" applyBorder="1" applyAlignment="1">
      <alignment horizontal="center"/>
    </xf>
    <xf numFmtId="171" fontId="0" fillId="0" borderId="29" xfId="163" applyNumberFormat="1" applyFont="1" applyBorder="1" applyAlignment="1">
      <alignment horizontal="center"/>
    </xf>
    <xf numFmtId="0" fontId="96" fillId="0" borderId="37" xfId="0" applyFont="1" applyBorder="1"/>
    <xf numFmtId="14" fontId="0" fillId="0" borderId="53" xfId="0" applyNumberFormat="1" applyBorder="1" applyAlignment="1">
      <alignment horizontal="center"/>
    </xf>
    <xf numFmtId="14" fontId="0" fillId="0" borderId="30" xfId="0" applyNumberFormat="1" applyBorder="1" applyAlignment="1">
      <alignment horizontal="center"/>
    </xf>
    <xf numFmtId="0" fontId="96" fillId="0" borderId="26" xfId="0" applyFont="1" applyBorder="1"/>
    <xf numFmtId="165" fontId="0" fillId="0" borderId="28" xfId="0" applyNumberFormat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0" fontId="98" fillId="0" borderId="32" xfId="163" applyNumberFormat="1" applyFont="1" applyBorder="1" applyAlignment="1">
      <alignment horizontal="center"/>
    </xf>
    <xf numFmtId="171" fontId="98" fillId="0" borderId="30" xfId="163" applyNumberFormat="1" applyFont="1" applyBorder="1" applyAlignment="1">
      <alignment horizontal="center"/>
    </xf>
    <xf numFmtId="170" fontId="11" fillId="9" borderId="36" xfId="0" applyNumberFormat="1" applyFont="1" applyFill="1" applyBorder="1" applyAlignment="1">
      <alignment horizontal="right"/>
    </xf>
    <xf numFmtId="172" fontId="98" fillId="0" borderId="30" xfId="163" applyNumberFormat="1" applyFont="1" applyBorder="1" applyAlignment="1">
      <alignment horizontal="center"/>
    </xf>
    <xf numFmtId="171" fontId="20" fillId="0" borderId="29" xfId="163" applyNumberFormat="1" applyFont="1" applyBorder="1" applyAlignment="1">
      <alignment horizontal="center"/>
    </xf>
    <xf numFmtId="171" fontId="98" fillId="0" borderId="32" xfId="163" applyNumberFormat="1" applyFont="1" applyBorder="1" applyAlignment="1">
      <alignment horizontal="center"/>
    </xf>
    <xf numFmtId="171" fontId="98" fillId="0" borderId="29" xfId="163" applyNumberFormat="1" applyFont="1" applyBorder="1" applyAlignment="1">
      <alignment horizontal="center"/>
    </xf>
    <xf numFmtId="171" fontId="98" fillId="0" borderId="0" xfId="163" applyNumberFormat="1" applyFont="1" applyBorder="1" applyAlignment="1">
      <alignment horizontal="center"/>
    </xf>
    <xf numFmtId="171" fontId="98" fillId="0" borderId="66" xfId="163" applyNumberFormat="1" applyFont="1" applyBorder="1" applyAlignment="1">
      <alignment horizontal="center"/>
    </xf>
    <xf numFmtId="171" fontId="0" fillId="0" borderId="31" xfId="163" applyNumberFormat="1" applyFont="1" applyBorder="1" applyAlignment="1">
      <alignment horizontal="center"/>
    </xf>
    <xf numFmtId="171" fontId="0" fillId="0" borderId="28" xfId="163" applyNumberFormat="1" applyFont="1" applyBorder="1" applyAlignment="1">
      <alignment horizontal="center"/>
    </xf>
    <xf numFmtId="14" fontId="0" fillId="0" borderId="28" xfId="0" applyNumberFormat="1" applyBorder="1" applyAlignment="1">
      <alignment horizontal="center"/>
    </xf>
    <xf numFmtId="14" fontId="0" fillId="0" borderId="32" xfId="0" applyNumberFormat="1" applyBorder="1" applyAlignment="1">
      <alignment horizontal="center"/>
    </xf>
    <xf numFmtId="0" fontId="1" fillId="0" borderId="29" xfId="21583" applyBorder="1"/>
    <xf numFmtId="165" fontId="0" fillId="0" borderId="27" xfId="0" applyNumberFormat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5" fillId="3" borderId="2" xfId="4" applyNumberFormat="1" applyFont="1" applyAlignment="1">
      <alignment horizontal="center" vertical="center"/>
    </xf>
    <xf numFmtId="165" fontId="6" fillId="6" borderId="2" xfId="4" applyNumberFormat="1" applyFont="1" applyFill="1" applyAlignment="1">
      <alignment horizontal="center" vertical="center"/>
    </xf>
    <xf numFmtId="164" fontId="4" fillId="4" borderId="0" xfId="74" applyFont="1" applyFill="1"/>
    <xf numFmtId="171" fontId="98" fillId="0" borderId="53" xfId="0" applyNumberFormat="1" applyFont="1" applyBorder="1" applyAlignment="1">
      <alignment horizontal="center"/>
    </xf>
    <xf numFmtId="171" fontId="98" fillId="0" borderId="66" xfId="0" applyNumberFormat="1" applyFont="1" applyBorder="1" applyAlignment="1">
      <alignment horizontal="center"/>
    </xf>
    <xf numFmtId="171" fontId="98" fillId="0" borderId="54" xfId="0" applyNumberFormat="1" applyFont="1" applyBorder="1" applyAlignment="1">
      <alignment horizontal="center"/>
    </xf>
    <xf numFmtId="2" fontId="0" fillId="0" borderId="0" xfId="0" applyNumberFormat="1"/>
    <xf numFmtId="175" fontId="18" fillId="0" borderId="0" xfId="0" applyNumberFormat="1" applyFont="1" applyFill="1" applyBorder="1" applyAlignment="1">
      <alignment horizontal="right"/>
    </xf>
    <xf numFmtId="0" fontId="99" fillId="8" borderId="12" xfId="75" applyFont="1" applyFill="1" applyBorder="1" applyAlignment="1">
      <alignment horizontal="right"/>
    </xf>
    <xf numFmtId="0" fontId="8" fillId="10" borderId="12" xfId="75" applyFont="1" applyFill="1" applyBorder="1" applyAlignment="1">
      <alignment horizontal="center"/>
    </xf>
    <xf numFmtId="0" fontId="99" fillId="8" borderId="14" xfId="75" applyFont="1" applyFill="1" applyBorder="1" applyAlignment="1">
      <alignment horizontal="right"/>
    </xf>
    <xf numFmtId="196" fontId="8" fillId="10" borderId="14" xfId="75" applyNumberFormat="1" applyFont="1" applyFill="1" applyBorder="1" applyAlignment="1">
      <alignment horizontal="center"/>
    </xf>
    <xf numFmtId="0" fontId="99" fillId="8" borderId="13" xfId="75" applyFont="1" applyFill="1" applyBorder="1" applyAlignment="1">
      <alignment horizontal="right"/>
    </xf>
    <xf numFmtId="0" fontId="8" fillId="9" borderId="12" xfId="75" applyFont="1" applyFill="1" applyBorder="1" applyAlignment="1">
      <alignment horizontal="center"/>
    </xf>
    <xf numFmtId="0" fontId="100" fillId="9" borderId="13" xfId="75" applyFont="1" applyFill="1" applyBorder="1" applyAlignment="1">
      <alignment horizontal="center"/>
    </xf>
    <xf numFmtId="0" fontId="11" fillId="0" borderId="28" xfId="0" applyFont="1" applyBorder="1"/>
    <xf numFmtId="0" fontId="11" fillId="0" borderId="29" xfId="0" applyFont="1" applyBorder="1"/>
    <xf numFmtId="0" fontId="11" fillId="0" borderId="30" xfId="0" applyFont="1" applyBorder="1"/>
    <xf numFmtId="3" fontId="8" fillId="10" borderId="14" xfId="75" applyNumberFormat="1" applyFont="1" applyFill="1" applyBorder="1" applyAlignment="1">
      <alignment horizontal="center"/>
    </xf>
    <xf numFmtId="0" fontId="8" fillId="10" borderId="14" xfId="75" applyFont="1" applyFill="1" applyBorder="1" applyAlignment="1">
      <alignment horizontal="center"/>
    </xf>
    <xf numFmtId="0" fontId="11" fillId="0" borderId="31" xfId="0" applyFont="1" applyBorder="1"/>
    <xf numFmtId="0" fontId="11" fillId="0" borderId="32" xfId="0" applyFont="1" applyBorder="1"/>
    <xf numFmtId="169" fontId="8" fillId="10" borderId="14" xfId="75" applyNumberFormat="1" applyFont="1" applyFill="1" applyBorder="1" applyAlignment="1">
      <alignment horizontal="center"/>
    </xf>
    <xf numFmtId="0" fontId="11" fillId="0" borderId="0" xfId="0" applyFont="1" applyFill="1" applyBorder="1"/>
    <xf numFmtId="0" fontId="11" fillId="0" borderId="26" xfId="0" applyFont="1" applyBorder="1"/>
    <xf numFmtId="0" fontId="11" fillId="0" borderId="0" xfId="0" applyFont="1" applyBorder="1"/>
    <xf numFmtId="0" fontId="8" fillId="10" borderId="13" xfId="75" applyFont="1" applyFill="1" applyBorder="1" applyAlignment="1">
      <alignment horizontal="center"/>
    </xf>
    <xf numFmtId="164" fontId="4" fillId="63" borderId="0" xfId="139" applyNumberFormat="1" applyFont="1" applyFill="1" applyAlignment="1">
      <alignment horizontal="center"/>
    </xf>
    <xf numFmtId="169" fontId="4" fillId="63" borderId="0" xfId="74" applyNumberFormat="1" applyFont="1" applyFill="1" applyAlignment="1">
      <alignment horizontal="center"/>
    </xf>
    <xf numFmtId="164" fontId="4" fillId="63" borderId="0" xfId="74" applyNumberFormat="1" applyFont="1" applyFill="1" applyAlignment="1">
      <alignment horizontal="center"/>
    </xf>
    <xf numFmtId="197" fontId="4" fillId="5" borderId="3" xfId="3" applyNumberFormat="1" applyFont="1" applyFill="1" applyBorder="1" applyAlignment="1">
      <alignment horizontal="center" vertical="center"/>
    </xf>
    <xf numFmtId="164" fontId="4" fillId="64" borderId="0" xfId="139" applyNumberFormat="1" applyFont="1" applyFill="1" applyAlignment="1">
      <alignment horizontal="center"/>
    </xf>
    <xf numFmtId="198" fontId="20" fillId="0" borderId="37" xfId="171" applyNumberFormat="1" applyFont="1" applyBorder="1"/>
    <xf numFmtId="0" fontId="19" fillId="0" borderId="0" xfId="0" applyFont="1"/>
    <xf numFmtId="164" fontId="4" fillId="5" borderId="67" xfId="3" applyNumberFormat="1" applyFont="1" applyFill="1" applyBorder="1" applyAlignment="1">
      <alignment horizontal="center" vertical="center"/>
    </xf>
    <xf numFmtId="0" fontId="16" fillId="0" borderId="27" xfId="0" applyFont="1" applyFill="1" applyBorder="1"/>
    <xf numFmtId="0" fontId="0" fillId="0" borderId="29" xfId="0" applyBorder="1"/>
    <xf numFmtId="164" fontId="4" fillId="5" borderId="3" xfId="3" applyNumberFormat="1" applyFont="1" applyFill="1" applyBorder="1" applyAlignment="1">
      <alignment horizontal="left" vertical="center"/>
    </xf>
    <xf numFmtId="165" fontId="5" fillId="3" borderId="68" xfId="4" applyNumberFormat="1" applyFont="1" applyBorder="1" applyAlignment="1">
      <alignment horizontal="center" vertical="center"/>
    </xf>
    <xf numFmtId="164" fontId="4" fillId="5" borderId="55" xfId="3" applyNumberFormat="1" applyFont="1" applyFill="1" applyBorder="1" applyAlignment="1">
      <alignment horizontal="left" vertical="center"/>
    </xf>
    <xf numFmtId="165" fontId="5" fillId="3" borderId="69" xfId="4" applyNumberFormat="1" applyFont="1" applyBorder="1" applyAlignment="1">
      <alignment horizontal="center" vertical="center"/>
    </xf>
    <xf numFmtId="4" fontId="0" fillId="0" borderId="0" xfId="163" applyNumberFormat="1" applyFont="1"/>
    <xf numFmtId="176" fontId="3" fillId="0" borderId="0" xfId="59" applyNumberFormat="1" applyFont="1" applyFill="1" applyAlignment="1">
      <alignment horizontal="center"/>
    </xf>
    <xf numFmtId="0" fontId="0" fillId="0" borderId="70" xfId="0" applyBorder="1"/>
    <xf numFmtId="164" fontId="4" fillId="5" borderId="71" xfId="3" applyNumberFormat="1" applyFont="1" applyFill="1" applyBorder="1" applyAlignment="1">
      <alignment horizontal="left" vertical="center"/>
    </xf>
    <xf numFmtId="164" fontId="4" fillId="5" borderId="5" xfId="3" applyNumberFormat="1" applyFont="1" applyFill="1" applyBorder="1" applyAlignment="1">
      <alignment horizontal="left" vertical="center"/>
    </xf>
    <xf numFmtId="164" fontId="4" fillId="5" borderId="72" xfId="3" applyNumberFormat="1" applyFont="1" applyFill="1" applyBorder="1" applyAlignment="1">
      <alignment horizontal="center" vertical="center"/>
    </xf>
    <xf numFmtId="165" fontId="6" fillId="6" borderId="69" xfId="4" applyNumberFormat="1" applyFont="1" applyFill="1" applyBorder="1" applyAlignment="1">
      <alignment horizontal="center" vertical="center"/>
    </xf>
    <xf numFmtId="165" fontId="5" fillId="3" borderId="73" xfId="4" applyNumberFormat="1" applyFont="1" applyBorder="1" applyAlignment="1">
      <alignment horizontal="center" vertical="center"/>
    </xf>
    <xf numFmtId="0" fontId="0" fillId="0" borderId="0" xfId="0" applyFill="1"/>
    <xf numFmtId="4" fontId="20" fillId="0" borderId="0" xfId="0" applyNumberFormat="1" applyFont="1"/>
    <xf numFmtId="200" fontId="0" fillId="0" borderId="0" xfId="0" applyNumberFormat="1"/>
    <xf numFmtId="195" fontId="0" fillId="0" borderId="0" xfId="171" applyNumberFormat="1" applyFont="1"/>
    <xf numFmtId="164" fontId="4" fillId="5" borderId="74" xfId="3" applyNumberFormat="1" applyFont="1" applyFill="1" applyBorder="1" applyAlignment="1">
      <alignment horizontal="left" vertical="center"/>
    </xf>
    <xf numFmtId="4" fontId="0" fillId="0" borderId="0" xfId="171" applyNumberFormat="1" applyFont="1"/>
    <xf numFmtId="4" fontId="0" fillId="0" borderId="66" xfId="171" applyNumberFormat="1" applyFont="1" applyFill="1" applyBorder="1"/>
    <xf numFmtId="4" fontId="0" fillId="0" borderId="54" xfId="171" applyNumberFormat="1" applyFont="1" applyFill="1" applyBorder="1"/>
    <xf numFmtId="43" fontId="0" fillId="0" borderId="0" xfId="171" applyFont="1" applyAlignment="1">
      <alignment horizontal="center"/>
    </xf>
    <xf numFmtId="10" fontId="0" fillId="0" borderId="0" xfId="163" applyNumberFormat="1" applyFont="1" applyAlignment="1">
      <alignment horizontal="center"/>
    </xf>
    <xf numFmtId="196" fontId="8" fillId="10" borderId="30" xfId="142" applyNumberFormat="1" applyFont="1" applyFill="1" applyBorder="1" applyAlignment="1">
      <alignment horizontal="center"/>
    </xf>
    <xf numFmtId="0" fontId="8" fillId="10" borderId="30" xfId="142" applyFont="1" applyFill="1" applyBorder="1" applyAlignment="1">
      <alignment horizontal="center"/>
    </xf>
    <xf numFmtId="0" fontId="8" fillId="10" borderId="32" xfId="142" applyFont="1" applyFill="1" applyBorder="1" applyAlignment="1">
      <alignment horizontal="center"/>
    </xf>
    <xf numFmtId="0" fontId="0" fillId="0" borderId="66" xfId="0" applyBorder="1"/>
    <xf numFmtId="196" fontId="8" fillId="10" borderId="28" xfId="142" applyNumberFormat="1" applyFont="1" applyFill="1" applyBorder="1" applyAlignment="1">
      <alignment horizontal="center"/>
    </xf>
    <xf numFmtId="0" fontId="0" fillId="0" borderId="66" xfId="0" applyFill="1" applyBorder="1"/>
    <xf numFmtId="0" fontId="0" fillId="0" borderId="0" xfId="0" applyFill="1" applyBorder="1"/>
    <xf numFmtId="0" fontId="0" fillId="0" borderId="23" xfId="0" applyBorder="1"/>
    <xf numFmtId="0" fontId="0" fillId="0" borderId="53" xfId="0" applyFill="1" applyBorder="1"/>
    <xf numFmtId="0" fontId="101" fillId="0" borderId="0" xfId="0" applyFont="1"/>
    <xf numFmtId="0" fontId="96" fillId="0" borderId="0" xfId="0" applyFont="1"/>
    <xf numFmtId="196" fontId="8" fillId="10" borderId="53" xfId="142" applyNumberFormat="1" applyFont="1" applyFill="1" applyBorder="1" applyAlignment="1">
      <alignment horizontal="center"/>
    </xf>
    <xf numFmtId="196" fontId="8" fillId="10" borderId="66" xfId="142" applyNumberFormat="1" applyFont="1" applyFill="1" applyBorder="1" applyAlignment="1">
      <alignment horizontal="center"/>
    </xf>
    <xf numFmtId="0" fontId="8" fillId="10" borderId="66" xfId="142" applyFont="1" applyFill="1" applyBorder="1" applyAlignment="1">
      <alignment horizontal="center"/>
    </xf>
    <xf numFmtId="0" fontId="8" fillId="10" borderId="54" xfId="142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4" fontId="0" fillId="0" borderId="28" xfId="0" applyNumberFormat="1" applyBorder="1"/>
    <xf numFmtId="4" fontId="0" fillId="0" borderId="32" xfId="0" applyNumberFormat="1" applyBorder="1"/>
    <xf numFmtId="14" fontId="11" fillId="4" borderId="29" xfId="0" applyNumberFormat="1" applyFont="1" applyFill="1" applyBorder="1" applyAlignment="1">
      <alignment horizontal="center"/>
    </xf>
    <xf numFmtId="165" fontId="11" fillId="4" borderId="30" xfId="0" applyNumberFormat="1" applyFont="1" applyFill="1" applyBorder="1" applyAlignment="1">
      <alignment horizontal="center"/>
    </xf>
    <xf numFmtId="14" fontId="11" fillId="0" borderId="31" xfId="0" applyNumberFormat="1" applyFont="1" applyBorder="1" applyAlignment="1">
      <alignment horizontal="center"/>
    </xf>
    <xf numFmtId="165" fontId="11" fillId="0" borderId="32" xfId="0" applyNumberFormat="1" applyFont="1" applyFill="1" applyBorder="1" applyAlignment="1">
      <alignment horizontal="center"/>
    </xf>
    <xf numFmtId="14" fontId="11" fillId="0" borderId="29" xfId="0" applyNumberFormat="1" applyFont="1" applyFill="1" applyBorder="1" applyAlignment="1">
      <alignment horizontal="center"/>
    </xf>
    <xf numFmtId="0" fontId="96" fillId="0" borderId="0" xfId="0" applyFont="1" applyFill="1"/>
    <xf numFmtId="14" fontId="11" fillId="0" borderId="31" xfId="0" applyNumberFormat="1" applyFont="1" applyFill="1" applyBorder="1" applyAlignment="1">
      <alignment horizontal="center"/>
    </xf>
    <xf numFmtId="196" fontId="8" fillId="10" borderId="27" xfId="142" applyNumberFormat="1" applyFont="1" applyFill="1" applyBorder="1" applyAlignment="1">
      <alignment horizontal="center"/>
    </xf>
    <xf numFmtId="196" fontId="8" fillId="10" borderId="29" xfId="142" applyNumberFormat="1" applyFont="1" applyFill="1" applyBorder="1" applyAlignment="1">
      <alignment horizontal="center"/>
    </xf>
    <xf numFmtId="0" fontId="8" fillId="10" borderId="29" xfId="142" applyFont="1" applyFill="1" applyBorder="1" applyAlignment="1">
      <alignment horizontal="center"/>
    </xf>
    <xf numFmtId="0" fontId="8" fillId="10" borderId="31" xfId="142" applyFont="1" applyFill="1" applyBorder="1" applyAlignment="1">
      <alignment horizontal="center"/>
    </xf>
    <xf numFmtId="198" fontId="20" fillId="0" borderId="0" xfId="171" applyNumberFormat="1" applyFont="1" applyBorder="1"/>
    <xf numFmtId="201" fontId="0" fillId="0" borderId="0" xfId="0" applyNumberFormat="1"/>
    <xf numFmtId="199" fontId="98" fillId="0" borderId="0" xfId="0" applyNumberFormat="1" applyFont="1"/>
    <xf numFmtId="4" fontId="98" fillId="0" borderId="0" xfId="171" applyNumberFormat="1" applyFont="1"/>
    <xf numFmtId="199" fontId="103" fillId="0" borderId="0" xfId="0" applyNumberFormat="1" applyFont="1"/>
    <xf numFmtId="2" fontId="103" fillId="0" borderId="0" xfId="0" applyNumberFormat="1" applyFont="1" applyAlignment="1">
      <alignment horizontal="center"/>
    </xf>
    <xf numFmtId="0" fontId="96" fillId="0" borderId="12" xfId="0" applyFont="1" applyBorder="1" applyAlignment="1">
      <alignment horizontal="center"/>
    </xf>
    <xf numFmtId="0" fontId="96" fillId="0" borderId="14" xfId="0" applyFont="1" applyBorder="1" applyAlignment="1">
      <alignment horizontal="center"/>
    </xf>
    <xf numFmtId="0" fontId="96" fillId="0" borderId="13" xfId="0" applyFont="1" applyBorder="1" applyAlignment="1">
      <alignment horizontal="center"/>
    </xf>
    <xf numFmtId="178" fontId="3" fillId="0" borderId="0" xfId="59" applyNumberFormat="1" applyFont="1" applyFill="1" applyAlignment="1">
      <alignment horizontal="center"/>
    </xf>
    <xf numFmtId="0" fontId="0" fillId="0" borderId="31" xfId="0" applyBorder="1"/>
    <xf numFmtId="10" fontId="0" fillId="0" borderId="0" xfId="163" applyNumberFormat="1" applyFont="1" applyBorder="1" applyAlignment="1">
      <alignment horizontal="center"/>
    </xf>
    <xf numFmtId="0" fontId="96" fillId="0" borderId="0" xfId="0" applyFont="1" applyBorder="1"/>
    <xf numFmtId="4" fontId="0" fillId="0" borderId="0" xfId="163" applyNumberFormat="1" applyFont="1" applyBorder="1"/>
    <xf numFmtId="199" fontId="98" fillId="0" borderId="0" xfId="0" applyNumberFormat="1" applyFont="1" applyBorder="1"/>
    <xf numFmtId="199" fontId="103" fillId="0" borderId="0" xfId="0" applyNumberFormat="1" applyFont="1" applyBorder="1"/>
    <xf numFmtId="0" fontId="96" fillId="0" borderId="0" xfId="0" applyFont="1" applyFill="1" applyBorder="1"/>
    <xf numFmtId="4" fontId="0" fillId="0" borderId="0" xfId="171" applyNumberFormat="1" applyFont="1" applyBorder="1"/>
    <xf numFmtId="4" fontId="98" fillId="0" borderId="0" xfId="171" applyNumberFormat="1" applyFont="1" applyBorder="1"/>
    <xf numFmtId="0" fontId="0" fillId="0" borderId="0" xfId="0" quotePrefix="1" applyBorder="1"/>
    <xf numFmtId="2" fontId="103" fillId="0" borderId="0" xfId="0" applyNumberFormat="1" applyFont="1" applyBorder="1" applyAlignment="1">
      <alignment horizontal="center"/>
    </xf>
    <xf numFmtId="10" fontId="0" fillId="0" borderId="38" xfId="163" applyNumberFormat="1" applyFont="1" applyBorder="1" applyAlignment="1">
      <alignment horizontal="center"/>
    </xf>
    <xf numFmtId="0" fontId="96" fillId="0" borderId="38" xfId="0" applyFont="1" applyBorder="1"/>
    <xf numFmtId="199" fontId="103" fillId="0" borderId="38" xfId="0" applyNumberFormat="1" applyFont="1" applyBorder="1"/>
    <xf numFmtId="164" fontId="4" fillId="5" borderId="75" xfId="3" applyNumberFormat="1" applyFont="1" applyFill="1" applyBorder="1" applyAlignment="1">
      <alignment horizontal="center" vertical="center"/>
    </xf>
    <xf numFmtId="0" fontId="96" fillId="0" borderId="38" xfId="0" applyFont="1" applyFill="1" applyBorder="1"/>
    <xf numFmtId="4" fontId="0" fillId="0" borderId="38" xfId="171" applyNumberFormat="1" applyFont="1" applyBorder="1"/>
    <xf numFmtId="4" fontId="98" fillId="0" borderId="38" xfId="171" applyNumberFormat="1" applyFont="1" applyBorder="1"/>
    <xf numFmtId="0" fontId="0" fillId="0" borderId="38" xfId="0" quotePrefix="1" applyBorder="1"/>
    <xf numFmtId="2" fontId="103" fillId="0" borderId="38" xfId="0" applyNumberFormat="1" applyFont="1" applyBorder="1" applyAlignment="1">
      <alignment horizontal="center"/>
    </xf>
    <xf numFmtId="4" fontId="0" fillId="0" borderId="26" xfId="171" applyNumberFormat="1" applyFont="1" applyFill="1" applyBorder="1"/>
    <xf numFmtId="14" fontId="0" fillId="0" borderId="0" xfId="171" applyNumberFormat="1" applyFont="1" applyAlignment="1">
      <alignment horizontal="center"/>
    </xf>
    <xf numFmtId="199" fontId="98" fillId="0" borderId="0" xfId="0" applyNumberFormat="1" applyFont="1" applyFill="1" applyBorder="1"/>
    <xf numFmtId="202" fontId="0" fillId="0" borderId="0" xfId="163" applyNumberFormat="1" applyFont="1" applyBorder="1"/>
    <xf numFmtId="10" fontId="98" fillId="0" borderId="30" xfId="163" applyNumberFormat="1" applyFont="1" applyBorder="1" applyAlignment="1">
      <alignment horizontal="center"/>
    </xf>
    <xf numFmtId="10" fontId="98" fillId="0" borderId="29" xfId="163" applyNumberFormat="1" applyFont="1" applyBorder="1" applyAlignment="1">
      <alignment horizontal="center"/>
    </xf>
    <xf numFmtId="174" fontId="0" fillId="0" borderId="30" xfId="0" applyNumberFormat="1" applyBorder="1" applyAlignment="1">
      <alignment horizontal="center"/>
    </xf>
    <xf numFmtId="10" fontId="98" fillId="0" borderId="28" xfId="163" applyNumberFormat="1" applyFont="1" applyBorder="1" applyAlignment="1">
      <alignment horizontal="center"/>
    </xf>
    <xf numFmtId="174" fontId="0" fillId="0" borderId="29" xfId="0" applyNumberFormat="1" applyBorder="1" applyAlignment="1">
      <alignment horizontal="center"/>
    </xf>
    <xf numFmtId="10" fontId="98" fillId="0" borderId="27" xfId="163" applyNumberFormat="1" applyFont="1" applyBorder="1" applyAlignment="1">
      <alignment horizontal="center"/>
    </xf>
    <xf numFmtId="164" fontId="3" fillId="0" borderId="0" xfId="24090"/>
    <xf numFmtId="164" fontId="4" fillId="4" borderId="0" xfId="24090" applyFont="1" applyFill="1"/>
    <xf numFmtId="164" fontId="4" fillId="5" borderId="3" xfId="24115" applyNumberFormat="1" applyFont="1" applyFill="1" applyBorder="1" applyAlignment="1">
      <alignment horizontal="left" vertical="center"/>
    </xf>
    <xf numFmtId="165" fontId="5" fillId="3" borderId="2" xfId="11434" applyNumberFormat="1" applyFont="1" applyAlignment="1">
      <alignment horizontal="center" vertical="center"/>
    </xf>
    <xf numFmtId="168" fontId="4" fillId="4" borderId="0" xfId="24091" applyFont="1" applyFill="1"/>
    <xf numFmtId="166" fontId="5" fillId="3" borderId="2" xfId="11434" applyNumberFormat="1" applyFont="1" applyAlignment="1">
      <alignment horizontal="center" vertical="center"/>
    </xf>
    <xf numFmtId="175" fontId="5" fillId="3" borderId="2" xfId="11434" applyNumberFormat="1" applyFont="1" applyAlignment="1">
      <alignment horizontal="center" vertical="center"/>
    </xf>
    <xf numFmtId="164" fontId="4" fillId="5" borderId="8" xfId="24115" applyNumberFormat="1" applyFont="1" applyFill="1" applyBorder="1" applyAlignment="1">
      <alignment horizontal="left" vertical="center"/>
    </xf>
    <xf numFmtId="164" fontId="4" fillId="5" borderId="7" xfId="24115" applyNumberFormat="1" applyFont="1" applyFill="1" applyBorder="1" applyAlignment="1">
      <alignment horizontal="left" vertical="center"/>
    </xf>
    <xf numFmtId="164" fontId="4" fillId="5" borderId="6" xfId="24115" applyNumberFormat="1" applyFont="1" applyFill="1" applyBorder="1" applyAlignment="1">
      <alignment horizontal="left" vertical="center"/>
    </xf>
    <xf numFmtId="165" fontId="5" fillId="3" borderId="2" xfId="4" applyNumberFormat="1" applyFont="1" applyAlignment="1">
      <alignment horizontal="center" vertical="center"/>
    </xf>
    <xf numFmtId="165" fontId="6" fillId="6" borderId="2" xfId="4" applyNumberFormat="1" applyFont="1" applyFill="1" applyAlignment="1">
      <alignment horizontal="center" vertical="center"/>
    </xf>
    <xf numFmtId="178" fontId="4" fillId="4" borderId="0" xfId="24091" applyNumberFormat="1" applyFont="1" applyFill="1"/>
    <xf numFmtId="0" fontId="4" fillId="4" borderId="0" xfId="24090" applyNumberFormat="1" applyFont="1" applyFill="1"/>
    <xf numFmtId="4" fontId="5" fillId="3" borderId="2" xfId="11434" applyNumberFormat="1" applyFont="1" applyAlignment="1">
      <alignment horizontal="center" vertical="center"/>
    </xf>
    <xf numFmtId="164" fontId="4" fillId="5" borderId="41" xfId="24115" applyNumberFormat="1" applyFont="1" applyFill="1" applyBorder="1" applyAlignment="1">
      <alignment horizontal="left" vertical="center"/>
    </xf>
    <xf numFmtId="165" fontId="5" fillId="26" borderId="2" xfId="4" applyNumberFormat="1" applyFont="1" applyFill="1" applyAlignment="1">
      <alignment horizontal="center" vertical="center"/>
    </xf>
    <xf numFmtId="164" fontId="4" fillId="4" borderId="0" xfId="307" applyFont="1" applyFill="1"/>
    <xf numFmtId="168" fontId="4" fillId="26" borderId="0" xfId="24091" applyFont="1" applyFill="1"/>
    <xf numFmtId="174" fontId="5" fillId="3" borderId="2" xfId="4" applyNumberFormat="1" applyFont="1" applyAlignment="1">
      <alignment horizontal="center" vertical="center"/>
    </xf>
    <xf numFmtId="174" fontId="6" fillId="6" borderId="2" xfId="4" applyNumberFormat="1" applyFont="1" applyFill="1" applyAlignment="1">
      <alignment horizontal="center" vertical="center"/>
    </xf>
    <xf numFmtId="193" fontId="5" fillId="3" borderId="2" xfId="4" applyNumberFormat="1" applyFont="1" applyAlignment="1">
      <alignment horizontal="center" vertical="center"/>
    </xf>
    <xf numFmtId="193" fontId="6" fillId="6" borderId="2" xfId="4" applyNumberFormat="1" applyFont="1" applyFill="1" applyAlignment="1">
      <alignment horizontal="center" vertical="center"/>
    </xf>
    <xf numFmtId="201" fontId="5" fillId="3" borderId="2" xfId="4" applyNumberFormat="1" applyFont="1" applyAlignment="1">
      <alignment horizontal="center" vertical="center"/>
    </xf>
    <xf numFmtId="201" fontId="6" fillId="6" borderId="2" xfId="4" applyNumberFormat="1" applyFont="1" applyFill="1" applyAlignment="1">
      <alignment horizontal="center" vertical="center"/>
    </xf>
    <xf numFmtId="166" fontId="5" fillId="3" borderId="2" xfId="4" applyNumberFormat="1" applyFont="1" applyAlignment="1">
      <alignment horizontal="center" vertical="center"/>
    </xf>
    <xf numFmtId="166" fontId="6" fillId="6" borderId="2" xfId="4" applyNumberFormat="1" applyFont="1" applyFill="1" applyAlignment="1">
      <alignment horizontal="center" vertical="center"/>
    </xf>
    <xf numFmtId="203" fontId="5" fillId="3" borderId="2" xfId="4" applyNumberFormat="1" applyFont="1" applyAlignment="1">
      <alignment horizontal="center" vertical="center"/>
    </xf>
    <xf numFmtId="203" fontId="6" fillId="6" borderId="2" xfId="4" applyNumberFormat="1" applyFont="1" applyFill="1" applyAlignment="1">
      <alignment horizontal="center" vertical="center"/>
    </xf>
    <xf numFmtId="204" fontId="5" fillId="3" borderId="2" xfId="4" applyNumberFormat="1" applyFont="1" applyAlignment="1">
      <alignment horizontal="center" vertical="center"/>
    </xf>
    <xf numFmtId="204" fontId="6" fillId="6" borderId="2" xfId="4" applyNumberFormat="1" applyFont="1" applyFill="1" applyAlignment="1">
      <alignment horizontal="center" vertical="center"/>
    </xf>
    <xf numFmtId="201" fontId="5" fillId="3" borderId="2" xfId="11434" applyNumberFormat="1" applyFont="1" applyAlignment="1">
      <alignment horizontal="center" vertical="center"/>
    </xf>
    <xf numFmtId="164" fontId="5" fillId="3" borderId="2" xfId="11434" applyNumberFormat="1" applyFont="1" applyAlignment="1">
      <alignment horizontal="center" vertical="center"/>
    </xf>
    <xf numFmtId="193" fontId="4" fillId="5" borderId="67" xfId="24179" applyNumberFormat="1" applyFont="1" applyFill="1" applyBorder="1" applyAlignment="1">
      <alignment horizontal="center" vertical="center"/>
    </xf>
    <xf numFmtId="164" fontId="5" fillId="3" borderId="4" xfId="11434" applyNumberFormat="1" applyFont="1" applyBorder="1" applyAlignment="1">
      <alignment horizontal="center" vertical="center"/>
    </xf>
    <xf numFmtId="164" fontId="5" fillId="3" borderId="2" xfId="11434" quotePrefix="1" applyNumberFormat="1" applyFont="1" applyAlignment="1">
      <alignment horizontal="center" vertical="center"/>
    </xf>
    <xf numFmtId="164" fontId="5" fillId="66" borderId="76" xfId="24116" applyFont="1" applyFill="1" applyBorder="1" applyAlignment="1">
      <alignment horizontal="center" vertical="center"/>
    </xf>
    <xf numFmtId="3" fontId="5" fillId="3" borderId="2" xfId="11434" applyNumberFormat="1" applyFont="1" applyAlignment="1">
      <alignment horizontal="center" vertical="center"/>
    </xf>
    <xf numFmtId="172" fontId="4" fillId="5" borderId="72" xfId="24179" applyNumberFormat="1" applyFont="1" applyFill="1" applyBorder="1" applyAlignment="1">
      <alignment horizontal="center" vertical="center"/>
    </xf>
    <xf numFmtId="172" fontId="4" fillId="5" borderId="67" xfId="24179" applyNumberFormat="1" applyFont="1" applyFill="1" applyBorder="1" applyAlignment="1">
      <alignment horizontal="center" vertical="center"/>
    </xf>
    <xf numFmtId="164" fontId="106" fillId="0" borderId="0" xfId="24170"/>
    <xf numFmtId="164" fontId="5" fillId="65" borderId="77" xfId="24170" applyNumberFormat="1" applyFont="1" applyFill="1" applyBorder="1" applyAlignment="1">
      <alignment horizontal="center" vertical="center"/>
    </xf>
    <xf numFmtId="164" fontId="5" fillId="65" borderId="76" xfId="24170" applyNumberFormat="1" applyFont="1" applyFill="1" applyBorder="1" applyAlignment="1">
      <alignment horizontal="center" vertical="center"/>
    </xf>
    <xf numFmtId="202" fontId="104" fillId="4" borderId="79" xfId="24170" applyNumberFormat="1" applyFont="1" applyFill="1" applyBorder="1" applyAlignment="1">
      <alignment horizontal="center"/>
    </xf>
    <xf numFmtId="202" fontId="104" fillId="4" borderId="80" xfId="24170" applyNumberFormat="1" applyFont="1" applyFill="1" applyBorder="1" applyAlignment="1">
      <alignment horizontal="center"/>
    </xf>
    <xf numFmtId="202" fontId="104" fillId="4" borderId="82" xfId="24170" applyNumberFormat="1" applyFont="1" applyFill="1" applyBorder="1" applyAlignment="1">
      <alignment horizontal="center"/>
    </xf>
    <xf numFmtId="202" fontId="104" fillId="4" borderId="83" xfId="24170" applyNumberFormat="1" applyFont="1" applyFill="1" applyBorder="1" applyAlignment="1">
      <alignment horizontal="center"/>
    </xf>
    <xf numFmtId="202" fontId="104" fillId="4" borderId="83" xfId="24211" applyNumberFormat="1" applyFont="1" applyFill="1" applyBorder="1" applyAlignment="1">
      <alignment horizontal="center"/>
    </xf>
    <xf numFmtId="202" fontId="104" fillId="4" borderId="85" xfId="24170" applyNumberFormat="1" applyFont="1" applyFill="1" applyBorder="1" applyAlignment="1">
      <alignment horizontal="center"/>
    </xf>
    <xf numFmtId="202" fontId="104" fillId="4" borderId="86" xfId="24170" applyNumberFormat="1" applyFont="1" applyFill="1" applyBorder="1" applyAlignment="1">
      <alignment horizontal="center"/>
    </xf>
    <xf numFmtId="202" fontId="104" fillId="4" borderId="86" xfId="24211" applyNumberFormat="1" applyFont="1" applyFill="1" applyBorder="1" applyAlignment="1">
      <alignment horizontal="center"/>
    </xf>
    <xf numFmtId="164" fontId="5" fillId="3" borderId="2" xfId="11434" applyNumberFormat="1" applyFont="1" applyAlignment="1">
      <alignment horizontal="center" vertical="center"/>
    </xf>
    <xf numFmtId="193" fontId="4" fillId="5" borderId="67" xfId="24209" applyNumberFormat="1" applyFont="1" applyFill="1" applyBorder="1" applyAlignment="1">
      <alignment horizontal="center" vertical="center"/>
    </xf>
    <xf numFmtId="164" fontId="5" fillId="3" borderId="4" xfId="11434" applyNumberFormat="1" applyFont="1" applyBorder="1" applyAlignment="1">
      <alignment horizontal="center" vertical="center"/>
    </xf>
    <xf numFmtId="164" fontId="5" fillId="3" borderId="2" xfId="11434" quotePrefix="1" applyNumberFormat="1" applyFont="1" applyAlignment="1">
      <alignment horizontal="center" vertical="center"/>
    </xf>
    <xf numFmtId="164" fontId="5" fillId="66" borderId="76" xfId="24247" applyFont="1" applyFill="1" applyBorder="1" applyAlignment="1">
      <alignment horizontal="center" vertical="center"/>
    </xf>
    <xf numFmtId="3" fontId="5" fillId="3" borderId="2" xfId="11434" applyNumberFormat="1" applyFont="1" applyAlignment="1">
      <alignment horizontal="center" vertical="center"/>
    </xf>
    <xf numFmtId="172" fontId="4" fillId="5" borderId="72" xfId="24209" applyNumberFormat="1" applyFont="1" applyFill="1" applyBorder="1" applyAlignment="1">
      <alignment horizontal="center" vertical="center"/>
    </xf>
    <xf numFmtId="172" fontId="4" fillId="5" borderId="67" xfId="24209" applyNumberFormat="1" applyFont="1" applyFill="1" applyBorder="1" applyAlignment="1">
      <alignment horizontal="center" vertical="center"/>
    </xf>
    <xf numFmtId="164" fontId="106" fillId="0" borderId="0" xfId="24169"/>
    <xf numFmtId="164" fontId="5" fillId="65" borderId="77" xfId="24169" applyNumberFormat="1" applyFont="1" applyFill="1" applyBorder="1" applyAlignment="1">
      <alignment horizontal="center" vertical="center"/>
    </xf>
    <xf numFmtId="164" fontId="5" fillId="65" borderId="76" xfId="24169" applyNumberFormat="1" applyFont="1" applyFill="1" applyBorder="1" applyAlignment="1">
      <alignment horizontal="center" vertical="center"/>
    </xf>
    <xf numFmtId="202" fontId="104" fillId="4" borderId="79" xfId="24169" applyNumberFormat="1" applyFont="1" applyFill="1" applyBorder="1" applyAlignment="1">
      <alignment horizontal="center"/>
    </xf>
    <xf numFmtId="202" fontId="104" fillId="4" borderId="80" xfId="24169" applyNumberFormat="1" applyFont="1" applyFill="1" applyBorder="1" applyAlignment="1">
      <alignment horizontal="center"/>
    </xf>
    <xf numFmtId="202" fontId="104" fillId="4" borderId="81" xfId="24169" applyNumberFormat="1" applyFont="1" applyFill="1" applyBorder="1" applyAlignment="1">
      <alignment horizontal="center"/>
    </xf>
    <xf numFmtId="202" fontId="104" fillId="4" borderId="82" xfId="24169" applyNumberFormat="1" applyFont="1" applyFill="1" applyBorder="1" applyAlignment="1">
      <alignment horizontal="center"/>
    </xf>
    <xf numFmtId="202" fontId="104" fillId="4" borderId="83" xfId="24169" applyNumberFormat="1" applyFont="1" applyFill="1" applyBorder="1" applyAlignment="1">
      <alignment horizontal="center"/>
    </xf>
    <xf numFmtId="202" fontId="104" fillId="4" borderId="84" xfId="24169" applyNumberFormat="1" applyFont="1" applyFill="1" applyBorder="1" applyAlignment="1">
      <alignment horizontal="center"/>
    </xf>
    <xf numFmtId="202" fontId="104" fillId="4" borderId="83" xfId="24249" applyNumberFormat="1" applyFont="1" applyFill="1" applyBorder="1" applyAlignment="1">
      <alignment horizontal="center"/>
    </xf>
    <xf numFmtId="202" fontId="104" fillId="4" borderId="85" xfId="24169" applyNumberFormat="1" applyFont="1" applyFill="1" applyBorder="1" applyAlignment="1">
      <alignment horizontal="center"/>
    </xf>
    <xf numFmtId="202" fontId="104" fillId="4" borderId="86" xfId="24169" applyNumberFormat="1" applyFont="1" applyFill="1" applyBorder="1" applyAlignment="1">
      <alignment horizontal="center"/>
    </xf>
    <xf numFmtId="202" fontId="104" fillId="4" borderId="86" xfId="24249" applyNumberFormat="1" applyFont="1" applyFill="1" applyBorder="1" applyAlignment="1">
      <alignment horizontal="center"/>
    </xf>
    <xf numFmtId="202" fontId="104" fillId="4" borderId="87" xfId="24169" applyNumberFormat="1" applyFont="1" applyFill="1" applyBorder="1" applyAlignment="1">
      <alignment horizontal="center"/>
    </xf>
    <xf numFmtId="164" fontId="5" fillId="3" borderId="2" xfId="11434" applyNumberFormat="1" applyFont="1" applyAlignment="1">
      <alignment horizontal="center" vertical="center"/>
    </xf>
    <xf numFmtId="193" fontId="4" fillId="5" borderId="67" xfId="24120" applyNumberFormat="1" applyFont="1" applyFill="1" applyBorder="1" applyAlignment="1">
      <alignment horizontal="center" vertical="center"/>
    </xf>
    <xf numFmtId="164" fontId="5" fillId="66" borderId="76" xfId="24185" applyFont="1" applyFill="1" applyBorder="1" applyAlignment="1">
      <alignment horizontal="center" vertical="center"/>
    </xf>
    <xf numFmtId="3" fontId="5" fillId="3" borderId="4" xfId="11434" applyNumberFormat="1" applyFont="1" applyBorder="1" applyAlignment="1">
      <alignment horizontal="center" vertical="center"/>
    </xf>
    <xf numFmtId="3" fontId="5" fillId="3" borderId="2" xfId="11434" applyNumberFormat="1" applyFont="1" applyAlignment="1">
      <alignment horizontal="center" vertical="center"/>
    </xf>
    <xf numFmtId="172" fontId="4" fillId="5" borderId="72" xfId="24120" applyNumberFormat="1" applyFont="1" applyFill="1" applyBorder="1" applyAlignment="1">
      <alignment horizontal="center" vertical="center"/>
    </xf>
    <xf numFmtId="172" fontId="4" fillId="5" borderId="67" xfId="24120" applyNumberFormat="1" applyFont="1" applyFill="1" applyBorder="1" applyAlignment="1">
      <alignment horizontal="center" vertical="center"/>
    </xf>
    <xf numFmtId="164" fontId="5" fillId="3" borderId="2" xfId="11434" applyNumberFormat="1" applyFont="1" applyAlignment="1">
      <alignment horizontal="center" vertical="center"/>
    </xf>
    <xf numFmtId="193" fontId="4" fillId="5" borderId="67" xfId="24207" applyNumberFormat="1" applyFont="1" applyFill="1" applyBorder="1" applyAlignment="1">
      <alignment horizontal="center" vertical="center"/>
    </xf>
    <xf numFmtId="164" fontId="5" fillId="66" borderId="76" xfId="24212" applyFont="1" applyFill="1" applyBorder="1" applyAlignment="1">
      <alignment horizontal="center" vertical="center"/>
    </xf>
    <xf numFmtId="3" fontId="5" fillId="3" borderId="4" xfId="11434" applyNumberFormat="1" applyFont="1" applyBorder="1" applyAlignment="1">
      <alignment horizontal="center" vertical="center"/>
    </xf>
    <xf numFmtId="3" fontId="5" fillId="3" borderId="2" xfId="11434" applyNumberFormat="1" applyFont="1" applyAlignment="1">
      <alignment horizontal="center" vertical="center"/>
    </xf>
    <xf numFmtId="172" fontId="4" fillId="5" borderId="72" xfId="24207" applyNumberFormat="1" applyFont="1" applyFill="1" applyBorder="1" applyAlignment="1">
      <alignment horizontal="center" vertical="center"/>
    </xf>
    <xf numFmtId="172" fontId="4" fillId="5" borderId="67" xfId="24207" applyNumberFormat="1" applyFont="1" applyFill="1" applyBorder="1" applyAlignment="1">
      <alignment horizontal="center" vertical="center"/>
    </xf>
    <xf numFmtId="204" fontId="4" fillId="5" borderId="72" xfId="20393" applyNumberFormat="1" applyFont="1" applyFill="1" applyBorder="1" applyAlignment="1">
      <alignment horizontal="center" vertical="center"/>
    </xf>
    <xf numFmtId="204" fontId="4" fillId="5" borderId="67" xfId="20393" applyNumberFormat="1" applyFont="1" applyFill="1" applyBorder="1" applyAlignment="1">
      <alignment horizontal="center" vertical="center"/>
    </xf>
    <xf numFmtId="194" fontId="0" fillId="0" borderId="0" xfId="163" applyNumberFormat="1" applyFont="1" applyBorder="1" applyAlignment="1">
      <alignment horizontal="center"/>
    </xf>
    <xf numFmtId="171" fontId="0" fillId="68" borderId="0" xfId="163" applyNumberFormat="1" applyFont="1" applyFill="1" applyBorder="1" applyAlignment="1">
      <alignment horizontal="center"/>
    </xf>
    <xf numFmtId="0" fontId="0" fillId="68" borderId="0" xfId="0" applyFill="1"/>
    <xf numFmtId="172" fontId="0" fillId="68" borderId="0" xfId="0" applyNumberFormat="1" applyFill="1" applyBorder="1" applyAlignment="1">
      <alignment horizontal="center"/>
    </xf>
    <xf numFmtId="205" fontId="0" fillId="68" borderId="0" xfId="163" applyNumberFormat="1" applyFont="1" applyFill="1" applyBorder="1" applyAlignment="1">
      <alignment horizontal="center"/>
    </xf>
    <xf numFmtId="205" fontId="0" fillId="0" borderId="0" xfId="163" applyNumberFormat="1" applyFont="1"/>
    <xf numFmtId="166" fontId="0" fillId="0" borderId="0" xfId="0" applyNumberFormat="1"/>
    <xf numFmtId="169" fontId="11" fillId="68" borderId="0" xfId="0" applyNumberFormat="1" applyFont="1" applyFill="1" applyBorder="1" applyAlignment="1">
      <alignment horizontal="center"/>
    </xf>
    <xf numFmtId="15" fontId="7" fillId="7" borderId="11" xfId="24090" applyNumberFormat="1" applyFont="1" applyFill="1" applyBorder="1" applyAlignment="1">
      <alignment horizontal="center" vertical="center"/>
    </xf>
    <xf numFmtId="15" fontId="7" fillId="7" borderId="10" xfId="24090" applyNumberFormat="1" applyFont="1" applyFill="1" applyBorder="1" applyAlignment="1">
      <alignment horizontal="center" vertical="center"/>
    </xf>
    <xf numFmtId="164" fontId="5" fillId="4" borderId="9" xfId="24090" applyFont="1" applyFill="1" applyBorder="1" applyAlignment="1">
      <alignment horizontal="center"/>
    </xf>
    <xf numFmtId="172" fontId="5" fillId="3" borderId="2" xfId="4" applyNumberFormat="1" applyFont="1" applyAlignment="1">
      <alignment horizontal="center" vertical="center"/>
    </xf>
    <xf numFmtId="164" fontId="3" fillId="0" borderId="27" xfId="21573" applyFont="1" applyBorder="1"/>
    <xf numFmtId="164" fontId="3" fillId="0" borderId="16" xfId="21573" applyFont="1" applyBorder="1"/>
    <xf numFmtId="164" fontId="3" fillId="0" borderId="31" xfId="21573" applyBorder="1"/>
    <xf numFmtId="164" fontId="3" fillId="0" borderId="23" xfId="21573" applyBorder="1"/>
    <xf numFmtId="0" fontId="0" fillId="0" borderId="23" xfId="0" quotePrefix="1" applyBorder="1"/>
    <xf numFmtId="206" fontId="0" fillId="0" borderId="0" xfId="0" applyNumberFormat="1"/>
    <xf numFmtId="199" fontId="0" fillId="0" borderId="0" xfId="0" applyNumberFormat="1"/>
    <xf numFmtId="171" fontId="98" fillId="0" borderId="16" xfId="163" applyNumberFormat="1" applyFont="1" applyBorder="1" applyAlignment="1">
      <alignment horizontal="center"/>
    </xf>
    <xf numFmtId="10" fontId="11" fillId="0" borderId="30" xfId="163" applyNumberFormat="1" applyFont="1" applyFill="1" applyBorder="1" applyAlignment="1">
      <alignment horizontal="center"/>
    </xf>
    <xf numFmtId="171" fontId="11" fillId="0" borderId="30" xfId="163" applyNumberFormat="1" applyFont="1" applyFill="1" applyBorder="1" applyAlignment="1">
      <alignment horizontal="center"/>
    </xf>
    <xf numFmtId="171" fontId="0" fillId="0" borderId="0" xfId="163" applyNumberFormat="1" applyFont="1" applyBorder="1"/>
    <xf numFmtId="164" fontId="5" fillId="4" borderId="9" xfId="1" applyFont="1" applyFill="1" applyBorder="1" applyAlignment="1">
      <alignment horizontal="center"/>
    </xf>
    <xf numFmtId="15" fontId="105" fillId="67" borderId="3" xfId="24185" applyNumberFormat="1" applyFont="1" applyFill="1" applyBorder="1" applyAlignment="1">
      <alignment horizontal="center" vertical="center"/>
    </xf>
    <xf numFmtId="15" fontId="105" fillId="67" borderId="78" xfId="24185" applyNumberFormat="1" applyFont="1" applyFill="1" applyBorder="1" applyAlignment="1">
      <alignment horizontal="center" vertical="center"/>
    </xf>
    <xf numFmtId="15" fontId="105" fillId="67" borderId="67" xfId="24185" applyNumberFormat="1" applyFont="1" applyFill="1" applyBorder="1" applyAlignment="1">
      <alignment horizontal="center" vertical="center"/>
    </xf>
    <xf numFmtId="15" fontId="105" fillId="67" borderId="3" xfId="24116" applyNumberFormat="1" applyFont="1" applyFill="1" applyBorder="1" applyAlignment="1">
      <alignment horizontal="center" vertical="center"/>
    </xf>
    <xf numFmtId="15" fontId="105" fillId="67" borderId="78" xfId="24116" applyNumberFormat="1" applyFont="1" applyFill="1" applyBorder="1" applyAlignment="1">
      <alignment horizontal="center" vertical="center"/>
    </xf>
    <xf numFmtId="15" fontId="105" fillId="67" borderId="67" xfId="24116" applyNumberFormat="1" applyFont="1" applyFill="1" applyBorder="1" applyAlignment="1">
      <alignment horizontal="center" vertical="center"/>
    </xf>
    <xf numFmtId="15" fontId="105" fillId="67" borderId="3" xfId="24247" applyNumberFormat="1" applyFont="1" applyFill="1" applyBorder="1" applyAlignment="1">
      <alignment horizontal="center" vertical="center"/>
    </xf>
    <xf numFmtId="15" fontId="105" fillId="67" borderId="78" xfId="24247" applyNumberFormat="1" applyFont="1" applyFill="1" applyBorder="1" applyAlignment="1">
      <alignment horizontal="center" vertical="center"/>
    </xf>
    <xf numFmtId="15" fontId="105" fillId="67" borderId="67" xfId="24247" applyNumberFormat="1" applyFont="1" applyFill="1" applyBorder="1" applyAlignment="1">
      <alignment horizontal="center" vertical="center"/>
    </xf>
    <xf numFmtId="15" fontId="105" fillId="67" borderId="3" xfId="24212" applyNumberFormat="1" applyFont="1" applyFill="1" applyBorder="1" applyAlignment="1">
      <alignment horizontal="center" vertical="center"/>
    </xf>
    <xf numFmtId="15" fontId="105" fillId="67" borderId="78" xfId="24212" applyNumberFormat="1" applyFont="1" applyFill="1" applyBorder="1" applyAlignment="1">
      <alignment horizontal="center" vertical="center"/>
    </xf>
    <xf numFmtId="15" fontId="105" fillId="67" borderId="67" xfId="24212" applyNumberFormat="1" applyFont="1" applyFill="1" applyBorder="1" applyAlignment="1">
      <alignment horizontal="center" vertical="center"/>
    </xf>
  </cellXfs>
  <cellStyles count="29418">
    <cellStyle name="_x000a_bidires=100_x000d_" xfId="308"/>
    <cellStyle name="_x000a_bidires=100_x000d_ 2" xfId="309"/>
    <cellStyle name="_x000a_bidires=100_x000d_ 2 2" xfId="310"/>
    <cellStyle name="_x000a_bidires=100_x000d_ 2 3" xfId="311"/>
    <cellStyle name="_x000a_bidires=100_x000d_ 2 4" xfId="312"/>
    <cellStyle name="_x000a_bidires=100_x000d_ 2 5" xfId="313"/>
    <cellStyle name="_x000a_bidires=100_x000d_ 3" xfId="314"/>
    <cellStyle name="_x000a_bidires=100_x000d_ 4" xfId="315"/>
    <cellStyle name="_x000a_bidires=100_x000d_ 5" xfId="316"/>
    <cellStyle name="_x000a_bidires=100_x000d_ 6" xfId="317"/>
    <cellStyle name="?Q\?1@" xfId="318"/>
    <cellStyle name="?Q\?1@ 2" xfId="319"/>
    <cellStyle name="?Q\?1@ 3" xfId="320"/>
    <cellStyle name="_270412" xfId="321"/>
    <cellStyle name="_ESTRUCTURAS" xfId="322"/>
    <cellStyle name="_ESTRUCTURAS 2" xfId="323"/>
    <cellStyle name="_ESTRUCTURAS 2 2" xfId="324"/>
    <cellStyle name="_ESTRUCTURAS 2 3" xfId="325"/>
    <cellStyle name="_ESTRUCTURAS 2 4" xfId="326"/>
    <cellStyle name="_ESTRUCTURAS 2 5" xfId="327"/>
    <cellStyle name="_ESTRUCTURAS 3" xfId="328"/>
    <cellStyle name="_ESTRUCTURAS 4" xfId="329"/>
    <cellStyle name="_ESTRUCTURAS 5" xfId="330"/>
    <cellStyle name="_ESTRUCTURAS 6" xfId="331"/>
    <cellStyle name="_Instrumento_Cartera" xfId="332"/>
    <cellStyle name="_Instrumento_Cartera 2" xfId="333"/>
    <cellStyle name="_Instrumento_Cartera 2 2" xfId="334"/>
    <cellStyle name="_Instrumento_Cartera 2 3" xfId="335"/>
    <cellStyle name="_Instrumento_Cartera 2 4" xfId="336"/>
    <cellStyle name="_Instrumento_Cartera 2 5" xfId="337"/>
    <cellStyle name="_Instrumento_Cartera 3" xfId="338"/>
    <cellStyle name="_Instrumento_Cartera 4" xfId="339"/>
    <cellStyle name="_Instrumento_Cartera 5" xfId="340"/>
    <cellStyle name="_Instrumento_Cartera 6" xfId="341"/>
    <cellStyle name="_LD_PORT" xfId="342"/>
    <cellStyle name="_SALES PL" xfId="343"/>
    <cellStyle name="_Sheet1" xfId="344"/>
    <cellStyle name="_Sheet1 2" xfId="345"/>
    <cellStyle name="_Sheet1 2 2" xfId="346"/>
    <cellStyle name="_Sheet1 2 3" xfId="347"/>
    <cellStyle name="_Sheet1 3" xfId="348"/>
    <cellStyle name="_Sheet1 3 2" xfId="349"/>
    <cellStyle name="_Sheet1 3 3" xfId="350"/>
    <cellStyle name="_Volatilidad" xfId="351"/>
    <cellStyle name="_Volatilidad 2" xfId="352"/>
    <cellStyle name="_Volatilidad 2 2" xfId="353"/>
    <cellStyle name="_Volatilidad 2 3" xfId="354"/>
    <cellStyle name="_Volatilidad 3" xfId="355"/>
    <cellStyle name="_Volatilidad 3 2" xfId="356"/>
    <cellStyle name="_Volatilidad 3 3" xfId="357"/>
    <cellStyle name="=C:\WINNT35\SYSTEM32\COMMAND.COM" xfId="358"/>
    <cellStyle name="=C:\WINNT35\SYSTEM32\COMMAND.COM 2" xfId="359"/>
    <cellStyle name="=C:\WINNT35\SYSTEM32\COMMAND.COM 3" xfId="360"/>
    <cellStyle name="1" xfId="5"/>
    <cellStyle name="1 10" xfId="361"/>
    <cellStyle name="1 10 2" xfId="362"/>
    <cellStyle name="1 10 2 2" xfId="363"/>
    <cellStyle name="1 10 2 3" xfId="364"/>
    <cellStyle name="1 10 2 4" xfId="365"/>
    <cellStyle name="1 10 2 5" xfId="366"/>
    <cellStyle name="1 10 3" xfId="367"/>
    <cellStyle name="1 10 4" xfId="368"/>
    <cellStyle name="1 10 5" xfId="369"/>
    <cellStyle name="1 10 6" xfId="370"/>
    <cellStyle name="1 11" xfId="371"/>
    <cellStyle name="1 11 2" xfId="372"/>
    <cellStyle name="1 11 2 2" xfId="373"/>
    <cellStyle name="1 11 2 3" xfId="374"/>
    <cellStyle name="1 11 2 4" xfId="375"/>
    <cellStyle name="1 11 2 5" xfId="376"/>
    <cellStyle name="1 11 3" xfId="377"/>
    <cellStyle name="1 11 4" xfId="378"/>
    <cellStyle name="1 11 5" xfId="379"/>
    <cellStyle name="1 11 6" xfId="380"/>
    <cellStyle name="1 12" xfId="381"/>
    <cellStyle name="1 12 2" xfId="382"/>
    <cellStyle name="1 12 2 2" xfId="383"/>
    <cellStyle name="1 12 2 3" xfId="384"/>
    <cellStyle name="1 12 2 4" xfId="385"/>
    <cellStyle name="1 12 2 5" xfId="386"/>
    <cellStyle name="1 12 3" xfId="387"/>
    <cellStyle name="1 12 4" xfId="388"/>
    <cellStyle name="1 12 5" xfId="389"/>
    <cellStyle name="1 12 6" xfId="390"/>
    <cellStyle name="1 13" xfId="391"/>
    <cellStyle name="1 13 2" xfId="392"/>
    <cellStyle name="1 13 2 2" xfId="393"/>
    <cellStyle name="1 13 2 3" xfId="394"/>
    <cellStyle name="1 13 2 4" xfId="395"/>
    <cellStyle name="1 13 2 5" xfId="396"/>
    <cellStyle name="1 13 3" xfId="397"/>
    <cellStyle name="1 13 4" xfId="398"/>
    <cellStyle name="1 13 5" xfId="399"/>
    <cellStyle name="1 13 6" xfId="400"/>
    <cellStyle name="1 14" xfId="401"/>
    <cellStyle name="1 14 2" xfId="402"/>
    <cellStyle name="1 14 2 2" xfId="403"/>
    <cellStyle name="1 14 2 3" xfId="404"/>
    <cellStyle name="1 14 2 4" xfId="405"/>
    <cellStyle name="1 14 2 5" xfId="406"/>
    <cellStyle name="1 14 3" xfId="407"/>
    <cellStyle name="1 14 4" xfId="408"/>
    <cellStyle name="1 14 5" xfId="409"/>
    <cellStyle name="1 14 6" xfId="410"/>
    <cellStyle name="1 15" xfId="411"/>
    <cellStyle name="1 15 2" xfId="412"/>
    <cellStyle name="1 15 2 2" xfId="413"/>
    <cellStyle name="1 15 2 2 2" xfId="414"/>
    <cellStyle name="1 15 2 2 3" xfId="415"/>
    <cellStyle name="1 15 2 2 4" xfId="416"/>
    <cellStyle name="1 15 2 2 5" xfId="417"/>
    <cellStyle name="1 15 2 3" xfId="418"/>
    <cellStyle name="1 15 2 4" xfId="419"/>
    <cellStyle name="1 15 2 5" xfId="420"/>
    <cellStyle name="1 15 2 6" xfId="421"/>
    <cellStyle name="1 15 3" xfId="422"/>
    <cellStyle name="1 15 3 2" xfId="423"/>
    <cellStyle name="1 15 3 3" xfId="424"/>
    <cellStyle name="1 15 3 4" xfId="425"/>
    <cellStyle name="1 15 3 5" xfId="426"/>
    <cellStyle name="1 15 4" xfId="427"/>
    <cellStyle name="1 15 5" xfId="428"/>
    <cellStyle name="1 15 6" xfId="429"/>
    <cellStyle name="1 15 7" xfId="430"/>
    <cellStyle name="1 16" xfId="431"/>
    <cellStyle name="1 16 2" xfId="432"/>
    <cellStyle name="1 16 2 2" xfId="433"/>
    <cellStyle name="1 16 2 2 2" xfId="434"/>
    <cellStyle name="1 16 2 2 3" xfId="435"/>
    <cellStyle name="1 16 2 2 4" xfId="436"/>
    <cellStyle name="1 16 2 2 5" xfId="437"/>
    <cellStyle name="1 16 2 3" xfId="438"/>
    <cellStyle name="1 16 2 4" xfId="439"/>
    <cellStyle name="1 16 2 5" xfId="440"/>
    <cellStyle name="1 16 2 6" xfId="441"/>
    <cellStyle name="1 16 3" xfId="442"/>
    <cellStyle name="1 16 3 2" xfId="443"/>
    <cellStyle name="1 16 3 3" xfId="444"/>
    <cellStyle name="1 16 3 4" xfId="445"/>
    <cellStyle name="1 16 3 5" xfId="446"/>
    <cellStyle name="1 16 4" xfId="447"/>
    <cellStyle name="1 16 5" xfId="448"/>
    <cellStyle name="1 16 6" xfId="449"/>
    <cellStyle name="1 16 7" xfId="450"/>
    <cellStyle name="1 17" xfId="451"/>
    <cellStyle name="1 17 2" xfId="452"/>
    <cellStyle name="1 17 2 2" xfId="453"/>
    <cellStyle name="1 17 2 2 2" xfId="454"/>
    <cellStyle name="1 17 2 2 3" xfId="455"/>
    <cellStyle name="1 17 2 2 4" xfId="456"/>
    <cellStyle name="1 17 2 2 5" xfId="457"/>
    <cellStyle name="1 17 2 3" xfId="458"/>
    <cellStyle name="1 17 2 4" xfId="459"/>
    <cellStyle name="1 17 2 5" xfId="460"/>
    <cellStyle name="1 17 2 6" xfId="461"/>
    <cellStyle name="1 17 3" xfId="462"/>
    <cellStyle name="1 17 3 2" xfId="463"/>
    <cellStyle name="1 17 3 3" xfId="464"/>
    <cellStyle name="1 17 3 4" xfId="465"/>
    <cellStyle name="1 17 3 5" xfId="466"/>
    <cellStyle name="1 17 4" xfId="467"/>
    <cellStyle name="1 17 5" xfId="468"/>
    <cellStyle name="1 17 6" xfId="469"/>
    <cellStyle name="1 17 7" xfId="470"/>
    <cellStyle name="1 18" xfId="471"/>
    <cellStyle name="1 18 2" xfId="472"/>
    <cellStyle name="1 18 2 2" xfId="473"/>
    <cellStyle name="1 18 2 3" xfId="474"/>
    <cellStyle name="1 18 2 4" xfId="475"/>
    <cellStyle name="1 18 2 5" xfId="476"/>
    <cellStyle name="1 18 3" xfId="477"/>
    <cellStyle name="1 18 4" xfId="478"/>
    <cellStyle name="1 18 5" xfId="479"/>
    <cellStyle name="1 18 6" xfId="480"/>
    <cellStyle name="1 19" xfId="481"/>
    <cellStyle name="1 2" xfId="6"/>
    <cellStyle name="1 2 10" xfId="482"/>
    <cellStyle name="1 2 11" xfId="483"/>
    <cellStyle name="1 2 2" xfId="484"/>
    <cellStyle name="1 2 2 10" xfId="485"/>
    <cellStyle name="1 2 2 11" xfId="486"/>
    <cellStyle name="1 2 2 2" xfId="487"/>
    <cellStyle name="1 2 2 2 2" xfId="488"/>
    <cellStyle name="1 2 2 2 2 2" xfId="489"/>
    <cellStyle name="1 2 2 2 2 2 2" xfId="490"/>
    <cellStyle name="1 2 2 2 2 2 3" xfId="491"/>
    <cellStyle name="1 2 2 2 2 2 4" xfId="492"/>
    <cellStyle name="1 2 2 2 2 2 5" xfId="493"/>
    <cellStyle name="1 2 2 2 2 3" xfId="494"/>
    <cellStyle name="1 2 2 2 2 4" xfId="495"/>
    <cellStyle name="1 2 2 2 2 5" xfId="496"/>
    <cellStyle name="1 2 2 2 2 6" xfId="497"/>
    <cellStyle name="1 2 2 2 3" xfId="498"/>
    <cellStyle name="1 2 2 2 3 2" xfId="499"/>
    <cellStyle name="1 2 2 2 3 2 2" xfId="500"/>
    <cellStyle name="1 2 2 2 3 2 3" xfId="501"/>
    <cellStyle name="1 2 2 2 3 2 4" xfId="502"/>
    <cellStyle name="1 2 2 2 3 2 5" xfId="503"/>
    <cellStyle name="1 2 2 2 3 3" xfId="504"/>
    <cellStyle name="1 2 2 2 3 4" xfId="505"/>
    <cellStyle name="1 2 2 2 3 5" xfId="506"/>
    <cellStyle name="1 2 2 2 3 6" xfId="507"/>
    <cellStyle name="1 2 2 2 4" xfId="508"/>
    <cellStyle name="1 2 2 2 4 2" xfId="509"/>
    <cellStyle name="1 2 2 2 4 3" xfId="510"/>
    <cellStyle name="1 2 2 2 4 4" xfId="511"/>
    <cellStyle name="1 2 2 2 4 5" xfId="512"/>
    <cellStyle name="1 2 2 2 5" xfId="513"/>
    <cellStyle name="1 2 2 2 6" xfId="514"/>
    <cellStyle name="1 2 2 2 7" xfId="515"/>
    <cellStyle name="1 2 2 2 8" xfId="516"/>
    <cellStyle name="1 2 2 3" xfId="517"/>
    <cellStyle name="1 2 2 3 2" xfId="518"/>
    <cellStyle name="1 2 2 3 2 2" xfId="519"/>
    <cellStyle name="1 2 2 3 2 2 2" xfId="520"/>
    <cellStyle name="1 2 2 3 2 2 3" xfId="521"/>
    <cellStyle name="1 2 2 3 2 2 4" xfId="522"/>
    <cellStyle name="1 2 2 3 2 2 5" xfId="523"/>
    <cellStyle name="1 2 2 3 2 3" xfId="524"/>
    <cellStyle name="1 2 2 3 2 4" xfId="525"/>
    <cellStyle name="1 2 2 3 2 5" xfId="526"/>
    <cellStyle name="1 2 2 3 2 6" xfId="527"/>
    <cellStyle name="1 2 2 3 3" xfId="528"/>
    <cellStyle name="1 2 2 3 3 2" xfId="529"/>
    <cellStyle name="1 2 2 3 3 3" xfId="530"/>
    <cellStyle name="1 2 2 3 3 4" xfId="531"/>
    <cellStyle name="1 2 2 3 3 5" xfId="532"/>
    <cellStyle name="1 2 2 3 4" xfId="533"/>
    <cellStyle name="1 2 2 3 5" xfId="534"/>
    <cellStyle name="1 2 2 3 6" xfId="535"/>
    <cellStyle name="1 2 2 3 7" xfId="536"/>
    <cellStyle name="1 2 2 4" xfId="537"/>
    <cellStyle name="1 2 2 4 2" xfId="538"/>
    <cellStyle name="1 2 2 4 2 2" xfId="539"/>
    <cellStyle name="1 2 2 4 2 3" xfId="540"/>
    <cellStyle name="1 2 2 4 2 4" xfId="541"/>
    <cellStyle name="1 2 2 4 2 5" xfId="542"/>
    <cellStyle name="1 2 2 4 3" xfId="543"/>
    <cellStyle name="1 2 2 4 4" xfId="544"/>
    <cellStyle name="1 2 2 4 5" xfId="545"/>
    <cellStyle name="1 2 2 4 6" xfId="546"/>
    <cellStyle name="1 2 2 5" xfId="547"/>
    <cellStyle name="1 2 2 5 2" xfId="548"/>
    <cellStyle name="1 2 2 5 2 2" xfId="549"/>
    <cellStyle name="1 2 2 5 2 3" xfId="550"/>
    <cellStyle name="1 2 2 5 2 4" xfId="551"/>
    <cellStyle name="1 2 2 5 2 5" xfId="552"/>
    <cellStyle name="1 2 2 5 3" xfId="553"/>
    <cellStyle name="1 2 2 5 4" xfId="554"/>
    <cellStyle name="1 2 2 5 5" xfId="555"/>
    <cellStyle name="1 2 2 5 6" xfId="556"/>
    <cellStyle name="1 2 2 6" xfId="557"/>
    <cellStyle name="1 2 2 6 2" xfId="558"/>
    <cellStyle name="1 2 2 6 2 2" xfId="559"/>
    <cellStyle name="1 2 2 6 2 3" xfId="560"/>
    <cellStyle name="1 2 2 6 2 4" xfId="561"/>
    <cellStyle name="1 2 2 6 2 5" xfId="562"/>
    <cellStyle name="1 2 2 6 3" xfId="563"/>
    <cellStyle name="1 2 2 6 4" xfId="564"/>
    <cellStyle name="1 2 2 6 5" xfId="565"/>
    <cellStyle name="1 2 2 6 6" xfId="566"/>
    <cellStyle name="1 2 2 7" xfId="567"/>
    <cellStyle name="1 2 2 7 2" xfId="568"/>
    <cellStyle name="1 2 2 7 3" xfId="569"/>
    <cellStyle name="1 2 2 7 4" xfId="570"/>
    <cellStyle name="1 2 2 7 5" xfId="571"/>
    <cellStyle name="1 2 2 8" xfId="572"/>
    <cellStyle name="1 2 2 9" xfId="573"/>
    <cellStyle name="1 2 2_SwapRT10" xfId="574"/>
    <cellStyle name="1 2 3" xfId="575"/>
    <cellStyle name="1 2 3 2" xfId="576"/>
    <cellStyle name="1 2 3 2 2" xfId="577"/>
    <cellStyle name="1 2 3 2 3" xfId="578"/>
    <cellStyle name="1 2 3 2 4" xfId="579"/>
    <cellStyle name="1 2 3 2 5" xfId="580"/>
    <cellStyle name="1 2 3 3" xfId="581"/>
    <cellStyle name="1 2 3 4" xfId="582"/>
    <cellStyle name="1 2 3 5" xfId="583"/>
    <cellStyle name="1 2 3 6" xfId="584"/>
    <cellStyle name="1 2 4" xfId="585"/>
    <cellStyle name="1 2 4 2" xfId="586"/>
    <cellStyle name="1 2 4 2 2" xfId="587"/>
    <cellStyle name="1 2 4 2 3" xfId="588"/>
    <cellStyle name="1 2 4 2 4" xfId="589"/>
    <cellStyle name="1 2 4 2 5" xfId="590"/>
    <cellStyle name="1 2 4 3" xfId="591"/>
    <cellStyle name="1 2 4 4" xfId="592"/>
    <cellStyle name="1 2 4 5" xfId="593"/>
    <cellStyle name="1 2 4 6" xfId="594"/>
    <cellStyle name="1 2 5" xfId="595"/>
    <cellStyle name="1 2 5 2" xfId="596"/>
    <cellStyle name="1 2 5 2 2" xfId="597"/>
    <cellStyle name="1 2 5 2 3" xfId="598"/>
    <cellStyle name="1 2 5 2 4" xfId="599"/>
    <cellStyle name="1 2 5 2 5" xfId="600"/>
    <cellStyle name="1 2 5 3" xfId="601"/>
    <cellStyle name="1 2 5 4" xfId="602"/>
    <cellStyle name="1 2 5 5" xfId="603"/>
    <cellStyle name="1 2 5 6" xfId="604"/>
    <cellStyle name="1 2 6" xfId="605"/>
    <cellStyle name="1 2 6 2" xfId="606"/>
    <cellStyle name="1 2 6 3" xfId="607"/>
    <cellStyle name="1 2 6 4" xfId="608"/>
    <cellStyle name="1 2 6 5" xfId="609"/>
    <cellStyle name="1 2 7" xfId="610"/>
    <cellStyle name="1 2 8" xfId="611"/>
    <cellStyle name="1 2 9" xfId="612"/>
    <cellStyle name="1 3" xfId="7"/>
    <cellStyle name="1 3 10" xfId="613"/>
    <cellStyle name="1 3 11" xfId="614"/>
    <cellStyle name="1 3 2" xfId="615"/>
    <cellStyle name="1 3 2 2" xfId="616"/>
    <cellStyle name="1 3 2 2 2" xfId="617"/>
    <cellStyle name="1 3 2 2 2 2" xfId="618"/>
    <cellStyle name="1 3 2 2 2 3" xfId="619"/>
    <cellStyle name="1 3 2 2 2 4" xfId="620"/>
    <cellStyle name="1 3 2 2 2 5" xfId="621"/>
    <cellStyle name="1 3 2 2 3" xfId="622"/>
    <cellStyle name="1 3 2 2 4" xfId="623"/>
    <cellStyle name="1 3 2 2 5" xfId="624"/>
    <cellStyle name="1 3 2 2 6" xfId="625"/>
    <cellStyle name="1 3 2 3" xfId="626"/>
    <cellStyle name="1 3 2 3 2" xfId="627"/>
    <cellStyle name="1 3 2 3 2 2" xfId="628"/>
    <cellStyle name="1 3 2 3 2 3" xfId="629"/>
    <cellStyle name="1 3 2 3 2 4" xfId="630"/>
    <cellStyle name="1 3 2 3 2 5" xfId="631"/>
    <cellStyle name="1 3 2 3 3" xfId="632"/>
    <cellStyle name="1 3 2 3 4" xfId="633"/>
    <cellStyle name="1 3 2 3 5" xfId="634"/>
    <cellStyle name="1 3 2 3 6" xfId="635"/>
    <cellStyle name="1 3 2 4" xfId="636"/>
    <cellStyle name="1 3 2 4 2" xfId="637"/>
    <cellStyle name="1 3 2 4 3" xfId="638"/>
    <cellStyle name="1 3 2 4 4" xfId="639"/>
    <cellStyle name="1 3 2 4 5" xfId="640"/>
    <cellStyle name="1 3 2 5" xfId="641"/>
    <cellStyle name="1 3 2 6" xfId="642"/>
    <cellStyle name="1 3 2 7" xfId="643"/>
    <cellStyle name="1 3 2 8" xfId="644"/>
    <cellStyle name="1 3 3" xfId="645"/>
    <cellStyle name="1 3 3 2" xfId="646"/>
    <cellStyle name="1 3 3 2 2" xfId="647"/>
    <cellStyle name="1 3 3 2 2 2" xfId="648"/>
    <cellStyle name="1 3 3 2 2 3" xfId="649"/>
    <cellStyle name="1 3 3 2 2 4" xfId="650"/>
    <cellStyle name="1 3 3 2 2 5" xfId="651"/>
    <cellStyle name="1 3 3 2 3" xfId="652"/>
    <cellStyle name="1 3 3 2 4" xfId="653"/>
    <cellStyle name="1 3 3 2 5" xfId="654"/>
    <cellStyle name="1 3 3 2 6" xfId="655"/>
    <cellStyle name="1 3 3 3" xfId="656"/>
    <cellStyle name="1 3 3 3 2" xfId="657"/>
    <cellStyle name="1 3 3 3 3" xfId="658"/>
    <cellStyle name="1 3 3 3 4" xfId="659"/>
    <cellStyle name="1 3 3 3 5" xfId="660"/>
    <cellStyle name="1 3 3 4" xfId="661"/>
    <cellStyle name="1 3 3 5" xfId="662"/>
    <cellStyle name="1 3 3 6" xfId="663"/>
    <cellStyle name="1 3 3 7" xfId="664"/>
    <cellStyle name="1 3 4" xfId="665"/>
    <cellStyle name="1 3 4 2" xfId="666"/>
    <cellStyle name="1 3 4 2 2" xfId="667"/>
    <cellStyle name="1 3 4 2 3" xfId="668"/>
    <cellStyle name="1 3 4 2 4" xfId="669"/>
    <cellStyle name="1 3 4 2 5" xfId="670"/>
    <cellStyle name="1 3 4 3" xfId="671"/>
    <cellStyle name="1 3 4 4" xfId="672"/>
    <cellStyle name="1 3 4 5" xfId="673"/>
    <cellStyle name="1 3 4 6" xfId="674"/>
    <cellStyle name="1 3 5" xfId="675"/>
    <cellStyle name="1 3 5 2" xfId="676"/>
    <cellStyle name="1 3 5 2 2" xfId="677"/>
    <cellStyle name="1 3 5 2 3" xfId="678"/>
    <cellStyle name="1 3 5 2 4" xfId="679"/>
    <cellStyle name="1 3 5 2 5" xfId="680"/>
    <cellStyle name="1 3 5 3" xfId="681"/>
    <cellStyle name="1 3 5 4" xfId="682"/>
    <cellStyle name="1 3 5 5" xfId="683"/>
    <cellStyle name="1 3 5 6" xfId="684"/>
    <cellStyle name="1 3 6" xfId="685"/>
    <cellStyle name="1 3 6 2" xfId="686"/>
    <cellStyle name="1 3 6 3" xfId="687"/>
    <cellStyle name="1 3 6 4" xfId="688"/>
    <cellStyle name="1 3 6 5" xfId="689"/>
    <cellStyle name="1 3 7" xfId="690"/>
    <cellStyle name="1 3 8" xfId="691"/>
    <cellStyle name="1 3 9" xfId="692"/>
    <cellStyle name="1 3_12.05.29 AngloAmericaCCY ASW 7Y" xfId="693"/>
    <cellStyle name="1 4" xfId="694"/>
    <cellStyle name="1 4 2" xfId="695"/>
    <cellStyle name="1 4 2 2" xfId="696"/>
    <cellStyle name="1 4 2 2 2" xfId="697"/>
    <cellStyle name="1 4 2 2 2 2" xfId="698"/>
    <cellStyle name="1 4 2 2 2 3" xfId="699"/>
    <cellStyle name="1 4 2 2 2 4" xfId="700"/>
    <cellStyle name="1 4 2 2 2 5" xfId="701"/>
    <cellStyle name="1 4 2 2 3" xfId="702"/>
    <cellStyle name="1 4 2 2 4" xfId="703"/>
    <cellStyle name="1 4 2 2 5" xfId="704"/>
    <cellStyle name="1 4 2 2 6" xfId="705"/>
    <cellStyle name="1 4 2 3" xfId="706"/>
    <cellStyle name="1 4 2 3 2" xfId="707"/>
    <cellStyle name="1 4 2 3 3" xfId="708"/>
    <cellStyle name="1 4 2 3 4" xfId="709"/>
    <cellStyle name="1 4 2 3 5" xfId="710"/>
    <cellStyle name="1 4 2 4" xfId="711"/>
    <cellStyle name="1 4 2 5" xfId="712"/>
    <cellStyle name="1 4 2 6" xfId="713"/>
    <cellStyle name="1 4 2 7" xfId="714"/>
    <cellStyle name="1 4 3" xfId="715"/>
    <cellStyle name="1 4 3 2" xfId="716"/>
    <cellStyle name="1 4 3 2 2" xfId="717"/>
    <cellStyle name="1 4 3 2 2 2" xfId="718"/>
    <cellStyle name="1 4 3 2 2 3" xfId="719"/>
    <cellStyle name="1 4 3 2 2 4" xfId="720"/>
    <cellStyle name="1 4 3 2 2 5" xfId="721"/>
    <cellStyle name="1 4 3 2 3" xfId="722"/>
    <cellStyle name="1 4 3 2 4" xfId="723"/>
    <cellStyle name="1 4 3 2 5" xfId="724"/>
    <cellStyle name="1 4 3 2 6" xfId="725"/>
    <cellStyle name="1 4 3 3" xfId="726"/>
    <cellStyle name="1 4 3 3 2" xfId="727"/>
    <cellStyle name="1 4 3 3 3" xfId="728"/>
    <cellStyle name="1 4 3 3 4" xfId="729"/>
    <cellStyle name="1 4 3 3 5" xfId="730"/>
    <cellStyle name="1 4 3 4" xfId="731"/>
    <cellStyle name="1 4 3 5" xfId="732"/>
    <cellStyle name="1 4 3 6" xfId="733"/>
    <cellStyle name="1 4 3 7" xfId="734"/>
    <cellStyle name="1 4 4" xfId="735"/>
    <cellStyle name="1 4 4 2" xfId="736"/>
    <cellStyle name="1 4 4 2 2" xfId="737"/>
    <cellStyle name="1 4 4 2 3" xfId="738"/>
    <cellStyle name="1 4 4 2 4" xfId="739"/>
    <cellStyle name="1 4 4 2 5" xfId="740"/>
    <cellStyle name="1 4 4 3" xfId="741"/>
    <cellStyle name="1 4 4 4" xfId="742"/>
    <cellStyle name="1 4 4 5" xfId="743"/>
    <cellStyle name="1 4 4 6" xfId="744"/>
    <cellStyle name="1 4 5" xfId="745"/>
    <cellStyle name="1 4 5 2" xfId="746"/>
    <cellStyle name="1 4 5 3" xfId="747"/>
    <cellStyle name="1 4 5 4" xfId="748"/>
    <cellStyle name="1 4 5 5" xfId="749"/>
    <cellStyle name="1 4 6" xfId="750"/>
    <cellStyle name="1 4 7" xfId="751"/>
    <cellStyle name="1 4 8" xfId="752"/>
    <cellStyle name="1 4 9" xfId="753"/>
    <cellStyle name="1 5" xfId="754"/>
    <cellStyle name="1 5 2" xfId="755"/>
    <cellStyle name="1 5 2 2" xfId="756"/>
    <cellStyle name="1 5 2 2 2" xfId="757"/>
    <cellStyle name="1 5 2 2 3" xfId="758"/>
    <cellStyle name="1 5 2 2 4" xfId="759"/>
    <cellStyle name="1 5 2 2 5" xfId="760"/>
    <cellStyle name="1 5 2 3" xfId="761"/>
    <cellStyle name="1 5 2 4" xfId="762"/>
    <cellStyle name="1 5 2 5" xfId="763"/>
    <cellStyle name="1 5 2 6" xfId="764"/>
    <cellStyle name="1 5 3" xfId="765"/>
    <cellStyle name="1 5 3 2" xfId="766"/>
    <cellStyle name="1 5 3 2 2" xfId="767"/>
    <cellStyle name="1 5 3 2 3" xfId="768"/>
    <cellStyle name="1 5 3 2 4" xfId="769"/>
    <cellStyle name="1 5 3 2 5" xfId="770"/>
    <cellStyle name="1 5 3 3" xfId="771"/>
    <cellStyle name="1 5 3 4" xfId="772"/>
    <cellStyle name="1 5 3 5" xfId="773"/>
    <cellStyle name="1 5 3 6" xfId="774"/>
    <cellStyle name="1 5 4" xfId="775"/>
    <cellStyle name="1 5 4 2" xfId="776"/>
    <cellStyle name="1 5 4 2 2" xfId="777"/>
    <cellStyle name="1 5 4 2 3" xfId="778"/>
    <cellStyle name="1 5 4 2 4" xfId="779"/>
    <cellStyle name="1 5 4 2 5" xfId="780"/>
    <cellStyle name="1 5 4 3" xfId="781"/>
    <cellStyle name="1 5 4 4" xfId="782"/>
    <cellStyle name="1 5 4 5" xfId="783"/>
    <cellStyle name="1 5 4 6" xfId="784"/>
    <cellStyle name="1 5 5" xfId="785"/>
    <cellStyle name="1 5 5 2" xfId="786"/>
    <cellStyle name="1 5 5 3" xfId="787"/>
    <cellStyle name="1 5 5 4" xfId="788"/>
    <cellStyle name="1 5 5 5" xfId="789"/>
    <cellStyle name="1 5 6" xfId="790"/>
    <cellStyle name="1 5 7" xfId="791"/>
    <cellStyle name="1 5 8" xfId="792"/>
    <cellStyle name="1 5 9" xfId="793"/>
    <cellStyle name="1 6" xfId="794"/>
    <cellStyle name="1 6 2" xfId="795"/>
    <cellStyle name="1 6 2 2" xfId="796"/>
    <cellStyle name="1 6 2 2 2" xfId="797"/>
    <cellStyle name="1 6 2 2 2 2" xfId="798"/>
    <cellStyle name="1 6 2 2 2 3" xfId="799"/>
    <cellStyle name="1 6 2 2 2 4" xfId="800"/>
    <cellStyle name="1 6 2 2 2 5" xfId="801"/>
    <cellStyle name="1 6 2 2 3" xfId="802"/>
    <cellStyle name="1 6 2 2 4" xfId="803"/>
    <cellStyle name="1 6 2 2 5" xfId="804"/>
    <cellStyle name="1 6 2 2 6" xfId="805"/>
    <cellStyle name="1 6 2 3" xfId="806"/>
    <cellStyle name="1 6 2 3 2" xfId="807"/>
    <cellStyle name="1 6 2 3 3" xfId="808"/>
    <cellStyle name="1 6 2 3 4" xfId="809"/>
    <cellStyle name="1 6 2 3 5" xfId="810"/>
    <cellStyle name="1 6 2 4" xfId="811"/>
    <cellStyle name="1 6 2 5" xfId="812"/>
    <cellStyle name="1 6 2 6" xfId="813"/>
    <cellStyle name="1 6 2 7" xfId="814"/>
    <cellStyle name="1 6 3" xfId="815"/>
    <cellStyle name="1 6 3 2" xfId="816"/>
    <cellStyle name="1 6 3 2 2" xfId="817"/>
    <cellStyle name="1 6 3 2 3" xfId="818"/>
    <cellStyle name="1 6 3 2 4" xfId="819"/>
    <cellStyle name="1 6 3 2 5" xfId="820"/>
    <cellStyle name="1 6 3 3" xfId="821"/>
    <cellStyle name="1 6 3 4" xfId="822"/>
    <cellStyle name="1 6 3 5" xfId="823"/>
    <cellStyle name="1 6 3 6" xfId="824"/>
    <cellStyle name="1 6 4" xfId="825"/>
    <cellStyle name="1 6 4 2" xfId="826"/>
    <cellStyle name="1 6 4 3" xfId="827"/>
    <cellStyle name="1 6 4 4" xfId="828"/>
    <cellStyle name="1 6 4 5" xfId="829"/>
    <cellStyle name="1 6 5" xfId="830"/>
    <cellStyle name="1 6 6" xfId="831"/>
    <cellStyle name="1 6 7" xfId="832"/>
    <cellStyle name="1 6 8" xfId="833"/>
    <cellStyle name="1 7" xfId="834"/>
    <cellStyle name="1 7 2" xfId="835"/>
    <cellStyle name="1 7 2 2" xfId="836"/>
    <cellStyle name="1 7 2 2 2" xfId="837"/>
    <cellStyle name="1 7 2 2 3" xfId="838"/>
    <cellStyle name="1 7 2 2 4" xfId="839"/>
    <cellStyle name="1 7 2 2 5" xfId="840"/>
    <cellStyle name="1 7 2 3" xfId="841"/>
    <cellStyle name="1 7 2 4" xfId="842"/>
    <cellStyle name="1 7 2 5" xfId="843"/>
    <cellStyle name="1 7 2 6" xfId="844"/>
    <cellStyle name="1 7 3" xfId="845"/>
    <cellStyle name="1 7 3 2" xfId="846"/>
    <cellStyle name="1 7 3 3" xfId="847"/>
    <cellStyle name="1 7 3 4" xfId="848"/>
    <cellStyle name="1 7 3 5" xfId="849"/>
    <cellStyle name="1 7 4" xfId="850"/>
    <cellStyle name="1 7 5" xfId="851"/>
    <cellStyle name="1 7 6" xfId="852"/>
    <cellStyle name="1 7 7" xfId="853"/>
    <cellStyle name="1 8" xfId="854"/>
    <cellStyle name="1 8 2" xfId="855"/>
    <cellStyle name="1 8 2 2" xfId="856"/>
    <cellStyle name="1 8 2 2 2" xfId="857"/>
    <cellStyle name="1 8 2 2 3" xfId="858"/>
    <cellStyle name="1 8 2 2 4" xfId="859"/>
    <cellStyle name="1 8 2 2 5" xfId="860"/>
    <cellStyle name="1 8 2 3" xfId="861"/>
    <cellStyle name="1 8 2 4" xfId="862"/>
    <cellStyle name="1 8 2 5" xfId="863"/>
    <cellStyle name="1 8 2 6" xfId="864"/>
    <cellStyle name="1 8 3" xfId="865"/>
    <cellStyle name="1 8 3 2" xfId="866"/>
    <cellStyle name="1 8 3 3" xfId="867"/>
    <cellStyle name="1 8 3 4" xfId="868"/>
    <cellStyle name="1 8 3 5" xfId="869"/>
    <cellStyle name="1 8 4" xfId="870"/>
    <cellStyle name="1 8 5" xfId="871"/>
    <cellStyle name="1 8 6" xfId="872"/>
    <cellStyle name="1 8 7" xfId="873"/>
    <cellStyle name="1 9" xfId="874"/>
    <cellStyle name="1 9 2" xfId="875"/>
    <cellStyle name="1 9 2 2" xfId="876"/>
    <cellStyle name="1 9 2 3" xfId="877"/>
    <cellStyle name="1 9 2 4" xfId="878"/>
    <cellStyle name="1 9 2 5" xfId="879"/>
    <cellStyle name="1 9 3" xfId="880"/>
    <cellStyle name="1 9 4" xfId="881"/>
    <cellStyle name="1 9 5" xfId="882"/>
    <cellStyle name="1 9 6" xfId="883"/>
    <cellStyle name="1_deltas" xfId="8"/>
    <cellStyle name="1_DeltaViewer" xfId="884"/>
    <cellStyle name="1_ESTRUCTURAS" xfId="885"/>
    <cellStyle name="1_ESTRUCTURAS 2" xfId="886"/>
    <cellStyle name="1_ESTRUCTURAS 2 2" xfId="887"/>
    <cellStyle name="1_ESTRUCTURAS 2 3" xfId="888"/>
    <cellStyle name="1_ESTRUCTURAS 2 4" xfId="889"/>
    <cellStyle name="1_ESTRUCTURAS 2 5" xfId="890"/>
    <cellStyle name="1_ESTRUCTURAS 3" xfId="891"/>
    <cellStyle name="1_ESTRUCTURAS 4" xfId="892"/>
    <cellStyle name="1_ESTRUCTURAS 5" xfId="893"/>
    <cellStyle name="1_ESTRUCTURAS 6" xfId="894"/>
    <cellStyle name="1_Instrumento_Cartera" xfId="895"/>
    <cellStyle name="1_Instrumento_Cartera 2" xfId="896"/>
    <cellStyle name="1_Instrumento_Cartera 2 2" xfId="897"/>
    <cellStyle name="1_Instrumento_Cartera 2 3" xfId="898"/>
    <cellStyle name="1_Instrumento_Cartera 2 4" xfId="899"/>
    <cellStyle name="1_Instrumento_Cartera 2 5" xfId="900"/>
    <cellStyle name="1_Instrumento_Cartera 3" xfId="901"/>
    <cellStyle name="1_Instrumento_Cartera 4" xfId="902"/>
    <cellStyle name="1_Instrumento_Cartera 5" xfId="903"/>
    <cellStyle name="1_Instrumento_Cartera 6" xfId="904"/>
    <cellStyle name="1_Main" xfId="905"/>
    <cellStyle name="1_Main 2" xfId="906"/>
    <cellStyle name="1_Main 2 2" xfId="907"/>
    <cellStyle name="1_Main 2 3" xfId="908"/>
    <cellStyle name="1_Main 2 4" xfId="909"/>
    <cellStyle name="1_Main 2 5" xfId="910"/>
    <cellStyle name="1_Main 3" xfId="911"/>
    <cellStyle name="1_Main 4" xfId="912"/>
    <cellStyle name="1_Main 5" xfId="913"/>
    <cellStyle name="1_Main 6" xfId="914"/>
    <cellStyle name="1_OUTPUT" xfId="9"/>
    <cellStyle name="1_RISK INPUT" xfId="10"/>
    <cellStyle name="1_SIMULATION" xfId="915"/>
    <cellStyle name="1_SIMULATION 2" xfId="916"/>
    <cellStyle name="1_SIMULATION 2 2" xfId="917"/>
    <cellStyle name="1_SIMULATION 2 2 2" xfId="918"/>
    <cellStyle name="1_SIMULATION 2 2 3" xfId="919"/>
    <cellStyle name="1_SIMULATION 2 2 4" xfId="920"/>
    <cellStyle name="1_SIMULATION 2 2 5" xfId="921"/>
    <cellStyle name="1_SIMULATION 2 3" xfId="922"/>
    <cellStyle name="1_SIMULATION 2 4" xfId="923"/>
    <cellStyle name="1_SIMULATION 2 5" xfId="924"/>
    <cellStyle name="1_SIMULATION 2 6" xfId="925"/>
    <cellStyle name="1_SIMULATION 3" xfId="926"/>
    <cellStyle name="1_SIMULATION 3 2" xfId="927"/>
    <cellStyle name="1_SIMULATION 3 3" xfId="928"/>
    <cellStyle name="1_SIMULATION 3 4" xfId="929"/>
    <cellStyle name="1_SIMULATION 3 5" xfId="930"/>
    <cellStyle name="1_SIMULATION 4" xfId="931"/>
    <cellStyle name="1_SIMULATION 5" xfId="932"/>
    <cellStyle name="1_SIMULATION 6" xfId="933"/>
    <cellStyle name="1_SIMULATION 7" xfId="934"/>
    <cellStyle name="20% - Accent1 10" xfId="935"/>
    <cellStyle name="20% - Accent1 10 2" xfId="936"/>
    <cellStyle name="20% - Accent1 10 3" xfId="937"/>
    <cellStyle name="20% - Accent1 11" xfId="938"/>
    <cellStyle name="20% - Accent1 11 2" xfId="939"/>
    <cellStyle name="20% - Accent1 11 3" xfId="940"/>
    <cellStyle name="20% - Accent1 12" xfId="941"/>
    <cellStyle name="20% - Accent1 12 2" xfId="942"/>
    <cellStyle name="20% - Accent1 13" xfId="943"/>
    <cellStyle name="20% - Accent1 14" xfId="944"/>
    <cellStyle name="20% - Accent1 2" xfId="945"/>
    <cellStyle name="20% - Accent1 2 2" xfId="946"/>
    <cellStyle name="20% - Accent1 2 2 2" xfId="947"/>
    <cellStyle name="20% - Accent1 2 2 2 2" xfId="948"/>
    <cellStyle name="20% - Accent1 2 2 2 3" xfId="949"/>
    <cellStyle name="20% - Accent1 2 2 3" xfId="950"/>
    <cellStyle name="20% - Accent1 2 2 4" xfId="951"/>
    <cellStyle name="20% - Accent1 2 3" xfId="952"/>
    <cellStyle name="20% - Accent1 3" xfId="953"/>
    <cellStyle name="20% - Accent1 4" xfId="954"/>
    <cellStyle name="20% - Accent1 5" xfId="955"/>
    <cellStyle name="20% - Accent1 6" xfId="956"/>
    <cellStyle name="20% - Accent1 7" xfId="957"/>
    <cellStyle name="20% - Accent1 8" xfId="958"/>
    <cellStyle name="20% - Accent1 9" xfId="959"/>
    <cellStyle name="20% - Accent2 10" xfId="960"/>
    <cellStyle name="20% - Accent2 10 2" xfId="961"/>
    <cellStyle name="20% - Accent2 10 3" xfId="962"/>
    <cellStyle name="20% - Accent2 11" xfId="963"/>
    <cellStyle name="20% - Accent2 11 2" xfId="964"/>
    <cellStyle name="20% - Accent2 11 3" xfId="965"/>
    <cellStyle name="20% - Accent2 12" xfId="966"/>
    <cellStyle name="20% - Accent2 12 2" xfId="967"/>
    <cellStyle name="20% - Accent2 13" xfId="968"/>
    <cellStyle name="20% - Accent2 14" xfId="969"/>
    <cellStyle name="20% - Accent2 2" xfId="970"/>
    <cellStyle name="20% - Accent2 2 2" xfId="971"/>
    <cellStyle name="20% - Accent2 2 2 2" xfId="972"/>
    <cellStyle name="20% - Accent2 2 2 2 2" xfId="973"/>
    <cellStyle name="20% - Accent2 2 2 2 3" xfId="974"/>
    <cellStyle name="20% - Accent2 2 2 3" xfId="975"/>
    <cellStyle name="20% - Accent2 2 2 4" xfId="976"/>
    <cellStyle name="20% - Accent2 2 3" xfId="977"/>
    <cellStyle name="20% - Accent2 3" xfId="978"/>
    <cellStyle name="20% - Accent2 4" xfId="979"/>
    <cellStyle name="20% - Accent2 5" xfId="980"/>
    <cellStyle name="20% - Accent2 6" xfId="981"/>
    <cellStyle name="20% - Accent2 7" xfId="982"/>
    <cellStyle name="20% - Accent2 8" xfId="983"/>
    <cellStyle name="20% - Accent2 9" xfId="984"/>
    <cellStyle name="20% - Accent3 10" xfId="985"/>
    <cellStyle name="20% - Accent3 10 2" xfId="986"/>
    <cellStyle name="20% - Accent3 10 3" xfId="987"/>
    <cellStyle name="20% - Accent3 11" xfId="988"/>
    <cellStyle name="20% - Accent3 11 2" xfId="989"/>
    <cellStyle name="20% - Accent3 11 3" xfId="990"/>
    <cellStyle name="20% - Accent3 12" xfId="991"/>
    <cellStyle name="20% - Accent3 12 2" xfId="992"/>
    <cellStyle name="20% - Accent3 13" xfId="993"/>
    <cellStyle name="20% - Accent3 14" xfId="994"/>
    <cellStyle name="20% - Accent3 2" xfId="995"/>
    <cellStyle name="20% - Accent3 2 2" xfId="996"/>
    <cellStyle name="20% - Accent3 2 2 2" xfId="997"/>
    <cellStyle name="20% - Accent3 2 2 2 2" xfId="998"/>
    <cellStyle name="20% - Accent3 2 2 2 3" xfId="999"/>
    <cellStyle name="20% - Accent3 2 2 3" xfId="1000"/>
    <cellStyle name="20% - Accent3 2 2 4" xfId="1001"/>
    <cellStyle name="20% - Accent3 2 3" xfId="1002"/>
    <cellStyle name="20% - Accent3 3" xfId="1003"/>
    <cellStyle name="20% - Accent3 4" xfId="1004"/>
    <cellStyle name="20% - Accent3 5" xfId="1005"/>
    <cellStyle name="20% - Accent3 6" xfId="1006"/>
    <cellStyle name="20% - Accent3 7" xfId="1007"/>
    <cellStyle name="20% - Accent3 8" xfId="1008"/>
    <cellStyle name="20% - Accent3 9" xfId="1009"/>
    <cellStyle name="20% - Accent4 10" xfId="1010"/>
    <cellStyle name="20% - Accent4 10 2" xfId="1011"/>
    <cellStyle name="20% - Accent4 10 3" xfId="1012"/>
    <cellStyle name="20% - Accent4 11" xfId="1013"/>
    <cellStyle name="20% - Accent4 11 2" xfId="1014"/>
    <cellStyle name="20% - Accent4 11 3" xfId="1015"/>
    <cellStyle name="20% - Accent4 12" xfId="1016"/>
    <cellStyle name="20% - Accent4 12 2" xfId="1017"/>
    <cellStyle name="20% - Accent4 13" xfId="1018"/>
    <cellStyle name="20% - Accent4 14" xfId="1019"/>
    <cellStyle name="20% - Accent4 2" xfId="1020"/>
    <cellStyle name="20% - Accent4 2 2" xfId="1021"/>
    <cellStyle name="20% - Accent4 2 2 2" xfId="1022"/>
    <cellStyle name="20% - Accent4 2 2 2 2" xfId="1023"/>
    <cellStyle name="20% - Accent4 2 2 2 3" xfId="1024"/>
    <cellStyle name="20% - Accent4 2 2 3" xfId="1025"/>
    <cellStyle name="20% - Accent4 2 2 4" xfId="1026"/>
    <cellStyle name="20% - Accent4 2 3" xfId="1027"/>
    <cellStyle name="20% - Accent4 3" xfId="1028"/>
    <cellStyle name="20% - Accent4 4" xfId="1029"/>
    <cellStyle name="20% - Accent4 5" xfId="1030"/>
    <cellStyle name="20% - Accent4 6" xfId="1031"/>
    <cellStyle name="20% - Accent4 7" xfId="1032"/>
    <cellStyle name="20% - Accent4 8" xfId="1033"/>
    <cellStyle name="20% - Accent4 9" xfId="1034"/>
    <cellStyle name="20% - Accent5 10" xfId="1035"/>
    <cellStyle name="20% - Accent5 10 2" xfId="1036"/>
    <cellStyle name="20% - Accent5 10 3" xfId="1037"/>
    <cellStyle name="20% - Accent5 11" xfId="1038"/>
    <cellStyle name="20% - Accent5 11 2" xfId="1039"/>
    <cellStyle name="20% - Accent5 11 3" xfId="1040"/>
    <cellStyle name="20% - Accent5 12" xfId="1041"/>
    <cellStyle name="20% - Accent5 12 2" xfId="1042"/>
    <cellStyle name="20% - Accent5 13" xfId="1043"/>
    <cellStyle name="20% - Accent5 14" xfId="1044"/>
    <cellStyle name="20% - Accent5 2" xfId="1045"/>
    <cellStyle name="20% - Accent5 2 2" xfId="1046"/>
    <cellStyle name="20% - Accent5 2 2 2" xfId="1047"/>
    <cellStyle name="20% - Accent5 2 2 2 2" xfId="1048"/>
    <cellStyle name="20% - Accent5 2 2 2 3" xfId="1049"/>
    <cellStyle name="20% - Accent5 2 2 3" xfId="1050"/>
    <cellStyle name="20% - Accent5 2 2 4" xfId="1051"/>
    <cellStyle name="20% - Accent5 3" xfId="1052"/>
    <cellStyle name="20% - Accent5 4" xfId="1053"/>
    <cellStyle name="20% - Accent5 5" xfId="1054"/>
    <cellStyle name="20% - Accent5 6" xfId="1055"/>
    <cellStyle name="20% - Accent5 7" xfId="1056"/>
    <cellStyle name="20% - Accent5 8" xfId="1057"/>
    <cellStyle name="20% - Accent5 9" xfId="1058"/>
    <cellStyle name="20% - Accent6 10" xfId="1059"/>
    <cellStyle name="20% - Accent6 10 2" xfId="1060"/>
    <cellStyle name="20% - Accent6 10 3" xfId="1061"/>
    <cellStyle name="20% - Accent6 11" xfId="1062"/>
    <cellStyle name="20% - Accent6 11 2" xfId="1063"/>
    <cellStyle name="20% - Accent6 11 3" xfId="1064"/>
    <cellStyle name="20% - Accent6 12" xfId="1065"/>
    <cellStyle name="20% - Accent6 12 2" xfId="1066"/>
    <cellStyle name="20% - Accent6 13" xfId="1067"/>
    <cellStyle name="20% - Accent6 14" xfId="1068"/>
    <cellStyle name="20% - Accent6 2" xfId="1069"/>
    <cellStyle name="20% - Accent6 2 2" xfId="1070"/>
    <cellStyle name="20% - Accent6 2 2 2" xfId="1071"/>
    <cellStyle name="20% - Accent6 2 2 2 2" xfId="1072"/>
    <cellStyle name="20% - Accent6 2 2 2 3" xfId="1073"/>
    <cellStyle name="20% - Accent6 2 2 3" xfId="1074"/>
    <cellStyle name="20% - Accent6 2 2 4" xfId="1075"/>
    <cellStyle name="20% - Accent6 2 3" xfId="1076"/>
    <cellStyle name="20% - Accent6 3" xfId="1077"/>
    <cellStyle name="20% - Accent6 4" xfId="1078"/>
    <cellStyle name="20% - Accent6 5" xfId="1079"/>
    <cellStyle name="20% - Accent6 6" xfId="1080"/>
    <cellStyle name="20% - Accent6 7" xfId="1081"/>
    <cellStyle name="20% - Accent6 8" xfId="1082"/>
    <cellStyle name="20% - Accent6 9" xfId="1083"/>
    <cellStyle name="20% - Énfasis1" xfId="1084"/>
    <cellStyle name="20% - Énfasis1 2" xfId="1085"/>
    <cellStyle name="20% - Énfasis1 2 2" xfId="1086"/>
    <cellStyle name="20% - Énfasis1 2 3" xfId="1087"/>
    <cellStyle name="20% - Énfasis1 3" xfId="1088"/>
    <cellStyle name="20% - Énfasis1 4" xfId="1089"/>
    <cellStyle name="20% - Énfasis1_RISK INPUT" xfId="1090"/>
    <cellStyle name="20% - Énfasis2" xfId="1091"/>
    <cellStyle name="20% - Énfasis2 2" xfId="1092"/>
    <cellStyle name="20% - Énfasis2 2 2" xfId="1093"/>
    <cellStyle name="20% - Énfasis2 2 3" xfId="1094"/>
    <cellStyle name="20% - Énfasis2 3" xfId="1095"/>
    <cellStyle name="20% - Énfasis2 4" xfId="1096"/>
    <cellStyle name="20% - Énfasis2_RISK INPUT" xfId="1097"/>
    <cellStyle name="20% - Énfasis3" xfId="1098"/>
    <cellStyle name="20% - Énfasis3 2" xfId="1099"/>
    <cellStyle name="20% - Énfasis3 2 2" xfId="1100"/>
    <cellStyle name="20% - Énfasis3 2 3" xfId="1101"/>
    <cellStyle name="20% - Énfasis3 3" xfId="1102"/>
    <cellStyle name="20% - Énfasis3 4" xfId="1103"/>
    <cellStyle name="20% - Énfasis3_RISK INPUT" xfId="1104"/>
    <cellStyle name="20% - Énfasis4" xfId="1105"/>
    <cellStyle name="20% - Énfasis4 2" xfId="1106"/>
    <cellStyle name="20% - Énfasis4 2 2" xfId="1107"/>
    <cellStyle name="20% - Énfasis4 2 3" xfId="1108"/>
    <cellStyle name="20% - Énfasis4 3" xfId="1109"/>
    <cellStyle name="20% - Énfasis4 4" xfId="1110"/>
    <cellStyle name="20% - Énfasis4_RISK INPUT" xfId="1111"/>
    <cellStyle name="20% - Énfasis5" xfId="1112"/>
    <cellStyle name="20% - Énfasis5 2" xfId="1113"/>
    <cellStyle name="20% - Énfasis5 2 2" xfId="1114"/>
    <cellStyle name="20% - Énfasis5 2 3" xfId="1115"/>
    <cellStyle name="20% - Énfasis5 3" xfId="1116"/>
    <cellStyle name="20% - Énfasis5 4" xfId="1117"/>
    <cellStyle name="20% - Énfasis5_RISK INPUT" xfId="1118"/>
    <cellStyle name="20% - Énfasis6" xfId="1119"/>
    <cellStyle name="20% - Énfasis6 2" xfId="1120"/>
    <cellStyle name="20% - Énfasis6 2 2" xfId="1121"/>
    <cellStyle name="20% - Énfasis6 2 3" xfId="1122"/>
    <cellStyle name="20% - Énfasis6 3" xfId="1123"/>
    <cellStyle name="20% - Énfasis6 4" xfId="1124"/>
    <cellStyle name="20% - Énfasis6_RISK INPUT" xfId="1125"/>
    <cellStyle name="40% - Accent1 10" xfId="1126"/>
    <cellStyle name="40% - Accent1 10 2" xfId="1127"/>
    <cellStyle name="40% - Accent1 10 3" xfId="1128"/>
    <cellStyle name="40% - Accent1 11" xfId="1129"/>
    <cellStyle name="40% - Accent1 11 2" xfId="1130"/>
    <cellStyle name="40% - Accent1 11 3" xfId="1131"/>
    <cellStyle name="40% - Accent1 12" xfId="1132"/>
    <cellStyle name="40% - Accent1 12 2" xfId="1133"/>
    <cellStyle name="40% - Accent1 13" xfId="1134"/>
    <cellStyle name="40% - Accent1 14" xfId="1135"/>
    <cellStyle name="40% - Accent1 2" xfId="1136"/>
    <cellStyle name="40% - Accent1 2 2" xfId="1137"/>
    <cellStyle name="40% - Accent1 2 2 2" xfId="1138"/>
    <cellStyle name="40% - Accent1 2 2 2 2" xfId="1139"/>
    <cellStyle name="40% - Accent1 2 2 2 3" xfId="1140"/>
    <cellStyle name="40% - Accent1 2 2 3" xfId="1141"/>
    <cellStyle name="40% - Accent1 2 2 4" xfId="1142"/>
    <cellStyle name="40% - Accent1 2 3" xfId="1143"/>
    <cellStyle name="40% - Accent1 3" xfId="1144"/>
    <cellStyle name="40% - Accent1 4" xfId="1145"/>
    <cellStyle name="40% - Accent1 5" xfId="1146"/>
    <cellStyle name="40% - Accent1 6" xfId="1147"/>
    <cellStyle name="40% - Accent1 7" xfId="1148"/>
    <cellStyle name="40% - Accent1 8" xfId="1149"/>
    <cellStyle name="40% - Accent1 9" xfId="1150"/>
    <cellStyle name="40% - Accent2 10" xfId="1151"/>
    <cellStyle name="40% - Accent2 10 2" xfId="1152"/>
    <cellStyle name="40% - Accent2 10 3" xfId="1153"/>
    <cellStyle name="40% - Accent2 11" xfId="1154"/>
    <cellStyle name="40% - Accent2 11 2" xfId="1155"/>
    <cellStyle name="40% - Accent2 11 3" xfId="1156"/>
    <cellStyle name="40% - Accent2 12" xfId="1157"/>
    <cellStyle name="40% - Accent2 12 2" xfId="1158"/>
    <cellStyle name="40% - Accent2 13" xfId="1159"/>
    <cellStyle name="40% - Accent2 14" xfId="1160"/>
    <cellStyle name="40% - Accent2 2" xfId="1161"/>
    <cellStyle name="40% - Accent2 2 2" xfId="1162"/>
    <cellStyle name="40% - Accent2 2 2 2" xfId="1163"/>
    <cellStyle name="40% - Accent2 2 2 2 2" xfId="1164"/>
    <cellStyle name="40% - Accent2 2 2 2 3" xfId="1165"/>
    <cellStyle name="40% - Accent2 2 2 3" xfId="1166"/>
    <cellStyle name="40% - Accent2 2 2 4" xfId="1167"/>
    <cellStyle name="40% - Accent2 3" xfId="1168"/>
    <cellStyle name="40% - Accent2 4" xfId="1169"/>
    <cellStyle name="40% - Accent2 5" xfId="1170"/>
    <cellStyle name="40% - Accent2 6" xfId="1171"/>
    <cellStyle name="40% - Accent2 7" xfId="1172"/>
    <cellStyle name="40% - Accent2 8" xfId="1173"/>
    <cellStyle name="40% - Accent2 9" xfId="1174"/>
    <cellStyle name="40% - Accent3 10" xfId="1175"/>
    <cellStyle name="40% - Accent3 10 2" xfId="1176"/>
    <cellStyle name="40% - Accent3 10 3" xfId="1177"/>
    <cellStyle name="40% - Accent3 11" xfId="1178"/>
    <cellStyle name="40% - Accent3 11 2" xfId="1179"/>
    <cellStyle name="40% - Accent3 11 3" xfId="1180"/>
    <cellStyle name="40% - Accent3 12" xfId="1181"/>
    <cellStyle name="40% - Accent3 12 2" xfId="1182"/>
    <cellStyle name="40% - Accent3 13" xfId="1183"/>
    <cellStyle name="40% - Accent3 14" xfId="1184"/>
    <cellStyle name="40% - Accent3 2" xfId="1185"/>
    <cellStyle name="40% - Accent3 2 2" xfId="1186"/>
    <cellStyle name="40% - Accent3 2 2 2" xfId="1187"/>
    <cellStyle name="40% - Accent3 2 2 2 2" xfId="1188"/>
    <cellStyle name="40% - Accent3 2 2 2 3" xfId="1189"/>
    <cellStyle name="40% - Accent3 2 2 3" xfId="1190"/>
    <cellStyle name="40% - Accent3 2 2 4" xfId="1191"/>
    <cellStyle name="40% - Accent3 2 3" xfId="1192"/>
    <cellStyle name="40% - Accent3 3" xfId="1193"/>
    <cellStyle name="40% - Accent3 4" xfId="1194"/>
    <cellStyle name="40% - Accent3 5" xfId="1195"/>
    <cellStyle name="40% - Accent3 6" xfId="1196"/>
    <cellStyle name="40% - Accent3 7" xfId="1197"/>
    <cellStyle name="40% - Accent3 8" xfId="1198"/>
    <cellStyle name="40% - Accent3 9" xfId="1199"/>
    <cellStyle name="40% - Accent4 10" xfId="1200"/>
    <cellStyle name="40% - Accent4 10 2" xfId="1201"/>
    <cellStyle name="40% - Accent4 10 3" xfId="1202"/>
    <cellStyle name="40% - Accent4 11" xfId="1203"/>
    <cellStyle name="40% - Accent4 11 2" xfId="1204"/>
    <cellStyle name="40% - Accent4 11 3" xfId="1205"/>
    <cellStyle name="40% - Accent4 12" xfId="1206"/>
    <cellStyle name="40% - Accent4 12 2" xfId="1207"/>
    <cellStyle name="40% - Accent4 13" xfId="1208"/>
    <cellStyle name="40% - Accent4 14" xfId="1209"/>
    <cellStyle name="40% - Accent4 2" xfId="1210"/>
    <cellStyle name="40% - Accent4 2 2" xfId="1211"/>
    <cellStyle name="40% - Accent4 2 2 2" xfId="1212"/>
    <cellStyle name="40% - Accent4 2 2 2 2" xfId="1213"/>
    <cellStyle name="40% - Accent4 2 2 2 3" xfId="1214"/>
    <cellStyle name="40% - Accent4 2 2 3" xfId="1215"/>
    <cellStyle name="40% - Accent4 2 2 4" xfId="1216"/>
    <cellStyle name="40% - Accent4 2 3" xfId="1217"/>
    <cellStyle name="40% - Accent4 3" xfId="1218"/>
    <cellStyle name="40% - Accent4 4" xfId="1219"/>
    <cellStyle name="40% - Accent4 5" xfId="1220"/>
    <cellStyle name="40% - Accent4 6" xfId="1221"/>
    <cellStyle name="40% - Accent4 7" xfId="1222"/>
    <cellStyle name="40% - Accent4 8" xfId="1223"/>
    <cellStyle name="40% - Accent4 9" xfId="1224"/>
    <cellStyle name="40% - Accent5 10" xfId="1225"/>
    <cellStyle name="40% - Accent5 10 2" xfId="1226"/>
    <cellStyle name="40% - Accent5 10 3" xfId="1227"/>
    <cellStyle name="40% - Accent5 11" xfId="1228"/>
    <cellStyle name="40% - Accent5 11 2" xfId="1229"/>
    <cellStyle name="40% - Accent5 11 3" xfId="1230"/>
    <cellStyle name="40% - Accent5 12" xfId="1231"/>
    <cellStyle name="40% - Accent5 12 2" xfId="1232"/>
    <cellStyle name="40% - Accent5 13" xfId="1233"/>
    <cellStyle name="40% - Accent5 14" xfId="1234"/>
    <cellStyle name="40% - Accent5 2" xfId="1235"/>
    <cellStyle name="40% - Accent5 2 2" xfId="1236"/>
    <cellStyle name="40% - Accent5 2 2 2" xfId="1237"/>
    <cellStyle name="40% - Accent5 2 2 2 2" xfId="1238"/>
    <cellStyle name="40% - Accent5 2 2 2 3" xfId="1239"/>
    <cellStyle name="40% - Accent5 2 2 3" xfId="1240"/>
    <cellStyle name="40% - Accent5 2 2 4" xfId="1241"/>
    <cellStyle name="40% - Accent5 3" xfId="1242"/>
    <cellStyle name="40% - Accent5 4" xfId="1243"/>
    <cellStyle name="40% - Accent5 5" xfId="1244"/>
    <cellStyle name="40% - Accent5 6" xfId="1245"/>
    <cellStyle name="40% - Accent5 7" xfId="1246"/>
    <cellStyle name="40% - Accent5 8" xfId="1247"/>
    <cellStyle name="40% - Accent5 9" xfId="1248"/>
    <cellStyle name="40% - Accent6 10" xfId="1249"/>
    <cellStyle name="40% - Accent6 10 2" xfId="1250"/>
    <cellStyle name="40% - Accent6 10 3" xfId="1251"/>
    <cellStyle name="40% - Accent6 11" xfId="1252"/>
    <cellStyle name="40% - Accent6 11 2" xfId="1253"/>
    <cellStyle name="40% - Accent6 11 3" xfId="1254"/>
    <cellStyle name="40% - Accent6 12" xfId="1255"/>
    <cellStyle name="40% - Accent6 12 2" xfId="1256"/>
    <cellStyle name="40% - Accent6 13" xfId="1257"/>
    <cellStyle name="40% - Accent6 14" xfId="1258"/>
    <cellStyle name="40% - Accent6 2" xfId="1259"/>
    <cellStyle name="40% - Accent6 2 2" xfId="1260"/>
    <cellStyle name="40% - Accent6 2 2 2" xfId="1261"/>
    <cellStyle name="40% - Accent6 2 2 2 2" xfId="1262"/>
    <cellStyle name="40% - Accent6 2 2 2 3" xfId="1263"/>
    <cellStyle name="40% - Accent6 2 2 3" xfId="1264"/>
    <cellStyle name="40% - Accent6 2 2 4" xfId="1265"/>
    <cellStyle name="40% - Accent6 2 3" xfId="1266"/>
    <cellStyle name="40% - Accent6 3" xfId="1267"/>
    <cellStyle name="40% - Accent6 4" xfId="1268"/>
    <cellStyle name="40% - Accent6 5" xfId="1269"/>
    <cellStyle name="40% - Accent6 6" xfId="1270"/>
    <cellStyle name="40% - Accent6 7" xfId="1271"/>
    <cellStyle name="40% - Accent6 8" xfId="1272"/>
    <cellStyle name="40% - Accent6 9" xfId="1273"/>
    <cellStyle name="40% - Énfasis1" xfId="1274"/>
    <cellStyle name="40% - Énfasis1 2" xfId="1275"/>
    <cellStyle name="40% - Énfasis1 2 2" xfId="1276"/>
    <cellStyle name="40% - Énfasis1 2 3" xfId="1277"/>
    <cellStyle name="40% - Énfasis1 3" xfId="1278"/>
    <cellStyle name="40% - Énfasis1 4" xfId="1279"/>
    <cellStyle name="40% - Énfasis1_RISK INPUT" xfId="1280"/>
    <cellStyle name="40% - Énfasis2" xfId="1281"/>
    <cellStyle name="40% - Énfasis2 2" xfId="1282"/>
    <cellStyle name="40% - Énfasis2 2 2" xfId="1283"/>
    <cellStyle name="40% - Énfasis2 2 3" xfId="1284"/>
    <cellStyle name="40% - Énfasis2 3" xfId="1285"/>
    <cellStyle name="40% - Énfasis2 4" xfId="1286"/>
    <cellStyle name="40% - Énfasis2_RISK INPUT" xfId="1287"/>
    <cellStyle name="40% - Énfasis3" xfId="1288"/>
    <cellStyle name="40% - Énfasis3 2" xfId="1289"/>
    <cellStyle name="40% - Énfasis3 2 2" xfId="1290"/>
    <cellStyle name="40% - Énfasis3 2 3" xfId="1291"/>
    <cellStyle name="40% - Énfasis3 3" xfId="1292"/>
    <cellStyle name="40% - Énfasis3 4" xfId="1293"/>
    <cellStyle name="40% - Énfasis3_RISK INPUT" xfId="1294"/>
    <cellStyle name="40% - Énfasis4" xfId="1295"/>
    <cellStyle name="40% - Énfasis4 2" xfId="1296"/>
    <cellStyle name="40% - Énfasis4 2 2" xfId="1297"/>
    <cellStyle name="40% - Énfasis4 2 3" xfId="1298"/>
    <cellStyle name="40% - Énfasis4 3" xfId="1299"/>
    <cellStyle name="40% - Énfasis4 4" xfId="1300"/>
    <cellStyle name="40% - Énfasis4_RISK INPUT" xfId="1301"/>
    <cellStyle name="40% - Énfasis5" xfId="1302"/>
    <cellStyle name="40% - Énfasis5 2" xfId="1303"/>
    <cellStyle name="40% - Énfasis5 2 2" xfId="1304"/>
    <cellStyle name="40% - Énfasis5 2 3" xfId="1305"/>
    <cellStyle name="40% - Énfasis5 3" xfId="1306"/>
    <cellStyle name="40% - Énfasis5 4" xfId="1307"/>
    <cellStyle name="40% - Énfasis5_RISK INPUT" xfId="1308"/>
    <cellStyle name="40% - Énfasis6" xfId="1309"/>
    <cellStyle name="40% - Énfasis6 2" xfId="1310"/>
    <cellStyle name="40% - Énfasis6 2 2" xfId="1311"/>
    <cellStyle name="40% - Énfasis6 2 3" xfId="1312"/>
    <cellStyle name="40% - Énfasis6 3" xfId="1313"/>
    <cellStyle name="40% - Énfasis6 4" xfId="1314"/>
    <cellStyle name="40% - Énfasis6_RISK INPUT" xfId="1315"/>
    <cellStyle name="60% - Accent1 10" xfId="1316"/>
    <cellStyle name="60% - Accent1 11" xfId="1317"/>
    <cellStyle name="60% - Accent1 2" xfId="1318"/>
    <cellStyle name="60% - Accent1 2 2" xfId="1319"/>
    <cellStyle name="60% - Accent1 2 3" xfId="1320"/>
    <cellStyle name="60% - Accent1 3" xfId="1321"/>
    <cellStyle name="60% - Accent1 4" xfId="1322"/>
    <cellStyle name="60% - Accent1 5" xfId="1323"/>
    <cellStyle name="60% - Accent1 6" xfId="1324"/>
    <cellStyle name="60% - Accent1 7" xfId="1325"/>
    <cellStyle name="60% - Accent1 8" xfId="1326"/>
    <cellStyle name="60% - Accent1 9" xfId="1327"/>
    <cellStyle name="60% - Accent2 10" xfId="1328"/>
    <cellStyle name="60% - Accent2 11" xfId="1329"/>
    <cellStyle name="60% - Accent2 2" xfId="1330"/>
    <cellStyle name="60% - Accent2 2 2" xfId="1331"/>
    <cellStyle name="60% - Accent2 3" xfId="1332"/>
    <cellStyle name="60% - Accent2 4" xfId="1333"/>
    <cellStyle name="60% - Accent2 5" xfId="1334"/>
    <cellStyle name="60% - Accent2 6" xfId="1335"/>
    <cellStyle name="60% - Accent2 7" xfId="1336"/>
    <cellStyle name="60% - Accent2 8" xfId="1337"/>
    <cellStyle name="60% - Accent2 9" xfId="1338"/>
    <cellStyle name="60% - Accent3 10" xfId="1339"/>
    <cellStyle name="60% - Accent3 11" xfId="1340"/>
    <cellStyle name="60% - Accent3 2" xfId="1341"/>
    <cellStyle name="60% - Accent3 2 2" xfId="1342"/>
    <cellStyle name="60% - Accent3 2 3" xfId="1343"/>
    <cellStyle name="60% - Accent3 3" xfId="1344"/>
    <cellStyle name="60% - Accent3 4" xfId="1345"/>
    <cellStyle name="60% - Accent3 5" xfId="1346"/>
    <cellStyle name="60% - Accent3 6" xfId="1347"/>
    <cellStyle name="60% - Accent3 7" xfId="1348"/>
    <cellStyle name="60% - Accent3 8" xfId="1349"/>
    <cellStyle name="60% - Accent3 9" xfId="1350"/>
    <cellStyle name="60% - Accent4 10" xfId="1351"/>
    <cellStyle name="60% - Accent4 11" xfId="1352"/>
    <cellStyle name="60% - Accent4 2" xfId="1353"/>
    <cellStyle name="60% - Accent4 2 2" xfId="1354"/>
    <cellStyle name="60% - Accent4 2 3" xfId="1355"/>
    <cellStyle name="60% - Accent4 3" xfId="1356"/>
    <cellStyle name="60% - Accent4 4" xfId="1357"/>
    <cellStyle name="60% - Accent4 5" xfId="1358"/>
    <cellStyle name="60% - Accent4 6" xfId="1359"/>
    <cellStyle name="60% - Accent4 7" xfId="1360"/>
    <cellStyle name="60% - Accent4 8" xfId="1361"/>
    <cellStyle name="60% - Accent4 9" xfId="1362"/>
    <cellStyle name="60% - Accent5 10" xfId="1363"/>
    <cellStyle name="60% - Accent5 11" xfId="1364"/>
    <cellStyle name="60% - Accent5 2" xfId="1365"/>
    <cellStyle name="60% - Accent5 2 2" xfId="1366"/>
    <cellStyle name="60% - Accent5 3" xfId="1367"/>
    <cellStyle name="60% - Accent5 4" xfId="1368"/>
    <cellStyle name="60% - Accent5 5" xfId="1369"/>
    <cellStyle name="60% - Accent5 6" xfId="1370"/>
    <cellStyle name="60% - Accent5 7" xfId="1371"/>
    <cellStyle name="60% - Accent5 8" xfId="1372"/>
    <cellStyle name="60% - Accent5 9" xfId="1373"/>
    <cellStyle name="60% - Accent6 10" xfId="1374"/>
    <cellStyle name="60% - Accent6 11" xfId="1375"/>
    <cellStyle name="60% - Accent6 2" xfId="1376"/>
    <cellStyle name="60% - Accent6 2 2" xfId="1377"/>
    <cellStyle name="60% - Accent6 2 3" xfId="1378"/>
    <cellStyle name="60% - Accent6 3" xfId="1379"/>
    <cellStyle name="60% - Accent6 4" xfId="1380"/>
    <cellStyle name="60% - Accent6 5" xfId="1381"/>
    <cellStyle name="60% - Accent6 6" xfId="1382"/>
    <cellStyle name="60% - Accent6 7" xfId="1383"/>
    <cellStyle name="60% - Accent6 8" xfId="1384"/>
    <cellStyle name="60% - Accent6 9" xfId="1385"/>
    <cellStyle name="60% - Énfasis1" xfId="1386"/>
    <cellStyle name="60% - Énfasis2" xfId="1387"/>
    <cellStyle name="60% - Énfasis3" xfId="1388"/>
    <cellStyle name="60% - Énfasis4" xfId="1389"/>
    <cellStyle name="60% - Énfasis5" xfId="1390"/>
    <cellStyle name="60% - Énfasis6" xfId="1391"/>
    <cellStyle name="Accent1 10" xfId="1392"/>
    <cellStyle name="Accent1 11" xfId="1393"/>
    <cellStyle name="Accent1 2" xfId="1394"/>
    <cellStyle name="Accent1 2 2" xfId="1395"/>
    <cellStyle name="Accent1 2 3" xfId="1396"/>
    <cellStyle name="Accent1 3" xfId="1397"/>
    <cellStyle name="Accent1 4" xfId="1398"/>
    <cellStyle name="Accent1 5" xfId="1399"/>
    <cellStyle name="Accent1 6" xfId="1400"/>
    <cellStyle name="Accent1 7" xfId="1401"/>
    <cellStyle name="Accent1 8" xfId="1402"/>
    <cellStyle name="Accent1 9" xfId="1403"/>
    <cellStyle name="Accent2 10" xfId="1404"/>
    <cellStyle name="Accent2 11" xfId="1405"/>
    <cellStyle name="Accent2 2" xfId="1406"/>
    <cellStyle name="Accent2 2 2" xfId="1407"/>
    <cellStyle name="Accent2 3" xfId="1408"/>
    <cellStyle name="Accent2 4" xfId="1409"/>
    <cellStyle name="Accent2 5" xfId="1410"/>
    <cellStyle name="Accent2 6" xfId="1411"/>
    <cellStyle name="Accent2 7" xfId="1412"/>
    <cellStyle name="Accent2 8" xfId="1413"/>
    <cellStyle name="Accent2 9" xfId="1414"/>
    <cellStyle name="Accent3 10" xfId="1415"/>
    <cellStyle name="Accent3 11" xfId="1416"/>
    <cellStyle name="Accent3 2" xfId="1417"/>
    <cellStyle name="Accent3 2 2" xfId="1418"/>
    <cellStyle name="Accent3 3" xfId="1419"/>
    <cellStyle name="Accent3 4" xfId="1420"/>
    <cellStyle name="Accent3 5" xfId="1421"/>
    <cellStyle name="Accent3 6" xfId="1422"/>
    <cellStyle name="Accent3 7" xfId="1423"/>
    <cellStyle name="Accent3 8" xfId="1424"/>
    <cellStyle name="Accent3 9" xfId="1425"/>
    <cellStyle name="Accent4 10" xfId="1426"/>
    <cellStyle name="Accent4 11" xfId="1427"/>
    <cellStyle name="Accent4 2" xfId="1428"/>
    <cellStyle name="Accent4 2 2" xfId="1429"/>
    <cellStyle name="Accent4 2 3" xfId="1430"/>
    <cellStyle name="Accent4 3" xfId="1431"/>
    <cellStyle name="Accent4 4" xfId="1432"/>
    <cellStyle name="Accent4 5" xfId="1433"/>
    <cellStyle name="Accent4 6" xfId="1434"/>
    <cellStyle name="Accent4 7" xfId="1435"/>
    <cellStyle name="Accent4 8" xfId="1436"/>
    <cellStyle name="Accent4 9" xfId="1437"/>
    <cellStyle name="Accent5 10" xfId="1438"/>
    <cellStyle name="Accent5 11" xfId="1439"/>
    <cellStyle name="Accent5 2" xfId="1440"/>
    <cellStyle name="Accent5 2 2" xfId="1441"/>
    <cellStyle name="Accent5 3" xfId="1442"/>
    <cellStyle name="Accent5 4" xfId="1443"/>
    <cellStyle name="Accent5 5" xfId="1444"/>
    <cellStyle name="Accent5 6" xfId="1445"/>
    <cellStyle name="Accent5 7" xfId="1446"/>
    <cellStyle name="Accent5 8" xfId="1447"/>
    <cellStyle name="Accent5 9" xfId="1448"/>
    <cellStyle name="Accent6 10" xfId="1449"/>
    <cellStyle name="Accent6 11" xfId="1450"/>
    <cellStyle name="Accent6 2" xfId="1451"/>
    <cellStyle name="Accent6 2 2" xfId="1452"/>
    <cellStyle name="Accent6 3" xfId="1453"/>
    <cellStyle name="Accent6 4" xfId="1454"/>
    <cellStyle name="Accent6 5" xfId="1455"/>
    <cellStyle name="Accent6 6" xfId="1456"/>
    <cellStyle name="Accent6 7" xfId="1457"/>
    <cellStyle name="Accent6 8" xfId="1458"/>
    <cellStyle name="Accent6 9" xfId="1459"/>
    <cellStyle name="Bad 10" xfId="1460"/>
    <cellStyle name="Bad 11" xfId="1461"/>
    <cellStyle name="Bad 12" xfId="1462"/>
    <cellStyle name="Bad 13" xfId="1463"/>
    <cellStyle name="Bad 14" xfId="1464"/>
    <cellStyle name="Bad 2" xfId="1465"/>
    <cellStyle name="Bad 2 2" xfId="1466"/>
    <cellStyle name="Bad 3" xfId="1467"/>
    <cellStyle name="Bad 4" xfId="1468"/>
    <cellStyle name="Bad 5" xfId="1469"/>
    <cellStyle name="Bad 6" xfId="1470"/>
    <cellStyle name="Bad 7" xfId="1471"/>
    <cellStyle name="Bad 8" xfId="1472"/>
    <cellStyle name="Bad 9" xfId="1473"/>
    <cellStyle name="Body" xfId="1474"/>
    <cellStyle name="BodyStyle00" xfId="1475"/>
    <cellStyle name="BodyStyle01" xfId="1476"/>
    <cellStyle name="BodyStyle02" xfId="1477"/>
    <cellStyle name="Buena" xfId="1478"/>
    <cellStyle name="calc" xfId="1479"/>
    <cellStyle name="Calculation 10" xfId="1480"/>
    <cellStyle name="Calculation 10 2" xfId="1481"/>
    <cellStyle name="Calculation 10 2 2" xfId="1482"/>
    <cellStyle name="Calculation 10 3" xfId="1483"/>
    <cellStyle name="Calculation 10 3 2" xfId="1484"/>
    <cellStyle name="Calculation 10 4" xfId="1485"/>
    <cellStyle name="Calculation 10 4 2" xfId="1486"/>
    <cellStyle name="Calculation 10 5" xfId="1487"/>
    <cellStyle name="Calculation 10 5 2" xfId="1488"/>
    <cellStyle name="Calculation 10 6" xfId="1489"/>
    <cellStyle name="Calculation 11" xfId="1490"/>
    <cellStyle name="Calculation 11 2" xfId="1491"/>
    <cellStyle name="Calculation 11 2 2" xfId="1492"/>
    <cellStyle name="Calculation 11 3" xfId="1493"/>
    <cellStyle name="Calculation 12" xfId="1494"/>
    <cellStyle name="Calculation 12 2" xfId="1495"/>
    <cellStyle name="Calculation 13" xfId="1496"/>
    <cellStyle name="Calculation 13 2" xfId="1497"/>
    <cellStyle name="Calculation 2" xfId="1498"/>
    <cellStyle name="Calculation 2 2" xfId="1499"/>
    <cellStyle name="Calculation 2 2 2" xfId="1500"/>
    <cellStyle name="Calculation 2 2 2 2" xfId="1501"/>
    <cellStyle name="Calculation 2 2 2 2 2" xfId="1502"/>
    <cellStyle name="Calculation 2 2 2 3" xfId="1503"/>
    <cellStyle name="Calculation 2 2 3" xfId="1504"/>
    <cellStyle name="Calculation 2 2 3 2" xfId="1505"/>
    <cellStyle name="Calculation 2 2 3 2 2" xfId="1506"/>
    <cellStyle name="Calculation 2 2 3 3" xfId="1507"/>
    <cellStyle name="Calculation 2 2 4" xfId="1508"/>
    <cellStyle name="Calculation 2 2 4 2" xfId="1509"/>
    <cellStyle name="Calculation 2 2 5" xfId="1510"/>
    <cellStyle name="Calculation 2 3" xfId="1511"/>
    <cellStyle name="Calculation 2 3 2" xfId="1512"/>
    <cellStyle name="Calculation 2 3 2 2" xfId="1513"/>
    <cellStyle name="Calculation 2 3 3" xfId="1514"/>
    <cellStyle name="Calculation 2 4" xfId="1515"/>
    <cellStyle name="Calculation 2 4 2" xfId="1516"/>
    <cellStyle name="Calculation 2 4 2 2" xfId="1517"/>
    <cellStyle name="Calculation 2 4 3" xfId="1518"/>
    <cellStyle name="Calculation 2 5" xfId="1519"/>
    <cellStyle name="Calculation 2 5 2" xfId="1520"/>
    <cellStyle name="Calculation 2 6" xfId="1521"/>
    <cellStyle name="Calculation 2 7" xfId="1522"/>
    <cellStyle name="Calculation 3" xfId="1523"/>
    <cellStyle name="Calculation 3 2" xfId="1524"/>
    <cellStyle name="Calculation 3 2 2" xfId="1525"/>
    <cellStyle name="Calculation 3 2 2 2" xfId="1526"/>
    <cellStyle name="Calculation 3 2 3" xfId="1527"/>
    <cellStyle name="Calculation 3 3" xfId="1528"/>
    <cellStyle name="Calculation 3 3 2" xfId="1529"/>
    <cellStyle name="Calculation 3 3 2 2" xfId="1530"/>
    <cellStyle name="Calculation 3 3 3" xfId="1531"/>
    <cellStyle name="Calculation 3 4" xfId="1532"/>
    <cellStyle name="Calculation 3 4 2" xfId="1533"/>
    <cellStyle name="Calculation 3 5" xfId="1534"/>
    <cellStyle name="Calculation 4" xfId="1535"/>
    <cellStyle name="Calculation 4 2" xfId="1536"/>
    <cellStyle name="Calculation 4 2 2" xfId="1537"/>
    <cellStyle name="Calculation 4 2 2 2" xfId="1538"/>
    <cellStyle name="Calculation 4 2 3" xfId="1539"/>
    <cellStyle name="Calculation 4 3" xfId="1540"/>
    <cellStyle name="Calculation 4 3 2" xfId="1541"/>
    <cellStyle name="Calculation 4 3 2 2" xfId="1542"/>
    <cellStyle name="Calculation 4 3 3" xfId="1543"/>
    <cellStyle name="Calculation 4 4" xfId="1544"/>
    <cellStyle name="Calculation 4 4 2" xfId="1545"/>
    <cellStyle name="Calculation 4 5" xfId="1546"/>
    <cellStyle name="Calculation 5" xfId="1547"/>
    <cellStyle name="Calculation 5 2" xfId="1548"/>
    <cellStyle name="Calculation 5 2 2" xfId="1549"/>
    <cellStyle name="Calculation 5 2 2 2" xfId="1550"/>
    <cellStyle name="Calculation 5 2 3" xfId="1551"/>
    <cellStyle name="Calculation 5 3" xfId="1552"/>
    <cellStyle name="Calculation 5 3 2" xfId="1553"/>
    <cellStyle name="Calculation 5 3 2 2" xfId="1554"/>
    <cellStyle name="Calculation 5 3 3" xfId="1555"/>
    <cellStyle name="Calculation 5 4" xfId="1556"/>
    <cellStyle name="Calculation 5 4 2" xfId="1557"/>
    <cellStyle name="Calculation 5 5" xfId="1558"/>
    <cellStyle name="Calculation 6" xfId="1559"/>
    <cellStyle name="Calculation 6 2" xfId="1560"/>
    <cellStyle name="Calculation 6 2 2" xfId="1561"/>
    <cellStyle name="Calculation 6 2 2 2" xfId="1562"/>
    <cellStyle name="Calculation 6 2 3" xfId="1563"/>
    <cellStyle name="Calculation 6 3" xfId="1564"/>
    <cellStyle name="Calculation 6 3 2" xfId="1565"/>
    <cellStyle name="Calculation 6 3 2 2" xfId="1566"/>
    <cellStyle name="Calculation 6 3 3" xfId="1567"/>
    <cellStyle name="Calculation 6 4" xfId="1568"/>
    <cellStyle name="Calculation 6 4 2" xfId="1569"/>
    <cellStyle name="Calculation 6 5" xfId="1570"/>
    <cellStyle name="Calculation 7" xfId="1571"/>
    <cellStyle name="Calculation 7 2" xfId="1572"/>
    <cellStyle name="Calculation 7 2 2" xfId="1573"/>
    <cellStyle name="Calculation 7 2 2 2" xfId="1574"/>
    <cellStyle name="Calculation 7 2 3" xfId="1575"/>
    <cellStyle name="Calculation 7 3" xfId="1576"/>
    <cellStyle name="Calculation 7 3 2" xfId="1577"/>
    <cellStyle name="Calculation 7 3 2 2" xfId="1578"/>
    <cellStyle name="Calculation 7 3 3" xfId="1579"/>
    <cellStyle name="Calculation 7 4" xfId="1580"/>
    <cellStyle name="Calculation 7 4 2" xfId="1581"/>
    <cellStyle name="Calculation 7 5" xfId="1582"/>
    <cellStyle name="Calculation 8" xfId="1583"/>
    <cellStyle name="Calculation 8 2" xfId="1584"/>
    <cellStyle name="Calculation 8 2 2" xfId="1585"/>
    <cellStyle name="Calculation 8 2 2 2" xfId="1586"/>
    <cellStyle name="Calculation 8 2 3" xfId="1587"/>
    <cellStyle name="Calculation 8 3" xfId="1588"/>
    <cellStyle name="Calculation 8 3 2" xfId="1589"/>
    <cellStyle name="Calculation 8 3 2 2" xfId="1590"/>
    <cellStyle name="Calculation 8 3 3" xfId="1591"/>
    <cellStyle name="Calculation 8 4" xfId="1592"/>
    <cellStyle name="Calculation 8 4 2" xfId="1593"/>
    <cellStyle name="Calculation 8 5" xfId="1594"/>
    <cellStyle name="Calculation 9" xfId="1595"/>
    <cellStyle name="Calculation 9 2" xfId="1596"/>
    <cellStyle name="Calculation 9 2 2" xfId="1597"/>
    <cellStyle name="Calculation 9 3" xfId="1598"/>
    <cellStyle name="Cálculo" xfId="1599"/>
    <cellStyle name="Cálculo 2" xfId="1600"/>
    <cellStyle name="Cálculo 2 2" xfId="1601"/>
    <cellStyle name="Cálculo 2 2 2" xfId="1602"/>
    <cellStyle name="Cálculo 2 3" xfId="1603"/>
    <cellStyle name="Cálculo 3" xfId="1604"/>
    <cellStyle name="Cálculo 3 2" xfId="1605"/>
    <cellStyle name="Cálculo 3 2 2" xfId="1606"/>
    <cellStyle name="Cálculo 3 3" xfId="1607"/>
    <cellStyle name="Cálculo 4" xfId="1608"/>
    <cellStyle name="Cálculo 4 2" xfId="1609"/>
    <cellStyle name="Cálculo 5" xfId="1610"/>
    <cellStyle name="Cálculo_RISK INPUT" xfId="1611"/>
    <cellStyle name="Celda de comprobación" xfId="1612"/>
    <cellStyle name="Celda vinculada" xfId="1613"/>
    <cellStyle name="Check Cell 10" xfId="1614"/>
    <cellStyle name="Check Cell 11" xfId="1615"/>
    <cellStyle name="Check Cell 2" xfId="1616"/>
    <cellStyle name="Check Cell 2 2" xfId="1617"/>
    <cellStyle name="Check Cell 2 3" xfId="1618"/>
    <cellStyle name="Check Cell 3" xfId="1619"/>
    <cellStyle name="Check Cell 3 2" xfId="1620"/>
    <cellStyle name="Check Cell 4" xfId="1621"/>
    <cellStyle name="Check Cell 4 2" xfId="1622"/>
    <cellStyle name="Check Cell 5" xfId="1623"/>
    <cellStyle name="Check Cell 5 2" xfId="1624"/>
    <cellStyle name="Check Cell 6" xfId="1625"/>
    <cellStyle name="Check Cell 6 2" xfId="1626"/>
    <cellStyle name="Check Cell 7" xfId="1627"/>
    <cellStyle name="Check Cell 7 2" xfId="1628"/>
    <cellStyle name="Check Cell 8" xfId="1629"/>
    <cellStyle name="Check Cell 8 2" xfId="1630"/>
    <cellStyle name="Check Cell 9" xfId="1631"/>
    <cellStyle name="Check Cell 9 2" xfId="1632"/>
    <cellStyle name="Comma" xfId="171" builtinId="3"/>
    <cellStyle name="Comma [0] 2" xfId="1633"/>
    <cellStyle name="Comma [0] 2 2" xfId="1634"/>
    <cellStyle name="Comma [0] 2 2 2" xfId="1635"/>
    <cellStyle name="Comma [0] 2 2 2 2" xfId="1636"/>
    <cellStyle name="Comma [0] 2 2 2 2 2" xfId="1637"/>
    <cellStyle name="Comma [0] 2 2 2 3" xfId="1638"/>
    <cellStyle name="Comma [0] 2 2 3" xfId="1639"/>
    <cellStyle name="Comma [0] 2 2 3 2" xfId="1640"/>
    <cellStyle name="Comma [0] 2 2 3 2 2" xfId="1641"/>
    <cellStyle name="Comma [0] 2 2 3 3" xfId="1642"/>
    <cellStyle name="Comma [0] 2 2 4" xfId="1643"/>
    <cellStyle name="Comma [0] 2 2 4 2" xfId="1644"/>
    <cellStyle name="Comma [0] 2 2 4 2 2" xfId="1645"/>
    <cellStyle name="Comma [0] 2 2 4 3" xfId="1646"/>
    <cellStyle name="Comma [0] 2 2 5" xfId="1647"/>
    <cellStyle name="Comma [0] 2 2 5 2" xfId="1648"/>
    <cellStyle name="Comma [0] 2 2 6" xfId="1649"/>
    <cellStyle name="Comma [0] 2 2 7" xfId="1650"/>
    <cellStyle name="Comma [0] 2 3" xfId="1651"/>
    <cellStyle name="Comma [0] 2 3 2" xfId="1652"/>
    <cellStyle name="Comma [0] 2 3 2 2" xfId="1653"/>
    <cellStyle name="Comma [0] 2 3 3" xfId="1654"/>
    <cellStyle name="Comma [0] 2 4" xfId="1655"/>
    <cellStyle name="Comma [0] 2 4 2" xfId="1656"/>
    <cellStyle name="Comma [0] 2 4 2 2" xfId="1657"/>
    <cellStyle name="Comma [0] 2 4 3" xfId="1658"/>
    <cellStyle name="Comma [0] 2 5" xfId="1659"/>
    <cellStyle name="Comma [0] 2 5 2" xfId="1660"/>
    <cellStyle name="Comma [0] 2 5 2 2" xfId="1661"/>
    <cellStyle name="Comma [0] 2 5 3" xfId="1662"/>
    <cellStyle name="Comma [0] 2 6" xfId="1663"/>
    <cellStyle name="Comma [0] 2 6 2" xfId="1664"/>
    <cellStyle name="Comma [0] 2 7" xfId="1665"/>
    <cellStyle name="Comma [0] 2 8" xfId="1666"/>
    <cellStyle name="Comma [0] 3" xfId="1667"/>
    <cellStyle name="Comma [0] 3 2" xfId="1668"/>
    <cellStyle name="Comma [0] 3 3" xfId="1669"/>
    <cellStyle name="Comma [0] 3 4" xfId="1670"/>
    <cellStyle name="Comma [0] 3 5" xfId="1671"/>
    <cellStyle name="Comma 10" xfId="304"/>
    <cellStyle name="Comma 10 10" xfId="1672"/>
    <cellStyle name="Comma 10 11" xfId="21805"/>
    <cellStyle name="Comma 10 11 2" xfId="27042"/>
    <cellStyle name="Comma 10 12" xfId="24528"/>
    <cellStyle name="Comma 10 2" xfId="1673"/>
    <cellStyle name="Comma 10 2 2" xfId="1674"/>
    <cellStyle name="Comma 10 2 2 2" xfId="1675"/>
    <cellStyle name="Comma 10 2 2 2 2" xfId="1676"/>
    <cellStyle name="Comma 10 2 2 3" xfId="1677"/>
    <cellStyle name="Comma 10 2 3" xfId="1678"/>
    <cellStyle name="Comma 10 2 3 2" xfId="1679"/>
    <cellStyle name="Comma 10 2 3 2 2" xfId="1680"/>
    <cellStyle name="Comma 10 2 3 3" xfId="1681"/>
    <cellStyle name="Comma 10 2 4" xfId="1682"/>
    <cellStyle name="Comma 10 2 4 2" xfId="1683"/>
    <cellStyle name="Comma 10 2 4 2 2" xfId="1684"/>
    <cellStyle name="Comma 10 2 4 3" xfId="1685"/>
    <cellStyle name="Comma 10 2 5" xfId="1686"/>
    <cellStyle name="Comma 10 2 5 2" xfId="1687"/>
    <cellStyle name="Comma 10 2 5 2 2" xfId="1688"/>
    <cellStyle name="Comma 10 2 5 3" xfId="1689"/>
    <cellStyle name="Comma 10 2 6" xfId="1690"/>
    <cellStyle name="Comma 10 2 6 2" xfId="1691"/>
    <cellStyle name="Comma 10 2 6 2 2" xfId="1692"/>
    <cellStyle name="Comma 10 2 6 3" xfId="1693"/>
    <cellStyle name="Comma 10 2 7" xfId="1694"/>
    <cellStyle name="Comma 10 2 7 2" xfId="1695"/>
    <cellStyle name="Comma 10 2 8" xfId="1696"/>
    <cellStyle name="Comma 10 2 9" xfId="1697"/>
    <cellStyle name="Comma 10 3" xfId="1698"/>
    <cellStyle name="Comma 10 3 2" xfId="1699"/>
    <cellStyle name="Comma 10 3 2 2" xfId="1700"/>
    <cellStyle name="Comma 10 3 3" xfId="1701"/>
    <cellStyle name="Comma 10 4" xfId="1702"/>
    <cellStyle name="Comma 10 4 2" xfId="1703"/>
    <cellStyle name="Comma 10 4 2 2" xfId="1704"/>
    <cellStyle name="Comma 10 4 3" xfId="1705"/>
    <cellStyle name="Comma 10 5" xfId="1706"/>
    <cellStyle name="Comma 10 5 2" xfId="1707"/>
    <cellStyle name="Comma 10 5 2 2" xfId="1708"/>
    <cellStyle name="Comma 10 5 3" xfId="1709"/>
    <cellStyle name="Comma 10 6" xfId="1710"/>
    <cellStyle name="Comma 10 6 2" xfId="1711"/>
    <cellStyle name="Comma 10 6 2 2" xfId="1712"/>
    <cellStyle name="Comma 10 6 3" xfId="1713"/>
    <cellStyle name="Comma 10 7" xfId="1714"/>
    <cellStyle name="Comma 10 7 2" xfId="1715"/>
    <cellStyle name="Comma 10 7 2 2" xfId="1716"/>
    <cellStyle name="Comma 10 7 3" xfId="1717"/>
    <cellStyle name="Comma 10 8" xfId="1718"/>
    <cellStyle name="Comma 10 8 2" xfId="1719"/>
    <cellStyle name="Comma 10 9" xfId="1720"/>
    <cellStyle name="Comma 11" xfId="1721"/>
    <cellStyle name="Comma 11 10" xfId="1722"/>
    <cellStyle name="Comma 11 2" xfId="1723"/>
    <cellStyle name="Comma 11 2 2" xfId="1724"/>
    <cellStyle name="Comma 11 2 2 2" xfId="1725"/>
    <cellStyle name="Comma 11 2 2 2 2" xfId="1726"/>
    <cellStyle name="Comma 11 2 2 3" xfId="1727"/>
    <cellStyle name="Comma 11 2 3" xfId="1728"/>
    <cellStyle name="Comma 11 2 3 2" xfId="1729"/>
    <cellStyle name="Comma 11 2 3 2 2" xfId="1730"/>
    <cellStyle name="Comma 11 2 3 3" xfId="1731"/>
    <cellStyle name="Comma 11 2 4" xfId="1732"/>
    <cellStyle name="Comma 11 2 4 2" xfId="1733"/>
    <cellStyle name="Comma 11 2 4 2 2" xfId="1734"/>
    <cellStyle name="Comma 11 2 4 3" xfId="1735"/>
    <cellStyle name="Comma 11 2 5" xfId="1736"/>
    <cellStyle name="Comma 11 2 5 2" xfId="1737"/>
    <cellStyle name="Comma 11 2 5 2 2" xfId="1738"/>
    <cellStyle name="Comma 11 2 5 3" xfId="1739"/>
    <cellStyle name="Comma 11 2 6" xfId="1740"/>
    <cellStyle name="Comma 11 2 6 2" xfId="1741"/>
    <cellStyle name="Comma 11 2 6 2 2" xfId="1742"/>
    <cellStyle name="Comma 11 2 6 3" xfId="1743"/>
    <cellStyle name="Comma 11 2 7" xfId="1744"/>
    <cellStyle name="Comma 11 2 7 2" xfId="1745"/>
    <cellStyle name="Comma 11 2 8" xfId="1746"/>
    <cellStyle name="Comma 11 2 9" xfId="1747"/>
    <cellStyle name="Comma 11 3" xfId="1748"/>
    <cellStyle name="Comma 11 3 2" xfId="1749"/>
    <cellStyle name="Comma 11 3 2 2" xfId="1750"/>
    <cellStyle name="Comma 11 3 3" xfId="1751"/>
    <cellStyle name="Comma 11 4" xfId="1752"/>
    <cellStyle name="Comma 11 4 2" xfId="1753"/>
    <cellStyle name="Comma 11 4 2 2" xfId="1754"/>
    <cellStyle name="Comma 11 4 3" xfId="1755"/>
    <cellStyle name="Comma 11 5" xfId="1756"/>
    <cellStyle name="Comma 11 5 2" xfId="1757"/>
    <cellStyle name="Comma 11 5 2 2" xfId="1758"/>
    <cellStyle name="Comma 11 5 3" xfId="1759"/>
    <cellStyle name="Comma 11 6" xfId="1760"/>
    <cellStyle name="Comma 11 6 2" xfId="1761"/>
    <cellStyle name="Comma 11 6 2 2" xfId="1762"/>
    <cellStyle name="Comma 11 6 3" xfId="1763"/>
    <cellStyle name="Comma 11 7" xfId="1764"/>
    <cellStyle name="Comma 11 7 2" xfId="1765"/>
    <cellStyle name="Comma 11 7 2 2" xfId="1766"/>
    <cellStyle name="Comma 11 7 3" xfId="1767"/>
    <cellStyle name="Comma 11 8" xfId="1768"/>
    <cellStyle name="Comma 11 8 2" xfId="1769"/>
    <cellStyle name="Comma 11 9" xfId="1770"/>
    <cellStyle name="Comma 12" xfId="1771"/>
    <cellStyle name="Comma 12 10" xfId="1772"/>
    <cellStyle name="Comma 12 2" xfId="1773"/>
    <cellStyle name="Comma 12 2 2" xfId="1774"/>
    <cellStyle name="Comma 12 2 2 2" xfId="1775"/>
    <cellStyle name="Comma 12 2 2 2 2" xfId="1776"/>
    <cellStyle name="Comma 12 2 2 3" xfId="1777"/>
    <cellStyle name="Comma 12 2 3" xfId="1778"/>
    <cellStyle name="Comma 12 2 3 2" xfId="1779"/>
    <cellStyle name="Comma 12 2 3 2 2" xfId="1780"/>
    <cellStyle name="Comma 12 2 3 3" xfId="1781"/>
    <cellStyle name="Comma 12 2 4" xfId="1782"/>
    <cellStyle name="Comma 12 2 4 2" xfId="1783"/>
    <cellStyle name="Comma 12 2 4 2 2" xfId="1784"/>
    <cellStyle name="Comma 12 2 4 3" xfId="1785"/>
    <cellStyle name="Comma 12 2 5" xfId="1786"/>
    <cellStyle name="Comma 12 2 5 2" xfId="1787"/>
    <cellStyle name="Comma 12 2 5 2 2" xfId="1788"/>
    <cellStyle name="Comma 12 2 5 3" xfId="1789"/>
    <cellStyle name="Comma 12 2 6" xfId="1790"/>
    <cellStyle name="Comma 12 2 6 2" xfId="1791"/>
    <cellStyle name="Comma 12 2 7" xfId="1792"/>
    <cellStyle name="Comma 12 2 8" xfId="1793"/>
    <cellStyle name="Comma 12 3" xfId="1794"/>
    <cellStyle name="Comma 12 3 2" xfId="1795"/>
    <cellStyle name="Comma 12 3 2 2" xfId="1796"/>
    <cellStyle name="Comma 12 3 3" xfId="1797"/>
    <cellStyle name="Comma 12 4" xfId="1798"/>
    <cellStyle name="Comma 12 4 2" xfId="1799"/>
    <cellStyle name="Comma 12 4 2 2" xfId="1800"/>
    <cellStyle name="Comma 12 4 3" xfId="1801"/>
    <cellStyle name="Comma 12 5" xfId="1802"/>
    <cellStyle name="Comma 12 5 2" xfId="1803"/>
    <cellStyle name="Comma 12 5 2 2" xfId="1804"/>
    <cellStyle name="Comma 12 5 3" xfId="1805"/>
    <cellStyle name="Comma 12 6" xfId="1806"/>
    <cellStyle name="Comma 12 6 2" xfId="1807"/>
    <cellStyle name="Comma 12 6 2 2" xfId="1808"/>
    <cellStyle name="Comma 12 6 3" xfId="1809"/>
    <cellStyle name="Comma 12 7" xfId="1810"/>
    <cellStyle name="Comma 12 7 2" xfId="1811"/>
    <cellStyle name="Comma 12 7 2 2" xfId="1812"/>
    <cellStyle name="Comma 12 7 2 2 2" xfId="1813"/>
    <cellStyle name="Comma 12 7 2 2 2 2" xfId="21811"/>
    <cellStyle name="Comma 12 7 2 2 2 2 2" xfId="27046"/>
    <cellStyle name="Comma 12 7 2 2 2 3" xfId="24534"/>
    <cellStyle name="Comma 12 7 2 2 3" xfId="21810"/>
    <cellStyle name="Comma 12 7 2 2 3 2" xfId="27045"/>
    <cellStyle name="Comma 12 7 2 2 4" xfId="24533"/>
    <cellStyle name="Comma 12 7 2 3" xfId="1814"/>
    <cellStyle name="Comma 12 7 2 3 2" xfId="21812"/>
    <cellStyle name="Comma 12 7 2 3 2 2" xfId="27047"/>
    <cellStyle name="Comma 12 7 2 3 3" xfId="24535"/>
    <cellStyle name="Comma 12 7 2 4" xfId="21809"/>
    <cellStyle name="Comma 12 7 2 4 2" xfId="27044"/>
    <cellStyle name="Comma 12 7 2 5" xfId="24532"/>
    <cellStyle name="Comma 12 7 3" xfId="1815"/>
    <cellStyle name="Comma 12 7 3 2" xfId="1816"/>
    <cellStyle name="Comma 12 7 3 2 2" xfId="21814"/>
    <cellStyle name="Comma 12 7 3 2 2 2" xfId="27049"/>
    <cellStyle name="Comma 12 7 3 2 3" xfId="24537"/>
    <cellStyle name="Comma 12 7 3 3" xfId="21813"/>
    <cellStyle name="Comma 12 7 3 3 2" xfId="27048"/>
    <cellStyle name="Comma 12 7 3 4" xfId="24536"/>
    <cellStyle name="Comma 12 7 4" xfId="1817"/>
    <cellStyle name="Comma 12 7 4 2" xfId="21815"/>
    <cellStyle name="Comma 12 7 4 2 2" xfId="27050"/>
    <cellStyle name="Comma 12 7 4 3" xfId="24538"/>
    <cellStyle name="Comma 12 7 5" xfId="21808"/>
    <cellStyle name="Comma 12 7 5 2" xfId="27043"/>
    <cellStyle name="Comma 12 7 6" xfId="24531"/>
    <cellStyle name="Comma 12 8" xfId="1818"/>
    <cellStyle name="Comma 12 8 2" xfId="1819"/>
    <cellStyle name="Comma 12 9" xfId="1820"/>
    <cellStyle name="Comma 13" xfId="1821"/>
    <cellStyle name="Comma 13 10" xfId="1822"/>
    <cellStyle name="Comma 13 2" xfId="1823"/>
    <cellStyle name="Comma 13 2 2" xfId="1824"/>
    <cellStyle name="Comma 13 2 2 2" xfId="1825"/>
    <cellStyle name="Comma 13 2 2 2 2" xfId="1826"/>
    <cellStyle name="Comma 13 2 2 3" xfId="1827"/>
    <cellStyle name="Comma 13 2 3" xfId="1828"/>
    <cellStyle name="Comma 13 2 3 2" xfId="1829"/>
    <cellStyle name="Comma 13 2 3 2 2" xfId="1830"/>
    <cellStyle name="Comma 13 2 3 3" xfId="1831"/>
    <cellStyle name="Comma 13 2 4" xfId="1832"/>
    <cellStyle name="Comma 13 2 4 2" xfId="1833"/>
    <cellStyle name="Comma 13 2 4 2 2" xfId="1834"/>
    <cellStyle name="Comma 13 2 4 3" xfId="1835"/>
    <cellStyle name="Comma 13 2 5" xfId="1836"/>
    <cellStyle name="Comma 13 2 5 2" xfId="1837"/>
    <cellStyle name="Comma 13 2 5 2 2" xfId="1838"/>
    <cellStyle name="Comma 13 2 5 3" xfId="1839"/>
    <cellStyle name="Comma 13 2 6" xfId="1840"/>
    <cellStyle name="Comma 13 2 6 2" xfId="1841"/>
    <cellStyle name="Comma 13 2 7" xfId="1842"/>
    <cellStyle name="Comma 13 2 8" xfId="1843"/>
    <cellStyle name="Comma 13 3" xfId="1844"/>
    <cellStyle name="Comma 13 3 2" xfId="1845"/>
    <cellStyle name="Comma 13 3 2 2" xfId="1846"/>
    <cellStyle name="Comma 13 3 3" xfId="1847"/>
    <cellStyle name="Comma 13 4" xfId="1848"/>
    <cellStyle name="Comma 13 4 2" xfId="1849"/>
    <cellStyle name="Comma 13 4 2 2" xfId="1850"/>
    <cellStyle name="Comma 13 4 3" xfId="1851"/>
    <cellStyle name="Comma 13 5" xfId="1852"/>
    <cellStyle name="Comma 13 5 2" xfId="1853"/>
    <cellStyle name="Comma 13 5 2 2" xfId="1854"/>
    <cellStyle name="Comma 13 5 3" xfId="1855"/>
    <cellStyle name="Comma 13 6" xfId="1856"/>
    <cellStyle name="Comma 13 6 2" xfId="1857"/>
    <cellStyle name="Comma 13 6 2 2" xfId="1858"/>
    <cellStyle name="Comma 13 6 3" xfId="1859"/>
    <cellStyle name="Comma 13 7" xfId="1860"/>
    <cellStyle name="Comma 13 7 2" xfId="1861"/>
    <cellStyle name="Comma 13 7 2 2" xfId="1862"/>
    <cellStyle name="Comma 13 7 3" xfId="1863"/>
    <cellStyle name="Comma 13 8" xfId="1864"/>
    <cellStyle name="Comma 13 8 2" xfId="1865"/>
    <cellStyle name="Comma 13 9" xfId="1866"/>
    <cellStyle name="Comma 14" xfId="1867"/>
    <cellStyle name="Comma 14 2" xfId="1868"/>
    <cellStyle name="Comma 14 2 2" xfId="1869"/>
    <cellStyle name="Comma 14 2 2 2" xfId="1870"/>
    <cellStyle name="Comma 14 2 2 2 2" xfId="1871"/>
    <cellStyle name="Comma 14 2 2 3" xfId="1872"/>
    <cellStyle name="Comma 14 2 3" xfId="1873"/>
    <cellStyle name="Comma 14 2 3 2" xfId="1874"/>
    <cellStyle name="Comma 14 2 3 2 2" xfId="1875"/>
    <cellStyle name="Comma 14 2 3 3" xfId="1876"/>
    <cellStyle name="Comma 14 2 4" xfId="1877"/>
    <cellStyle name="Comma 14 2 4 2" xfId="1878"/>
    <cellStyle name="Comma 14 2 4 2 2" xfId="1879"/>
    <cellStyle name="Comma 14 2 4 3" xfId="1880"/>
    <cellStyle name="Comma 14 2 5" xfId="1881"/>
    <cellStyle name="Comma 14 2 5 2" xfId="1882"/>
    <cellStyle name="Comma 14 2 5 2 2" xfId="1883"/>
    <cellStyle name="Comma 14 2 5 3" xfId="1884"/>
    <cellStyle name="Comma 14 2 6" xfId="1885"/>
    <cellStyle name="Comma 14 2 6 2" xfId="1886"/>
    <cellStyle name="Comma 14 2 7" xfId="1887"/>
    <cellStyle name="Comma 14 2 8" xfId="1888"/>
    <cellStyle name="Comma 14 3" xfId="1889"/>
    <cellStyle name="Comma 14 3 2" xfId="1890"/>
    <cellStyle name="Comma 14 3 2 2" xfId="1891"/>
    <cellStyle name="Comma 14 3 3" xfId="1892"/>
    <cellStyle name="Comma 14 4" xfId="1893"/>
    <cellStyle name="Comma 14 4 2" xfId="1894"/>
    <cellStyle name="Comma 14 4 2 2" xfId="1895"/>
    <cellStyle name="Comma 14 4 3" xfId="1896"/>
    <cellStyle name="Comma 14 5" xfId="1897"/>
    <cellStyle name="Comma 14 5 2" xfId="1898"/>
    <cellStyle name="Comma 14 5 2 2" xfId="1899"/>
    <cellStyle name="Comma 14 5 3" xfId="1900"/>
    <cellStyle name="Comma 14 6" xfId="1901"/>
    <cellStyle name="Comma 14 6 2" xfId="1902"/>
    <cellStyle name="Comma 14 6 2 2" xfId="1903"/>
    <cellStyle name="Comma 14 6 3" xfId="1904"/>
    <cellStyle name="Comma 14 7" xfId="1905"/>
    <cellStyle name="Comma 14 7 2" xfId="1906"/>
    <cellStyle name="Comma 14 8" xfId="1907"/>
    <cellStyle name="Comma 14 9" xfId="1908"/>
    <cellStyle name="Comma 15" xfId="1909"/>
    <cellStyle name="Comma 15 2" xfId="1910"/>
    <cellStyle name="Comma 15 2 2" xfId="1911"/>
    <cellStyle name="Comma 15 2 2 2" xfId="1912"/>
    <cellStyle name="Comma 15 2 2 2 2" xfId="1913"/>
    <cellStyle name="Comma 15 2 2 3" xfId="1914"/>
    <cellStyle name="Comma 15 2 3" xfId="1915"/>
    <cellStyle name="Comma 15 2 3 2" xfId="1916"/>
    <cellStyle name="Comma 15 2 3 2 2" xfId="1917"/>
    <cellStyle name="Comma 15 2 3 3" xfId="1918"/>
    <cellStyle name="Comma 15 2 4" xfId="1919"/>
    <cellStyle name="Comma 15 2 4 2" xfId="1920"/>
    <cellStyle name="Comma 15 2 5" xfId="1921"/>
    <cellStyle name="Comma 15 3" xfId="1922"/>
    <cellStyle name="Comma 15 3 2" xfId="1923"/>
    <cellStyle name="Comma 15 3 2 2" xfId="1924"/>
    <cellStyle name="Comma 15 3 2 2 2" xfId="1925"/>
    <cellStyle name="Comma 15 3 2 3" xfId="1926"/>
    <cellStyle name="Comma 15 3 3" xfId="1927"/>
    <cellStyle name="Comma 15 3 3 2" xfId="1928"/>
    <cellStyle name="Comma 15 3 3 2 2" xfId="1929"/>
    <cellStyle name="Comma 15 3 3 3" xfId="1930"/>
    <cellStyle name="Comma 15 3 4" xfId="1931"/>
    <cellStyle name="Comma 15 3 4 2" xfId="1932"/>
    <cellStyle name="Comma 15 3 5" xfId="1933"/>
    <cellStyle name="Comma 15 4" xfId="1934"/>
    <cellStyle name="Comma 15 4 2" xfId="1935"/>
    <cellStyle name="Comma 15 4 2 2" xfId="1936"/>
    <cellStyle name="Comma 15 4 3" xfId="1937"/>
    <cellStyle name="Comma 15 5" xfId="1938"/>
    <cellStyle name="Comma 15 5 2" xfId="1939"/>
    <cellStyle name="Comma 15 5 2 2" xfId="1940"/>
    <cellStyle name="Comma 15 5 3" xfId="1941"/>
    <cellStyle name="Comma 15 6" xfId="1942"/>
    <cellStyle name="Comma 15 6 2" xfId="1943"/>
    <cellStyle name="Comma 15 7" xfId="1944"/>
    <cellStyle name="Comma 16" xfId="1945"/>
    <cellStyle name="Comma 16 2" xfId="1946"/>
    <cellStyle name="Comma 16 2 2" xfId="1947"/>
    <cellStyle name="Comma 16 2 2 2" xfId="1948"/>
    <cellStyle name="Comma 16 2 2 2 2" xfId="1949"/>
    <cellStyle name="Comma 16 2 2 3" xfId="1950"/>
    <cellStyle name="Comma 16 2 3" xfId="1951"/>
    <cellStyle name="Comma 16 2 3 2" xfId="1952"/>
    <cellStyle name="Comma 16 2 3 2 2" xfId="1953"/>
    <cellStyle name="Comma 16 2 3 3" xfId="1954"/>
    <cellStyle name="Comma 16 2 4" xfId="1955"/>
    <cellStyle name="Comma 16 2 4 2" xfId="1956"/>
    <cellStyle name="Comma 16 2 4 2 2" xfId="1957"/>
    <cellStyle name="Comma 16 2 4 3" xfId="1958"/>
    <cellStyle name="Comma 16 2 5" xfId="1959"/>
    <cellStyle name="Comma 16 2 5 2" xfId="1960"/>
    <cellStyle name="Comma 16 2 5 2 2" xfId="1961"/>
    <cellStyle name="Comma 16 2 5 3" xfId="1962"/>
    <cellStyle name="Comma 16 2 6" xfId="1963"/>
    <cellStyle name="Comma 16 2 6 2" xfId="1964"/>
    <cellStyle name="Comma 16 2 7" xfId="1965"/>
    <cellStyle name="Comma 16 2 8" xfId="1966"/>
    <cellStyle name="Comma 16 3" xfId="1967"/>
    <cellStyle name="Comma 16 3 2" xfId="1968"/>
    <cellStyle name="Comma 16 3 2 2" xfId="1969"/>
    <cellStyle name="Comma 16 3 3" xfId="1970"/>
    <cellStyle name="Comma 16 4" xfId="1971"/>
    <cellStyle name="Comma 16 4 2" xfId="1972"/>
    <cellStyle name="Comma 16 4 2 2" xfId="1973"/>
    <cellStyle name="Comma 16 4 3" xfId="1974"/>
    <cellStyle name="Comma 16 5" xfId="1975"/>
    <cellStyle name="Comma 16 5 2" xfId="1976"/>
    <cellStyle name="Comma 16 5 2 2" xfId="1977"/>
    <cellStyle name="Comma 16 5 3" xfId="1978"/>
    <cellStyle name="Comma 16 6" xfId="1979"/>
    <cellStyle name="Comma 16 6 2" xfId="1980"/>
    <cellStyle name="Comma 16 6 2 2" xfId="1981"/>
    <cellStyle name="Comma 16 6 3" xfId="1982"/>
    <cellStyle name="Comma 16 7" xfId="1983"/>
    <cellStyle name="Comma 16 7 2" xfId="1984"/>
    <cellStyle name="Comma 16 8" xfId="1985"/>
    <cellStyle name="Comma 16 9" xfId="1986"/>
    <cellStyle name="Comma 17" xfId="1987"/>
    <cellStyle name="Comma 17 10" xfId="1988"/>
    <cellStyle name="Comma 17 2" xfId="1989"/>
    <cellStyle name="Comma 17 2 2" xfId="1990"/>
    <cellStyle name="Comma 17 2 2 2" xfId="1991"/>
    <cellStyle name="Comma 17 2 2 2 2" xfId="1992"/>
    <cellStyle name="Comma 17 2 2 2 2 2" xfId="1993"/>
    <cellStyle name="Comma 17 2 2 2 3" xfId="1994"/>
    <cellStyle name="Comma 17 2 2 3" xfId="1995"/>
    <cellStyle name="Comma 17 2 2 3 2" xfId="1996"/>
    <cellStyle name="Comma 17 2 2 3 2 2" xfId="1997"/>
    <cellStyle name="Comma 17 2 2 3 3" xfId="1998"/>
    <cellStyle name="Comma 17 2 2 4" xfId="1999"/>
    <cellStyle name="Comma 17 2 2 4 2" xfId="2000"/>
    <cellStyle name="Comma 17 2 2 4 2 2" xfId="2001"/>
    <cellStyle name="Comma 17 2 2 4 3" xfId="2002"/>
    <cellStyle name="Comma 17 2 2 5" xfId="2003"/>
    <cellStyle name="Comma 17 2 2 5 2" xfId="2004"/>
    <cellStyle name="Comma 17 2 2 5 2 2" xfId="2005"/>
    <cellStyle name="Comma 17 2 2 5 3" xfId="2006"/>
    <cellStyle name="Comma 17 2 2 6" xfId="2007"/>
    <cellStyle name="Comma 17 2 2 6 2" xfId="2008"/>
    <cellStyle name="Comma 17 2 2 7" xfId="2009"/>
    <cellStyle name="Comma 17 2 2 8" xfId="2010"/>
    <cellStyle name="Comma 17 2 3" xfId="2011"/>
    <cellStyle name="Comma 17 2 3 2" xfId="2012"/>
    <cellStyle name="Comma 17 2 3 2 2" xfId="2013"/>
    <cellStyle name="Comma 17 2 3 3" xfId="2014"/>
    <cellStyle name="Comma 17 2 4" xfId="2015"/>
    <cellStyle name="Comma 17 2 4 2" xfId="2016"/>
    <cellStyle name="Comma 17 2 4 2 2" xfId="2017"/>
    <cellStyle name="Comma 17 2 4 3" xfId="2018"/>
    <cellStyle name="Comma 17 2 5" xfId="2019"/>
    <cellStyle name="Comma 17 2 5 2" xfId="2020"/>
    <cellStyle name="Comma 17 2 5 2 2" xfId="2021"/>
    <cellStyle name="Comma 17 2 5 3" xfId="2022"/>
    <cellStyle name="Comma 17 2 6" xfId="2023"/>
    <cellStyle name="Comma 17 2 6 2" xfId="2024"/>
    <cellStyle name="Comma 17 2 6 2 2" xfId="2025"/>
    <cellStyle name="Comma 17 2 6 3" xfId="2026"/>
    <cellStyle name="Comma 17 2 7" xfId="2027"/>
    <cellStyle name="Comma 17 2 7 2" xfId="2028"/>
    <cellStyle name="Comma 17 2 8" xfId="2029"/>
    <cellStyle name="Comma 17 2 9" xfId="2030"/>
    <cellStyle name="Comma 17 3" xfId="2031"/>
    <cellStyle name="Comma 17 3 2" xfId="2032"/>
    <cellStyle name="Comma 17 3 2 2" xfId="2033"/>
    <cellStyle name="Comma 17 3 2 2 2" xfId="2034"/>
    <cellStyle name="Comma 17 3 2 3" xfId="2035"/>
    <cellStyle name="Comma 17 3 3" xfId="2036"/>
    <cellStyle name="Comma 17 3 3 2" xfId="2037"/>
    <cellStyle name="Comma 17 3 3 2 2" xfId="2038"/>
    <cellStyle name="Comma 17 3 3 3" xfId="2039"/>
    <cellStyle name="Comma 17 3 4" xfId="2040"/>
    <cellStyle name="Comma 17 3 4 2" xfId="2041"/>
    <cellStyle name="Comma 17 3 4 2 2" xfId="2042"/>
    <cellStyle name="Comma 17 3 4 3" xfId="2043"/>
    <cellStyle name="Comma 17 3 5" xfId="2044"/>
    <cellStyle name="Comma 17 3 5 2" xfId="2045"/>
    <cellStyle name="Comma 17 3 5 2 2" xfId="2046"/>
    <cellStyle name="Comma 17 3 5 3" xfId="2047"/>
    <cellStyle name="Comma 17 3 6" xfId="2048"/>
    <cellStyle name="Comma 17 3 6 2" xfId="2049"/>
    <cellStyle name="Comma 17 3 7" xfId="2050"/>
    <cellStyle name="Comma 17 3 8" xfId="2051"/>
    <cellStyle name="Comma 17 4" xfId="2052"/>
    <cellStyle name="Comma 17 4 2" xfId="2053"/>
    <cellStyle name="Comma 17 4 2 2" xfId="2054"/>
    <cellStyle name="Comma 17 4 3" xfId="2055"/>
    <cellStyle name="Comma 17 5" xfId="2056"/>
    <cellStyle name="Comma 17 5 2" xfId="2057"/>
    <cellStyle name="Comma 17 5 2 2" xfId="2058"/>
    <cellStyle name="Comma 17 5 3" xfId="2059"/>
    <cellStyle name="Comma 17 6" xfId="2060"/>
    <cellStyle name="Comma 17 6 2" xfId="2061"/>
    <cellStyle name="Comma 17 6 2 2" xfId="2062"/>
    <cellStyle name="Comma 17 6 3" xfId="2063"/>
    <cellStyle name="Comma 17 7" xfId="2064"/>
    <cellStyle name="Comma 17 7 2" xfId="2065"/>
    <cellStyle name="Comma 17 7 2 2" xfId="2066"/>
    <cellStyle name="Comma 17 7 3" xfId="2067"/>
    <cellStyle name="Comma 17 8" xfId="2068"/>
    <cellStyle name="Comma 17 8 2" xfId="2069"/>
    <cellStyle name="Comma 17 9" xfId="2070"/>
    <cellStyle name="Comma 18" xfId="2071"/>
    <cellStyle name="Comma 18 10" xfId="2072"/>
    <cellStyle name="Comma 18 2" xfId="2073"/>
    <cellStyle name="Comma 18 2 2" xfId="2074"/>
    <cellStyle name="Comma 18 2 2 2" xfId="2075"/>
    <cellStyle name="Comma 18 2 2 2 2" xfId="2076"/>
    <cellStyle name="Comma 18 2 2 2 2 2" xfId="2077"/>
    <cellStyle name="Comma 18 2 2 2 3" xfId="2078"/>
    <cellStyle name="Comma 18 2 2 3" xfId="2079"/>
    <cellStyle name="Comma 18 2 2 3 2" xfId="2080"/>
    <cellStyle name="Comma 18 2 2 3 2 2" xfId="2081"/>
    <cellStyle name="Comma 18 2 2 3 3" xfId="2082"/>
    <cellStyle name="Comma 18 2 2 4" xfId="2083"/>
    <cellStyle name="Comma 18 2 2 4 2" xfId="2084"/>
    <cellStyle name="Comma 18 2 2 4 2 2" xfId="2085"/>
    <cellStyle name="Comma 18 2 2 4 3" xfId="2086"/>
    <cellStyle name="Comma 18 2 2 5" xfId="2087"/>
    <cellStyle name="Comma 18 2 2 5 2" xfId="2088"/>
    <cellStyle name="Comma 18 2 2 5 2 2" xfId="2089"/>
    <cellStyle name="Comma 18 2 2 5 3" xfId="2090"/>
    <cellStyle name="Comma 18 2 2 6" xfId="2091"/>
    <cellStyle name="Comma 18 2 2 6 2" xfId="2092"/>
    <cellStyle name="Comma 18 2 2 7" xfId="2093"/>
    <cellStyle name="Comma 18 2 2 8" xfId="2094"/>
    <cellStyle name="Comma 18 2 3" xfId="2095"/>
    <cellStyle name="Comma 18 2 3 2" xfId="2096"/>
    <cellStyle name="Comma 18 2 3 2 2" xfId="2097"/>
    <cellStyle name="Comma 18 2 3 3" xfId="2098"/>
    <cellStyle name="Comma 18 2 4" xfId="2099"/>
    <cellStyle name="Comma 18 2 4 2" xfId="2100"/>
    <cellStyle name="Comma 18 2 4 2 2" xfId="2101"/>
    <cellStyle name="Comma 18 2 4 3" xfId="2102"/>
    <cellStyle name="Comma 18 2 5" xfId="2103"/>
    <cellStyle name="Comma 18 2 5 2" xfId="2104"/>
    <cellStyle name="Comma 18 2 5 2 2" xfId="2105"/>
    <cellStyle name="Comma 18 2 5 3" xfId="2106"/>
    <cellStyle name="Comma 18 2 6" xfId="2107"/>
    <cellStyle name="Comma 18 2 6 2" xfId="2108"/>
    <cellStyle name="Comma 18 2 6 2 2" xfId="2109"/>
    <cellStyle name="Comma 18 2 6 3" xfId="2110"/>
    <cellStyle name="Comma 18 2 7" xfId="2111"/>
    <cellStyle name="Comma 18 2 7 2" xfId="2112"/>
    <cellStyle name="Comma 18 2 8" xfId="2113"/>
    <cellStyle name="Comma 18 2 9" xfId="2114"/>
    <cellStyle name="Comma 18 3" xfId="2115"/>
    <cellStyle name="Comma 18 3 2" xfId="2116"/>
    <cellStyle name="Comma 18 3 2 2" xfId="2117"/>
    <cellStyle name="Comma 18 3 2 2 2" xfId="2118"/>
    <cellStyle name="Comma 18 3 2 3" xfId="2119"/>
    <cellStyle name="Comma 18 3 3" xfId="2120"/>
    <cellStyle name="Comma 18 3 3 2" xfId="2121"/>
    <cellStyle name="Comma 18 3 3 2 2" xfId="2122"/>
    <cellStyle name="Comma 18 3 3 3" xfId="2123"/>
    <cellStyle name="Comma 18 3 4" xfId="2124"/>
    <cellStyle name="Comma 18 3 4 2" xfId="2125"/>
    <cellStyle name="Comma 18 3 4 2 2" xfId="2126"/>
    <cellStyle name="Comma 18 3 4 3" xfId="2127"/>
    <cellStyle name="Comma 18 3 5" xfId="2128"/>
    <cellStyle name="Comma 18 3 5 2" xfId="2129"/>
    <cellStyle name="Comma 18 3 5 2 2" xfId="2130"/>
    <cellStyle name="Comma 18 3 5 3" xfId="2131"/>
    <cellStyle name="Comma 18 3 6" xfId="2132"/>
    <cellStyle name="Comma 18 3 6 2" xfId="2133"/>
    <cellStyle name="Comma 18 3 7" xfId="2134"/>
    <cellStyle name="Comma 18 3 8" xfId="2135"/>
    <cellStyle name="Comma 18 4" xfId="2136"/>
    <cellStyle name="Comma 18 4 2" xfId="2137"/>
    <cellStyle name="Comma 18 4 2 2" xfId="2138"/>
    <cellStyle name="Comma 18 4 3" xfId="2139"/>
    <cellStyle name="Comma 18 5" xfId="2140"/>
    <cellStyle name="Comma 18 5 2" xfId="2141"/>
    <cellStyle name="Comma 18 5 2 2" xfId="2142"/>
    <cellStyle name="Comma 18 5 3" xfId="2143"/>
    <cellStyle name="Comma 18 6" xfId="2144"/>
    <cellStyle name="Comma 18 6 2" xfId="2145"/>
    <cellStyle name="Comma 18 6 2 2" xfId="2146"/>
    <cellStyle name="Comma 18 6 3" xfId="2147"/>
    <cellStyle name="Comma 18 7" xfId="2148"/>
    <cellStyle name="Comma 18 7 2" xfId="2149"/>
    <cellStyle name="Comma 18 7 2 2" xfId="2150"/>
    <cellStyle name="Comma 18 7 3" xfId="2151"/>
    <cellStyle name="Comma 18 8" xfId="2152"/>
    <cellStyle name="Comma 18 8 2" xfId="2153"/>
    <cellStyle name="Comma 18 9" xfId="2154"/>
    <cellStyle name="Comma 19" xfId="2155"/>
    <cellStyle name="Comma 19 10" xfId="2156"/>
    <cellStyle name="Comma 19 2" xfId="2157"/>
    <cellStyle name="Comma 19 2 2" xfId="2158"/>
    <cellStyle name="Comma 19 2 2 2" xfId="2159"/>
    <cellStyle name="Comma 19 2 2 2 2" xfId="2160"/>
    <cellStyle name="Comma 19 2 2 2 2 2" xfId="2161"/>
    <cellStyle name="Comma 19 2 2 2 3" xfId="2162"/>
    <cellStyle name="Comma 19 2 2 3" xfId="2163"/>
    <cellStyle name="Comma 19 2 2 3 2" xfId="2164"/>
    <cellStyle name="Comma 19 2 2 3 2 2" xfId="2165"/>
    <cellStyle name="Comma 19 2 2 3 3" xfId="2166"/>
    <cellStyle name="Comma 19 2 2 4" xfId="2167"/>
    <cellStyle name="Comma 19 2 2 4 2" xfId="2168"/>
    <cellStyle name="Comma 19 2 2 4 2 2" xfId="2169"/>
    <cellStyle name="Comma 19 2 2 4 3" xfId="2170"/>
    <cellStyle name="Comma 19 2 2 5" xfId="2171"/>
    <cellStyle name="Comma 19 2 2 5 2" xfId="2172"/>
    <cellStyle name="Comma 19 2 2 5 2 2" xfId="2173"/>
    <cellStyle name="Comma 19 2 2 5 3" xfId="2174"/>
    <cellStyle name="Comma 19 2 2 6" xfId="2175"/>
    <cellStyle name="Comma 19 2 2 6 2" xfId="2176"/>
    <cellStyle name="Comma 19 2 2 7" xfId="2177"/>
    <cellStyle name="Comma 19 2 2 8" xfId="2178"/>
    <cellStyle name="Comma 19 2 3" xfId="2179"/>
    <cellStyle name="Comma 19 2 3 2" xfId="2180"/>
    <cellStyle name="Comma 19 2 3 2 2" xfId="2181"/>
    <cellStyle name="Comma 19 2 3 3" xfId="2182"/>
    <cellStyle name="Comma 19 2 4" xfId="2183"/>
    <cellStyle name="Comma 19 2 4 2" xfId="2184"/>
    <cellStyle name="Comma 19 2 4 2 2" xfId="2185"/>
    <cellStyle name="Comma 19 2 4 3" xfId="2186"/>
    <cellStyle name="Comma 19 2 5" xfId="2187"/>
    <cellStyle name="Comma 19 2 5 2" xfId="2188"/>
    <cellStyle name="Comma 19 2 5 2 2" xfId="2189"/>
    <cellStyle name="Comma 19 2 5 3" xfId="2190"/>
    <cellStyle name="Comma 19 2 6" xfId="2191"/>
    <cellStyle name="Comma 19 2 6 2" xfId="2192"/>
    <cellStyle name="Comma 19 2 6 2 2" xfId="2193"/>
    <cellStyle name="Comma 19 2 6 3" xfId="2194"/>
    <cellStyle name="Comma 19 2 7" xfId="2195"/>
    <cellStyle name="Comma 19 2 7 2" xfId="2196"/>
    <cellStyle name="Comma 19 2 8" xfId="2197"/>
    <cellStyle name="Comma 19 2 9" xfId="2198"/>
    <cellStyle name="Comma 19 3" xfId="2199"/>
    <cellStyle name="Comma 19 3 2" xfId="2200"/>
    <cellStyle name="Comma 19 3 2 2" xfId="2201"/>
    <cellStyle name="Comma 19 3 2 2 2" xfId="2202"/>
    <cellStyle name="Comma 19 3 2 3" xfId="2203"/>
    <cellStyle name="Comma 19 3 3" xfId="2204"/>
    <cellStyle name="Comma 19 3 3 2" xfId="2205"/>
    <cellStyle name="Comma 19 3 3 2 2" xfId="2206"/>
    <cellStyle name="Comma 19 3 3 3" xfId="2207"/>
    <cellStyle name="Comma 19 3 4" xfId="2208"/>
    <cellStyle name="Comma 19 3 4 2" xfId="2209"/>
    <cellStyle name="Comma 19 3 4 2 2" xfId="2210"/>
    <cellStyle name="Comma 19 3 4 3" xfId="2211"/>
    <cellStyle name="Comma 19 3 5" xfId="2212"/>
    <cellStyle name="Comma 19 3 5 2" xfId="2213"/>
    <cellStyle name="Comma 19 3 5 2 2" xfId="2214"/>
    <cellStyle name="Comma 19 3 5 3" xfId="2215"/>
    <cellStyle name="Comma 19 3 6" xfId="2216"/>
    <cellStyle name="Comma 19 3 6 2" xfId="2217"/>
    <cellStyle name="Comma 19 3 7" xfId="2218"/>
    <cellStyle name="Comma 19 3 8" xfId="2219"/>
    <cellStyle name="Comma 19 4" xfId="2220"/>
    <cellStyle name="Comma 19 4 2" xfId="2221"/>
    <cellStyle name="Comma 19 4 2 2" xfId="2222"/>
    <cellStyle name="Comma 19 4 3" xfId="2223"/>
    <cellStyle name="Comma 19 5" xfId="2224"/>
    <cellStyle name="Comma 19 5 2" xfId="2225"/>
    <cellStyle name="Comma 19 5 2 2" xfId="2226"/>
    <cellStyle name="Comma 19 5 3" xfId="2227"/>
    <cellStyle name="Comma 19 6" xfId="2228"/>
    <cellStyle name="Comma 19 6 2" xfId="2229"/>
    <cellStyle name="Comma 19 6 2 2" xfId="2230"/>
    <cellStyle name="Comma 19 6 3" xfId="2231"/>
    <cellStyle name="Comma 19 7" xfId="2232"/>
    <cellStyle name="Comma 19 7 2" xfId="2233"/>
    <cellStyle name="Comma 19 7 2 2" xfId="2234"/>
    <cellStyle name="Comma 19 7 3" xfId="2235"/>
    <cellStyle name="Comma 19 8" xfId="2236"/>
    <cellStyle name="Comma 19 8 2" xfId="2237"/>
    <cellStyle name="Comma 19 9" xfId="2238"/>
    <cellStyle name="Comma 2" xfId="11"/>
    <cellStyle name="Comma 2 10" xfId="2239"/>
    <cellStyle name="Comma 2 10 2" xfId="2240"/>
    <cellStyle name="Comma 2 11" xfId="2241"/>
    <cellStyle name="Comma 2 12" xfId="2242"/>
    <cellStyle name="Comma 2 13" xfId="2243"/>
    <cellStyle name="Comma 2 14" xfId="2244"/>
    <cellStyle name="Comma 2 14 2" xfId="21816"/>
    <cellStyle name="Comma 2 14 2 2" xfId="27051"/>
    <cellStyle name="Comma 2 14 3" xfId="24539"/>
    <cellStyle name="Comma 2 15" xfId="21585"/>
    <cellStyle name="Comma 2 15 2" xfId="26832"/>
    <cellStyle name="Comma 2 16" xfId="24253"/>
    <cellStyle name="Comma 2 2" xfId="12"/>
    <cellStyle name="Comma 2 2 10" xfId="2245"/>
    <cellStyle name="Comma 2 2 10 2" xfId="2246"/>
    <cellStyle name="Comma 2 2 10 2 2" xfId="2247"/>
    <cellStyle name="Comma 2 2 10 3" xfId="2248"/>
    <cellStyle name="Comma 2 2 11" xfId="2249"/>
    <cellStyle name="Comma 2 2 11 2" xfId="2250"/>
    <cellStyle name="Comma 2 2 11 2 2" xfId="2251"/>
    <cellStyle name="Comma 2 2 11 3" xfId="2252"/>
    <cellStyle name="Comma 2 2 12" xfId="2253"/>
    <cellStyle name="Comma 2 2 12 2" xfId="2254"/>
    <cellStyle name="Comma 2 2 12 2 2" xfId="2255"/>
    <cellStyle name="Comma 2 2 12 3" xfId="2256"/>
    <cellStyle name="Comma 2 2 13" xfId="2257"/>
    <cellStyle name="Comma 2 2 13 2" xfId="2258"/>
    <cellStyle name="Comma 2 2 14" xfId="2259"/>
    <cellStyle name="Comma 2 2 15" xfId="2260"/>
    <cellStyle name="Comma 2 2 16" xfId="2261"/>
    <cellStyle name="Comma 2 2 17" xfId="2262"/>
    <cellStyle name="Comma 2 2 17 2" xfId="21817"/>
    <cellStyle name="Comma 2 2 17 2 2" xfId="27052"/>
    <cellStyle name="Comma 2 2 17 3" xfId="24540"/>
    <cellStyle name="Comma 2 2 18" xfId="21586"/>
    <cellStyle name="Comma 2 2 18 2" xfId="26833"/>
    <cellStyle name="Comma 2 2 19" xfId="24254"/>
    <cellStyle name="Comma 2 2 2" xfId="13"/>
    <cellStyle name="Comma 2 2 2 10" xfId="2263"/>
    <cellStyle name="Comma 2 2 2 11" xfId="2264"/>
    <cellStyle name="Comma 2 2 2 12" xfId="2265"/>
    <cellStyle name="Comma 2 2 2 13" xfId="2266"/>
    <cellStyle name="Comma 2 2 2 13 2" xfId="21818"/>
    <cellStyle name="Comma 2 2 2 13 2 2" xfId="27053"/>
    <cellStyle name="Comma 2 2 2 13 3" xfId="24541"/>
    <cellStyle name="Comma 2 2 2 14" xfId="21587"/>
    <cellStyle name="Comma 2 2 2 14 2" xfId="26834"/>
    <cellStyle name="Comma 2 2 2 15" xfId="24255"/>
    <cellStyle name="Comma 2 2 2 2" xfId="14"/>
    <cellStyle name="Comma 2 2 2 2 10" xfId="2267"/>
    <cellStyle name="Comma 2 2 2 2 11" xfId="2268"/>
    <cellStyle name="Comma 2 2 2 2 11 2" xfId="21819"/>
    <cellStyle name="Comma 2 2 2 2 11 2 2" xfId="27054"/>
    <cellStyle name="Comma 2 2 2 2 11 3" xfId="24542"/>
    <cellStyle name="Comma 2 2 2 2 12" xfId="21588"/>
    <cellStyle name="Comma 2 2 2 2 12 2" xfId="26835"/>
    <cellStyle name="Comma 2 2 2 2 13" xfId="24256"/>
    <cellStyle name="Comma 2 2 2 2 2" xfId="15"/>
    <cellStyle name="Comma 2 2 2 2 2 10" xfId="21445"/>
    <cellStyle name="Comma 2 2 2 2 2 11" xfId="24257"/>
    <cellStyle name="Comma 2 2 2 2 2 2" xfId="16"/>
    <cellStyle name="Comma 2 2 2 2 2 2 2" xfId="179"/>
    <cellStyle name="Comma 2 2 2 2 2 2 2 2" xfId="2269"/>
    <cellStyle name="Comma 2 2 2 2 2 2 2 3" xfId="21724"/>
    <cellStyle name="Comma 2 2 2 2 2 2 2 3 2" xfId="26961"/>
    <cellStyle name="Comma 2 2 2 2 2 2 2 4" xfId="24403"/>
    <cellStyle name="Comma 2 2 2 2 2 2 3" xfId="2270"/>
    <cellStyle name="Comma 2 2 2 2 2 2 4" xfId="21590"/>
    <cellStyle name="Comma 2 2 2 2 2 2 4 2" xfId="26837"/>
    <cellStyle name="Comma 2 2 2 2 2 2 5" xfId="24258"/>
    <cellStyle name="Comma 2 2 2 2 2 3" xfId="17"/>
    <cellStyle name="Comma 2 2 2 2 2 3 2" xfId="180"/>
    <cellStyle name="Comma 2 2 2 2 2 3 2 2" xfId="2271"/>
    <cellStyle name="Comma 2 2 2 2 2 3 2 3" xfId="21725"/>
    <cellStyle name="Comma 2 2 2 2 2 3 2 3 2" xfId="26962"/>
    <cellStyle name="Comma 2 2 2 2 2 3 2 4" xfId="24404"/>
    <cellStyle name="Comma 2 2 2 2 2 3 3" xfId="2272"/>
    <cellStyle name="Comma 2 2 2 2 2 3 4" xfId="21591"/>
    <cellStyle name="Comma 2 2 2 2 2 3 4 2" xfId="26838"/>
    <cellStyle name="Comma 2 2 2 2 2 3 5" xfId="24259"/>
    <cellStyle name="Comma 2 2 2 2 2 4" xfId="178"/>
    <cellStyle name="Comma 2 2 2 2 2 4 2" xfId="2273"/>
    <cellStyle name="Comma 2 2 2 2 2 4 2 2" xfId="2274"/>
    <cellStyle name="Comma 2 2 2 2 2 4 3" xfId="2275"/>
    <cellStyle name="Comma 2 2 2 2 2 4 4" xfId="21723"/>
    <cellStyle name="Comma 2 2 2 2 2 4 4 2" xfId="26960"/>
    <cellStyle name="Comma 2 2 2 2 2 4 5" xfId="24402"/>
    <cellStyle name="Comma 2 2 2 2 2 5" xfId="2276"/>
    <cellStyle name="Comma 2 2 2 2 2 5 2" xfId="2277"/>
    <cellStyle name="Comma 2 2 2 2 2 5 2 2" xfId="2278"/>
    <cellStyle name="Comma 2 2 2 2 2 5 3" xfId="2279"/>
    <cellStyle name="Comma 2 2 2 2 2 6" xfId="2280"/>
    <cellStyle name="Comma 2 2 2 2 2 6 2" xfId="2281"/>
    <cellStyle name="Comma 2 2 2 2 2 7" xfId="2282"/>
    <cellStyle name="Comma 2 2 2 2 2 8" xfId="2283"/>
    <cellStyle name="Comma 2 2 2 2 2 9" xfId="21589"/>
    <cellStyle name="Comma 2 2 2 2 2 9 2" xfId="26836"/>
    <cellStyle name="Comma 2 2 2 2 3" xfId="18"/>
    <cellStyle name="Comma 2 2 2 2 3 2" xfId="181"/>
    <cellStyle name="Comma 2 2 2 2 3 2 2" xfId="2284"/>
    <cellStyle name="Comma 2 2 2 2 3 2 3" xfId="21726"/>
    <cellStyle name="Comma 2 2 2 2 3 2 3 2" xfId="26963"/>
    <cellStyle name="Comma 2 2 2 2 3 2 4" xfId="24405"/>
    <cellStyle name="Comma 2 2 2 2 3 3" xfId="2285"/>
    <cellStyle name="Comma 2 2 2 2 3 4" xfId="21592"/>
    <cellStyle name="Comma 2 2 2 2 3 4 2" xfId="26839"/>
    <cellStyle name="Comma 2 2 2 2 3 5" xfId="24260"/>
    <cellStyle name="Comma 2 2 2 2 4" xfId="19"/>
    <cellStyle name="Comma 2 2 2 2 4 2" xfId="182"/>
    <cellStyle name="Comma 2 2 2 2 4 2 2" xfId="2286"/>
    <cellStyle name="Comma 2 2 2 2 4 2 3" xfId="21727"/>
    <cellStyle name="Comma 2 2 2 2 4 2 3 2" xfId="26964"/>
    <cellStyle name="Comma 2 2 2 2 4 2 4" xfId="24406"/>
    <cellStyle name="Comma 2 2 2 2 4 3" xfId="2287"/>
    <cellStyle name="Comma 2 2 2 2 4 4" xfId="21593"/>
    <cellStyle name="Comma 2 2 2 2 4 4 2" xfId="26840"/>
    <cellStyle name="Comma 2 2 2 2 4 5" xfId="24261"/>
    <cellStyle name="Comma 2 2 2 2 5" xfId="177"/>
    <cellStyle name="Comma 2 2 2 2 5 2" xfId="2288"/>
    <cellStyle name="Comma 2 2 2 2 5 2 2" xfId="2289"/>
    <cellStyle name="Comma 2 2 2 2 5 3" xfId="2290"/>
    <cellStyle name="Comma 2 2 2 2 5 4" xfId="21722"/>
    <cellStyle name="Comma 2 2 2 2 5 4 2" xfId="26959"/>
    <cellStyle name="Comma 2 2 2 2 5 5" xfId="24401"/>
    <cellStyle name="Comma 2 2 2 2 6" xfId="2291"/>
    <cellStyle name="Comma 2 2 2 2 6 2" xfId="2292"/>
    <cellStyle name="Comma 2 2 2 2 6 2 2" xfId="2293"/>
    <cellStyle name="Comma 2 2 2 2 6 3" xfId="2294"/>
    <cellStyle name="Comma 2 2 2 2 7" xfId="2295"/>
    <cellStyle name="Comma 2 2 2 2 7 2" xfId="2296"/>
    <cellStyle name="Comma 2 2 2 2 8" xfId="2297"/>
    <cellStyle name="Comma 2 2 2 2 9" xfId="2298"/>
    <cellStyle name="Comma 2 2 2 3" xfId="20"/>
    <cellStyle name="Comma 2 2 2 3 10" xfId="2299"/>
    <cellStyle name="Comma 2 2 2 3 11" xfId="2300"/>
    <cellStyle name="Comma 2 2 2 3 11 2" xfId="21820"/>
    <cellStyle name="Comma 2 2 2 3 11 2 2" xfId="27055"/>
    <cellStyle name="Comma 2 2 2 3 11 3" xfId="24543"/>
    <cellStyle name="Comma 2 2 2 3 12" xfId="21594"/>
    <cellStyle name="Comma 2 2 2 3 12 2" xfId="26841"/>
    <cellStyle name="Comma 2 2 2 3 13" xfId="24262"/>
    <cellStyle name="Comma 2 2 2 3 2" xfId="21"/>
    <cellStyle name="Comma 2 2 2 3 2 10" xfId="21446"/>
    <cellStyle name="Comma 2 2 2 3 2 11" xfId="24263"/>
    <cellStyle name="Comma 2 2 2 3 2 2" xfId="184"/>
    <cellStyle name="Comma 2 2 2 3 2 2 2" xfId="2301"/>
    <cellStyle name="Comma 2 2 2 3 2 2 2 2" xfId="2302"/>
    <cellStyle name="Comma 2 2 2 3 2 2 3" xfId="2303"/>
    <cellStyle name="Comma 2 2 2 3 2 2 4" xfId="21729"/>
    <cellStyle name="Comma 2 2 2 3 2 2 4 2" xfId="26966"/>
    <cellStyle name="Comma 2 2 2 3 2 2 5" xfId="24408"/>
    <cellStyle name="Comma 2 2 2 3 2 3" xfId="2304"/>
    <cellStyle name="Comma 2 2 2 3 2 3 2" xfId="2305"/>
    <cellStyle name="Comma 2 2 2 3 2 3 2 2" xfId="2306"/>
    <cellStyle name="Comma 2 2 2 3 2 3 3" xfId="2307"/>
    <cellStyle name="Comma 2 2 2 3 2 4" xfId="2308"/>
    <cellStyle name="Comma 2 2 2 3 2 4 2" xfId="2309"/>
    <cellStyle name="Comma 2 2 2 3 2 4 2 2" xfId="2310"/>
    <cellStyle name="Comma 2 2 2 3 2 4 3" xfId="2311"/>
    <cellStyle name="Comma 2 2 2 3 2 5" xfId="2312"/>
    <cellStyle name="Comma 2 2 2 3 2 5 2" xfId="2313"/>
    <cellStyle name="Comma 2 2 2 3 2 5 2 2" xfId="2314"/>
    <cellStyle name="Comma 2 2 2 3 2 5 3" xfId="2315"/>
    <cellStyle name="Comma 2 2 2 3 2 6" xfId="2316"/>
    <cellStyle name="Comma 2 2 2 3 2 6 2" xfId="2317"/>
    <cellStyle name="Comma 2 2 2 3 2 7" xfId="2318"/>
    <cellStyle name="Comma 2 2 2 3 2 8" xfId="2319"/>
    <cellStyle name="Comma 2 2 2 3 2 9" xfId="21595"/>
    <cellStyle name="Comma 2 2 2 3 2 9 2" xfId="26842"/>
    <cellStyle name="Comma 2 2 2 3 3" xfId="22"/>
    <cellStyle name="Comma 2 2 2 3 3 2" xfId="185"/>
    <cellStyle name="Comma 2 2 2 3 3 2 2" xfId="2320"/>
    <cellStyle name="Comma 2 2 2 3 3 2 3" xfId="21730"/>
    <cellStyle name="Comma 2 2 2 3 3 2 3 2" xfId="26967"/>
    <cellStyle name="Comma 2 2 2 3 3 2 4" xfId="24409"/>
    <cellStyle name="Comma 2 2 2 3 3 3" xfId="2321"/>
    <cellStyle name="Comma 2 2 2 3 3 4" xfId="21596"/>
    <cellStyle name="Comma 2 2 2 3 3 4 2" xfId="26843"/>
    <cellStyle name="Comma 2 2 2 3 3 5" xfId="24264"/>
    <cellStyle name="Comma 2 2 2 3 4" xfId="183"/>
    <cellStyle name="Comma 2 2 2 3 4 2" xfId="2322"/>
    <cellStyle name="Comma 2 2 2 3 4 2 2" xfId="2323"/>
    <cellStyle name="Comma 2 2 2 3 4 3" xfId="2324"/>
    <cellStyle name="Comma 2 2 2 3 4 4" xfId="21728"/>
    <cellStyle name="Comma 2 2 2 3 4 4 2" xfId="26965"/>
    <cellStyle name="Comma 2 2 2 3 4 5" xfId="24407"/>
    <cellStyle name="Comma 2 2 2 3 5" xfId="2325"/>
    <cellStyle name="Comma 2 2 2 3 5 2" xfId="2326"/>
    <cellStyle name="Comma 2 2 2 3 5 2 2" xfId="2327"/>
    <cellStyle name="Comma 2 2 2 3 5 3" xfId="2328"/>
    <cellStyle name="Comma 2 2 2 3 6" xfId="2329"/>
    <cellStyle name="Comma 2 2 2 3 6 2" xfId="2330"/>
    <cellStyle name="Comma 2 2 2 3 6 2 2" xfId="2331"/>
    <cellStyle name="Comma 2 2 2 3 6 3" xfId="2332"/>
    <cellStyle name="Comma 2 2 2 3 7" xfId="2333"/>
    <cellStyle name="Comma 2 2 2 3 7 2" xfId="2334"/>
    <cellStyle name="Comma 2 2 2 3 8" xfId="2335"/>
    <cellStyle name="Comma 2 2 2 3 9" xfId="2336"/>
    <cellStyle name="Comma 2 2 2 4" xfId="23"/>
    <cellStyle name="Comma 2 2 2 4 10" xfId="21447"/>
    <cellStyle name="Comma 2 2 2 4 11" xfId="24265"/>
    <cellStyle name="Comma 2 2 2 4 2" xfId="186"/>
    <cellStyle name="Comma 2 2 2 4 2 2" xfId="2337"/>
    <cellStyle name="Comma 2 2 2 4 2 2 2" xfId="2338"/>
    <cellStyle name="Comma 2 2 2 4 2 3" xfId="2339"/>
    <cellStyle name="Comma 2 2 2 4 2 4" xfId="21731"/>
    <cellStyle name="Comma 2 2 2 4 2 4 2" xfId="26968"/>
    <cellStyle name="Comma 2 2 2 4 2 5" xfId="24410"/>
    <cellStyle name="Comma 2 2 2 4 3" xfId="2340"/>
    <cellStyle name="Comma 2 2 2 4 3 2" xfId="2341"/>
    <cellStyle name="Comma 2 2 2 4 3 2 2" xfId="2342"/>
    <cellStyle name="Comma 2 2 2 4 3 3" xfId="2343"/>
    <cellStyle name="Comma 2 2 2 4 4" xfId="2344"/>
    <cellStyle name="Comma 2 2 2 4 4 2" xfId="2345"/>
    <cellStyle name="Comma 2 2 2 4 4 2 2" xfId="2346"/>
    <cellStyle name="Comma 2 2 2 4 4 3" xfId="2347"/>
    <cellStyle name="Comma 2 2 2 4 5" xfId="2348"/>
    <cellStyle name="Comma 2 2 2 4 5 2" xfId="2349"/>
    <cellStyle name="Comma 2 2 2 4 5 2 2" xfId="2350"/>
    <cellStyle name="Comma 2 2 2 4 5 3" xfId="2351"/>
    <cellStyle name="Comma 2 2 2 4 6" xfId="2352"/>
    <cellStyle name="Comma 2 2 2 4 6 2" xfId="2353"/>
    <cellStyle name="Comma 2 2 2 4 7" xfId="2354"/>
    <cellStyle name="Comma 2 2 2 4 8" xfId="2355"/>
    <cellStyle name="Comma 2 2 2 4 9" xfId="21597"/>
    <cellStyle name="Comma 2 2 2 4 9 2" xfId="26844"/>
    <cellStyle name="Comma 2 2 2 5" xfId="24"/>
    <cellStyle name="Comma 2 2 2 5 2" xfId="187"/>
    <cellStyle name="Comma 2 2 2 5 2 2" xfId="2356"/>
    <cellStyle name="Comma 2 2 2 5 2 3" xfId="21732"/>
    <cellStyle name="Comma 2 2 2 5 2 3 2" xfId="26969"/>
    <cellStyle name="Comma 2 2 2 5 2 4" xfId="24411"/>
    <cellStyle name="Comma 2 2 2 5 3" xfId="2357"/>
    <cellStyle name="Comma 2 2 2 5 4" xfId="21598"/>
    <cellStyle name="Comma 2 2 2 5 4 2" xfId="26845"/>
    <cellStyle name="Comma 2 2 2 5 5" xfId="24266"/>
    <cellStyle name="Comma 2 2 2 6" xfId="176"/>
    <cellStyle name="Comma 2 2 2 6 2" xfId="2358"/>
    <cellStyle name="Comma 2 2 2 6 2 2" xfId="2359"/>
    <cellStyle name="Comma 2 2 2 6 3" xfId="2360"/>
    <cellStyle name="Comma 2 2 2 6 4" xfId="21721"/>
    <cellStyle name="Comma 2 2 2 6 4 2" xfId="26958"/>
    <cellStyle name="Comma 2 2 2 6 5" xfId="24400"/>
    <cellStyle name="Comma 2 2 2 7" xfId="2361"/>
    <cellStyle name="Comma 2 2 2 7 2" xfId="2362"/>
    <cellStyle name="Comma 2 2 2 7 2 2" xfId="2363"/>
    <cellStyle name="Comma 2 2 2 7 3" xfId="2364"/>
    <cellStyle name="Comma 2 2 2 8" xfId="2365"/>
    <cellStyle name="Comma 2 2 2 8 2" xfId="2366"/>
    <cellStyle name="Comma 2 2 2 8 2 2" xfId="2367"/>
    <cellStyle name="Comma 2 2 2 8 3" xfId="2368"/>
    <cellStyle name="Comma 2 2 2 9" xfId="2369"/>
    <cellStyle name="Comma 2 2 2 9 2" xfId="2370"/>
    <cellStyle name="Comma 2 2 3" xfId="25"/>
    <cellStyle name="Comma 2 2 3 10" xfId="2371"/>
    <cellStyle name="Comma 2 2 3 11" xfId="2372"/>
    <cellStyle name="Comma 2 2 3 12" xfId="2373"/>
    <cellStyle name="Comma 2 2 3 12 2" xfId="21821"/>
    <cellStyle name="Comma 2 2 3 12 2 2" xfId="27056"/>
    <cellStyle name="Comma 2 2 3 12 3" xfId="24544"/>
    <cellStyle name="Comma 2 2 3 13" xfId="21599"/>
    <cellStyle name="Comma 2 2 3 13 2" xfId="26846"/>
    <cellStyle name="Comma 2 2 3 14" xfId="24267"/>
    <cellStyle name="Comma 2 2 3 2" xfId="26"/>
    <cellStyle name="Comma 2 2 3 2 10" xfId="21600"/>
    <cellStyle name="Comma 2 2 3 2 10 2" xfId="26847"/>
    <cellStyle name="Comma 2 2 3 2 11" xfId="21448"/>
    <cellStyle name="Comma 2 2 3 2 12" xfId="24268"/>
    <cellStyle name="Comma 2 2 3 2 2" xfId="27"/>
    <cellStyle name="Comma 2 2 3 2 2 10" xfId="21449"/>
    <cellStyle name="Comma 2 2 3 2 2 11" xfId="24269"/>
    <cellStyle name="Comma 2 2 3 2 2 2" xfId="190"/>
    <cellStyle name="Comma 2 2 3 2 2 2 2" xfId="2374"/>
    <cellStyle name="Comma 2 2 3 2 2 2 2 2" xfId="2375"/>
    <cellStyle name="Comma 2 2 3 2 2 2 3" xfId="2376"/>
    <cellStyle name="Comma 2 2 3 2 2 2 4" xfId="21735"/>
    <cellStyle name="Comma 2 2 3 2 2 2 4 2" xfId="26972"/>
    <cellStyle name="Comma 2 2 3 2 2 2 5" xfId="24414"/>
    <cellStyle name="Comma 2 2 3 2 2 3" xfId="2377"/>
    <cellStyle name="Comma 2 2 3 2 2 3 2" xfId="2378"/>
    <cellStyle name="Comma 2 2 3 2 2 3 2 2" xfId="2379"/>
    <cellStyle name="Comma 2 2 3 2 2 3 3" xfId="2380"/>
    <cellStyle name="Comma 2 2 3 2 2 4" xfId="2381"/>
    <cellStyle name="Comma 2 2 3 2 2 4 2" xfId="2382"/>
    <cellStyle name="Comma 2 2 3 2 2 4 2 2" xfId="2383"/>
    <cellStyle name="Comma 2 2 3 2 2 4 3" xfId="2384"/>
    <cellStyle name="Comma 2 2 3 2 2 5" xfId="2385"/>
    <cellStyle name="Comma 2 2 3 2 2 5 2" xfId="2386"/>
    <cellStyle name="Comma 2 2 3 2 2 5 2 2" xfId="2387"/>
    <cellStyle name="Comma 2 2 3 2 2 5 3" xfId="2388"/>
    <cellStyle name="Comma 2 2 3 2 2 6" xfId="2389"/>
    <cellStyle name="Comma 2 2 3 2 2 6 2" xfId="2390"/>
    <cellStyle name="Comma 2 2 3 2 2 7" xfId="2391"/>
    <cellStyle name="Comma 2 2 3 2 2 8" xfId="2392"/>
    <cellStyle name="Comma 2 2 3 2 2 9" xfId="21601"/>
    <cellStyle name="Comma 2 2 3 2 2 9 2" xfId="26848"/>
    <cellStyle name="Comma 2 2 3 2 3" xfId="28"/>
    <cellStyle name="Comma 2 2 3 2 3 2" xfId="191"/>
    <cellStyle name="Comma 2 2 3 2 3 2 2" xfId="2393"/>
    <cellStyle name="Comma 2 2 3 2 3 2 3" xfId="21736"/>
    <cellStyle name="Comma 2 2 3 2 3 2 3 2" xfId="26973"/>
    <cellStyle name="Comma 2 2 3 2 3 2 4" xfId="24415"/>
    <cellStyle name="Comma 2 2 3 2 3 3" xfId="2394"/>
    <cellStyle name="Comma 2 2 3 2 3 4" xfId="21602"/>
    <cellStyle name="Comma 2 2 3 2 3 4 2" xfId="26849"/>
    <cellStyle name="Comma 2 2 3 2 3 5" xfId="24270"/>
    <cellStyle name="Comma 2 2 3 2 4" xfId="189"/>
    <cellStyle name="Comma 2 2 3 2 4 2" xfId="2395"/>
    <cellStyle name="Comma 2 2 3 2 4 2 2" xfId="2396"/>
    <cellStyle name="Comma 2 2 3 2 4 3" xfId="2397"/>
    <cellStyle name="Comma 2 2 3 2 4 4" xfId="21734"/>
    <cellStyle name="Comma 2 2 3 2 4 4 2" xfId="26971"/>
    <cellStyle name="Comma 2 2 3 2 4 5" xfId="24413"/>
    <cellStyle name="Comma 2 2 3 2 5" xfId="2398"/>
    <cellStyle name="Comma 2 2 3 2 5 2" xfId="2399"/>
    <cellStyle name="Comma 2 2 3 2 5 2 2" xfId="2400"/>
    <cellStyle name="Comma 2 2 3 2 5 3" xfId="2401"/>
    <cellStyle name="Comma 2 2 3 2 6" xfId="2402"/>
    <cellStyle name="Comma 2 2 3 2 6 2" xfId="2403"/>
    <cellStyle name="Comma 2 2 3 2 6 2 2" xfId="2404"/>
    <cellStyle name="Comma 2 2 3 2 6 3" xfId="2405"/>
    <cellStyle name="Comma 2 2 3 2 7" xfId="2406"/>
    <cellStyle name="Comma 2 2 3 2 7 2" xfId="2407"/>
    <cellStyle name="Comma 2 2 3 2 8" xfId="2408"/>
    <cellStyle name="Comma 2 2 3 2 9" xfId="2409"/>
    <cellStyle name="Comma 2 2 3 3" xfId="29"/>
    <cellStyle name="Comma 2 2 3 3 10" xfId="21450"/>
    <cellStyle name="Comma 2 2 3 3 11" xfId="24271"/>
    <cellStyle name="Comma 2 2 3 3 2" xfId="192"/>
    <cellStyle name="Comma 2 2 3 3 2 2" xfId="2410"/>
    <cellStyle name="Comma 2 2 3 3 2 2 2" xfId="2411"/>
    <cellStyle name="Comma 2 2 3 3 2 3" xfId="2412"/>
    <cellStyle name="Comma 2 2 3 3 2 4" xfId="21737"/>
    <cellStyle name="Comma 2 2 3 3 2 4 2" xfId="26974"/>
    <cellStyle name="Comma 2 2 3 3 2 5" xfId="24416"/>
    <cellStyle name="Comma 2 2 3 3 3" xfId="2413"/>
    <cellStyle name="Comma 2 2 3 3 3 2" xfId="2414"/>
    <cellStyle name="Comma 2 2 3 3 3 2 2" xfId="2415"/>
    <cellStyle name="Comma 2 2 3 3 3 3" xfId="2416"/>
    <cellStyle name="Comma 2 2 3 3 4" xfId="2417"/>
    <cellStyle name="Comma 2 2 3 3 4 2" xfId="2418"/>
    <cellStyle name="Comma 2 2 3 3 4 2 2" xfId="2419"/>
    <cellStyle name="Comma 2 2 3 3 4 3" xfId="2420"/>
    <cellStyle name="Comma 2 2 3 3 5" xfId="2421"/>
    <cellStyle name="Comma 2 2 3 3 5 2" xfId="2422"/>
    <cellStyle name="Comma 2 2 3 3 5 2 2" xfId="2423"/>
    <cellStyle name="Comma 2 2 3 3 5 3" xfId="2424"/>
    <cellStyle name="Comma 2 2 3 3 6" xfId="2425"/>
    <cellStyle name="Comma 2 2 3 3 6 2" xfId="2426"/>
    <cellStyle name="Comma 2 2 3 3 7" xfId="2427"/>
    <cellStyle name="Comma 2 2 3 3 8" xfId="2428"/>
    <cellStyle name="Comma 2 2 3 3 9" xfId="21603"/>
    <cellStyle name="Comma 2 2 3 3 9 2" xfId="26850"/>
    <cellStyle name="Comma 2 2 3 4" xfId="30"/>
    <cellStyle name="Comma 2 2 3 4 2" xfId="193"/>
    <cellStyle name="Comma 2 2 3 4 2 2" xfId="2429"/>
    <cellStyle name="Comma 2 2 3 4 2 3" xfId="21738"/>
    <cellStyle name="Comma 2 2 3 4 2 3 2" xfId="26975"/>
    <cellStyle name="Comma 2 2 3 4 2 4" xfId="24417"/>
    <cellStyle name="Comma 2 2 3 4 3" xfId="2430"/>
    <cellStyle name="Comma 2 2 3 4 4" xfId="21604"/>
    <cellStyle name="Comma 2 2 3 4 4 2" xfId="26851"/>
    <cellStyle name="Comma 2 2 3 4 5" xfId="24272"/>
    <cellStyle name="Comma 2 2 3 5" xfId="188"/>
    <cellStyle name="Comma 2 2 3 5 2" xfId="2431"/>
    <cellStyle name="Comma 2 2 3 5 2 2" xfId="2432"/>
    <cellStyle name="Comma 2 2 3 5 3" xfId="2433"/>
    <cellStyle name="Comma 2 2 3 5 4" xfId="21733"/>
    <cellStyle name="Comma 2 2 3 5 4 2" xfId="26970"/>
    <cellStyle name="Comma 2 2 3 5 5" xfId="24412"/>
    <cellStyle name="Comma 2 2 3 6" xfId="2434"/>
    <cellStyle name="Comma 2 2 3 6 2" xfId="2435"/>
    <cellStyle name="Comma 2 2 3 6 2 2" xfId="2436"/>
    <cellStyle name="Comma 2 2 3 6 3" xfId="2437"/>
    <cellStyle name="Comma 2 2 3 7" xfId="2438"/>
    <cellStyle name="Comma 2 2 3 7 2" xfId="2439"/>
    <cellStyle name="Comma 2 2 3 7 2 2" xfId="2440"/>
    <cellStyle name="Comma 2 2 3 7 3" xfId="2441"/>
    <cellStyle name="Comma 2 2 3 8" xfId="2442"/>
    <cellStyle name="Comma 2 2 3 8 2" xfId="2443"/>
    <cellStyle name="Comma 2 2 3 9" xfId="2444"/>
    <cellStyle name="Comma 2 2 4" xfId="31"/>
    <cellStyle name="Comma 2 2 4 10" xfId="2445"/>
    <cellStyle name="Comma 2 2 4 11" xfId="2446"/>
    <cellStyle name="Comma 2 2 4 11 2" xfId="21822"/>
    <cellStyle name="Comma 2 2 4 11 2 2" xfId="27057"/>
    <cellStyle name="Comma 2 2 4 11 3" xfId="24545"/>
    <cellStyle name="Comma 2 2 4 12" xfId="21605"/>
    <cellStyle name="Comma 2 2 4 12 2" xfId="26852"/>
    <cellStyle name="Comma 2 2 4 13" xfId="24273"/>
    <cellStyle name="Comma 2 2 4 2" xfId="32"/>
    <cellStyle name="Comma 2 2 4 2 10" xfId="21451"/>
    <cellStyle name="Comma 2 2 4 2 11" xfId="24274"/>
    <cellStyle name="Comma 2 2 4 2 2" xfId="195"/>
    <cellStyle name="Comma 2 2 4 2 2 2" xfId="2447"/>
    <cellStyle name="Comma 2 2 4 2 2 2 2" xfId="2448"/>
    <cellStyle name="Comma 2 2 4 2 2 3" xfId="2449"/>
    <cellStyle name="Comma 2 2 4 2 2 4" xfId="21740"/>
    <cellStyle name="Comma 2 2 4 2 2 4 2" xfId="26977"/>
    <cellStyle name="Comma 2 2 4 2 2 5" xfId="24419"/>
    <cellStyle name="Comma 2 2 4 2 3" xfId="2450"/>
    <cellStyle name="Comma 2 2 4 2 3 2" xfId="2451"/>
    <cellStyle name="Comma 2 2 4 2 3 2 2" xfId="2452"/>
    <cellStyle name="Comma 2 2 4 2 3 3" xfId="2453"/>
    <cellStyle name="Comma 2 2 4 2 4" xfId="2454"/>
    <cellStyle name="Comma 2 2 4 2 4 2" xfId="2455"/>
    <cellStyle name="Comma 2 2 4 2 4 2 2" xfId="2456"/>
    <cellStyle name="Comma 2 2 4 2 4 3" xfId="2457"/>
    <cellStyle name="Comma 2 2 4 2 5" xfId="2458"/>
    <cellStyle name="Comma 2 2 4 2 5 2" xfId="2459"/>
    <cellStyle name="Comma 2 2 4 2 5 2 2" xfId="2460"/>
    <cellStyle name="Comma 2 2 4 2 5 3" xfId="2461"/>
    <cellStyle name="Comma 2 2 4 2 6" xfId="2462"/>
    <cellStyle name="Comma 2 2 4 2 6 2" xfId="2463"/>
    <cellStyle name="Comma 2 2 4 2 7" xfId="2464"/>
    <cellStyle name="Comma 2 2 4 2 8" xfId="2465"/>
    <cellStyle name="Comma 2 2 4 2 9" xfId="21606"/>
    <cellStyle name="Comma 2 2 4 2 9 2" xfId="26853"/>
    <cellStyle name="Comma 2 2 4 3" xfId="33"/>
    <cellStyle name="Comma 2 2 4 3 2" xfId="196"/>
    <cellStyle name="Comma 2 2 4 3 2 2" xfId="2466"/>
    <cellStyle name="Comma 2 2 4 3 2 3" xfId="21741"/>
    <cellStyle name="Comma 2 2 4 3 2 3 2" xfId="26978"/>
    <cellStyle name="Comma 2 2 4 3 2 4" xfId="24420"/>
    <cellStyle name="Comma 2 2 4 3 3" xfId="2467"/>
    <cellStyle name="Comma 2 2 4 3 4" xfId="21607"/>
    <cellStyle name="Comma 2 2 4 3 4 2" xfId="26854"/>
    <cellStyle name="Comma 2 2 4 3 5" xfId="24275"/>
    <cellStyle name="Comma 2 2 4 4" xfId="194"/>
    <cellStyle name="Comma 2 2 4 4 2" xfId="2468"/>
    <cellStyle name="Comma 2 2 4 4 2 2" xfId="2469"/>
    <cellStyle name="Comma 2 2 4 4 3" xfId="2470"/>
    <cellStyle name="Comma 2 2 4 4 4" xfId="21739"/>
    <cellStyle name="Comma 2 2 4 4 4 2" xfId="26976"/>
    <cellStyle name="Comma 2 2 4 4 5" xfId="24418"/>
    <cellStyle name="Comma 2 2 4 5" xfId="2471"/>
    <cellStyle name="Comma 2 2 4 5 2" xfId="2472"/>
    <cellStyle name="Comma 2 2 4 5 2 2" xfId="2473"/>
    <cellStyle name="Comma 2 2 4 5 3" xfId="2474"/>
    <cellStyle name="Comma 2 2 4 6" xfId="2475"/>
    <cellStyle name="Comma 2 2 4 6 2" xfId="2476"/>
    <cellStyle name="Comma 2 2 4 6 2 2" xfId="2477"/>
    <cellStyle name="Comma 2 2 4 6 3" xfId="2478"/>
    <cellStyle name="Comma 2 2 4 7" xfId="2479"/>
    <cellStyle name="Comma 2 2 4 7 2" xfId="2480"/>
    <cellStyle name="Comma 2 2 4 8" xfId="2481"/>
    <cellStyle name="Comma 2 2 4 9" xfId="2482"/>
    <cellStyle name="Comma 2 2 5" xfId="34"/>
    <cellStyle name="Comma 2 2 5 10" xfId="21608"/>
    <cellStyle name="Comma 2 2 5 10 2" xfId="26855"/>
    <cellStyle name="Comma 2 2 5 11" xfId="21452"/>
    <cellStyle name="Comma 2 2 5 12" xfId="24276"/>
    <cellStyle name="Comma 2 2 5 2" xfId="197"/>
    <cellStyle name="Comma 2 2 5 2 10" xfId="21453"/>
    <cellStyle name="Comma 2 2 5 2 11" xfId="24421"/>
    <cellStyle name="Comma 2 2 5 2 2" xfId="2483"/>
    <cellStyle name="Comma 2 2 5 2 2 2" xfId="2484"/>
    <cellStyle name="Comma 2 2 5 2 2 2 2" xfId="2485"/>
    <cellStyle name="Comma 2 2 5 2 2 3" xfId="2486"/>
    <cellStyle name="Comma 2 2 5 2 3" xfId="2487"/>
    <cellStyle name="Comma 2 2 5 2 3 2" xfId="2488"/>
    <cellStyle name="Comma 2 2 5 2 3 2 2" xfId="2489"/>
    <cellStyle name="Comma 2 2 5 2 3 3" xfId="2490"/>
    <cellStyle name="Comma 2 2 5 2 4" xfId="2491"/>
    <cellStyle name="Comma 2 2 5 2 4 2" xfId="2492"/>
    <cellStyle name="Comma 2 2 5 2 4 2 2" xfId="2493"/>
    <cellStyle name="Comma 2 2 5 2 4 3" xfId="2494"/>
    <cellStyle name="Comma 2 2 5 2 5" xfId="2495"/>
    <cellStyle name="Comma 2 2 5 2 5 2" xfId="2496"/>
    <cellStyle name="Comma 2 2 5 2 5 2 2" xfId="2497"/>
    <cellStyle name="Comma 2 2 5 2 5 3" xfId="2498"/>
    <cellStyle name="Comma 2 2 5 2 6" xfId="2499"/>
    <cellStyle name="Comma 2 2 5 2 6 2" xfId="2500"/>
    <cellStyle name="Comma 2 2 5 2 7" xfId="2501"/>
    <cellStyle name="Comma 2 2 5 2 8" xfId="2502"/>
    <cellStyle name="Comma 2 2 5 2 9" xfId="21742"/>
    <cellStyle name="Comma 2 2 5 2 9 2" xfId="26979"/>
    <cellStyle name="Comma 2 2 5 3" xfId="2503"/>
    <cellStyle name="Comma 2 2 5 3 2" xfId="2504"/>
    <cellStyle name="Comma 2 2 5 3 2 2" xfId="2505"/>
    <cellStyle name="Comma 2 2 5 3 3" xfId="2506"/>
    <cellStyle name="Comma 2 2 5 4" xfId="2507"/>
    <cellStyle name="Comma 2 2 5 4 2" xfId="2508"/>
    <cellStyle name="Comma 2 2 5 4 2 2" xfId="2509"/>
    <cellStyle name="Comma 2 2 5 4 3" xfId="2510"/>
    <cellStyle name="Comma 2 2 5 5" xfId="2511"/>
    <cellStyle name="Comma 2 2 5 5 2" xfId="2512"/>
    <cellStyle name="Comma 2 2 5 5 2 2" xfId="2513"/>
    <cellStyle name="Comma 2 2 5 5 3" xfId="2514"/>
    <cellStyle name="Comma 2 2 5 6" xfId="2515"/>
    <cellStyle name="Comma 2 2 5 6 2" xfId="2516"/>
    <cellStyle name="Comma 2 2 5 6 2 2" xfId="2517"/>
    <cellStyle name="Comma 2 2 5 6 3" xfId="2518"/>
    <cellStyle name="Comma 2 2 5 7" xfId="2519"/>
    <cellStyle name="Comma 2 2 5 7 2" xfId="2520"/>
    <cellStyle name="Comma 2 2 5 8" xfId="2521"/>
    <cellStyle name="Comma 2 2 5 9" xfId="2522"/>
    <cellStyle name="Comma 2 2 6" xfId="35"/>
    <cellStyle name="Comma 2 2 6 10" xfId="21609"/>
    <cellStyle name="Comma 2 2 6 10 2" xfId="26856"/>
    <cellStyle name="Comma 2 2 6 11" xfId="21454"/>
    <cellStyle name="Comma 2 2 6 12" xfId="24277"/>
    <cellStyle name="Comma 2 2 6 2" xfId="198"/>
    <cellStyle name="Comma 2 2 6 2 10" xfId="21455"/>
    <cellStyle name="Comma 2 2 6 2 11" xfId="24422"/>
    <cellStyle name="Comma 2 2 6 2 2" xfId="2523"/>
    <cellStyle name="Comma 2 2 6 2 2 2" xfId="2524"/>
    <cellStyle name="Comma 2 2 6 2 2 2 2" xfId="2525"/>
    <cellStyle name="Comma 2 2 6 2 2 3" xfId="2526"/>
    <cellStyle name="Comma 2 2 6 2 3" xfId="2527"/>
    <cellStyle name="Comma 2 2 6 2 3 2" xfId="2528"/>
    <cellStyle name="Comma 2 2 6 2 3 2 2" xfId="2529"/>
    <cellStyle name="Comma 2 2 6 2 3 3" xfId="2530"/>
    <cellStyle name="Comma 2 2 6 2 4" xfId="2531"/>
    <cellStyle name="Comma 2 2 6 2 4 2" xfId="2532"/>
    <cellStyle name="Comma 2 2 6 2 4 2 2" xfId="2533"/>
    <cellStyle name="Comma 2 2 6 2 4 3" xfId="2534"/>
    <cellStyle name="Comma 2 2 6 2 5" xfId="2535"/>
    <cellStyle name="Comma 2 2 6 2 5 2" xfId="2536"/>
    <cellStyle name="Comma 2 2 6 2 5 2 2" xfId="2537"/>
    <cellStyle name="Comma 2 2 6 2 5 3" xfId="2538"/>
    <cellStyle name="Comma 2 2 6 2 6" xfId="2539"/>
    <cellStyle name="Comma 2 2 6 2 6 2" xfId="2540"/>
    <cellStyle name="Comma 2 2 6 2 7" xfId="2541"/>
    <cellStyle name="Comma 2 2 6 2 8" xfId="2542"/>
    <cellStyle name="Comma 2 2 6 2 9" xfId="21743"/>
    <cellStyle name="Comma 2 2 6 2 9 2" xfId="26980"/>
    <cellStyle name="Comma 2 2 6 3" xfId="2543"/>
    <cellStyle name="Comma 2 2 6 3 2" xfId="2544"/>
    <cellStyle name="Comma 2 2 6 3 2 2" xfId="2545"/>
    <cellStyle name="Comma 2 2 6 3 3" xfId="2546"/>
    <cellStyle name="Comma 2 2 6 4" xfId="2547"/>
    <cellStyle name="Comma 2 2 6 4 2" xfId="2548"/>
    <cellStyle name="Comma 2 2 6 4 2 2" xfId="2549"/>
    <cellStyle name="Comma 2 2 6 4 3" xfId="2550"/>
    <cellStyle name="Comma 2 2 6 5" xfId="2551"/>
    <cellStyle name="Comma 2 2 6 5 2" xfId="2552"/>
    <cellStyle name="Comma 2 2 6 5 2 2" xfId="2553"/>
    <cellStyle name="Comma 2 2 6 5 3" xfId="2554"/>
    <cellStyle name="Comma 2 2 6 6" xfId="2555"/>
    <cellStyle name="Comma 2 2 6 6 2" xfId="2556"/>
    <cellStyle name="Comma 2 2 6 6 2 2" xfId="2557"/>
    <cellStyle name="Comma 2 2 6 6 3" xfId="2558"/>
    <cellStyle name="Comma 2 2 6 7" xfId="2559"/>
    <cellStyle name="Comma 2 2 6 7 2" xfId="2560"/>
    <cellStyle name="Comma 2 2 6 8" xfId="2561"/>
    <cellStyle name="Comma 2 2 6 9" xfId="2562"/>
    <cellStyle name="Comma 2 2 7" xfId="175"/>
    <cellStyle name="Comma 2 2 7 10" xfId="21456"/>
    <cellStyle name="Comma 2 2 7 11" xfId="24399"/>
    <cellStyle name="Comma 2 2 7 2" xfId="2563"/>
    <cellStyle name="Comma 2 2 7 2 2" xfId="2564"/>
    <cellStyle name="Comma 2 2 7 2 2 2" xfId="2565"/>
    <cellStyle name="Comma 2 2 7 2 3" xfId="2566"/>
    <cellStyle name="Comma 2 2 7 3" xfId="2567"/>
    <cellStyle name="Comma 2 2 7 3 2" xfId="2568"/>
    <cellStyle name="Comma 2 2 7 3 2 2" xfId="2569"/>
    <cellStyle name="Comma 2 2 7 3 3" xfId="2570"/>
    <cellStyle name="Comma 2 2 7 4" xfId="2571"/>
    <cellStyle name="Comma 2 2 7 4 2" xfId="2572"/>
    <cellStyle name="Comma 2 2 7 4 2 2" xfId="2573"/>
    <cellStyle name="Comma 2 2 7 4 3" xfId="2574"/>
    <cellStyle name="Comma 2 2 7 5" xfId="2575"/>
    <cellStyle name="Comma 2 2 7 5 2" xfId="2576"/>
    <cellStyle name="Comma 2 2 7 5 2 2" xfId="2577"/>
    <cellStyle name="Comma 2 2 7 5 3" xfId="2578"/>
    <cellStyle name="Comma 2 2 7 6" xfId="2579"/>
    <cellStyle name="Comma 2 2 7 6 2" xfId="2580"/>
    <cellStyle name="Comma 2 2 7 7" xfId="2581"/>
    <cellStyle name="Comma 2 2 7 8" xfId="2582"/>
    <cellStyle name="Comma 2 2 7 9" xfId="21720"/>
    <cellStyle name="Comma 2 2 7 9 2" xfId="26957"/>
    <cellStyle name="Comma 2 2 8" xfId="2583"/>
    <cellStyle name="Comma 2 2 8 2" xfId="2584"/>
    <cellStyle name="Comma 2 2 8 2 2" xfId="2585"/>
    <cellStyle name="Comma 2 2 8 3" xfId="2586"/>
    <cellStyle name="Comma 2 2 9" xfId="2587"/>
    <cellStyle name="Comma 2 2 9 2" xfId="2588"/>
    <cellStyle name="Comma 2 2 9 2 2" xfId="2589"/>
    <cellStyle name="Comma 2 2 9 3" xfId="2590"/>
    <cellStyle name="Comma 2 3" xfId="36"/>
    <cellStyle name="Comma 2 3 10" xfId="2591"/>
    <cellStyle name="Comma 2 3 11" xfId="2592"/>
    <cellStyle name="Comma 2 3 12" xfId="2593"/>
    <cellStyle name="Comma 2 3 12 2" xfId="21823"/>
    <cellStyle name="Comma 2 3 12 2 2" xfId="27058"/>
    <cellStyle name="Comma 2 3 12 3" xfId="24546"/>
    <cellStyle name="Comma 2 3 13" xfId="21610"/>
    <cellStyle name="Comma 2 3 13 2" xfId="26857"/>
    <cellStyle name="Comma 2 3 14" xfId="24278"/>
    <cellStyle name="Comma 2 3 2" xfId="37"/>
    <cellStyle name="Comma 2 3 2 10" xfId="2594"/>
    <cellStyle name="Comma 2 3 2 10 2" xfId="21824"/>
    <cellStyle name="Comma 2 3 2 10 2 2" xfId="27059"/>
    <cellStyle name="Comma 2 3 2 10 3" xfId="24547"/>
    <cellStyle name="Comma 2 3 2 11" xfId="21611"/>
    <cellStyle name="Comma 2 3 2 11 2" xfId="26858"/>
    <cellStyle name="Comma 2 3 2 12" xfId="24279"/>
    <cellStyle name="Comma 2 3 2 2" xfId="38"/>
    <cellStyle name="Comma 2 3 2 2 2" xfId="39"/>
    <cellStyle name="Comma 2 3 2 2 2 2" xfId="202"/>
    <cellStyle name="Comma 2 3 2 2 2 2 2" xfId="21746"/>
    <cellStyle name="Comma 2 3 2 2 2 2 2 2" xfId="26983"/>
    <cellStyle name="Comma 2 3 2 2 2 2 3" xfId="21556"/>
    <cellStyle name="Comma 2 3 2 2 2 2 4" xfId="24426"/>
    <cellStyle name="Comma 2 3 2 2 2 3" xfId="21613"/>
    <cellStyle name="Comma 2 3 2 2 2 3 2" xfId="26860"/>
    <cellStyle name="Comma 2 3 2 2 2 4" xfId="21552"/>
    <cellStyle name="Comma 2 3 2 2 2 5" xfId="24281"/>
    <cellStyle name="Comma 2 3 2 2 3" xfId="40"/>
    <cellStyle name="Comma 2 3 2 2 3 2" xfId="203"/>
    <cellStyle name="Comma 2 3 2 2 3 2 2" xfId="24427"/>
    <cellStyle name="Comma 2 3 2 2 3 3" xfId="21614"/>
    <cellStyle name="Comma 2 3 2 2 3 3 2" xfId="26861"/>
    <cellStyle name="Comma 2 3 2 2 3 4" xfId="21555"/>
    <cellStyle name="Comma 2 3 2 2 3 5" xfId="24282"/>
    <cellStyle name="Comma 2 3 2 2 4" xfId="201"/>
    <cellStyle name="Comma 2 3 2 2 4 2" xfId="24425"/>
    <cellStyle name="Comma 2 3 2 2 5" xfId="21612"/>
    <cellStyle name="Comma 2 3 2 2 5 2" xfId="26859"/>
    <cellStyle name="Comma 2 3 2 2 6" xfId="21541"/>
    <cellStyle name="Comma 2 3 2 2 7" xfId="24280"/>
    <cellStyle name="Comma 2 3 2 3" xfId="41"/>
    <cellStyle name="Comma 2 3 2 3 2" xfId="204"/>
    <cellStyle name="Comma 2 3 2 3 2 2" xfId="2595"/>
    <cellStyle name="Comma 2 3 2 3 2 3" xfId="21747"/>
    <cellStyle name="Comma 2 3 2 3 2 3 2" xfId="26984"/>
    <cellStyle name="Comma 2 3 2 3 2 4" xfId="24428"/>
    <cellStyle name="Comma 2 3 2 3 3" xfId="2596"/>
    <cellStyle name="Comma 2 3 2 3 4" xfId="21615"/>
    <cellStyle name="Comma 2 3 2 3 4 2" xfId="26862"/>
    <cellStyle name="Comma 2 3 2 3 5" xfId="24283"/>
    <cellStyle name="Comma 2 3 2 4" xfId="42"/>
    <cellStyle name="Comma 2 3 2 4 2" xfId="205"/>
    <cellStyle name="Comma 2 3 2 4 2 2" xfId="2597"/>
    <cellStyle name="Comma 2 3 2 4 2 3" xfId="21748"/>
    <cellStyle name="Comma 2 3 2 4 2 3 2" xfId="26985"/>
    <cellStyle name="Comma 2 3 2 4 2 4" xfId="24429"/>
    <cellStyle name="Comma 2 3 2 4 3" xfId="2598"/>
    <cellStyle name="Comma 2 3 2 4 4" xfId="21616"/>
    <cellStyle name="Comma 2 3 2 4 4 2" xfId="26863"/>
    <cellStyle name="Comma 2 3 2 4 5" xfId="24284"/>
    <cellStyle name="Comma 2 3 2 5" xfId="200"/>
    <cellStyle name="Comma 2 3 2 5 2" xfId="2599"/>
    <cellStyle name="Comma 2 3 2 5 2 2" xfId="2600"/>
    <cellStyle name="Comma 2 3 2 5 3" xfId="2601"/>
    <cellStyle name="Comma 2 3 2 5 4" xfId="21745"/>
    <cellStyle name="Comma 2 3 2 5 4 2" xfId="26982"/>
    <cellStyle name="Comma 2 3 2 5 5" xfId="24424"/>
    <cellStyle name="Comma 2 3 2 6" xfId="2602"/>
    <cellStyle name="Comma 2 3 2 6 2" xfId="2603"/>
    <cellStyle name="Comma 2 3 2 7" xfId="2604"/>
    <cellStyle name="Comma 2 3 2 8" xfId="2605"/>
    <cellStyle name="Comma 2 3 2 9" xfId="2606"/>
    <cellStyle name="Comma 2 3 3" xfId="43"/>
    <cellStyle name="Comma 2 3 3 2" xfId="44"/>
    <cellStyle name="Comma 2 3 3 2 2" xfId="207"/>
    <cellStyle name="Comma 2 3 3 2 2 2" xfId="21750"/>
    <cellStyle name="Comma 2 3 3 2 2 2 2" xfId="26987"/>
    <cellStyle name="Comma 2 3 3 2 2 3" xfId="21558"/>
    <cellStyle name="Comma 2 3 3 2 2 4" xfId="24431"/>
    <cellStyle name="Comma 2 3 3 2 3" xfId="21618"/>
    <cellStyle name="Comma 2 3 3 2 3 2" xfId="26865"/>
    <cellStyle name="Comma 2 3 3 2 4" xfId="21551"/>
    <cellStyle name="Comma 2 3 3 2 5" xfId="24286"/>
    <cellStyle name="Comma 2 3 3 3" xfId="45"/>
    <cellStyle name="Comma 2 3 3 3 2" xfId="208"/>
    <cellStyle name="Comma 2 3 3 3 2 2" xfId="24432"/>
    <cellStyle name="Comma 2 3 3 3 3" xfId="21619"/>
    <cellStyle name="Comma 2 3 3 3 3 2" xfId="26866"/>
    <cellStyle name="Comma 2 3 3 3 4" xfId="21557"/>
    <cellStyle name="Comma 2 3 3 3 5" xfId="24287"/>
    <cellStyle name="Comma 2 3 3 4" xfId="206"/>
    <cellStyle name="Comma 2 3 3 4 2" xfId="21749"/>
    <cellStyle name="Comma 2 3 3 4 2 2" xfId="26986"/>
    <cellStyle name="Comma 2 3 3 4 3" xfId="21540"/>
    <cellStyle name="Comma 2 3 3 4 4" xfId="24430"/>
    <cellStyle name="Comma 2 3 3 5" xfId="2607"/>
    <cellStyle name="Comma 2 3 3 5 2" xfId="21825"/>
    <cellStyle name="Comma 2 3 3 5 2 2" xfId="27060"/>
    <cellStyle name="Comma 2 3 3 5 3" xfId="24548"/>
    <cellStyle name="Comma 2 3 3 6" xfId="21617"/>
    <cellStyle name="Comma 2 3 3 6 2" xfId="26864"/>
    <cellStyle name="Comma 2 3 3 7" xfId="24285"/>
    <cellStyle name="Comma 2 3 4" xfId="46"/>
    <cellStyle name="Comma 2 3 4 2" xfId="209"/>
    <cellStyle name="Comma 2 3 4 2 2" xfId="2608"/>
    <cellStyle name="Comma 2 3 4 2 3" xfId="21751"/>
    <cellStyle name="Comma 2 3 4 2 3 2" xfId="26988"/>
    <cellStyle name="Comma 2 3 4 2 4" xfId="24433"/>
    <cellStyle name="Comma 2 3 4 3" xfId="2609"/>
    <cellStyle name="Comma 2 3 4 4" xfId="21620"/>
    <cellStyle name="Comma 2 3 4 4 2" xfId="26867"/>
    <cellStyle name="Comma 2 3 4 5" xfId="24288"/>
    <cellStyle name="Comma 2 3 5" xfId="47"/>
    <cellStyle name="Comma 2 3 5 2" xfId="210"/>
    <cellStyle name="Comma 2 3 5 2 2" xfId="2610"/>
    <cellStyle name="Comma 2 3 5 2 3" xfId="21752"/>
    <cellStyle name="Comma 2 3 5 2 3 2" xfId="26989"/>
    <cellStyle name="Comma 2 3 5 2 4" xfId="24434"/>
    <cellStyle name="Comma 2 3 5 3" xfId="2611"/>
    <cellStyle name="Comma 2 3 5 4" xfId="21621"/>
    <cellStyle name="Comma 2 3 5 4 2" xfId="26868"/>
    <cellStyle name="Comma 2 3 5 5" xfId="24289"/>
    <cellStyle name="Comma 2 3 6" xfId="199"/>
    <cellStyle name="Comma 2 3 6 2" xfId="2612"/>
    <cellStyle name="Comma 2 3 6 2 2" xfId="2613"/>
    <cellStyle name="Comma 2 3 6 3" xfId="2614"/>
    <cellStyle name="Comma 2 3 6 4" xfId="21744"/>
    <cellStyle name="Comma 2 3 6 4 2" xfId="26981"/>
    <cellStyle name="Comma 2 3 6 5" xfId="24423"/>
    <cellStyle name="Comma 2 3 7" xfId="2615"/>
    <cellStyle name="Comma 2 3 7 2" xfId="2616"/>
    <cellStyle name="Comma 2 3 7 2 2" xfId="2617"/>
    <cellStyle name="Comma 2 3 7 3" xfId="2618"/>
    <cellStyle name="Comma 2 3 8" xfId="2619"/>
    <cellStyle name="Comma 2 3 8 2" xfId="2620"/>
    <cellStyle name="Comma 2 3 9" xfId="2621"/>
    <cellStyle name="Comma 2 4" xfId="48"/>
    <cellStyle name="Comma 2 4 10" xfId="2622"/>
    <cellStyle name="Comma 2 4 10 2" xfId="21826"/>
    <cellStyle name="Comma 2 4 10 2 2" xfId="27061"/>
    <cellStyle name="Comma 2 4 10 3" xfId="24549"/>
    <cellStyle name="Comma 2 4 11" xfId="21622"/>
    <cellStyle name="Comma 2 4 11 2" xfId="26869"/>
    <cellStyle name="Comma 2 4 12" xfId="24290"/>
    <cellStyle name="Comma 2 4 2" xfId="49"/>
    <cellStyle name="Comma 2 4 2 2" xfId="50"/>
    <cellStyle name="Comma 2 4 2 2 2" xfId="213"/>
    <cellStyle name="Comma 2 4 2 2 2 2" xfId="21754"/>
    <cellStyle name="Comma 2 4 2 2 2 2 2" xfId="26991"/>
    <cellStyle name="Comma 2 4 2 2 2 3" xfId="21560"/>
    <cellStyle name="Comma 2 4 2 2 2 4" xfId="24437"/>
    <cellStyle name="Comma 2 4 2 2 3" xfId="21624"/>
    <cellStyle name="Comma 2 4 2 2 3 2" xfId="26871"/>
    <cellStyle name="Comma 2 4 2 2 4" xfId="21553"/>
    <cellStyle name="Comma 2 4 2 2 5" xfId="24292"/>
    <cellStyle name="Comma 2 4 2 3" xfId="51"/>
    <cellStyle name="Comma 2 4 2 3 2" xfId="214"/>
    <cellStyle name="Comma 2 4 2 3 2 2" xfId="24438"/>
    <cellStyle name="Comma 2 4 2 3 3" xfId="21625"/>
    <cellStyle name="Comma 2 4 2 3 3 2" xfId="26872"/>
    <cellStyle name="Comma 2 4 2 3 4" xfId="21559"/>
    <cellStyle name="Comma 2 4 2 3 5" xfId="24293"/>
    <cellStyle name="Comma 2 4 2 4" xfId="212"/>
    <cellStyle name="Comma 2 4 2 4 2" xfId="24436"/>
    <cellStyle name="Comma 2 4 2 5" xfId="21623"/>
    <cellStyle name="Comma 2 4 2 5 2" xfId="26870"/>
    <cellStyle name="Comma 2 4 2 6" xfId="21542"/>
    <cellStyle name="Comma 2 4 2 7" xfId="24291"/>
    <cellStyle name="Comma 2 4 3" xfId="52"/>
    <cellStyle name="Comma 2 4 3 2" xfId="215"/>
    <cellStyle name="Comma 2 4 3 2 2" xfId="2623"/>
    <cellStyle name="Comma 2 4 3 2 3" xfId="21755"/>
    <cellStyle name="Comma 2 4 3 2 3 2" xfId="26992"/>
    <cellStyle name="Comma 2 4 3 2 4" xfId="24439"/>
    <cellStyle name="Comma 2 4 3 3" xfId="2624"/>
    <cellStyle name="Comma 2 4 3 4" xfId="21626"/>
    <cellStyle name="Comma 2 4 3 4 2" xfId="26873"/>
    <cellStyle name="Comma 2 4 3 5" xfId="24294"/>
    <cellStyle name="Comma 2 4 4" xfId="53"/>
    <cellStyle name="Comma 2 4 4 2" xfId="216"/>
    <cellStyle name="Comma 2 4 4 2 2" xfId="2625"/>
    <cellStyle name="Comma 2 4 4 2 3" xfId="21756"/>
    <cellStyle name="Comma 2 4 4 2 3 2" xfId="26993"/>
    <cellStyle name="Comma 2 4 4 2 4" xfId="24440"/>
    <cellStyle name="Comma 2 4 4 3" xfId="2626"/>
    <cellStyle name="Comma 2 4 4 4" xfId="21627"/>
    <cellStyle name="Comma 2 4 4 4 2" xfId="26874"/>
    <cellStyle name="Comma 2 4 4 5" xfId="24295"/>
    <cellStyle name="Comma 2 4 5" xfId="211"/>
    <cellStyle name="Comma 2 4 5 2" xfId="2627"/>
    <cellStyle name="Comma 2 4 5 2 2" xfId="2628"/>
    <cellStyle name="Comma 2 4 5 3" xfId="2629"/>
    <cellStyle name="Comma 2 4 5 4" xfId="21753"/>
    <cellStyle name="Comma 2 4 5 4 2" xfId="26990"/>
    <cellStyle name="Comma 2 4 5 5" xfId="24435"/>
    <cellStyle name="Comma 2 4 6" xfId="2630"/>
    <cellStyle name="Comma 2 4 6 2" xfId="2631"/>
    <cellStyle name="Comma 2 4 7" xfId="2632"/>
    <cellStyle name="Comma 2 4 8" xfId="2633"/>
    <cellStyle name="Comma 2 4 9" xfId="2634"/>
    <cellStyle name="Comma 2 5" xfId="54"/>
    <cellStyle name="Comma 2 5 2" xfId="55"/>
    <cellStyle name="Comma 2 5 2 2" xfId="218"/>
    <cellStyle name="Comma 2 5 2 2 2" xfId="21758"/>
    <cellStyle name="Comma 2 5 2 2 2 2" xfId="26995"/>
    <cellStyle name="Comma 2 5 2 2 3" xfId="21562"/>
    <cellStyle name="Comma 2 5 2 2 4" xfId="24442"/>
    <cellStyle name="Comma 2 5 2 3" xfId="21629"/>
    <cellStyle name="Comma 2 5 2 3 2" xfId="26876"/>
    <cellStyle name="Comma 2 5 2 4" xfId="21550"/>
    <cellStyle name="Comma 2 5 2 5" xfId="24297"/>
    <cellStyle name="Comma 2 5 3" xfId="56"/>
    <cellStyle name="Comma 2 5 3 2" xfId="219"/>
    <cellStyle name="Comma 2 5 3 2 2" xfId="24443"/>
    <cellStyle name="Comma 2 5 3 3" xfId="21630"/>
    <cellStyle name="Comma 2 5 3 3 2" xfId="26877"/>
    <cellStyle name="Comma 2 5 3 4" xfId="21561"/>
    <cellStyle name="Comma 2 5 3 5" xfId="24298"/>
    <cellStyle name="Comma 2 5 4" xfId="217"/>
    <cellStyle name="Comma 2 5 4 2" xfId="21757"/>
    <cellStyle name="Comma 2 5 4 2 2" xfId="26994"/>
    <cellStyle name="Comma 2 5 4 3" xfId="21539"/>
    <cellStyle name="Comma 2 5 4 4" xfId="24441"/>
    <cellStyle name="Comma 2 5 5" xfId="2635"/>
    <cellStyle name="Comma 2 5 5 2" xfId="21827"/>
    <cellStyle name="Comma 2 5 5 2 2" xfId="27062"/>
    <cellStyle name="Comma 2 5 5 3" xfId="24550"/>
    <cellStyle name="Comma 2 5 6" xfId="21628"/>
    <cellStyle name="Comma 2 5 6 2" xfId="26875"/>
    <cellStyle name="Comma 2 5 7" xfId="24296"/>
    <cellStyle name="Comma 2 6" xfId="57"/>
    <cellStyle name="Comma 2 6 2" xfId="220"/>
    <cellStyle name="Comma 2 6 2 2" xfId="2636"/>
    <cellStyle name="Comma 2 6 2 3" xfId="21759"/>
    <cellStyle name="Comma 2 6 2 3 2" xfId="26996"/>
    <cellStyle name="Comma 2 6 2 4" xfId="24444"/>
    <cellStyle name="Comma 2 6 3" xfId="2637"/>
    <cellStyle name="Comma 2 6 4" xfId="21631"/>
    <cellStyle name="Comma 2 6 4 2" xfId="26878"/>
    <cellStyle name="Comma 2 6 5" xfId="24299"/>
    <cellStyle name="Comma 2 7" xfId="58"/>
    <cellStyle name="Comma 2 7 2" xfId="221"/>
    <cellStyle name="Comma 2 7 2 2" xfId="2638"/>
    <cellStyle name="Comma 2 7 2 3" xfId="21760"/>
    <cellStyle name="Comma 2 7 2 3 2" xfId="26997"/>
    <cellStyle name="Comma 2 7 2 4" xfId="24445"/>
    <cellStyle name="Comma 2 7 3" xfId="2639"/>
    <cellStyle name="Comma 2 7 4" xfId="21632"/>
    <cellStyle name="Comma 2 7 4 2" xfId="26879"/>
    <cellStyle name="Comma 2 7 5" xfId="24300"/>
    <cellStyle name="Comma 2 8" xfId="174"/>
    <cellStyle name="Comma 2 8 2" xfId="2640"/>
    <cellStyle name="Comma 2 8 2 2" xfId="2641"/>
    <cellStyle name="Comma 2 8 3" xfId="2642"/>
    <cellStyle name="Comma 2 8 4" xfId="21719"/>
    <cellStyle name="Comma 2 8 4 2" xfId="26956"/>
    <cellStyle name="Comma 2 8 5" xfId="24398"/>
    <cellStyle name="Comma 2 9" xfId="2643"/>
    <cellStyle name="Comma 2 9 2" xfId="2644"/>
    <cellStyle name="Comma 2 9 2 2" xfId="2645"/>
    <cellStyle name="Comma 2 9 3" xfId="2646"/>
    <cellStyle name="Comma 20" xfId="2647"/>
    <cellStyle name="Comma 20 2" xfId="2648"/>
    <cellStyle name="Comma 20 2 2" xfId="2649"/>
    <cellStyle name="Comma 20 2 2 2" xfId="2650"/>
    <cellStyle name="Comma 20 2 2 2 2" xfId="2651"/>
    <cellStyle name="Comma 20 2 2 3" xfId="2652"/>
    <cellStyle name="Comma 20 2 3" xfId="2653"/>
    <cellStyle name="Comma 20 2 3 2" xfId="2654"/>
    <cellStyle name="Comma 20 2 3 2 2" xfId="2655"/>
    <cellStyle name="Comma 20 2 3 3" xfId="2656"/>
    <cellStyle name="Comma 20 2 4" xfId="2657"/>
    <cellStyle name="Comma 20 2 4 2" xfId="2658"/>
    <cellStyle name="Comma 20 2 4 2 2" xfId="2659"/>
    <cellStyle name="Comma 20 2 4 3" xfId="2660"/>
    <cellStyle name="Comma 20 2 5" xfId="2661"/>
    <cellStyle name="Comma 20 2 5 2" xfId="2662"/>
    <cellStyle name="Comma 20 2 5 2 2" xfId="2663"/>
    <cellStyle name="Comma 20 2 5 3" xfId="2664"/>
    <cellStyle name="Comma 20 2 6" xfId="2665"/>
    <cellStyle name="Comma 20 2 6 2" xfId="2666"/>
    <cellStyle name="Comma 20 2 7" xfId="2667"/>
    <cellStyle name="Comma 20 2 8" xfId="2668"/>
    <cellStyle name="Comma 20 3" xfId="2669"/>
    <cellStyle name="Comma 20 3 2" xfId="2670"/>
    <cellStyle name="Comma 20 3 2 2" xfId="2671"/>
    <cellStyle name="Comma 20 3 3" xfId="2672"/>
    <cellStyle name="Comma 20 4" xfId="2673"/>
    <cellStyle name="Comma 20 4 2" xfId="2674"/>
    <cellStyle name="Comma 20 4 2 2" xfId="2675"/>
    <cellStyle name="Comma 20 4 3" xfId="2676"/>
    <cellStyle name="Comma 20 5" xfId="2677"/>
    <cellStyle name="Comma 20 5 2" xfId="2678"/>
    <cellStyle name="Comma 20 5 2 2" xfId="2679"/>
    <cellStyle name="Comma 20 5 3" xfId="2680"/>
    <cellStyle name="Comma 20 6" xfId="2681"/>
    <cellStyle name="Comma 20 6 2" xfId="2682"/>
    <cellStyle name="Comma 20 6 2 2" xfId="2683"/>
    <cellStyle name="Comma 20 6 3" xfId="2684"/>
    <cellStyle name="Comma 20 7" xfId="2685"/>
    <cellStyle name="Comma 20 7 2" xfId="2686"/>
    <cellStyle name="Comma 20 8" xfId="2687"/>
    <cellStyle name="Comma 20 9" xfId="2688"/>
    <cellStyle name="Comma 21" xfId="2689"/>
    <cellStyle name="Comma 21 2" xfId="2690"/>
    <cellStyle name="Comma 21 2 2" xfId="2691"/>
    <cellStyle name="Comma 21 2 2 2" xfId="2692"/>
    <cellStyle name="Comma 21 2 2 2 2" xfId="2693"/>
    <cellStyle name="Comma 21 2 2 3" xfId="2694"/>
    <cellStyle name="Comma 21 2 3" xfId="2695"/>
    <cellStyle name="Comma 21 2 3 2" xfId="2696"/>
    <cellStyle name="Comma 21 2 3 2 2" xfId="2697"/>
    <cellStyle name="Comma 21 2 3 3" xfId="2698"/>
    <cellStyle name="Comma 21 2 4" xfId="2699"/>
    <cellStyle name="Comma 21 2 4 2" xfId="2700"/>
    <cellStyle name="Comma 21 2 4 2 2" xfId="2701"/>
    <cellStyle name="Comma 21 2 4 3" xfId="2702"/>
    <cellStyle name="Comma 21 2 5" xfId="2703"/>
    <cellStyle name="Comma 21 2 5 2" xfId="2704"/>
    <cellStyle name="Comma 21 2 6" xfId="2705"/>
    <cellStyle name="Comma 21 2 7" xfId="2706"/>
    <cellStyle name="Comma 21 3" xfId="2707"/>
    <cellStyle name="Comma 21 3 2" xfId="2708"/>
    <cellStyle name="Comma 21 3 2 2" xfId="2709"/>
    <cellStyle name="Comma 21 3 3" xfId="2710"/>
    <cellStyle name="Comma 21 4" xfId="2711"/>
    <cellStyle name="Comma 21 4 2" xfId="2712"/>
    <cellStyle name="Comma 21 4 2 2" xfId="2713"/>
    <cellStyle name="Comma 21 4 3" xfId="2714"/>
    <cellStyle name="Comma 21 5" xfId="2715"/>
    <cellStyle name="Comma 21 5 2" xfId="2716"/>
    <cellStyle name="Comma 21 5 2 2" xfId="2717"/>
    <cellStyle name="Comma 21 5 3" xfId="2718"/>
    <cellStyle name="Comma 21 6" xfId="2719"/>
    <cellStyle name="Comma 21 6 2" xfId="2720"/>
    <cellStyle name="Comma 21 7" xfId="2721"/>
    <cellStyle name="Comma 21 8" xfId="2722"/>
    <cellStyle name="Comma 22" xfId="2723"/>
    <cellStyle name="Comma 22 2" xfId="2724"/>
    <cellStyle name="Comma 22 2 2" xfId="2725"/>
    <cellStyle name="Comma 22 2 2 2" xfId="2726"/>
    <cellStyle name="Comma 22 2 3" xfId="2727"/>
    <cellStyle name="Comma 22 3" xfId="2728"/>
    <cellStyle name="Comma 22 3 2" xfId="2729"/>
    <cellStyle name="Comma 22 3 2 2" xfId="2730"/>
    <cellStyle name="Comma 22 3 3" xfId="2731"/>
    <cellStyle name="Comma 22 4" xfId="2732"/>
    <cellStyle name="Comma 22 4 2" xfId="2733"/>
    <cellStyle name="Comma 22 4 2 2" xfId="2734"/>
    <cellStyle name="Comma 22 4 3" xfId="2735"/>
    <cellStyle name="Comma 22 5" xfId="2736"/>
    <cellStyle name="Comma 22 5 2" xfId="2737"/>
    <cellStyle name="Comma 22 5 2 2" xfId="2738"/>
    <cellStyle name="Comma 22 5 3" xfId="2739"/>
    <cellStyle name="Comma 22 6" xfId="2740"/>
    <cellStyle name="Comma 22 6 2" xfId="2741"/>
    <cellStyle name="Comma 22 7" xfId="2742"/>
    <cellStyle name="Comma 22 8" xfId="2743"/>
    <cellStyle name="Comma 23" xfId="2744"/>
    <cellStyle name="Comma 23 2" xfId="2745"/>
    <cellStyle name="Comma 23 2 2" xfId="2746"/>
    <cellStyle name="Comma 23 2 2 2" xfId="2747"/>
    <cellStyle name="Comma 23 2 3" xfId="2748"/>
    <cellStyle name="Comma 23 3" xfId="2749"/>
    <cellStyle name="Comma 23 3 2" xfId="2750"/>
    <cellStyle name="Comma 23 3 2 2" xfId="2751"/>
    <cellStyle name="Comma 23 3 3" xfId="2752"/>
    <cellStyle name="Comma 23 4" xfId="2753"/>
    <cellStyle name="Comma 23 4 2" xfId="2754"/>
    <cellStyle name="Comma 23 4 2 2" xfId="2755"/>
    <cellStyle name="Comma 23 4 3" xfId="2756"/>
    <cellStyle name="Comma 23 5" xfId="2757"/>
    <cellStyle name="Comma 23 5 2" xfId="2758"/>
    <cellStyle name="Comma 23 5 2 2" xfId="2759"/>
    <cellStyle name="Comma 23 5 3" xfId="2760"/>
    <cellStyle name="Comma 23 6" xfId="2761"/>
    <cellStyle name="Comma 23 6 2" xfId="2762"/>
    <cellStyle name="Comma 23 7" xfId="2763"/>
    <cellStyle name="Comma 23 8" xfId="2764"/>
    <cellStyle name="Comma 24" xfId="2765"/>
    <cellStyle name="Comma 24 2" xfId="2766"/>
    <cellStyle name="Comma 24 2 2" xfId="2767"/>
    <cellStyle name="Comma 24 2 2 2" xfId="2768"/>
    <cellStyle name="Comma 24 2 3" xfId="2769"/>
    <cellStyle name="Comma 24 3" xfId="2770"/>
    <cellStyle name="Comma 24 3 2" xfId="2771"/>
    <cellStyle name="Comma 24 3 2 2" xfId="2772"/>
    <cellStyle name="Comma 24 3 3" xfId="2773"/>
    <cellStyle name="Comma 24 4" xfId="2774"/>
    <cellStyle name="Comma 24 4 2" xfId="2775"/>
    <cellStyle name="Comma 24 4 2 2" xfId="2776"/>
    <cellStyle name="Comma 24 4 3" xfId="2777"/>
    <cellStyle name="Comma 24 5" xfId="2778"/>
    <cellStyle name="Comma 24 5 2" xfId="2779"/>
    <cellStyle name="Comma 24 5 2 2" xfId="2780"/>
    <cellStyle name="Comma 24 5 3" xfId="2781"/>
    <cellStyle name="Comma 24 6" xfId="2782"/>
    <cellStyle name="Comma 24 6 2" xfId="2783"/>
    <cellStyle name="Comma 24 7" xfId="2784"/>
    <cellStyle name="Comma 24 8" xfId="2785"/>
    <cellStyle name="Comma 25" xfId="2786"/>
    <cellStyle name="Comma 25 2" xfId="2787"/>
    <cellStyle name="Comma 25 2 2" xfId="2788"/>
    <cellStyle name="Comma 25 2 2 2" xfId="2789"/>
    <cellStyle name="Comma 25 2 3" xfId="2790"/>
    <cellStyle name="Comma 25 3" xfId="2791"/>
    <cellStyle name="Comma 25 3 2" xfId="2792"/>
    <cellStyle name="Comma 25 3 2 2" xfId="2793"/>
    <cellStyle name="Comma 25 3 3" xfId="2794"/>
    <cellStyle name="Comma 25 4" xfId="2795"/>
    <cellStyle name="Comma 25 4 2" xfId="2796"/>
    <cellStyle name="Comma 25 4 2 2" xfId="2797"/>
    <cellStyle name="Comma 25 4 3" xfId="2798"/>
    <cellStyle name="Comma 25 5" xfId="2799"/>
    <cellStyle name="Comma 25 5 2" xfId="2800"/>
    <cellStyle name="Comma 25 5 2 2" xfId="2801"/>
    <cellStyle name="Comma 25 5 3" xfId="2802"/>
    <cellStyle name="Comma 25 6" xfId="2803"/>
    <cellStyle name="Comma 25 6 2" xfId="2804"/>
    <cellStyle name="Comma 25 7" xfId="2805"/>
    <cellStyle name="Comma 25 8" xfId="2806"/>
    <cellStyle name="Comma 26" xfId="2807"/>
    <cellStyle name="Comma 26 2" xfId="2808"/>
    <cellStyle name="Comma 26 2 2" xfId="2809"/>
    <cellStyle name="Comma 26 2 2 2" xfId="2810"/>
    <cellStyle name="Comma 26 2 3" xfId="2811"/>
    <cellStyle name="Comma 26 3" xfId="2812"/>
    <cellStyle name="Comma 26 3 2" xfId="2813"/>
    <cellStyle name="Comma 26 3 2 2" xfId="2814"/>
    <cellStyle name="Comma 26 3 3" xfId="2815"/>
    <cellStyle name="Comma 26 4" xfId="2816"/>
    <cellStyle name="Comma 26 4 2" xfId="2817"/>
    <cellStyle name="Comma 26 4 2 2" xfId="2818"/>
    <cellStyle name="Comma 26 4 3" xfId="2819"/>
    <cellStyle name="Comma 26 5" xfId="2820"/>
    <cellStyle name="Comma 26 5 2" xfId="2821"/>
    <cellStyle name="Comma 26 5 2 2" xfId="2822"/>
    <cellStyle name="Comma 26 5 3" xfId="2823"/>
    <cellStyle name="Comma 26 6" xfId="2824"/>
    <cellStyle name="Comma 26 6 2" xfId="2825"/>
    <cellStyle name="Comma 26 7" xfId="2826"/>
    <cellStyle name="Comma 26 8" xfId="2827"/>
    <cellStyle name="Comma 27" xfId="2828"/>
    <cellStyle name="Comma 27 2" xfId="2829"/>
    <cellStyle name="Comma 27 2 2" xfId="2830"/>
    <cellStyle name="Comma 27 2 2 2" xfId="2831"/>
    <cellStyle name="Comma 27 2 3" xfId="2832"/>
    <cellStyle name="Comma 27 3" xfId="2833"/>
    <cellStyle name="Comma 27 3 2" xfId="2834"/>
    <cellStyle name="Comma 27 3 2 2" xfId="2835"/>
    <cellStyle name="Comma 27 3 3" xfId="2836"/>
    <cellStyle name="Comma 27 4" xfId="2837"/>
    <cellStyle name="Comma 27 4 2" xfId="2838"/>
    <cellStyle name="Comma 27 4 2 2" xfId="2839"/>
    <cellStyle name="Comma 27 4 3" xfId="2840"/>
    <cellStyle name="Comma 27 5" xfId="2841"/>
    <cellStyle name="Comma 27 5 2" xfId="2842"/>
    <cellStyle name="Comma 27 5 2 2" xfId="2843"/>
    <cellStyle name="Comma 27 5 3" xfId="2844"/>
    <cellStyle name="Comma 27 6" xfId="2845"/>
    <cellStyle name="Comma 27 6 2" xfId="2846"/>
    <cellStyle name="Comma 27 7" xfId="2847"/>
    <cellStyle name="Comma 27 8" xfId="2848"/>
    <cellStyle name="Comma 28" xfId="2849"/>
    <cellStyle name="Comma 28 2" xfId="2850"/>
    <cellStyle name="Comma 28 2 2" xfId="2851"/>
    <cellStyle name="Comma 28 2 2 2" xfId="2852"/>
    <cellStyle name="Comma 28 2 3" xfId="2853"/>
    <cellStyle name="Comma 28 3" xfId="2854"/>
    <cellStyle name="Comma 28 3 2" xfId="2855"/>
    <cellStyle name="Comma 28 3 2 2" xfId="2856"/>
    <cellStyle name="Comma 28 3 3" xfId="2857"/>
    <cellStyle name="Comma 28 4" xfId="2858"/>
    <cellStyle name="Comma 28 4 2" xfId="2859"/>
    <cellStyle name="Comma 28 4 2 2" xfId="2860"/>
    <cellStyle name="Comma 28 4 3" xfId="2861"/>
    <cellStyle name="Comma 28 5" xfId="2862"/>
    <cellStyle name="Comma 28 5 2" xfId="2863"/>
    <cellStyle name="Comma 28 5 2 2" xfId="2864"/>
    <cellStyle name="Comma 28 5 3" xfId="2865"/>
    <cellStyle name="Comma 28 6" xfId="2866"/>
    <cellStyle name="Comma 28 6 2" xfId="2867"/>
    <cellStyle name="Comma 28 7" xfId="2868"/>
    <cellStyle name="Comma 28 8" xfId="2869"/>
    <cellStyle name="Comma 29" xfId="2870"/>
    <cellStyle name="Comma 29 2" xfId="2871"/>
    <cellStyle name="Comma 29 2 2" xfId="2872"/>
    <cellStyle name="Comma 29 2 2 2" xfId="2873"/>
    <cellStyle name="Comma 29 2 3" xfId="2874"/>
    <cellStyle name="Comma 29 3" xfId="2875"/>
    <cellStyle name="Comma 29 3 2" xfId="2876"/>
    <cellStyle name="Comma 29 3 2 2" xfId="2877"/>
    <cellStyle name="Comma 29 3 3" xfId="2878"/>
    <cellStyle name="Comma 29 4" xfId="2879"/>
    <cellStyle name="Comma 29 4 2" xfId="2880"/>
    <cellStyle name="Comma 29 4 2 2" xfId="2881"/>
    <cellStyle name="Comma 29 4 3" xfId="2882"/>
    <cellStyle name="Comma 29 5" xfId="2883"/>
    <cellStyle name="Comma 29 5 2" xfId="2884"/>
    <cellStyle name="Comma 29 5 2 2" xfId="2885"/>
    <cellStyle name="Comma 29 5 3" xfId="2886"/>
    <cellStyle name="Comma 29 6" xfId="2887"/>
    <cellStyle name="Comma 29 6 2" xfId="2888"/>
    <cellStyle name="Comma 29 7" xfId="2889"/>
    <cellStyle name="Comma 29 8" xfId="2890"/>
    <cellStyle name="Comma 3" xfId="59"/>
    <cellStyle name="Comma 3 10" xfId="2891"/>
    <cellStyle name="Comma 3 10 2" xfId="2892"/>
    <cellStyle name="Comma 3 11" xfId="2893"/>
    <cellStyle name="Comma 3 12" xfId="2894"/>
    <cellStyle name="Comma 3 13" xfId="2895"/>
    <cellStyle name="Comma 3 2" xfId="2896"/>
    <cellStyle name="Comma 3 2 10" xfId="2897"/>
    <cellStyle name="Comma 3 2 11" xfId="2898"/>
    <cellStyle name="Comma 3 2 2" xfId="2899"/>
    <cellStyle name="Comma 3 2 2 2" xfId="2900"/>
    <cellStyle name="Comma 3 2 2 2 2" xfId="2901"/>
    <cellStyle name="Comma 3 2 2 2 2 2" xfId="2902"/>
    <cellStyle name="Comma 3 2 2 2 2 2 2" xfId="2903"/>
    <cellStyle name="Comma 3 2 2 2 2 3" xfId="2904"/>
    <cellStyle name="Comma 3 2 2 2 3" xfId="2905"/>
    <cellStyle name="Comma 3 2 2 2 3 2" xfId="2906"/>
    <cellStyle name="Comma 3 2 2 2 3 2 2" xfId="2907"/>
    <cellStyle name="Comma 3 2 2 2 3 3" xfId="2908"/>
    <cellStyle name="Comma 3 2 2 2 4" xfId="2909"/>
    <cellStyle name="Comma 3 2 2 2 4 2" xfId="2910"/>
    <cellStyle name="Comma 3 2 2 2 4 2 2" xfId="2911"/>
    <cellStyle name="Comma 3 2 2 2 4 3" xfId="2912"/>
    <cellStyle name="Comma 3 2 2 2 5" xfId="2913"/>
    <cellStyle name="Comma 3 2 2 2 5 2" xfId="2914"/>
    <cellStyle name="Comma 3 2 2 2 5 2 2" xfId="2915"/>
    <cellStyle name="Comma 3 2 2 2 5 3" xfId="2916"/>
    <cellStyle name="Comma 3 2 2 2 6" xfId="2917"/>
    <cellStyle name="Comma 3 2 2 2 6 2" xfId="2918"/>
    <cellStyle name="Comma 3 2 2 2 7" xfId="2919"/>
    <cellStyle name="Comma 3 2 2 2 8" xfId="2920"/>
    <cellStyle name="Comma 3 2 2 3" xfId="2921"/>
    <cellStyle name="Comma 3 2 2 3 2" xfId="2922"/>
    <cellStyle name="Comma 3 2 2 3 2 2" xfId="2923"/>
    <cellStyle name="Comma 3 2 2 3 3" xfId="2924"/>
    <cellStyle name="Comma 3 2 2 4" xfId="2925"/>
    <cellStyle name="Comma 3 2 2 4 2" xfId="2926"/>
    <cellStyle name="Comma 3 2 2 4 2 2" xfId="2927"/>
    <cellStyle name="Comma 3 2 2 4 3" xfId="2928"/>
    <cellStyle name="Comma 3 2 2 5" xfId="2929"/>
    <cellStyle name="Comma 3 2 2 5 2" xfId="2930"/>
    <cellStyle name="Comma 3 2 2 5 2 2" xfId="2931"/>
    <cellStyle name="Comma 3 2 2 5 3" xfId="2932"/>
    <cellStyle name="Comma 3 2 2 6" xfId="2933"/>
    <cellStyle name="Comma 3 2 2 6 2" xfId="2934"/>
    <cellStyle name="Comma 3 2 2 6 2 2" xfId="2935"/>
    <cellStyle name="Comma 3 2 2 6 3" xfId="2936"/>
    <cellStyle name="Comma 3 2 2 7" xfId="2937"/>
    <cellStyle name="Comma 3 2 2 7 2" xfId="2938"/>
    <cellStyle name="Comma 3 2 2 8" xfId="2939"/>
    <cellStyle name="Comma 3 2 2 9" xfId="2940"/>
    <cellStyle name="Comma 3 2 3" xfId="2941"/>
    <cellStyle name="Comma 3 2 3 2" xfId="2942"/>
    <cellStyle name="Comma 3 2 3 2 2" xfId="2943"/>
    <cellStyle name="Comma 3 2 3 2 2 2" xfId="2944"/>
    <cellStyle name="Comma 3 2 3 2 3" xfId="2945"/>
    <cellStyle name="Comma 3 2 3 3" xfId="2946"/>
    <cellStyle name="Comma 3 2 3 3 2" xfId="2947"/>
    <cellStyle name="Comma 3 2 3 3 2 2" xfId="2948"/>
    <cellStyle name="Comma 3 2 3 3 3" xfId="2949"/>
    <cellStyle name="Comma 3 2 3 4" xfId="2950"/>
    <cellStyle name="Comma 3 2 3 4 2" xfId="2951"/>
    <cellStyle name="Comma 3 2 3 4 2 2" xfId="2952"/>
    <cellStyle name="Comma 3 2 3 4 3" xfId="2953"/>
    <cellStyle name="Comma 3 2 3 5" xfId="2954"/>
    <cellStyle name="Comma 3 2 3 5 2" xfId="2955"/>
    <cellStyle name="Comma 3 2 3 5 2 2" xfId="2956"/>
    <cellStyle name="Comma 3 2 3 5 3" xfId="2957"/>
    <cellStyle name="Comma 3 2 3 6" xfId="2958"/>
    <cellStyle name="Comma 3 2 3 6 2" xfId="2959"/>
    <cellStyle name="Comma 3 2 3 7" xfId="2960"/>
    <cellStyle name="Comma 3 2 3 8" xfId="2961"/>
    <cellStyle name="Comma 3 2 4" xfId="2962"/>
    <cellStyle name="Comma 3 2 4 2" xfId="2963"/>
    <cellStyle name="Comma 3 2 4 2 2" xfId="2964"/>
    <cellStyle name="Comma 3 2 4 3" xfId="2965"/>
    <cellStyle name="Comma 3 2 5" xfId="2966"/>
    <cellStyle name="Comma 3 2 5 2" xfId="2967"/>
    <cellStyle name="Comma 3 2 5 2 2" xfId="2968"/>
    <cellStyle name="Comma 3 2 5 3" xfId="2969"/>
    <cellStyle name="Comma 3 2 6" xfId="2970"/>
    <cellStyle name="Comma 3 2 6 2" xfId="2971"/>
    <cellStyle name="Comma 3 2 6 2 2" xfId="2972"/>
    <cellStyle name="Comma 3 2 6 3" xfId="2973"/>
    <cellStyle name="Comma 3 2 7" xfId="2974"/>
    <cellStyle name="Comma 3 2 7 2" xfId="2975"/>
    <cellStyle name="Comma 3 2 7 2 2" xfId="2976"/>
    <cellStyle name="Comma 3 2 7 3" xfId="2977"/>
    <cellStyle name="Comma 3 2 8" xfId="2978"/>
    <cellStyle name="Comma 3 2 8 2" xfId="2979"/>
    <cellStyle name="Comma 3 2 8 2 2" xfId="2980"/>
    <cellStyle name="Comma 3 2 8 3" xfId="2981"/>
    <cellStyle name="Comma 3 2 9" xfId="2982"/>
    <cellStyle name="Comma 3 2 9 2" xfId="2983"/>
    <cellStyle name="Comma 3 3" xfId="2984"/>
    <cellStyle name="Comma 3 3 10" xfId="2985"/>
    <cellStyle name="Comma 3 3 2" xfId="2986"/>
    <cellStyle name="Comma 3 3 2 2" xfId="2987"/>
    <cellStyle name="Comma 3 3 2 2 2" xfId="2988"/>
    <cellStyle name="Comma 3 3 2 2 2 2" xfId="2989"/>
    <cellStyle name="Comma 3 3 2 2 3" xfId="2990"/>
    <cellStyle name="Comma 3 3 2 3" xfId="2991"/>
    <cellStyle name="Comma 3 3 2 3 2" xfId="2992"/>
    <cellStyle name="Comma 3 3 2 3 2 2" xfId="2993"/>
    <cellStyle name="Comma 3 3 2 3 3" xfId="2994"/>
    <cellStyle name="Comma 3 3 2 4" xfId="2995"/>
    <cellStyle name="Comma 3 3 2 4 2" xfId="2996"/>
    <cellStyle name="Comma 3 3 2 4 2 2" xfId="2997"/>
    <cellStyle name="Comma 3 3 2 4 3" xfId="2998"/>
    <cellStyle name="Comma 3 3 2 5" xfId="2999"/>
    <cellStyle name="Comma 3 3 2 5 2" xfId="3000"/>
    <cellStyle name="Comma 3 3 2 5 2 2" xfId="3001"/>
    <cellStyle name="Comma 3 3 2 5 3" xfId="3002"/>
    <cellStyle name="Comma 3 3 2 6" xfId="3003"/>
    <cellStyle name="Comma 3 3 2 6 2" xfId="3004"/>
    <cellStyle name="Comma 3 3 2 7" xfId="3005"/>
    <cellStyle name="Comma 3 3 2 8" xfId="3006"/>
    <cellStyle name="Comma 3 3 3" xfId="3007"/>
    <cellStyle name="Comma 3 3 3 2" xfId="3008"/>
    <cellStyle name="Comma 3 3 3 2 2" xfId="3009"/>
    <cellStyle name="Comma 3 3 3 3" xfId="3010"/>
    <cellStyle name="Comma 3 3 4" xfId="3011"/>
    <cellStyle name="Comma 3 3 4 2" xfId="3012"/>
    <cellStyle name="Comma 3 3 4 2 2" xfId="3013"/>
    <cellStyle name="Comma 3 3 4 3" xfId="3014"/>
    <cellStyle name="Comma 3 3 5" xfId="3015"/>
    <cellStyle name="Comma 3 3 5 2" xfId="3016"/>
    <cellStyle name="Comma 3 3 5 2 2" xfId="3017"/>
    <cellStyle name="Comma 3 3 5 3" xfId="3018"/>
    <cellStyle name="Comma 3 3 6" xfId="3019"/>
    <cellStyle name="Comma 3 3 6 2" xfId="3020"/>
    <cellStyle name="Comma 3 3 6 2 2" xfId="3021"/>
    <cellStyle name="Comma 3 3 6 3" xfId="3022"/>
    <cellStyle name="Comma 3 3 7" xfId="3023"/>
    <cellStyle name="Comma 3 3 7 2" xfId="3024"/>
    <cellStyle name="Comma 3 3 7 2 2" xfId="3025"/>
    <cellStyle name="Comma 3 3 7 3" xfId="3026"/>
    <cellStyle name="Comma 3 3 8" xfId="3027"/>
    <cellStyle name="Comma 3 3 8 2" xfId="3028"/>
    <cellStyle name="Comma 3 3 9" xfId="3029"/>
    <cellStyle name="Comma 3 4" xfId="3030"/>
    <cellStyle name="Comma 3 4 2" xfId="3031"/>
    <cellStyle name="Comma 3 4 2 2" xfId="3032"/>
    <cellStyle name="Comma 3 4 2 2 2" xfId="3033"/>
    <cellStyle name="Comma 3 4 2 2 2 2" xfId="3034"/>
    <cellStyle name="Comma 3 4 2 2 3" xfId="3035"/>
    <cellStyle name="Comma 3 4 2 3" xfId="3036"/>
    <cellStyle name="Comma 3 4 2 3 2" xfId="3037"/>
    <cellStyle name="Comma 3 4 2 4" xfId="3038"/>
    <cellStyle name="Comma 3 4 3" xfId="3039"/>
    <cellStyle name="Comma 3 4 3 2" xfId="3040"/>
    <cellStyle name="Comma 3 4 3 2 2" xfId="3041"/>
    <cellStyle name="Comma 3 4 3 3" xfId="3042"/>
    <cellStyle name="Comma 3 4 4" xfId="3043"/>
    <cellStyle name="Comma 3 4 4 2" xfId="3044"/>
    <cellStyle name="Comma 3 4 4 2 2" xfId="3045"/>
    <cellStyle name="Comma 3 4 4 3" xfId="3046"/>
    <cellStyle name="Comma 3 4 5" xfId="3047"/>
    <cellStyle name="Comma 3 4 5 2" xfId="3048"/>
    <cellStyle name="Comma 3 4 5 2 2" xfId="3049"/>
    <cellStyle name="Comma 3 4 5 3" xfId="3050"/>
    <cellStyle name="Comma 3 4 6" xfId="3051"/>
    <cellStyle name="Comma 3 4 6 2" xfId="3052"/>
    <cellStyle name="Comma 3 4 6 2 2" xfId="3053"/>
    <cellStyle name="Comma 3 4 6 3" xfId="3054"/>
    <cellStyle name="Comma 3 4 7" xfId="3055"/>
    <cellStyle name="Comma 3 4 7 2" xfId="3056"/>
    <cellStyle name="Comma 3 4 8" xfId="3057"/>
    <cellStyle name="Comma 3 4 9" xfId="3058"/>
    <cellStyle name="Comma 3 5" xfId="3059"/>
    <cellStyle name="Comma 3 5 2" xfId="3060"/>
    <cellStyle name="Comma 3 5 2 2" xfId="3061"/>
    <cellStyle name="Comma 3 5 2 2 2" xfId="3062"/>
    <cellStyle name="Comma 3 5 2 2 2 2" xfId="3063"/>
    <cellStyle name="Comma 3 5 2 2 2 2 2" xfId="21831"/>
    <cellStyle name="Comma 3 5 2 2 2 2 2 2" xfId="27066"/>
    <cellStyle name="Comma 3 5 2 2 2 2 3" xfId="24554"/>
    <cellStyle name="Comma 3 5 2 2 2 3" xfId="21830"/>
    <cellStyle name="Comma 3 5 2 2 2 3 2" xfId="27065"/>
    <cellStyle name="Comma 3 5 2 2 2 4" xfId="24553"/>
    <cellStyle name="Comma 3 5 2 2 3" xfId="3064"/>
    <cellStyle name="Comma 3 5 2 2 3 2" xfId="21832"/>
    <cellStyle name="Comma 3 5 2 2 3 2 2" xfId="27067"/>
    <cellStyle name="Comma 3 5 2 2 3 3" xfId="24555"/>
    <cellStyle name="Comma 3 5 2 2 4" xfId="21829"/>
    <cellStyle name="Comma 3 5 2 2 4 2" xfId="27064"/>
    <cellStyle name="Comma 3 5 2 2 5" xfId="24552"/>
    <cellStyle name="Comma 3 5 2 3" xfId="3065"/>
    <cellStyle name="Comma 3 5 2 3 2" xfId="3066"/>
    <cellStyle name="Comma 3 5 2 3 2 2" xfId="21834"/>
    <cellStyle name="Comma 3 5 2 3 2 2 2" xfId="27069"/>
    <cellStyle name="Comma 3 5 2 3 2 3" xfId="24557"/>
    <cellStyle name="Comma 3 5 2 3 3" xfId="21833"/>
    <cellStyle name="Comma 3 5 2 3 3 2" xfId="27068"/>
    <cellStyle name="Comma 3 5 2 3 4" xfId="24556"/>
    <cellStyle name="Comma 3 5 2 4" xfId="3067"/>
    <cellStyle name="Comma 3 5 2 4 2" xfId="21835"/>
    <cellStyle name="Comma 3 5 2 4 2 2" xfId="27070"/>
    <cellStyle name="Comma 3 5 2 4 3" xfId="24558"/>
    <cellStyle name="Comma 3 5 2 5" xfId="21828"/>
    <cellStyle name="Comma 3 5 2 5 2" xfId="27063"/>
    <cellStyle name="Comma 3 5 2 6" xfId="24551"/>
    <cellStyle name="Comma 3 5 3" xfId="3068"/>
    <cellStyle name="Comma 3 5 3 2" xfId="3069"/>
    <cellStyle name="Comma 3 5 4" xfId="3070"/>
    <cellStyle name="Comma 3 6" xfId="3071"/>
    <cellStyle name="Comma 3 6 2" xfId="3072"/>
    <cellStyle name="Comma 3 6 2 2" xfId="3073"/>
    <cellStyle name="Comma 3 6 2 2 2" xfId="3074"/>
    <cellStyle name="Comma 3 6 2 3" xfId="3075"/>
    <cellStyle name="Comma 3 6 3" xfId="3076"/>
    <cellStyle name="Comma 3 6 3 2" xfId="3077"/>
    <cellStyle name="Comma 3 6 4" xfId="3078"/>
    <cellStyle name="Comma 3 7" xfId="3079"/>
    <cellStyle name="Comma 3 7 2" xfId="3080"/>
    <cellStyle name="Comma 3 7 2 2" xfId="3081"/>
    <cellStyle name="Comma 3 7 3" xfId="3082"/>
    <cellStyle name="Comma 3 8" xfId="3083"/>
    <cellStyle name="Comma 3 8 2" xfId="3084"/>
    <cellStyle name="Comma 3 8 2 2" xfId="3085"/>
    <cellStyle name="Comma 3 8 3" xfId="3086"/>
    <cellStyle name="Comma 3 9" xfId="3087"/>
    <cellStyle name="Comma 3 9 2" xfId="3088"/>
    <cellStyle name="Comma 3 9 2 2" xfId="3089"/>
    <cellStyle name="Comma 3 9 3" xfId="3090"/>
    <cellStyle name="Comma 30" xfId="3091"/>
    <cellStyle name="Comma 30 2" xfId="3092"/>
    <cellStyle name="Comma 30 2 2" xfId="3093"/>
    <cellStyle name="Comma 30 3" xfId="3094"/>
    <cellStyle name="Comma 31" xfId="3095"/>
    <cellStyle name="Comma 31 2" xfId="3096"/>
    <cellStyle name="Comma 31 2 2" xfId="3097"/>
    <cellStyle name="Comma 31 3" xfId="3098"/>
    <cellStyle name="Comma 32" xfId="3099"/>
    <cellStyle name="Comma 32 2" xfId="3100"/>
    <cellStyle name="Comma 32 2 2" xfId="3101"/>
    <cellStyle name="Comma 32 3" xfId="3102"/>
    <cellStyle name="Comma 33" xfId="3103"/>
    <cellStyle name="Comma 33 2" xfId="3104"/>
    <cellStyle name="Comma 33 2 2" xfId="3105"/>
    <cellStyle name="Comma 33 3" xfId="3106"/>
    <cellStyle name="Comma 34" xfId="3107"/>
    <cellStyle name="Comma 34 2" xfId="3108"/>
    <cellStyle name="Comma 34 2 2" xfId="3109"/>
    <cellStyle name="Comma 34 3" xfId="3110"/>
    <cellStyle name="Comma 35" xfId="3111"/>
    <cellStyle name="Comma 35 2" xfId="3112"/>
    <cellStyle name="Comma 35 2 2" xfId="3113"/>
    <cellStyle name="Comma 35 3" xfId="3114"/>
    <cellStyle name="Comma 36" xfId="3115"/>
    <cellStyle name="Comma 36 2" xfId="3116"/>
    <cellStyle name="Comma 36 2 2" xfId="3117"/>
    <cellStyle name="Comma 36 3" xfId="3118"/>
    <cellStyle name="Comma 37" xfId="3119"/>
    <cellStyle name="Comma 37 2" xfId="3120"/>
    <cellStyle name="Comma 37 2 2" xfId="3121"/>
    <cellStyle name="Comma 37 3" xfId="3122"/>
    <cellStyle name="Comma 38" xfId="3123"/>
    <cellStyle name="Comma 38 2" xfId="3124"/>
    <cellStyle name="Comma 38 2 2" xfId="3125"/>
    <cellStyle name="Comma 38 3" xfId="3126"/>
    <cellStyle name="Comma 39" xfId="3127"/>
    <cellStyle name="Comma 39 2" xfId="3128"/>
    <cellStyle name="Comma 39 2 2" xfId="3129"/>
    <cellStyle name="Comma 39 3" xfId="3130"/>
    <cellStyle name="Comma 4" xfId="60"/>
    <cellStyle name="Comma 4 10" xfId="3131"/>
    <cellStyle name="Comma 4 10 2" xfId="3132"/>
    <cellStyle name="Comma 4 10 2 2" xfId="3133"/>
    <cellStyle name="Comma 4 10 3" xfId="3134"/>
    <cellStyle name="Comma 4 11" xfId="3135"/>
    <cellStyle name="Comma 4 11 2" xfId="3136"/>
    <cellStyle name="Comma 4 12" xfId="3137"/>
    <cellStyle name="Comma 4 13" xfId="3138"/>
    <cellStyle name="Comma 4 14" xfId="3139"/>
    <cellStyle name="Comma 4 2" xfId="3140"/>
    <cellStyle name="Comma 4 2 10" xfId="3141"/>
    <cellStyle name="Comma 4 2 11" xfId="3142"/>
    <cellStyle name="Comma 4 2 2" xfId="3143"/>
    <cellStyle name="Comma 4 2 2 10" xfId="3144"/>
    <cellStyle name="Comma 4 2 2 2" xfId="3145"/>
    <cellStyle name="Comma 4 2 2 2 2" xfId="3146"/>
    <cellStyle name="Comma 4 2 2 2 2 2" xfId="3147"/>
    <cellStyle name="Comma 4 2 2 2 2 2 2" xfId="3148"/>
    <cellStyle name="Comma 4 2 2 2 2 3" xfId="3149"/>
    <cellStyle name="Comma 4 2 2 2 3" xfId="3150"/>
    <cellStyle name="Comma 4 2 2 2 3 2" xfId="3151"/>
    <cellStyle name="Comma 4 2 2 2 3 2 2" xfId="3152"/>
    <cellStyle name="Comma 4 2 2 2 3 3" xfId="3153"/>
    <cellStyle name="Comma 4 2 2 2 4" xfId="3154"/>
    <cellStyle name="Comma 4 2 2 2 4 2" xfId="3155"/>
    <cellStyle name="Comma 4 2 2 2 4 2 2" xfId="3156"/>
    <cellStyle name="Comma 4 2 2 2 4 3" xfId="3157"/>
    <cellStyle name="Comma 4 2 2 2 5" xfId="3158"/>
    <cellStyle name="Comma 4 2 2 2 5 2" xfId="3159"/>
    <cellStyle name="Comma 4 2 2 2 5 2 2" xfId="3160"/>
    <cellStyle name="Comma 4 2 2 2 5 3" xfId="3161"/>
    <cellStyle name="Comma 4 2 2 2 6" xfId="3162"/>
    <cellStyle name="Comma 4 2 2 2 6 2" xfId="3163"/>
    <cellStyle name="Comma 4 2 2 2 7" xfId="3164"/>
    <cellStyle name="Comma 4 2 2 2 8" xfId="3165"/>
    <cellStyle name="Comma 4 2 2 3" xfId="3166"/>
    <cellStyle name="Comma 4 2 2 3 2" xfId="3167"/>
    <cellStyle name="Comma 4 2 2 3 2 2" xfId="3168"/>
    <cellStyle name="Comma 4 2 2 3 3" xfId="3169"/>
    <cellStyle name="Comma 4 2 2 4" xfId="3170"/>
    <cellStyle name="Comma 4 2 2 4 2" xfId="3171"/>
    <cellStyle name="Comma 4 2 2 4 2 2" xfId="3172"/>
    <cellStyle name="Comma 4 2 2 4 3" xfId="3173"/>
    <cellStyle name="Comma 4 2 2 5" xfId="3174"/>
    <cellStyle name="Comma 4 2 2 5 2" xfId="3175"/>
    <cellStyle name="Comma 4 2 2 5 2 2" xfId="3176"/>
    <cellStyle name="Comma 4 2 2 5 3" xfId="3177"/>
    <cellStyle name="Comma 4 2 2 6" xfId="3178"/>
    <cellStyle name="Comma 4 2 2 6 2" xfId="3179"/>
    <cellStyle name="Comma 4 2 2 6 2 2" xfId="3180"/>
    <cellStyle name="Comma 4 2 2 6 3" xfId="3181"/>
    <cellStyle name="Comma 4 2 2 7" xfId="3182"/>
    <cellStyle name="Comma 4 2 2 7 2" xfId="3183"/>
    <cellStyle name="Comma 4 2 2 7 2 2" xfId="3184"/>
    <cellStyle name="Comma 4 2 2 7 3" xfId="3185"/>
    <cellStyle name="Comma 4 2 2 8" xfId="3186"/>
    <cellStyle name="Comma 4 2 2 8 2" xfId="3187"/>
    <cellStyle name="Comma 4 2 2 9" xfId="3188"/>
    <cellStyle name="Comma 4 2 3" xfId="3189"/>
    <cellStyle name="Comma 4 2 3 2" xfId="3190"/>
    <cellStyle name="Comma 4 2 3 2 2" xfId="3191"/>
    <cellStyle name="Comma 4 2 3 2 2 2" xfId="3192"/>
    <cellStyle name="Comma 4 2 3 2 3" xfId="3193"/>
    <cellStyle name="Comma 4 2 3 3" xfId="3194"/>
    <cellStyle name="Comma 4 2 3 3 2" xfId="3195"/>
    <cellStyle name="Comma 4 2 3 3 2 2" xfId="3196"/>
    <cellStyle name="Comma 4 2 3 3 3" xfId="3197"/>
    <cellStyle name="Comma 4 2 3 4" xfId="3198"/>
    <cellStyle name="Comma 4 2 3 4 2" xfId="3199"/>
    <cellStyle name="Comma 4 2 3 4 2 2" xfId="3200"/>
    <cellStyle name="Comma 4 2 3 4 3" xfId="3201"/>
    <cellStyle name="Comma 4 2 3 5" xfId="3202"/>
    <cellStyle name="Comma 4 2 3 5 2" xfId="3203"/>
    <cellStyle name="Comma 4 2 3 5 2 2" xfId="3204"/>
    <cellStyle name="Comma 4 2 3 5 3" xfId="3205"/>
    <cellStyle name="Comma 4 2 3 6" xfId="3206"/>
    <cellStyle name="Comma 4 2 3 6 2" xfId="3207"/>
    <cellStyle name="Comma 4 2 3 7" xfId="3208"/>
    <cellStyle name="Comma 4 2 3 8" xfId="3209"/>
    <cellStyle name="Comma 4 2 4" xfId="3210"/>
    <cellStyle name="Comma 4 2 4 2" xfId="3211"/>
    <cellStyle name="Comma 4 2 4 2 2" xfId="3212"/>
    <cellStyle name="Comma 4 2 4 3" xfId="3213"/>
    <cellStyle name="Comma 4 2 5" xfId="3214"/>
    <cellStyle name="Comma 4 2 5 2" xfId="3215"/>
    <cellStyle name="Comma 4 2 5 2 2" xfId="3216"/>
    <cellStyle name="Comma 4 2 5 3" xfId="3217"/>
    <cellStyle name="Comma 4 2 6" xfId="3218"/>
    <cellStyle name="Comma 4 2 6 2" xfId="3219"/>
    <cellStyle name="Comma 4 2 6 2 2" xfId="3220"/>
    <cellStyle name="Comma 4 2 6 3" xfId="3221"/>
    <cellStyle name="Comma 4 2 7" xfId="3222"/>
    <cellStyle name="Comma 4 2 7 2" xfId="3223"/>
    <cellStyle name="Comma 4 2 7 2 2" xfId="3224"/>
    <cellStyle name="Comma 4 2 7 3" xfId="3225"/>
    <cellStyle name="Comma 4 2 8" xfId="3226"/>
    <cellStyle name="Comma 4 2 8 2" xfId="3227"/>
    <cellStyle name="Comma 4 2 8 2 2" xfId="3228"/>
    <cellStyle name="Comma 4 2 8 3" xfId="3229"/>
    <cellStyle name="Comma 4 2 9" xfId="3230"/>
    <cellStyle name="Comma 4 2 9 2" xfId="3231"/>
    <cellStyle name="Comma 4 3" xfId="3232"/>
    <cellStyle name="Comma 4 3 10" xfId="3233"/>
    <cellStyle name="Comma 4 3 11" xfId="3234"/>
    <cellStyle name="Comma 4 3 2" xfId="3235"/>
    <cellStyle name="Comma 4 3 2 10" xfId="3236"/>
    <cellStyle name="Comma 4 3 2 2" xfId="3237"/>
    <cellStyle name="Comma 4 3 2 2 2" xfId="3238"/>
    <cellStyle name="Comma 4 3 2 2 2 2" xfId="3239"/>
    <cellStyle name="Comma 4 3 2 2 2 2 2" xfId="3240"/>
    <cellStyle name="Comma 4 3 2 2 2 3" xfId="3241"/>
    <cellStyle name="Comma 4 3 2 2 3" xfId="3242"/>
    <cellStyle name="Comma 4 3 2 2 3 2" xfId="3243"/>
    <cellStyle name="Comma 4 3 2 2 3 2 2" xfId="3244"/>
    <cellStyle name="Comma 4 3 2 2 3 3" xfId="3245"/>
    <cellStyle name="Comma 4 3 2 2 4" xfId="3246"/>
    <cellStyle name="Comma 4 3 2 2 4 2" xfId="3247"/>
    <cellStyle name="Comma 4 3 2 2 4 2 2" xfId="3248"/>
    <cellStyle name="Comma 4 3 2 2 4 3" xfId="3249"/>
    <cellStyle name="Comma 4 3 2 2 5" xfId="3250"/>
    <cellStyle name="Comma 4 3 2 2 5 2" xfId="3251"/>
    <cellStyle name="Comma 4 3 2 2 5 2 2" xfId="3252"/>
    <cellStyle name="Comma 4 3 2 2 5 3" xfId="3253"/>
    <cellStyle name="Comma 4 3 2 2 6" xfId="3254"/>
    <cellStyle name="Comma 4 3 2 2 6 2" xfId="3255"/>
    <cellStyle name="Comma 4 3 2 2 7" xfId="3256"/>
    <cellStyle name="Comma 4 3 2 2 8" xfId="3257"/>
    <cellStyle name="Comma 4 3 2 3" xfId="3258"/>
    <cellStyle name="Comma 4 3 2 3 2" xfId="3259"/>
    <cellStyle name="Comma 4 3 2 3 2 2" xfId="3260"/>
    <cellStyle name="Comma 4 3 2 3 3" xfId="3261"/>
    <cellStyle name="Comma 4 3 2 4" xfId="3262"/>
    <cellStyle name="Comma 4 3 2 4 2" xfId="3263"/>
    <cellStyle name="Comma 4 3 2 4 2 2" xfId="3264"/>
    <cellStyle name="Comma 4 3 2 4 3" xfId="3265"/>
    <cellStyle name="Comma 4 3 2 5" xfId="3266"/>
    <cellStyle name="Comma 4 3 2 5 2" xfId="3267"/>
    <cellStyle name="Comma 4 3 2 5 2 2" xfId="3268"/>
    <cellStyle name="Comma 4 3 2 5 3" xfId="3269"/>
    <cellStyle name="Comma 4 3 2 6" xfId="3270"/>
    <cellStyle name="Comma 4 3 2 6 2" xfId="3271"/>
    <cellStyle name="Comma 4 3 2 6 2 2" xfId="3272"/>
    <cellStyle name="Comma 4 3 2 6 3" xfId="3273"/>
    <cellStyle name="Comma 4 3 2 7" xfId="3274"/>
    <cellStyle name="Comma 4 3 2 7 2" xfId="3275"/>
    <cellStyle name="Comma 4 3 2 7 2 2" xfId="3276"/>
    <cellStyle name="Comma 4 3 2 7 3" xfId="3277"/>
    <cellStyle name="Comma 4 3 2 8" xfId="3278"/>
    <cellStyle name="Comma 4 3 2 8 2" xfId="3279"/>
    <cellStyle name="Comma 4 3 2 9" xfId="3280"/>
    <cellStyle name="Comma 4 3 3" xfId="3281"/>
    <cellStyle name="Comma 4 3 3 2" xfId="3282"/>
    <cellStyle name="Comma 4 3 3 2 2" xfId="3283"/>
    <cellStyle name="Comma 4 3 3 2 2 2" xfId="3284"/>
    <cellStyle name="Comma 4 3 3 2 3" xfId="3285"/>
    <cellStyle name="Comma 4 3 3 3" xfId="3286"/>
    <cellStyle name="Comma 4 3 3 3 2" xfId="3287"/>
    <cellStyle name="Comma 4 3 3 3 2 2" xfId="3288"/>
    <cellStyle name="Comma 4 3 3 3 3" xfId="3289"/>
    <cellStyle name="Comma 4 3 3 4" xfId="3290"/>
    <cellStyle name="Comma 4 3 3 4 2" xfId="3291"/>
    <cellStyle name="Comma 4 3 3 4 2 2" xfId="3292"/>
    <cellStyle name="Comma 4 3 3 4 3" xfId="3293"/>
    <cellStyle name="Comma 4 3 3 5" xfId="3294"/>
    <cellStyle name="Comma 4 3 3 5 2" xfId="3295"/>
    <cellStyle name="Comma 4 3 3 5 2 2" xfId="3296"/>
    <cellStyle name="Comma 4 3 3 5 3" xfId="3297"/>
    <cellStyle name="Comma 4 3 3 6" xfId="3298"/>
    <cellStyle name="Comma 4 3 3 6 2" xfId="3299"/>
    <cellStyle name="Comma 4 3 3 6 2 2" xfId="3300"/>
    <cellStyle name="Comma 4 3 3 6 3" xfId="3301"/>
    <cellStyle name="Comma 4 3 3 7" xfId="3302"/>
    <cellStyle name="Comma 4 3 3 7 2" xfId="3303"/>
    <cellStyle name="Comma 4 3 3 8" xfId="3304"/>
    <cellStyle name="Comma 4 3 3 9" xfId="3305"/>
    <cellStyle name="Comma 4 3 4" xfId="3306"/>
    <cellStyle name="Comma 4 3 4 2" xfId="3307"/>
    <cellStyle name="Comma 4 3 4 2 2" xfId="3308"/>
    <cellStyle name="Comma 4 3 4 3" xfId="3309"/>
    <cellStyle name="Comma 4 3 5" xfId="3310"/>
    <cellStyle name="Comma 4 3 5 2" xfId="3311"/>
    <cellStyle name="Comma 4 3 5 2 2" xfId="3312"/>
    <cellStyle name="Comma 4 3 5 3" xfId="3313"/>
    <cellStyle name="Comma 4 3 6" xfId="3314"/>
    <cellStyle name="Comma 4 3 6 2" xfId="3315"/>
    <cellStyle name="Comma 4 3 6 2 2" xfId="3316"/>
    <cellStyle name="Comma 4 3 6 3" xfId="3317"/>
    <cellStyle name="Comma 4 3 7" xfId="3318"/>
    <cellStyle name="Comma 4 3 7 2" xfId="3319"/>
    <cellStyle name="Comma 4 3 7 2 2" xfId="3320"/>
    <cellStyle name="Comma 4 3 7 3" xfId="3321"/>
    <cellStyle name="Comma 4 3 8" xfId="3322"/>
    <cellStyle name="Comma 4 3 8 2" xfId="3323"/>
    <cellStyle name="Comma 4 3 8 2 2" xfId="3324"/>
    <cellStyle name="Comma 4 3 8 3" xfId="3325"/>
    <cellStyle name="Comma 4 3 9" xfId="3326"/>
    <cellStyle name="Comma 4 3 9 2" xfId="3327"/>
    <cellStyle name="Comma 4 4" xfId="3328"/>
    <cellStyle name="Comma 4 4 10" xfId="3329"/>
    <cellStyle name="Comma 4 4 2" xfId="3330"/>
    <cellStyle name="Comma 4 4 2 2" xfId="3331"/>
    <cellStyle name="Comma 4 4 2 2 2" xfId="3332"/>
    <cellStyle name="Comma 4 4 2 2 2 2" xfId="3333"/>
    <cellStyle name="Comma 4 4 2 2 3" xfId="3334"/>
    <cellStyle name="Comma 4 4 2 3" xfId="3335"/>
    <cellStyle name="Comma 4 4 2 3 2" xfId="3336"/>
    <cellStyle name="Comma 4 4 2 3 2 2" xfId="3337"/>
    <cellStyle name="Comma 4 4 2 3 3" xfId="3338"/>
    <cellStyle name="Comma 4 4 2 4" xfId="3339"/>
    <cellStyle name="Comma 4 4 2 4 2" xfId="3340"/>
    <cellStyle name="Comma 4 4 2 4 2 2" xfId="3341"/>
    <cellStyle name="Comma 4 4 2 4 3" xfId="3342"/>
    <cellStyle name="Comma 4 4 2 5" xfId="3343"/>
    <cellStyle name="Comma 4 4 2 5 2" xfId="3344"/>
    <cellStyle name="Comma 4 4 2 5 2 2" xfId="3345"/>
    <cellStyle name="Comma 4 4 2 5 3" xfId="3346"/>
    <cellStyle name="Comma 4 4 2 6" xfId="3347"/>
    <cellStyle name="Comma 4 4 2 6 2" xfId="3348"/>
    <cellStyle name="Comma 4 4 2 7" xfId="3349"/>
    <cellStyle name="Comma 4 4 2 8" xfId="3350"/>
    <cellStyle name="Comma 4 4 3" xfId="3351"/>
    <cellStyle name="Comma 4 4 3 2" xfId="3352"/>
    <cellStyle name="Comma 4 4 3 2 2" xfId="3353"/>
    <cellStyle name="Comma 4 4 3 3" xfId="3354"/>
    <cellStyle name="Comma 4 4 4" xfId="3355"/>
    <cellStyle name="Comma 4 4 4 2" xfId="3356"/>
    <cellStyle name="Comma 4 4 4 2 2" xfId="3357"/>
    <cellStyle name="Comma 4 4 4 3" xfId="3358"/>
    <cellStyle name="Comma 4 4 5" xfId="3359"/>
    <cellStyle name="Comma 4 4 5 2" xfId="3360"/>
    <cellStyle name="Comma 4 4 5 2 2" xfId="3361"/>
    <cellStyle name="Comma 4 4 5 3" xfId="3362"/>
    <cellStyle name="Comma 4 4 6" xfId="3363"/>
    <cellStyle name="Comma 4 4 6 2" xfId="3364"/>
    <cellStyle name="Comma 4 4 6 2 2" xfId="3365"/>
    <cellStyle name="Comma 4 4 6 3" xfId="3366"/>
    <cellStyle name="Comma 4 4 7" xfId="3367"/>
    <cellStyle name="Comma 4 4 7 2" xfId="3368"/>
    <cellStyle name="Comma 4 4 7 2 2" xfId="3369"/>
    <cellStyle name="Comma 4 4 7 3" xfId="3370"/>
    <cellStyle name="Comma 4 4 8" xfId="3371"/>
    <cellStyle name="Comma 4 4 8 2" xfId="3372"/>
    <cellStyle name="Comma 4 4 9" xfId="3373"/>
    <cellStyle name="Comma 4 5" xfId="3374"/>
    <cellStyle name="Comma 4 5 2" xfId="3375"/>
    <cellStyle name="Comma 4 5 2 2" xfId="3376"/>
    <cellStyle name="Comma 4 5 2 2 2" xfId="3377"/>
    <cellStyle name="Comma 4 5 2 3" xfId="3378"/>
    <cellStyle name="Comma 4 5 3" xfId="3379"/>
    <cellStyle name="Comma 4 5 3 2" xfId="3380"/>
    <cellStyle name="Comma 4 5 3 2 2" xfId="3381"/>
    <cellStyle name="Comma 4 5 3 3" xfId="3382"/>
    <cellStyle name="Comma 4 5 4" xfId="3383"/>
    <cellStyle name="Comma 4 5 4 2" xfId="3384"/>
    <cellStyle name="Comma 4 5 4 2 2" xfId="3385"/>
    <cellStyle name="Comma 4 5 4 3" xfId="3386"/>
    <cellStyle name="Comma 4 5 5" xfId="3387"/>
    <cellStyle name="Comma 4 5 5 2" xfId="3388"/>
    <cellStyle name="Comma 4 5 5 2 2" xfId="3389"/>
    <cellStyle name="Comma 4 5 5 3" xfId="3390"/>
    <cellStyle name="Comma 4 5 6" xfId="3391"/>
    <cellStyle name="Comma 4 5 6 2" xfId="3392"/>
    <cellStyle name="Comma 4 5 7" xfId="3393"/>
    <cellStyle name="Comma 4 5 8" xfId="3394"/>
    <cellStyle name="Comma 4 6" xfId="3395"/>
    <cellStyle name="Comma 4 6 2" xfId="3396"/>
    <cellStyle name="Comma 4 6 2 2" xfId="3397"/>
    <cellStyle name="Comma 4 6 3" xfId="3398"/>
    <cellStyle name="Comma 4 7" xfId="3399"/>
    <cellStyle name="Comma 4 7 2" xfId="3400"/>
    <cellStyle name="Comma 4 7 2 2" xfId="3401"/>
    <cellStyle name="Comma 4 7 3" xfId="3402"/>
    <cellStyle name="Comma 4 8" xfId="3403"/>
    <cellStyle name="Comma 4 8 2" xfId="3404"/>
    <cellStyle name="Comma 4 8 2 2" xfId="3405"/>
    <cellStyle name="Comma 4 8 3" xfId="3406"/>
    <cellStyle name="Comma 4 9" xfId="3407"/>
    <cellStyle name="Comma 4 9 2" xfId="3408"/>
    <cellStyle name="Comma 4 9 2 2" xfId="3409"/>
    <cellStyle name="Comma 4 9 3" xfId="3410"/>
    <cellStyle name="Comma 40" xfId="3411"/>
    <cellStyle name="Comma 40 2" xfId="3412"/>
    <cellStyle name="Comma 40 2 2" xfId="3413"/>
    <cellStyle name="Comma 40 3" xfId="3414"/>
    <cellStyle name="Comma 41" xfId="3415"/>
    <cellStyle name="Comma 41 2" xfId="3416"/>
    <cellStyle name="Comma 41 2 2" xfId="3417"/>
    <cellStyle name="Comma 41 3" xfId="3418"/>
    <cellStyle name="Comma 42" xfId="3419"/>
    <cellStyle name="Comma 42 2" xfId="3420"/>
    <cellStyle name="Comma 42 2 2" xfId="3421"/>
    <cellStyle name="Comma 42 3" xfId="3422"/>
    <cellStyle name="Comma 43" xfId="3423"/>
    <cellStyle name="Comma 43 2" xfId="3424"/>
    <cellStyle name="Comma 43 2 2" xfId="3425"/>
    <cellStyle name="Comma 43 3" xfId="3426"/>
    <cellStyle name="Comma 44" xfId="3427"/>
    <cellStyle name="Comma 44 2" xfId="3428"/>
    <cellStyle name="Comma 44 2 2" xfId="3429"/>
    <cellStyle name="Comma 44 3" xfId="3430"/>
    <cellStyle name="Comma 45" xfId="3431"/>
    <cellStyle name="Comma 45 2" xfId="3432"/>
    <cellStyle name="Comma 45 2 2" xfId="3433"/>
    <cellStyle name="Comma 45 3" xfId="3434"/>
    <cellStyle name="Comma 46" xfId="3435"/>
    <cellStyle name="Comma 46 2" xfId="3436"/>
    <cellStyle name="Comma 46 2 2" xfId="3437"/>
    <cellStyle name="Comma 46 3" xfId="3438"/>
    <cellStyle name="Comma 47" xfId="3439"/>
    <cellStyle name="Comma 47 2" xfId="3440"/>
    <cellStyle name="Comma 47 2 2" xfId="3441"/>
    <cellStyle name="Comma 47 3" xfId="3442"/>
    <cellStyle name="Comma 48" xfId="3443"/>
    <cellStyle name="Comma 48 2" xfId="3444"/>
    <cellStyle name="Comma 48 2 2" xfId="3445"/>
    <cellStyle name="Comma 48 3" xfId="3446"/>
    <cellStyle name="Comma 49" xfId="3447"/>
    <cellStyle name="Comma 49 2" xfId="3448"/>
    <cellStyle name="Comma 49 2 2" xfId="3449"/>
    <cellStyle name="Comma 49 3" xfId="3450"/>
    <cellStyle name="Comma 5" xfId="61"/>
    <cellStyle name="Comma 5 10" xfId="3451"/>
    <cellStyle name="Comma 5 10 2" xfId="3452"/>
    <cellStyle name="Comma 5 11" xfId="3453"/>
    <cellStyle name="Comma 5 12" xfId="3454"/>
    <cellStyle name="Comma 5 2" xfId="3455"/>
    <cellStyle name="Comma 5 2 10" xfId="3456"/>
    <cellStyle name="Comma 5 2 2" xfId="3457"/>
    <cellStyle name="Comma 5 2 2 2" xfId="3458"/>
    <cellStyle name="Comma 5 2 2 2 2" xfId="3459"/>
    <cellStyle name="Comma 5 2 2 2 2 2" xfId="3460"/>
    <cellStyle name="Comma 5 2 2 2 2 2 2" xfId="3461"/>
    <cellStyle name="Comma 5 2 2 2 2 3" xfId="3462"/>
    <cellStyle name="Comma 5 2 2 2 3" xfId="3463"/>
    <cellStyle name="Comma 5 2 2 2 3 2" xfId="3464"/>
    <cellStyle name="Comma 5 2 2 2 3 2 2" xfId="3465"/>
    <cellStyle name="Comma 5 2 2 2 3 3" xfId="3466"/>
    <cellStyle name="Comma 5 2 2 2 4" xfId="3467"/>
    <cellStyle name="Comma 5 2 2 2 4 2" xfId="3468"/>
    <cellStyle name="Comma 5 2 2 2 4 2 2" xfId="3469"/>
    <cellStyle name="Comma 5 2 2 2 4 3" xfId="3470"/>
    <cellStyle name="Comma 5 2 2 2 5" xfId="3471"/>
    <cellStyle name="Comma 5 2 2 2 5 2" xfId="3472"/>
    <cellStyle name="Comma 5 2 2 2 6" xfId="3473"/>
    <cellStyle name="Comma 5 2 2 2 7" xfId="3474"/>
    <cellStyle name="Comma 5 2 2 3" xfId="3475"/>
    <cellStyle name="Comma 5 2 2 3 2" xfId="3476"/>
    <cellStyle name="Comma 5 2 2 3 2 2" xfId="3477"/>
    <cellStyle name="Comma 5 2 2 3 3" xfId="3478"/>
    <cellStyle name="Comma 5 2 2 4" xfId="3479"/>
    <cellStyle name="Comma 5 2 2 4 2" xfId="3480"/>
    <cellStyle name="Comma 5 2 2 4 2 2" xfId="3481"/>
    <cellStyle name="Comma 5 2 2 4 3" xfId="3482"/>
    <cellStyle name="Comma 5 2 2 5" xfId="3483"/>
    <cellStyle name="Comma 5 2 2 5 2" xfId="3484"/>
    <cellStyle name="Comma 5 2 2 5 2 2" xfId="3485"/>
    <cellStyle name="Comma 5 2 2 5 3" xfId="3486"/>
    <cellStyle name="Comma 5 2 2 6" xfId="3487"/>
    <cellStyle name="Comma 5 2 2 6 2" xfId="3488"/>
    <cellStyle name="Comma 5 2 2 7" xfId="3489"/>
    <cellStyle name="Comma 5 2 2 8" xfId="3490"/>
    <cellStyle name="Comma 5 2 3" xfId="3491"/>
    <cellStyle name="Comma 5 2 3 2" xfId="3492"/>
    <cellStyle name="Comma 5 2 3 2 2" xfId="3493"/>
    <cellStyle name="Comma 5 2 3 2 2 2" xfId="3494"/>
    <cellStyle name="Comma 5 2 3 2 3" xfId="3495"/>
    <cellStyle name="Comma 5 2 3 3" xfId="3496"/>
    <cellStyle name="Comma 5 2 3 3 2" xfId="3497"/>
    <cellStyle name="Comma 5 2 3 3 2 2" xfId="3498"/>
    <cellStyle name="Comma 5 2 3 3 3" xfId="3499"/>
    <cellStyle name="Comma 5 2 3 4" xfId="3500"/>
    <cellStyle name="Comma 5 2 3 4 2" xfId="3501"/>
    <cellStyle name="Comma 5 2 3 4 2 2" xfId="3502"/>
    <cellStyle name="Comma 5 2 3 4 3" xfId="3503"/>
    <cellStyle name="Comma 5 2 3 5" xfId="3504"/>
    <cellStyle name="Comma 5 2 3 5 2" xfId="3505"/>
    <cellStyle name="Comma 5 2 3 5 2 2" xfId="3506"/>
    <cellStyle name="Comma 5 2 3 5 3" xfId="3507"/>
    <cellStyle name="Comma 5 2 3 6" xfId="3508"/>
    <cellStyle name="Comma 5 2 3 6 2" xfId="3509"/>
    <cellStyle name="Comma 5 2 3 7" xfId="3510"/>
    <cellStyle name="Comma 5 2 3 8" xfId="3511"/>
    <cellStyle name="Comma 5 2 4" xfId="3512"/>
    <cellStyle name="Comma 5 2 4 2" xfId="3513"/>
    <cellStyle name="Comma 5 2 4 2 2" xfId="3514"/>
    <cellStyle name="Comma 5 2 4 3" xfId="3515"/>
    <cellStyle name="Comma 5 2 5" xfId="3516"/>
    <cellStyle name="Comma 5 2 5 2" xfId="3517"/>
    <cellStyle name="Comma 5 2 5 2 2" xfId="3518"/>
    <cellStyle name="Comma 5 2 5 3" xfId="3519"/>
    <cellStyle name="Comma 5 2 6" xfId="3520"/>
    <cellStyle name="Comma 5 2 6 2" xfId="3521"/>
    <cellStyle name="Comma 5 2 6 2 2" xfId="3522"/>
    <cellStyle name="Comma 5 2 6 3" xfId="3523"/>
    <cellStyle name="Comma 5 2 7" xfId="3524"/>
    <cellStyle name="Comma 5 2 7 2" xfId="3525"/>
    <cellStyle name="Comma 5 2 7 2 2" xfId="3526"/>
    <cellStyle name="Comma 5 2 7 3" xfId="3527"/>
    <cellStyle name="Comma 5 2 8" xfId="3528"/>
    <cellStyle name="Comma 5 2 8 2" xfId="3529"/>
    <cellStyle name="Comma 5 2 9" xfId="3530"/>
    <cellStyle name="Comma 5 3" xfId="3531"/>
    <cellStyle name="Comma 5 3 2" xfId="3532"/>
    <cellStyle name="Comma 5 3 2 2" xfId="3533"/>
    <cellStyle name="Comma 5 3 2 2 2" xfId="3534"/>
    <cellStyle name="Comma 5 3 2 2 2 2" xfId="3535"/>
    <cellStyle name="Comma 5 3 2 2 3" xfId="3536"/>
    <cellStyle name="Comma 5 3 2 3" xfId="3537"/>
    <cellStyle name="Comma 5 3 2 3 2" xfId="3538"/>
    <cellStyle name="Comma 5 3 2 3 2 2" xfId="3539"/>
    <cellStyle name="Comma 5 3 2 3 3" xfId="3540"/>
    <cellStyle name="Comma 5 3 2 4" xfId="3541"/>
    <cellStyle name="Comma 5 3 2 4 2" xfId="3542"/>
    <cellStyle name="Comma 5 3 2 4 2 2" xfId="3543"/>
    <cellStyle name="Comma 5 3 2 4 3" xfId="3544"/>
    <cellStyle name="Comma 5 3 2 5" xfId="3545"/>
    <cellStyle name="Comma 5 3 2 5 2" xfId="3546"/>
    <cellStyle name="Comma 5 3 2 5 2 2" xfId="3547"/>
    <cellStyle name="Comma 5 3 2 5 3" xfId="3548"/>
    <cellStyle name="Comma 5 3 2 6" xfId="3549"/>
    <cellStyle name="Comma 5 3 2 6 2" xfId="3550"/>
    <cellStyle name="Comma 5 3 2 7" xfId="3551"/>
    <cellStyle name="Comma 5 3 2 8" xfId="3552"/>
    <cellStyle name="Comma 5 3 3" xfId="3553"/>
    <cellStyle name="Comma 5 3 3 2" xfId="3554"/>
    <cellStyle name="Comma 5 3 3 2 2" xfId="3555"/>
    <cellStyle name="Comma 5 3 3 3" xfId="3556"/>
    <cellStyle name="Comma 5 3 4" xfId="3557"/>
    <cellStyle name="Comma 5 3 4 2" xfId="3558"/>
    <cellStyle name="Comma 5 3 4 2 2" xfId="3559"/>
    <cellStyle name="Comma 5 3 4 3" xfId="3560"/>
    <cellStyle name="Comma 5 3 5" xfId="3561"/>
    <cellStyle name="Comma 5 3 5 2" xfId="3562"/>
    <cellStyle name="Comma 5 3 5 2 2" xfId="3563"/>
    <cellStyle name="Comma 5 3 5 3" xfId="3564"/>
    <cellStyle name="Comma 5 3 6" xfId="3565"/>
    <cellStyle name="Comma 5 3 6 2" xfId="3566"/>
    <cellStyle name="Comma 5 3 6 2 2" xfId="3567"/>
    <cellStyle name="Comma 5 3 6 3" xfId="3568"/>
    <cellStyle name="Comma 5 3 7" xfId="3569"/>
    <cellStyle name="Comma 5 3 7 2" xfId="3570"/>
    <cellStyle name="Comma 5 3 8" xfId="3571"/>
    <cellStyle name="Comma 5 3 9" xfId="3572"/>
    <cellStyle name="Comma 5 4" xfId="3573"/>
    <cellStyle name="Comma 5 4 2" xfId="3574"/>
    <cellStyle name="Comma 5 4 2 2" xfId="3575"/>
    <cellStyle name="Comma 5 4 2 2 2" xfId="3576"/>
    <cellStyle name="Comma 5 4 2 2 2 2" xfId="3577"/>
    <cellStyle name="Comma 5 4 2 2 3" xfId="3578"/>
    <cellStyle name="Comma 5 4 2 3" xfId="3579"/>
    <cellStyle name="Comma 5 4 2 3 2" xfId="3580"/>
    <cellStyle name="Comma 5 4 2 3 2 2" xfId="3581"/>
    <cellStyle name="Comma 5 4 2 3 3" xfId="3582"/>
    <cellStyle name="Comma 5 4 2 4" xfId="3583"/>
    <cellStyle name="Comma 5 4 2 4 2" xfId="3584"/>
    <cellStyle name="Comma 5 4 2 4 2 2" xfId="3585"/>
    <cellStyle name="Comma 5 4 2 4 3" xfId="3586"/>
    <cellStyle name="Comma 5 4 2 5" xfId="3587"/>
    <cellStyle name="Comma 5 4 2 5 2" xfId="3588"/>
    <cellStyle name="Comma 5 4 2 6" xfId="3589"/>
    <cellStyle name="Comma 5 4 2 7" xfId="3590"/>
    <cellStyle name="Comma 5 4 3" xfId="3591"/>
    <cellStyle name="Comma 5 4 3 2" xfId="3592"/>
    <cellStyle name="Comma 5 4 3 2 2" xfId="3593"/>
    <cellStyle name="Comma 5 4 3 3" xfId="3594"/>
    <cellStyle name="Comma 5 4 4" xfId="3595"/>
    <cellStyle name="Comma 5 4 4 2" xfId="3596"/>
    <cellStyle name="Comma 5 4 4 2 2" xfId="3597"/>
    <cellStyle name="Comma 5 4 4 3" xfId="3598"/>
    <cellStyle name="Comma 5 4 5" xfId="3599"/>
    <cellStyle name="Comma 5 4 5 2" xfId="3600"/>
    <cellStyle name="Comma 5 4 5 2 2" xfId="3601"/>
    <cellStyle name="Comma 5 4 5 3" xfId="3602"/>
    <cellStyle name="Comma 5 4 6" xfId="3603"/>
    <cellStyle name="Comma 5 4 6 2" xfId="3604"/>
    <cellStyle name="Comma 5 4 7" xfId="3605"/>
    <cellStyle name="Comma 5 4 8" xfId="3606"/>
    <cellStyle name="Comma 5 5" xfId="3607"/>
    <cellStyle name="Comma 5 5 2" xfId="3608"/>
    <cellStyle name="Comma 5 5 2 2" xfId="3609"/>
    <cellStyle name="Comma 5 5 2 2 2" xfId="3610"/>
    <cellStyle name="Comma 5 5 2 2 2 2" xfId="3611"/>
    <cellStyle name="Comma 5 5 2 2 3" xfId="3612"/>
    <cellStyle name="Comma 5 5 2 3" xfId="3613"/>
    <cellStyle name="Comma 5 5 2 3 2" xfId="3614"/>
    <cellStyle name="Comma 5 5 2 3 2 2" xfId="3615"/>
    <cellStyle name="Comma 5 5 2 3 3" xfId="3616"/>
    <cellStyle name="Comma 5 5 2 4" xfId="3617"/>
    <cellStyle name="Comma 5 5 2 4 2" xfId="3618"/>
    <cellStyle name="Comma 5 5 2 4 2 2" xfId="3619"/>
    <cellStyle name="Comma 5 5 2 4 3" xfId="3620"/>
    <cellStyle name="Comma 5 5 2 5" xfId="3621"/>
    <cellStyle name="Comma 5 5 2 5 2" xfId="3622"/>
    <cellStyle name="Comma 5 5 2 6" xfId="3623"/>
    <cellStyle name="Comma 5 5 2 7" xfId="3624"/>
    <cellStyle name="Comma 5 5 3" xfId="3625"/>
    <cellStyle name="Comma 5 5 3 2" xfId="3626"/>
    <cellStyle name="Comma 5 5 3 2 2" xfId="3627"/>
    <cellStyle name="Comma 5 5 3 3" xfId="3628"/>
    <cellStyle name="Comma 5 5 4" xfId="3629"/>
    <cellStyle name="Comma 5 5 4 2" xfId="3630"/>
    <cellStyle name="Comma 5 5 4 2 2" xfId="3631"/>
    <cellStyle name="Comma 5 5 4 3" xfId="3632"/>
    <cellStyle name="Comma 5 5 5" xfId="3633"/>
    <cellStyle name="Comma 5 5 5 2" xfId="3634"/>
    <cellStyle name="Comma 5 5 5 2 2" xfId="3635"/>
    <cellStyle name="Comma 5 5 5 3" xfId="3636"/>
    <cellStyle name="Comma 5 5 6" xfId="3637"/>
    <cellStyle name="Comma 5 5 6 2" xfId="3638"/>
    <cellStyle name="Comma 5 5 7" xfId="3639"/>
    <cellStyle name="Comma 5 5 8" xfId="3640"/>
    <cellStyle name="Comma 5 6" xfId="3641"/>
    <cellStyle name="Comma 5 6 2" xfId="3642"/>
    <cellStyle name="Comma 5 6 2 2" xfId="3643"/>
    <cellStyle name="Comma 5 6 3" xfId="3644"/>
    <cellStyle name="Comma 5 7" xfId="3645"/>
    <cellStyle name="Comma 5 7 2" xfId="3646"/>
    <cellStyle name="Comma 5 7 2 2" xfId="3647"/>
    <cellStyle name="Comma 5 7 3" xfId="3648"/>
    <cellStyle name="Comma 5 8" xfId="3649"/>
    <cellStyle name="Comma 5 8 2" xfId="3650"/>
    <cellStyle name="Comma 5 8 2 2" xfId="3651"/>
    <cellStyle name="Comma 5 8 3" xfId="3652"/>
    <cellStyle name="Comma 5 9" xfId="3653"/>
    <cellStyle name="Comma 5 9 2" xfId="3654"/>
    <cellStyle name="Comma 5 9 2 2" xfId="3655"/>
    <cellStyle name="Comma 5 9 3" xfId="3656"/>
    <cellStyle name="Comma 50" xfId="3657"/>
    <cellStyle name="Comma 50 2" xfId="3658"/>
    <cellStyle name="Comma 50 2 2" xfId="3659"/>
    <cellStyle name="Comma 50 3" xfId="3660"/>
    <cellStyle name="Comma 51" xfId="3661"/>
    <cellStyle name="Comma 51 2" xfId="3662"/>
    <cellStyle name="Comma 51 2 2" xfId="3663"/>
    <cellStyle name="Comma 51 3" xfId="3664"/>
    <cellStyle name="Comma 52" xfId="3665"/>
    <cellStyle name="Comma 52 2" xfId="3666"/>
    <cellStyle name="Comma 52 2 2" xfId="3667"/>
    <cellStyle name="Comma 52 3" xfId="3668"/>
    <cellStyle name="Comma 53" xfId="3669"/>
    <cellStyle name="Comma 53 2" xfId="3670"/>
    <cellStyle name="Comma 53 2 2" xfId="3671"/>
    <cellStyle name="Comma 53 3" xfId="3672"/>
    <cellStyle name="Comma 54" xfId="3673"/>
    <cellStyle name="Comma 54 2" xfId="3674"/>
    <cellStyle name="Comma 54 2 2" xfId="3675"/>
    <cellStyle name="Comma 54 3" xfId="3676"/>
    <cellStyle name="Comma 55" xfId="3677"/>
    <cellStyle name="Comma 55 2" xfId="3678"/>
    <cellStyle name="Comma 55 2 2" xfId="3679"/>
    <cellStyle name="Comma 55 3" xfId="3680"/>
    <cellStyle name="Comma 56" xfId="3681"/>
    <cellStyle name="Comma 56 2" xfId="3682"/>
    <cellStyle name="Comma 56 2 2" xfId="3683"/>
    <cellStyle name="Comma 56 3" xfId="3684"/>
    <cellStyle name="Comma 57" xfId="3685"/>
    <cellStyle name="Comma 57 2" xfId="3686"/>
    <cellStyle name="Comma 57 2 2" xfId="3687"/>
    <cellStyle name="Comma 57 3" xfId="3688"/>
    <cellStyle name="Comma 58" xfId="3689"/>
    <cellStyle name="Comma 58 2" xfId="3690"/>
    <cellStyle name="Comma 59" xfId="3691"/>
    <cellStyle name="Comma 59 2" xfId="3692"/>
    <cellStyle name="Comma 6" xfId="62"/>
    <cellStyle name="Comma 6 10" xfId="3693"/>
    <cellStyle name="Comma 6 10 2" xfId="3694"/>
    <cellStyle name="Comma 6 10 2 2" xfId="3695"/>
    <cellStyle name="Comma 6 10 3" xfId="3696"/>
    <cellStyle name="Comma 6 11" xfId="3697"/>
    <cellStyle name="Comma 6 11 2" xfId="3698"/>
    <cellStyle name="Comma 6 11 2 2" xfId="3699"/>
    <cellStyle name="Comma 6 11 3" xfId="3700"/>
    <cellStyle name="Comma 6 12" xfId="3701"/>
    <cellStyle name="Comma 6 12 2" xfId="3702"/>
    <cellStyle name="Comma 6 13" xfId="3703"/>
    <cellStyle name="Comma 6 14" xfId="3704"/>
    <cellStyle name="Comma 6 15" xfId="21633"/>
    <cellStyle name="Comma 6 15 2" xfId="26880"/>
    <cellStyle name="Comma 6 16" xfId="24301"/>
    <cellStyle name="Comma 6 2" xfId="63"/>
    <cellStyle name="Comma 6 2 10" xfId="3705"/>
    <cellStyle name="Comma 6 2 11" xfId="3706"/>
    <cellStyle name="Comma 6 2 12" xfId="21634"/>
    <cellStyle name="Comma 6 2 12 2" xfId="26881"/>
    <cellStyle name="Comma 6 2 13" xfId="21458"/>
    <cellStyle name="Comma 6 2 14" xfId="24302"/>
    <cellStyle name="Comma 6 2 2" xfId="64"/>
    <cellStyle name="Comma 6 2 2 10" xfId="21635"/>
    <cellStyle name="Comma 6 2 2 10 2" xfId="26882"/>
    <cellStyle name="Comma 6 2 2 11" xfId="21459"/>
    <cellStyle name="Comma 6 2 2 12" xfId="24303"/>
    <cellStyle name="Comma 6 2 2 2" xfId="224"/>
    <cellStyle name="Comma 6 2 2 2 10" xfId="21460"/>
    <cellStyle name="Comma 6 2 2 2 11" xfId="24448"/>
    <cellStyle name="Comma 6 2 2 2 2" xfId="3707"/>
    <cellStyle name="Comma 6 2 2 2 2 2" xfId="3708"/>
    <cellStyle name="Comma 6 2 2 2 2 2 2" xfId="3709"/>
    <cellStyle name="Comma 6 2 2 2 2 3" xfId="3710"/>
    <cellStyle name="Comma 6 2 2 2 3" xfId="3711"/>
    <cellStyle name="Comma 6 2 2 2 3 2" xfId="3712"/>
    <cellStyle name="Comma 6 2 2 2 3 2 2" xfId="3713"/>
    <cellStyle name="Comma 6 2 2 2 3 3" xfId="3714"/>
    <cellStyle name="Comma 6 2 2 2 4" xfId="3715"/>
    <cellStyle name="Comma 6 2 2 2 4 2" xfId="3716"/>
    <cellStyle name="Comma 6 2 2 2 4 2 2" xfId="3717"/>
    <cellStyle name="Comma 6 2 2 2 4 3" xfId="3718"/>
    <cellStyle name="Comma 6 2 2 2 5" xfId="3719"/>
    <cellStyle name="Comma 6 2 2 2 5 2" xfId="3720"/>
    <cellStyle name="Comma 6 2 2 2 5 2 2" xfId="3721"/>
    <cellStyle name="Comma 6 2 2 2 5 3" xfId="3722"/>
    <cellStyle name="Comma 6 2 2 2 6" xfId="3723"/>
    <cellStyle name="Comma 6 2 2 2 6 2" xfId="3724"/>
    <cellStyle name="Comma 6 2 2 2 7" xfId="3725"/>
    <cellStyle name="Comma 6 2 2 2 8" xfId="3726"/>
    <cellStyle name="Comma 6 2 2 2 9" xfId="21763"/>
    <cellStyle name="Comma 6 2 2 2 9 2" xfId="27000"/>
    <cellStyle name="Comma 6 2 2 3" xfId="3727"/>
    <cellStyle name="Comma 6 2 2 3 2" xfId="3728"/>
    <cellStyle name="Comma 6 2 2 3 2 2" xfId="3729"/>
    <cellStyle name="Comma 6 2 2 3 3" xfId="3730"/>
    <cellStyle name="Comma 6 2 2 4" xfId="3731"/>
    <cellStyle name="Comma 6 2 2 4 2" xfId="3732"/>
    <cellStyle name="Comma 6 2 2 4 2 2" xfId="3733"/>
    <cellStyle name="Comma 6 2 2 4 3" xfId="3734"/>
    <cellStyle name="Comma 6 2 2 5" xfId="3735"/>
    <cellStyle name="Comma 6 2 2 5 2" xfId="3736"/>
    <cellStyle name="Comma 6 2 2 5 2 2" xfId="3737"/>
    <cellStyle name="Comma 6 2 2 5 3" xfId="3738"/>
    <cellStyle name="Comma 6 2 2 6" xfId="3739"/>
    <cellStyle name="Comma 6 2 2 6 2" xfId="3740"/>
    <cellStyle name="Comma 6 2 2 6 2 2" xfId="3741"/>
    <cellStyle name="Comma 6 2 2 6 3" xfId="3742"/>
    <cellStyle name="Comma 6 2 2 7" xfId="3743"/>
    <cellStyle name="Comma 6 2 2 7 2" xfId="3744"/>
    <cellStyle name="Comma 6 2 2 8" xfId="3745"/>
    <cellStyle name="Comma 6 2 2 9" xfId="3746"/>
    <cellStyle name="Comma 6 2 3" xfId="65"/>
    <cellStyle name="Comma 6 2 3 10" xfId="21461"/>
    <cellStyle name="Comma 6 2 3 11" xfId="24304"/>
    <cellStyle name="Comma 6 2 3 2" xfId="225"/>
    <cellStyle name="Comma 6 2 3 2 2" xfId="3747"/>
    <cellStyle name="Comma 6 2 3 2 2 2" xfId="3748"/>
    <cellStyle name="Comma 6 2 3 2 3" xfId="3749"/>
    <cellStyle name="Comma 6 2 3 2 4" xfId="21764"/>
    <cellStyle name="Comma 6 2 3 2 4 2" xfId="27001"/>
    <cellStyle name="Comma 6 2 3 2 5" xfId="24449"/>
    <cellStyle name="Comma 6 2 3 3" xfId="3750"/>
    <cellStyle name="Comma 6 2 3 3 2" xfId="3751"/>
    <cellStyle name="Comma 6 2 3 3 2 2" xfId="3752"/>
    <cellStyle name="Comma 6 2 3 3 3" xfId="3753"/>
    <cellStyle name="Comma 6 2 3 4" xfId="3754"/>
    <cellStyle name="Comma 6 2 3 4 2" xfId="3755"/>
    <cellStyle name="Comma 6 2 3 4 2 2" xfId="3756"/>
    <cellStyle name="Comma 6 2 3 4 3" xfId="3757"/>
    <cellStyle name="Comma 6 2 3 5" xfId="3758"/>
    <cellStyle name="Comma 6 2 3 5 2" xfId="3759"/>
    <cellStyle name="Comma 6 2 3 5 2 2" xfId="3760"/>
    <cellStyle name="Comma 6 2 3 5 3" xfId="3761"/>
    <cellStyle name="Comma 6 2 3 6" xfId="3762"/>
    <cellStyle name="Comma 6 2 3 6 2" xfId="3763"/>
    <cellStyle name="Comma 6 2 3 7" xfId="3764"/>
    <cellStyle name="Comma 6 2 3 8" xfId="3765"/>
    <cellStyle name="Comma 6 2 3 9" xfId="21636"/>
    <cellStyle name="Comma 6 2 3 9 2" xfId="26883"/>
    <cellStyle name="Comma 6 2 4" xfId="223"/>
    <cellStyle name="Comma 6 2 4 2" xfId="3766"/>
    <cellStyle name="Comma 6 2 4 2 2" xfId="3767"/>
    <cellStyle name="Comma 6 2 4 3" xfId="3768"/>
    <cellStyle name="Comma 6 2 4 4" xfId="21762"/>
    <cellStyle name="Comma 6 2 4 4 2" xfId="26999"/>
    <cellStyle name="Comma 6 2 4 5" xfId="24447"/>
    <cellStyle name="Comma 6 2 5" xfId="3769"/>
    <cellStyle name="Comma 6 2 5 2" xfId="3770"/>
    <cellStyle name="Comma 6 2 5 2 2" xfId="3771"/>
    <cellStyle name="Comma 6 2 5 3" xfId="3772"/>
    <cellStyle name="Comma 6 2 6" xfId="3773"/>
    <cellStyle name="Comma 6 2 6 2" xfId="3774"/>
    <cellStyle name="Comma 6 2 6 2 2" xfId="3775"/>
    <cellStyle name="Comma 6 2 6 3" xfId="3776"/>
    <cellStyle name="Comma 6 2 7" xfId="3777"/>
    <cellStyle name="Comma 6 2 7 2" xfId="3778"/>
    <cellStyle name="Comma 6 2 7 2 2" xfId="3779"/>
    <cellStyle name="Comma 6 2 7 3" xfId="3780"/>
    <cellStyle name="Comma 6 2 8" xfId="3781"/>
    <cellStyle name="Comma 6 2 8 2" xfId="3782"/>
    <cellStyle name="Comma 6 2 8 2 2" xfId="3783"/>
    <cellStyle name="Comma 6 2 8 3" xfId="3784"/>
    <cellStyle name="Comma 6 2 9" xfId="3785"/>
    <cellStyle name="Comma 6 2 9 2" xfId="3786"/>
    <cellStyle name="Comma 6 3" xfId="66"/>
    <cellStyle name="Comma 6 3 10" xfId="3787"/>
    <cellStyle name="Comma 6 3 11" xfId="3788"/>
    <cellStyle name="Comma 6 3 12" xfId="21637"/>
    <cellStyle name="Comma 6 3 12 2" xfId="26884"/>
    <cellStyle name="Comma 6 3 13" xfId="24305"/>
    <cellStyle name="Comma 6 3 2" xfId="226"/>
    <cellStyle name="Comma 6 3 2 2" xfId="3789"/>
    <cellStyle name="Comma 6 3 2 2 2" xfId="3790"/>
    <cellStyle name="Comma 6 3 2 2 2 2" xfId="3791"/>
    <cellStyle name="Comma 6 3 2 2 2 2 2" xfId="3792"/>
    <cellStyle name="Comma 6 3 2 2 2 3" xfId="3793"/>
    <cellStyle name="Comma 6 3 2 2 3" xfId="3794"/>
    <cellStyle name="Comma 6 3 2 2 3 2" xfId="3795"/>
    <cellStyle name="Comma 6 3 2 2 3 2 2" xfId="3796"/>
    <cellStyle name="Comma 6 3 2 2 3 3" xfId="3797"/>
    <cellStyle name="Comma 6 3 2 2 4" xfId="3798"/>
    <cellStyle name="Comma 6 3 2 2 4 2" xfId="3799"/>
    <cellStyle name="Comma 6 3 2 2 5" xfId="3800"/>
    <cellStyle name="Comma 6 3 2 3" xfId="3801"/>
    <cellStyle name="Comma 6 3 2 3 2" xfId="3802"/>
    <cellStyle name="Comma 6 3 2 3 2 2" xfId="3803"/>
    <cellStyle name="Comma 6 3 2 3 3" xfId="3804"/>
    <cellStyle name="Comma 6 3 2 4" xfId="3805"/>
    <cellStyle name="Comma 6 3 2 4 2" xfId="3806"/>
    <cellStyle name="Comma 6 3 2 4 2 2" xfId="3807"/>
    <cellStyle name="Comma 6 3 2 4 3" xfId="3808"/>
    <cellStyle name="Comma 6 3 2 5" xfId="3809"/>
    <cellStyle name="Comma 6 3 2 5 2" xfId="3810"/>
    <cellStyle name="Comma 6 3 2 5 2 2" xfId="3811"/>
    <cellStyle name="Comma 6 3 2 5 3" xfId="3812"/>
    <cellStyle name="Comma 6 3 2 6" xfId="3813"/>
    <cellStyle name="Comma 6 3 2 6 2" xfId="3814"/>
    <cellStyle name="Comma 6 3 2 7" xfId="3815"/>
    <cellStyle name="Comma 6 3 2 8" xfId="21765"/>
    <cellStyle name="Comma 6 3 2 8 2" xfId="27002"/>
    <cellStyle name="Comma 6 3 2 9" xfId="24450"/>
    <cellStyle name="Comma 6 3 3" xfId="3816"/>
    <cellStyle name="Comma 6 3 3 2" xfId="3817"/>
    <cellStyle name="Comma 6 3 3 2 2" xfId="3818"/>
    <cellStyle name="Comma 6 3 3 2 2 2" xfId="3819"/>
    <cellStyle name="Comma 6 3 3 2 3" xfId="3820"/>
    <cellStyle name="Comma 6 3 3 3" xfId="3821"/>
    <cellStyle name="Comma 6 3 3 3 2" xfId="3822"/>
    <cellStyle name="Comma 6 3 3 3 2 2" xfId="3823"/>
    <cellStyle name="Comma 6 3 3 3 3" xfId="3824"/>
    <cellStyle name="Comma 6 3 3 4" xfId="3825"/>
    <cellStyle name="Comma 6 3 3 4 2" xfId="3826"/>
    <cellStyle name="Comma 6 3 3 4 2 2" xfId="3827"/>
    <cellStyle name="Comma 6 3 3 4 3" xfId="3828"/>
    <cellStyle name="Comma 6 3 3 5" xfId="3829"/>
    <cellStyle name="Comma 6 3 3 5 2" xfId="3830"/>
    <cellStyle name="Comma 6 3 3 5 2 2" xfId="3831"/>
    <cellStyle name="Comma 6 3 3 5 3" xfId="3832"/>
    <cellStyle name="Comma 6 3 3 6" xfId="3833"/>
    <cellStyle name="Comma 6 3 3 6 2" xfId="3834"/>
    <cellStyle name="Comma 6 3 3 7" xfId="3835"/>
    <cellStyle name="Comma 6 3 3 8" xfId="3836"/>
    <cellStyle name="Comma 6 3 4" xfId="3837"/>
    <cellStyle name="Comma 6 3 4 2" xfId="3838"/>
    <cellStyle name="Comma 6 3 4 2 2" xfId="3839"/>
    <cellStyle name="Comma 6 3 4 3" xfId="3840"/>
    <cellStyle name="Comma 6 3 5" xfId="3841"/>
    <cellStyle name="Comma 6 3 5 2" xfId="3842"/>
    <cellStyle name="Comma 6 3 5 2 2" xfId="3843"/>
    <cellStyle name="Comma 6 3 5 3" xfId="3844"/>
    <cellStyle name="Comma 6 3 6" xfId="3845"/>
    <cellStyle name="Comma 6 3 6 2" xfId="3846"/>
    <cellStyle name="Comma 6 3 6 2 2" xfId="3847"/>
    <cellStyle name="Comma 6 3 6 3" xfId="3848"/>
    <cellStyle name="Comma 6 3 7" xfId="3849"/>
    <cellStyle name="Comma 6 3 7 2" xfId="3850"/>
    <cellStyle name="Comma 6 3 7 2 2" xfId="3851"/>
    <cellStyle name="Comma 6 3 7 3" xfId="3852"/>
    <cellStyle name="Comma 6 3 8" xfId="3853"/>
    <cellStyle name="Comma 6 3 8 2" xfId="3854"/>
    <cellStyle name="Comma 6 3 8 2 2" xfId="3855"/>
    <cellStyle name="Comma 6 3 8 3" xfId="3856"/>
    <cellStyle name="Comma 6 3 9" xfId="3857"/>
    <cellStyle name="Comma 6 3 9 2" xfId="3858"/>
    <cellStyle name="Comma 6 4" xfId="67"/>
    <cellStyle name="Comma 6 4 10" xfId="21638"/>
    <cellStyle name="Comma 6 4 10 2" xfId="26885"/>
    <cellStyle name="Comma 6 4 11" xfId="21462"/>
    <cellStyle name="Comma 6 4 12" xfId="24306"/>
    <cellStyle name="Comma 6 4 2" xfId="227"/>
    <cellStyle name="Comma 6 4 2 10" xfId="21463"/>
    <cellStyle name="Comma 6 4 2 11" xfId="24451"/>
    <cellStyle name="Comma 6 4 2 2" xfId="3859"/>
    <cellStyle name="Comma 6 4 2 2 2" xfId="3860"/>
    <cellStyle name="Comma 6 4 2 2 2 2" xfId="3861"/>
    <cellStyle name="Comma 6 4 2 2 3" xfId="3862"/>
    <cellStyle name="Comma 6 4 2 3" xfId="3863"/>
    <cellStyle name="Comma 6 4 2 3 2" xfId="3864"/>
    <cellStyle name="Comma 6 4 2 3 2 2" xfId="3865"/>
    <cellStyle name="Comma 6 4 2 3 3" xfId="3866"/>
    <cellStyle name="Comma 6 4 2 4" xfId="3867"/>
    <cellStyle name="Comma 6 4 2 4 2" xfId="3868"/>
    <cellStyle name="Comma 6 4 2 4 2 2" xfId="3869"/>
    <cellStyle name="Comma 6 4 2 4 3" xfId="3870"/>
    <cellStyle name="Comma 6 4 2 5" xfId="3871"/>
    <cellStyle name="Comma 6 4 2 5 2" xfId="3872"/>
    <cellStyle name="Comma 6 4 2 5 2 2" xfId="3873"/>
    <cellStyle name="Comma 6 4 2 5 3" xfId="3874"/>
    <cellStyle name="Comma 6 4 2 6" xfId="3875"/>
    <cellStyle name="Comma 6 4 2 6 2" xfId="3876"/>
    <cellStyle name="Comma 6 4 2 7" xfId="3877"/>
    <cellStyle name="Comma 6 4 2 8" xfId="3878"/>
    <cellStyle name="Comma 6 4 2 9" xfId="21766"/>
    <cellStyle name="Comma 6 4 2 9 2" xfId="27003"/>
    <cellStyle name="Comma 6 4 3" xfId="3879"/>
    <cellStyle name="Comma 6 4 3 2" xfId="3880"/>
    <cellStyle name="Comma 6 4 3 2 2" xfId="3881"/>
    <cellStyle name="Comma 6 4 3 3" xfId="3882"/>
    <cellStyle name="Comma 6 4 4" xfId="3883"/>
    <cellStyle name="Comma 6 4 4 2" xfId="3884"/>
    <cellStyle name="Comma 6 4 4 2 2" xfId="3885"/>
    <cellStyle name="Comma 6 4 4 3" xfId="3886"/>
    <cellStyle name="Comma 6 4 5" xfId="3887"/>
    <cellStyle name="Comma 6 4 5 2" xfId="3888"/>
    <cellStyle name="Comma 6 4 5 2 2" xfId="3889"/>
    <cellStyle name="Comma 6 4 5 3" xfId="3890"/>
    <cellStyle name="Comma 6 4 6" xfId="3891"/>
    <cellStyle name="Comma 6 4 6 2" xfId="3892"/>
    <cellStyle name="Comma 6 4 6 2 2" xfId="3893"/>
    <cellStyle name="Comma 6 4 6 3" xfId="3894"/>
    <cellStyle name="Comma 6 4 7" xfId="3895"/>
    <cellStyle name="Comma 6 4 7 2" xfId="3896"/>
    <cellStyle name="Comma 6 4 8" xfId="3897"/>
    <cellStyle name="Comma 6 4 9" xfId="3898"/>
    <cellStyle name="Comma 6 5" xfId="222"/>
    <cellStyle name="Comma 6 5 2" xfId="3899"/>
    <cellStyle name="Comma 6 5 2 2" xfId="3900"/>
    <cellStyle name="Comma 6 5 2 2 2" xfId="3901"/>
    <cellStyle name="Comma 6 5 2 2 2 2" xfId="3902"/>
    <cellStyle name="Comma 6 5 2 2 3" xfId="3903"/>
    <cellStyle name="Comma 6 5 2 3" xfId="3904"/>
    <cellStyle name="Comma 6 5 2 3 2" xfId="3905"/>
    <cellStyle name="Comma 6 5 2 3 2 2" xfId="3906"/>
    <cellStyle name="Comma 6 5 2 3 3" xfId="3907"/>
    <cellStyle name="Comma 6 5 2 4" xfId="3908"/>
    <cellStyle name="Comma 6 5 2 4 2" xfId="3909"/>
    <cellStyle name="Comma 6 5 2 5" xfId="3910"/>
    <cellStyle name="Comma 6 5 3" xfId="3911"/>
    <cellStyle name="Comma 6 5 3 2" xfId="3912"/>
    <cellStyle name="Comma 6 5 3 2 2" xfId="3913"/>
    <cellStyle name="Comma 6 5 3 3" xfId="3914"/>
    <cellStyle name="Comma 6 5 4" xfId="3915"/>
    <cellStyle name="Comma 6 5 4 2" xfId="3916"/>
    <cellStyle name="Comma 6 5 4 2 2" xfId="3917"/>
    <cellStyle name="Comma 6 5 4 3" xfId="3918"/>
    <cellStyle name="Comma 6 5 5" xfId="3919"/>
    <cellStyle name="Comma 6 5 5 2" xfId="3920"/>
    <cellStyle name="Comma 6 5 6" xfId="3921"/>
    <cellStyle name="Comma 6 5 7" xfId="21761"/>
    <cellStyle name="Comma 6 5 7 2" xfId="26998"/>
    <cellStyle name="Comma 6 5 8" xfId="24446"/>
    <cellStyle name="Comma 6 6" xfId="3922"/>
    <cellStyle name="Comma 6 6 2" xfId="3923"/>
    <cellStyle name="Comma 6 6 2 2" xfId="3924"/>
    <cellStyle name="Comma 6 6 2 2 2" xfId="3925"/>
    <cellStyle name="Comma 6 6 2 2 2 2" xfId="3926"/>
    <cellStyle name="Comma 6 6 2 2 3" xfId="3927"/>
    <cellStyle name="Comma 6 6 2 3" xfId="3928"/>
    <cellStyle name="Comma 6 6 2 3 2" xfId="3929"/>
    <cellStyle name="Comma 6 6 2 3 2 2" xfId="3930"/>
    <cellStyle name="Comma 6 6 2 3 3" xfId="3931"/>
    <cellStyle name="Comma 6 6 2 4" xfId="3932"/>
    <cellStyle name="Comma 6 6 2 4 2" xfId="3933"/>
    <cellStyle name="Comma 6 6 2 5" xfId="3934"/>
    <cellStyle name="Comma 6 6 3" xfId="3935"/>
    <cellStyle name="Comma 6 6 3 2" xfId="3936"/>
    <cellStyle name="Comma 6 6 3 2 2" xfId="3937"/>
    <cellStyle name="Comma 6 6 3 3" xfId="3938"/>
    <cellStyle name="Comma 6 6 4" xfId="3939"/>
    <cellStyle name="Comma 6 6 4 2" xfId="3940"/>
    <cellStyle name="Comma 6 6 4 2 2" xfId="3941"/>
    <cellStyle name="Comma 6 6 4 3" xfId="3942"/>
    <cellStyle name="Comma 6 6 5" xfId="3943"/>
    <cellStyle name="Comma 6 6 5 2" xfId="3944"/>
    <cellStyle name="Comma 6 6 5 2 2" xfId="3945"/>
    <cellStyle name="Comma 6 6 5 3" xfId="3946"/>
    <cellStyle name="Comma 6 6 6" xfId="3947"/>
    <cellStyle name="Comma 6 6 6 2" xfId="3948"/>
    <cellStyle name="Comma 6 6 6 2 2" xfId="3949"/>
    <cellStyle name="Comma 6 6 6 3" xfId="3950"/>
    <cellStyle name="Comma 6 6 7" xfId="3951"/>
    <cellStyle name="Comma 6 6 7 2" xfId="3952"/>
    <cellStyle name="Comma 6 6 8" xfId="3953"/>
    <cellStyle name="Comma 6 6 9" xfId="3954"/>
    <cellStyle name="Comma 6 7" xfId="3955"/>
    <cellStyle name="Comma 6 7 2" xfId="3956"/>
    <cellStyle name="Comma 6 7 2 2" xfId="3957"/>
    <cellStyle name="Comma 6 7 3" xfId="3958"/>
    <cellStyle name="Comma 6 8" xfId="3959"/>
    <cellStyle name="Comma 6 8 2" xfId="3960"/>
    <cellStyle name="Comma 6 8 2 2" xfId="3961"/>
    <cellStyle name="Comma 6 8 3" xfId="3962"/>
    <cellStyle name="Comma 6 9" xfId="3963"/>
    <cellStyle name="Comma 6 9 2" xfId="3964"/>
    <cellStyle name="Comma 6 9 2 2" xfId="3965"/>
    <cellStyle name="Comma 6 9 3" xfId="3966"/>
    <cellStyle name="Comma 60" xfId="3967"/>
    <cellStyle name="Comma 61" xfId="3968"/>
    <cellStyle name="Comma 62" xfId="3969"/>
    <cellStyle name="Comma 63" xfId="3970"/>
    <cellStyle name="Comma 64" xfId="3971"/>
    <cellStyle name="Comma 65" xfId="3972"/>
    <cellStyle name="Comma 66" xfId="3973"/>
    <cellStyle name="Comma 67" xfId="3974"/>
    <cellStyle name="Comma 68" xfId="21716"/>
    <cellStyle name="Comma 68 2" xfId="26954"/>
    <cellStyle name="Comma 69" xfId="24062"/>
    <cellStyle name="Comma 69 2" xfId="29292"/>
    <cellStyle name="Comma 7" xfId="68"/>
    <cellStyle name="Comma 7 10" xfId="3975"/>
    <cellStyle name="Comma 7 11" xfId="3976"/>
    <cellStyle name="Comma 7 12" xfId="21639"/>
    <cellStyle name="Comma 7 12 2" xfId="26886"/>
    <cellStyle name="Comma 7 13" xfId="21464"/>
    <cellStyle name="Comma 7 14" xfId="24307"/>
    <cellStyle name="Comma 7 2" xfId="69"/>
    <cellStyle name="Comma 7 2 10" xfId="21640"/>
    <cellStyle name="Comma 7 2 10 2" xfId="26887"/>
    <cellStyle name="Comma 7 2 11" xfId="21465"/>
    <cellStyle name="Comma 7 2 12" xfId="24308"/>
    <cellStyle name="Comma 7 2 2" xfId="229"/>
    <cellStyle name="Comma 7 2 2 10" xfId="21466"/>
    <cellStyle name="Comma 7 2 2 11" xfId="24453"/>
    <cellStyle name="Comma 7 2 2 2" xfId="3977"/>
    <cellStyle name="Comma 7 2 2 2 2" xfId="3978"/>
    <cellStyle name="Comma 7 2 2 2 2 2" xfId="3979"/>
    <cellStyle name="Comma 7 2 2 2 3" xfId="3980"/>
    <cellStyle name="Comma 7 2 2 3" xfId="3981"/>
    <cellStyle name="Comma 7 2 2 3 2" xfId="3982"/>
    <cellStyle name="Comma 7 2 2 3 2 2" xfId="3983"/>
    <cellStyle name="Comma 7 2 2 3 3" xfId="3984"/>
    <cellStyle name="Comma 7 2 2 4" xfId="3985"/>
    <cellStyle name="Comma 7 2 2 4 2" xfId="3986"/>
    <cellStyle name="Comma 7 2 2 4 2 2" xfId="3987"/>
    <cellStyle name="Comma 7 2 2 4 3" xfId="3988"/>
    <cellStyle name="Comma 7 2 2 5" xfId="3989"/>
    <cellStyle name="Comma 7 2 2 5 2" xfId="3990"/>
    <cellStyle name="Comma 7 2 2 5 2 2" xfId="3991"/>
    <cellStyle name="Comma 7 2 2 5 3" xfId="3992"/>
    <cellStyle name="Comma 7 2 2 6" xfId="3993"/>
    <cellStyle name="Comma 7 2 2 6 2" xfId="3994"/>
    <cellStyle name="Comma 7 2 2 7" xfId="3995"/>
    <cellStyle name="Comma 7 2 2 8" xfId="3996"/>
    <cellStyle name="Comma 7 2 2 9" xfId="21768"/>
    <cellStyle name="Comma 7 2 2 9 2" xfId="27005"/>
    <cellStyle name="Comma 7 2 3" xfId="3997"/>
    <cellStyle name="Comma 7 2 3 2" xfId="3998"/>
    <cellStyle name="Comma 7 2 3 2 2" xfId="3999"/>
    <cellStyle name="Comma 7 2 3 3" xfId="4000"/>
    <cellStyle name="Comma 7 2 4" xfId="4001"/>
    <cellStyle name="Comma 7 2 4 2" xfId="4002"/>
    <cellStyle name="Comma 7 2 4 2 2" xfId="4003"/>
    <cellStyle name="Comma 7 2 4 3" xfId="4004"/>
    <cellStyle name="Comma 7 2 5" xfId="4005"/>
    <cellStyle name="Comma 7 2 5 2" xfId="4006"/>
    <cellStyle name="Comma 7 2 5 2 2" xfId="4007"/>
    <cellStyle name="Comma 7 2 5 3" xfId="4008"/>
    <cellStyle name="Comma 7 2 6" xfId="4009"/>
    <cellStyle name="Comma 7 2 6 2" xfId="4010"/>
    <cellStyle name="Comma 7 2 6 2 2" xfId="4011"/>
    <cellStyle name="Comma 7 2 6 3" xfId="4012"/>
    <cellStyle name="Comma 7 2 7" xfId="4013"/>
    <cellStyle name="Comma 7 2 7 2" xfId="4014"/>
    <cellStyle name="Comma 7 2 8" xfId="4015"/>
    <cellStyle name="Comma 7 2 9" xfId="4016"/>
    <cellStyle name="Comma 7 3" xfId="70"/>
    <cellStyle name="Comma 7 3 10" xfId="21467"/>
    <cellStyle name="Comma 7 3 11" xfId="24309"/>
    <cellStyle name="Comma 7 3 2" xfId="230"/>
    <cellStyle name="Comma 7 3 2 2" xfId="4017"/>
    <cellStyle name="Comma 7 3 2 2 2" xfId="4018"/>
    <cellStyle name="Comma 7 3 2 3" xfId="4019"/>
    <cellStyle name="Comma 7 3 2 4" xfId="21769"/>
    <cellStyle name="Comma 7 3 2 4 2" xfId="27006"/>
    <cellStyle name="Comma 7 3 2 5" xfId="24454"/>
    <cellStyle name="Comma 7 3 3" xfId="4020"/>
    <cellStyle name="Comma 7 3 3 2" xfId="4021"/>
    <cellStyle name="Comma 7 3 3 2 2" xfId="4022"/>
    <cellStyle name="Comma 7 3 3 3" xfId="4023"/>
    <cellStyle name="Comma 7 3 4" xfId="4024"/>
    <cellStyle name="Comma 7 3 4 2" xfId="4025"/>
    <cellStyle name="Comma 7 3 4 2 2" xfId="4026"/>
    <cellStyle name="Comma 7 3 4 3" xfId="4027"/>
    <cellStyle name="Comma 7 3 5" xfId="4028"/>
    <cellStyle name="Comma 7 3 5 2" xfId="4029"/>
    <cellStyle name="Comma 7 3 5 2 2" xfId="4030"/>
    <cellStyle name="Comma 7 3 5 3" xfId="4031"/>
    <cellStyle name="Comma 7 3 6" xfId="4032"/>
    <cellStyle name="Comma 7 3 6 2" xfId="4033"/>
    <cellStyle name="Comma 7 3 7" xfId="4034"/>
    <cellStyle name="Comma 7 3 8" xfId="4035"/>
    <cellStyle name="Comma 7 3 9" xfId="21641"/>
    <cellStyle name="Comma 7 3 9 2" xfId="26888"/>
    <cellStyle name="Comma 7 4" xfId="228"/>
    <cellStyle name="Comma 7 4 2" xfId="4036"/>
    <cellStyle name="Comma 7 4 2 2" xfId="4037"/>
    <cellStyle name="Comma 7 4 3" xfId="4038"/>
    <cellStyle name="Comma 7 4 4" xfId="21767"/>
    <cellStyle name="Comma 7 4 4 2" xfId="27004"/>
    <cellStyle name="Comma 7 4 5" xfId="24452"/>
    <cellStyle name="Comma 7 5" xfId="4039"/>
    <cellStyle name="Comma 7 5 2" xfId="4040"/>
    <cellStyle name="Comma 7 5 2 2" xfId="4041"/>
    <cellStyle name="Comma 7 5 3" xfId="4042"/>
    <cellStyle name="Comma 7 6" xfId="4043"/>
    <cellStyle name="Comma 7 6 2" xfId="4044"/>
    <cellStyle name="Comma 7 6 2 2" xfId="4045"/>
    <cellStyle name="Comma 7 6 3" xfId="4046"/>
    <cellStyle name="Comma 7 7" xfId="4047"/>
    <cellStyle name="Comma 7 7 2" xfId="4048"/>
    <cellStyle name="Comma 7 7 2 2" xfId="4049"/>
    <cellStyle name="Comma 7 7 3" xfId="4050"/>
    <cellStyle name="Comma 7 8" xfId="4051"/>
    <cellStyle name="Comma 7 8 2" xfId="4052"/>
    <cellStyle name="Comma 7 8 2 2" xfId="4053"/>
    <cellStyle name="Comma 7 8 3" xfId="4054"/>
    <cellStyle name="Comma 7 9" xfId="4055"/>
    <cellStyle name="Comma 7 9 2" xfId="4056"/>
    <cellStyle name="Comma 70" xfId="21430"/>
    <cellStyle name="Comma 71" xfId="21485"/>
    <cellStyle name="Comma 72" xfId="21496"/>
    <cellStyle name="Comma 73" xfId="21506"/>
    <cellStyle name="Comma 74" xfId="24085"/>
    <cellStyle name="Comma 75" xfId="24087"/>
    <cellStyle name="Comma 76" xfId="24091"/>
    <cellStyle name="Comma 77" xfId="24182"/>
    <cellStyle name="Comma 78" xfId="24211"/>
    <cellStyle name="Comma 79" xfId="24167"/>
    <cellStyle name="Comma 8" xfId="71"/>
    <cellStyle name="Comma 8 10" xfId="4057"/>
    <cellStyle name="Comma 8 11" xfId="4058"/>
    <cellStyle name="Comma 8 12" xfId="21642"/>
    <cellStyle name="Comma 8 12 2" xfId="26889"/>
    <cellStyle name="Comma 8 13" xfId="24310"/>
    <cellStyle name="Comma 8 2" xfId="231"/>
    <cellStyle name="Comma 8 2 10" xfId="4059"/>
    <cellStyle name="Comma 8 2 11" xfId="21770"/>
    <cellStyle name="Comma 8 2 11 2" xfId="27007"/>
    <cellStyle name="Comma 8 2 12" xfId="24455"/>
    <cellStyle name="Comma 8 2 2" xfId="4060"/>
    <cellStyle name="Comma 8 2 2 2" xfId="4061"/>
    <cellStyle name="Comma 8 2 2 2 2" xfId="4062"/>
    <cellStyle name="Comma 8 2 2 2 2 2" xfId="4063"/>
    <cellStyle name="Comma 8 2 2 2 3" xfId="4064"/>
    <cellStyle name="Comma 8 2 2 3" xfId="4065"/>
    <cellStyle name="Comma 8 2 2 3 2" xfId="4066"/>
    <cellStyle name="Comma 8 2 2 3 2 2" xfId="4067"/>
    <cellStyle name="Comma 8 2 2 3 3" xfId="4068"/>
    <cellStyle name="Comma 8 2 2 4" xfId="4069"/>
    <cellStyle name="Comma 8 2 2 4 2" xfId="4070"/>
    <cellStyle name="Comma 8 2 2 4 2 2" xfId="4071"/>
    <cellStyle name="Comma 8 2 2 4 3" xfId="4072"/>
    <cellStyle name="Comma 8 2 2 5" xfId="4073"/>
    <cellStyle name="Comma 8 2 2 5 2" xfId="4074"/>
    <cellStyle name="Comma 8 2 2 5 2 2" xfId="4075"/>
    <cellStyle name="Comma 8 2 2 5 3" xfId="4076"/>
    <cellStyle name="Comma 8 2 2 6" xfId="4077"/>
    <cellStyle name="Comma 8 2 2 6 2" xfId="4078"/>
    <cellStyle name="Comma 8 2 2 7" xfId="4079"/>
    <cellStyle name="Comma 8 2 2 8" xfId="4080"/>
    <cellStyle name="Comma 8 2 3" xfId="4081"/>
    <cellStyle name="Comma 8 2 3 2" xfId="4082"/>
    <cellStyle name="Comma 8 2 3 2 2" xfId="4083"/>
    <cellStyle name="Comma 8 2 3 3" xfId="4084"/>
    <cellStyle name="Comma 8 2 4" xfId="4085"/>
    <cellStyle name="Comma 8 2 4 2" xfId="4086"/>
    <cellStyle name="Comma 8 2 4 2 2" xfId="4087"/>
    <cellStyle name="Comma 8 2 4 3" xfId="4088"/>
    <cellStyle name="Comma 8 2 5" xfId="4089"/>
    <cellStyle name="Comma 8 2 5 2" xfId="4090"/>
    <cellStyle name="Comma 8 2 5 2 2" xfId="4091"/>
    <cellStyle name="Comma 8 2 5 3" xfId="4092"/>
    <cellStyle name="Comma 8 2 6" xfId="4093"/>
    <cellStyle name="Comma 8 2 6 2" xfId="4094"/>
    <cellStyle name="Comma 8 2 6 2 2" xfId="4095"/>
    <cellStyle name="Comma 8 2 6 3" xfId="4096"/>
    <cellStyle name="Comma 8 2 7" xfId="4097"/>
    <cellStyle name="Comma 8 2 7 2" xfId="4098"/>
    <cellStyle name="Comma 8 2 7 2 2" xfId="4099"/>
    <cellStyle name="Comma 8 2 7 3" xfId="4100"/>
    <cellStyle name="Comma 8 2 8" xfId="4101"/>
    <cellStyle name="Comma 8 2 8 2" xfId="4102"/>
    <cellStyle name="Comma 8 2 9" xfId="4103"/>
    <cellStyle name="Comma 8 3" xfId="4104"/>
    <cellStyle name="Comma 8 3 2" xfId="4105"/>
    <cellStyle name="Comma 8 3 2 2" xfId="4106"/>
    <cellStyle name="Comma 8 3 2 2 2" xfId="4107"/>
    <cellStyle name="Comma 8 3 2 3" xfId="4108"/>
    <cellStyle name="Comma 8 3 3" xfId="4109"/>
    <cellStyle name="Comma 8 3 3 2" xfId="4110"/>
    <cellStyle name="Comma 8 3 3 2 2" xfId="4111"/>
    <cellStyle name="Comma 8 3 3 3" xfId="4112"/>
    <cellStyle name="Comma 8 3 4" xfId="4113"/>
    <cellStyle name="Comma 8 3 4 2" xfId="4114"/>
    <cellStyle name="Comma 8 3 4 2 2" xfId="4115"/>
    <cellStyle name="Comma 8 3 4 3" xfId="4116"/>
    <cellStyle name="Comma 8 3 5" xfId="4117"/>
    <cellStyle name="Comma 8 3 5 2" xfId="4118"/>
    <cellStyle name="Comma 8 3 5 2 2" xfId="4119"/>
    <cellStyle name="Comma 8 3 5 3" xfId="4120"/>
    <cellStyle name="Comma 8 3 6" xfId="4121"/>
    <cellStyle name="Comma 8 3 6 2" xfId="4122"/>
    <cellStyle name="Comma 8 3 7" xfId="4123"/>
    <cellStyle name="Comma 8 3 8" xfId="4124"/>
    <cellStyle name="Comma 8 4" xfId="4125"/>
    <cellStyle name="Comma 8 4 2" xfId="4126"/>
    <cellStyle name="Comma 8 4 2 2" xfId="4127"/>
    <cellStyle name="Comma 8 4 3" xfId="4128"/>
    <cellStyle name="Comma 8 5" xfId="4129"/>
    <cellStyle name="Comma 8 5 2" xfId="4130"/>
    <cellStyle name="Comma 8 5 2 2" xfId="4131"/>
    <cellStyle name="Comma 8 5 3" xfId="4132"/>
    <cellStyle name="Comma 8 6" xfId="4133"/>
    <cellStyle name="Comma 8 6 2" xfId="4134"/>
    <cellStyle name="Comma 8 6 2 2" xfId="4135"/>
    <cellStyle name="Comma 8 6 3" xfId="4136"/>
    <cellStyle name="Comma 8 7" xfId="4137"/>
    <cellStyle name="Comma 8 7 2" xfId="4138"/>
    <cellStyle name="Comma 8 7 2 2" xfId="4139"/>
    <cellStyle name="Comma 8 7 3" xfId="4140"/>
    <cellStyle name="Comma 8 8" xfId="4141"/>
    <cellStyle name="Comma 8 8 2" xfId="4142"/>
    <cellStyle name="Comma 8 8 2 2" xfId="4143"/>
    <cellStyle name="Comma 8 8 3" xfId="4144"/>
    <cellStyle name="Comma 8 9" xfId="4145"/>
    <cellStyle name="Comma 8 9 2" xfId="4146"/>
    <cellStyle name="Comma 80" xfId="24129"/>
    <cellStyle name="Comma 81" xfId="24181"/>
    <cellStyle name="Comma 82" xfId="24249"/>
    <cellStyle name="Comma 83" xfId="24173"/>
    <cellStyle name="Comma 84" xfId="24239"/>
    <cellStyle name="Comma 85" xfId="24108"/>
    <cellStyle name="Comma 86" xfId="24395"/>
    <cellStyle name="Comma 87" xfId="24145"/>
    <cellStyle name="Comma 9" xfId="72"/>
    <cellStyle name="Comma 9 10" xfId="4147"/>
    <cellStyle name="Comma 9 11" xfId="21643"/>
    <cellStyle name="Comma 9 11 2" xfId="26890"/>
    <cellStyle name="Comma 9 12" xfId="21468"/>
    <cellStyle name="Comma 9 13" xfId="24311"/>
    <cellStyle name="Comma 9 2" xfId="232"/>
    <cellStyle name="Comma 9 2 10" xfId="21771"/>
    <cellStyle name="Comma 9 2 10 2" xfId="27008"/>
    <cellStyle name="Comma 9 2 11" xfId="21469"/>
    <cellStyle name="Comma 9 2 12" xfId="24456"/>
    <cellStyle name="Comma 9 2 2" xfId="4148"/>
    <cellStyle name="Comma 9 2 2 2" xfId="4149"/>
    <cellStyle name="Comma 9 2 2 2 2" xfId="4150"/>
    <cellStyle name="Comma 9 2 2 3" xfId="4151"/>
    <cellStyle name="Comma 9 2 3" xfId="4152"/>
    <cellStyle name="Comma 9 2 3 2" xfId="4153"/>
    <cellStyle name="Comma 9 2 3 2 2" xfId="4154"/>
    <cellStyle name="Comma 9 2 3 3" xfId="4155"/>
    <cellStyle name="Comma 9 2 4" xfId="4156"/>
    <cellStyle name="Comma 9 2 4 2" xfId="4157"/>
    <cellStyle name="Comma 9 2 4 2 2" xfId="4158"/>
    <cellStyle name="Comma 9 2 4 3" xfId="4159"/>
    <cellStyle name="Comma 9 2 5" xfId="4160"/>
    <cellStyle name="Comma 9 2 5 2" xfId="4161"/>
    <cellStyle name="Comma 9 2 5 2 2" xfId="4162"/>
    <cellStyle name="Comma 9 2 5 3" xfId="4163"/>
    <cellStyle name="Comma 9 2 6" xfId="4164"/>
    <cellStyle name="Comma 9 2 6 2" xfId="4165"/>
    <cellStyle name="Comma 9 2 6 2 2" xfId="4166"/>
    <cellStyle name="Comma 9 2 6 3" xfId="4167"/>
    <cellStyle name="Comma 9 2 7" xfId="4168"/>
    <cellStyle name="Comma 9 2 7 2" xfId="4169"/>
    <cellStyle name="Comma 9 2 8" xfId="4170"/>
    <cellStyle name="Comma 9 2 9" xfId="4171"/>
    <cellStyle name="Comma 9 3" xfId="4172"/>
    <cellStyle name="Comma 9 3 2" xfId="4173"/>
    <cellStyle name="Comma 9 3 2 2" xfId="4174"/>
    <cellStyle name="Comma 9 3 3" xfId="4175"/>
    <cellStyle name="Comma 9 4" xfId="4176"/>
    <cellStyle name="Comma 9 4 2" xfId="4177"/>
    <cellStyle name="Comma 9 4 2 2" xfId="4178"/>
    <cellStyle name="Comma 9 4 3" xfId="4179"/>
    <cellStyle name="Comma 9 5" xfId="4180"/>
    <cellStyle name="Comma 9 5 2" xfId="4181"/>
    <cellStyle name="Comma 9 5 2 2" xfId="4182"/>
    <cellStyle name="Comma 9 5 3" xfId="4183"/>
    <cellStyle name="Comma 9 6" xfId="4184"/>
    <cellStyle name="Comma 9 6 2" xfId="4185"/>
    <cellStyle name="Comma 9 6 2 2" xfId="4186"/>
    <cellStyle name="Comma 9 6 3" xfId="4187"/>
    <cellStyle name="Comma 9 7" xfId="4188"/>
    <cellStyle name="Comma 9 7 2" xfId="4189"/>
    <cellStyle name="Comma 9 7 2 2" xfId="4190"/>
    <cellStyle name="Comma 9 7 3" xfId="4191"/>
    <cellStyle name="Comma 9 8" xfId="4192"/>
    <cellStyle name="Comma 9 8 2" xfId="4193"/>
    <cellStyle name="Comma 9 9" xfId="4194"/>
    <cellStyle name="Comma0 - Modelo1" xfId="4195"/>
    <cellStyle name="Comma0 - Style1" xfId="4196"/>
    <cellStyle name="Comma1 - Modelo2" xfId="4197"/>
    <cellStyle name="Comma1 - Style2" xfId="4198"/>
    <cellStyle name="Currency 2" xfId="4199"/>
    <cellStyle name="Currency 2 10" xfId="4200"/>
    <cellStyle name="Currency 2 11" xfId="4201"/>
    <cellStyle name="Currency 2 2" xfId="4202"/>
    <cellStyle name="Currency 2 2 10" xfId="4203"/>
    <cellStyle name="Currency 2 2 11" xfId="4204"/>
    <cellStyle name="Currency 2 2 2" xfId="4205"/>
    <cellStyle name="Currency 2 2 2 2" xfId="4206"/>
    <cellStyle name="Currency 2 2 2 2 2" xfId="4207"/>
    <cellStyle name="Currency 2 2 2 2 2 2" xfId="4208"/>
    <cellStyle name="Currency 2 2 2 2 2 2 2" xfId="4209"/>
    <cellStyle name="Currency 2 2 2 2 2 3" xfId="4210"/>
    <cellStyle name="Currency 2 2 2 2 3" xfId="4211"/>
    <cellStyle name="Currency 2 2 2 2 3 2" xfId="4212"/>
    <cellStyle name="Currency 2 2 2 2 3 2 2" xfId="4213"/>
    <cellStyle name="Currency 2 2 2 2 3 3" xfId="4214"/>
    <cellStyle name="Currency 2 2 2 2 4" xfId="4215"/>
    <cellStyle name="Currency 2 2 2 2 4 2" xfId="4216"/>
    <cellStyle name="Currency 2 2 2 2 4 2 2" xfId="4217"/>
    <cellStyle name="Currency 2 2 2 2 4 3" xfId="4218"/>
    <cellStyle name="Currency 2 2 2 2 5" xfId="4219"/>
    <cellStyle name="Currency 2 2 2 2 5 2" xfId="4220"/>
    <cellStyle name="Currency 2 2 2 2 6" xfId="4221"/>
    <cellStyle name="Currency 2 2 2 2 7" xfId="4222"/>
    <cellStyle name="Currency 2 2 2 3" xfId="4223"/>
    <cellStyle name="Currency 2 2 2 3 2" xfId="4224"/>
    <cellStyle name="Currency 2 2 2 3 2 2" xfId="4225"/>
    <cellStyle name="Currency 2 2 2 3 3" xfId="4226"/>
    <cellStyle name="Currency 2 2 2 4" xfId="4227"/>
    <cellStyle name="Currency 2 2 2 4 2" xfId="4228"/>
    <cellStyle name="Currency 2 2 2 4 2 2" xfId="4229"/>
    <cellStyle name="Currency 2 2 2 4 3" xfId="4230"/>
    <cellStyle name="Currency 2 2 2 5" xfId="4231"/>
    <cellStyle name="Currency 2 2 2 5 2" xfId="4232"/>
    <cellStyle name="Currency 2 2 2 5 2 2" xfId="4233"/>
    <cellStyle name="Currency 2 2 2 5 3" xfId="4234"/>
    <cellStyle name="Currency 2 2 2 6" xfId="4235"/>
    <cellStyle name="Currency 2 2 2 6 2" xfId="4236"/>
    <cellStyle name="Currency 2 2 2 7" xfId="4237"/>
    <cellStyle name="Currency 2 2 2 8" xfId="4238"/>
    <cellStyle name="Currency 2 2 3" xfId="4239"/>
    <cellStyle name="Currency 2 2 3 2" xfId="4240"/>
    <cellStyle name="Currency 2 2 3 2 2" xfId="4241"/>
    <cellStyle name="Currency 2 2 3 2 2 2" xfId="4242"/>
    <cellStyle name="Currency 2 2 3 2 2 2 2" xfId="4243"/>
    <cellStyle name="Currency 2 2 3 2 2 3" xfId="4244"/>
    <cellStyle name="Currency 2 2 3 2 3" xfId="4245"/>
    <cellStyle name="Currency 2 2 3 2 3 2" xfId="4246"/>
    <cellStyle name="Currency 2 2 3 2 3 2 2" xfId="4247"/>
    <cellStyle name="Currency 2 2 3 2 3 2_DeltaViewer" xfId="4248"/>
    <cellStyle name="Currency 2 2 3 2 3 3" xfId="4249"/>
    <cellStyle name="Currency 2 2 3 2 3_DeltaViewer" xfId="4250"/>
    <cellStyle name="Currency 2 2 3 2 4" xfId="4251"/>
    <cellStyle name="Currency 2 2 3 2 4 2" xfId="4252"/>
    <cellStyle name="Currency 2 2 3 2 4 2 2" xfId="4253"/>
    <cellStyle name="Currency 2 2 3 2 4 2_DeltaViewer" xfId="4254"/>
    <cellStyle name="Currency 2 2 3 2 4 3" xfId="4255"/>
    <cellStyle name="Currency 2 2 3 2 4_DeltaViewer" xfId="4256"/>
    <cellStyle name="Currency 2 2 3 2 5" xfId="4257"/>
    <cellStyle name="Currency 2 2 3 2 5 2" xfId="4258"/>
    <cellStyle name="Currency 2 2 3 2 5_DeltaViewer" xfId="4259"/>
    <cellStyle name="Currency 2 2 3 2 6" xfId="4260"/>
    <cellStyle name="Currency 2 2 3 2 7" xfId="4261"/>
    <cellStyle name="Currency 2 2 3 3" xfId="4262"/>
    <cellStyle name="Currency 2 2 3 3 2" xfId="4263"/>
    <cellStyle name="Currency 2 2 3 3 2 2" xfId="4264"/>
    <cellStyle name="Currency 2 2 3 3 2_DeltaViewer" xfId="4265"/>
    <cellStyle name="Currency 2 2 3 3 3" xfId="4266"/>
    <cellStyle name="Currency 2 2 3 3_DeltaViewer" xfId="4267"/>
    <cellStyle name="Currency 2 2 3 4" xfId="4268"/>
    <cellStyle name="Currency 2 2 3 4 2" xfId="4269"/>
    <cellStyle name="Currency 2 2 3 4 2 2" xfId="4270"/>
    <cellStyle name="Currency 2 2 3 4 2_DeltaViewer" xfId="4271"/>
    <cellStyle name="Currency 2 2 3 4 3" xfId="4272"/>
    <cellStyle name="Currency 2 2 3 4_DeltaViewer" xfId="4273"/>
    <cellStyle name="Currency 2 2 3 5" xfId="4274"/>
    <cellStyle name="Currency 2 2 3 5 2" xfId="4275"/>
    <cellStyle name="Currency 2 2 3 5 2 2" xfId="4276"/>
    <cellStyle name="Currency 2 2 3 5 2_DeltaViewer" xfId="4277"/>
    <cellStyle name="Currency 2 2 3 5 3" xfId="4278"/>
    <cellStyle name="Currency 2 2 3 5_DeltaViewer" xfId="4279"/>
    <cellStyle name="Currency 2 2 3 6" xfId="4280"/>
    <cellStyle name="Currency 2 2 3 6 2" xfId="4281"/>
    <cellStyle name="Currency 2 2 3 6_DeltaViewer" xfId="4282"/>
    <cellStyle name="Currency 2 2 3 7" xfId="4283"/>
    <cellStyle name="Currency 2 2 3 8" xfId="4284"/>
    <cellStyle name="Currency 2 2 4" xfId="4285"/>
    <cellStyle name="Currency 2 2 4 2" xfId="4286"/>
    <cellStyle name="Currency 2 2 4 2 2" xfId="4287"/>
    <cellStyle name="Currency 2 2 4 2 2 2" xfId="4288"/>
    <cellStyle name="Currency 2 2 4 2 2 2 2" xfId="4289"/>
    <cellStyle name="Currency 2 2 4 2 2 2_DeltaViewer" xfId="4290"/>
    <cellStyle name="Currency 2 2 4 2 2 3" xfId="4291"/>
    <cellStyle name="Currency 2 2 4 2 2_DeltaViewer" xfId="4292"/>
    <cellStyle name="Currency 2 2 4 2 3" xfId="4293"/>
    <cellStyle name="Currency 2 2 4 2 3 2" xfId="4294"/>
    <cellStyle name="Currency 2 2 4 2 3 2 2" xfId="4295"/>
    <cellStyle name="Currency 2 2 4 2 3 2_DeltaViewer" xfId="4296"/>
    <cellStyle name="Currency 2 2 4 2 3 3" xfId="4297"/>
    <cellStyle name="Currency 2 2 4 2 3_DeltaViewer" xfId="4298"/>
    <cellStyle name="Currency 2 2 4 2 4" xfId="4299"/>
    <cellStyle name="Currency 2 2 4 2 4 2" xfId="4300"/>
    <cellStyle name="Currency 2 2 4 2 4 2 2" xfId="4301"/>
    <cellStyle name="Currency 2 2 4 2 4 2_DeltaViewer" xfId="4302"/>
    <cellStyle name="Currency 2 2 4 2 4 3" xfId="4303"/>
    <cellStyle name="Currency 2 2 4 2 4_DeltaViewer" xfId="4304"/>
    <cellStyle name="Currency 2 2 4 2 5" xfId="4305"/>
    <cellStyle name="Currency 2 2 4 2 5 2" xfId="4306"/>
    <cellStyle name="Currency 2 2 4 2 5_DeltaViewer" xfId="4307"/>
    <cellStyle name="Currency 2 2 4 2 6" xfId="4308"/>
    <cellStyle name="Currency 2 2 4 2 7" xfId="4309"/>
    <cellStyle name="Currency 2 2 4 2_DeltaViewer" xfId="4310"/>
    <cellStyle name="Currency 2 2 4 3" xfId="4311"/>
    <cellStyle name="Currency 2 2 4 3 2" xfId="4312"/>
    <cellStyle name="Currency 2 2 4 3 2 2" xfId="4313"/>
    <cellStyle name="Currency 2 2 4 3 2_DeltaViewer" xfId="4314"/>
    <cellStyle name="Currency 2 2 4 3 3" xfId="4315"/>
    <cellStyle name="Currency 2 2 4 3_DeltaViewer" xfId="4316"/>
    <cellStyle name="Currency 2 2 4 4" xfId="4317"/>
    <cellStyle name="Currency 2 2 4 4 2" xfId="4318"/>
    <cellStyle name="Currency 2 2 4 4 2 2" xfId="4319"/>
    <cellStyle name="Currency 2 2 4 4 2_DeltaViewer" xfId="4320"/>
    <cellStyle name="Currency 2 2 4 4 3" xfId="4321"/>
    <cellStyle name="Currency 2 2 4 4_DeltaViewer" xfId="4322"/>
    <cellStyle name="Currency 2 2 4 5" xfId="4323"/>
    <cellStyle name="Currency 2 2 4 5 2" xfId="4324"/>
    <cellStyle name="Currency 2 2 4 5 2 2" xfId="4325"/>
    <cellStyle name="Currency 2 2 4 5 2_DeltaViewer" xfId="4326"/>
    <cellStyle name="Currency 2 2 4 5 3" xfId="4327"/>
    <cellStyle name="Currency 2 2 4 5_DeltaViewer" xfId="4328"/>
    <cellStyle name="Currency 2 2 4 6" xfId="4329"/>
    <cellStyle name="Currency 2 2 4 6 2" xfId="4330"/>
    <cellStyle name="Currency 2 2 4 6_DeltaViewer" xfId="4331"/>
    <cellStyle name="Currency 2 2 4 7" xfId="4332"/>
    <cellStyle name="Currency 2 2 4 8" xfId="4333"/>
    <cellStyle name="Currency 2 2 4_DeltaViewer" xfId="4334"/>
    <cellStyle name="Currency 2 2 5" xfId="4335"/>
    <cellStyle name="Currency 2 2 5 2" xfId="4336"/>
    <cellStyle name="Currency 2 2 5 2 2" xfId="4337"/>
    <cellStyle name="Currency 2 2 5 2 2 2" xfId="4338"/>
    <cellStyle name="Currency 2 2 5 2 2_DeltaViewer" xfId="4339"/>
    <cellStyle name="Currency 2 2 5 2 3" xfId="4340"/>
    <cellStyle name="Currency 2 2 5 2_DeltaViewer" xfId="4341"/>
    <cellStyle name="Currency 2 2 5 3" xfId="4342"/>
    <cellStyle name="Currency 2 2 5 3 2" xfId="4343"/>
    <cellStyle name="Currency 2 2 5 3 2 2" xfId="4344"/>
    <cellStyle name="Currency 2 2 5 3 2_DeltaViewer" xfId="4345"/>
    <cellStyle name="Currency 2 2 5 3 3" xfId="4346"/>
    <cellStyle name="Currency 2 2 5 3_DeltaViewer" xfId="4347"/>
    <cellStyle name="Currency 2 2 5 4" xfId="4348"/>
    <cellStyle name="Currency 2 2 5 4 2" xfId="4349"/>
    <cellStyle name="Currency 2 2 5 4 2 2" xfId="4350"/>
    <cellStyle name="Currency 2 2 5 4 2_DeltaViewer" xfId="4351"/>
    <cellStyle name="Currency 2 2 5 4 3" xfId="4352"/>
    <cellStyle name="Currency 2 2 5 4_DeltaViewer" xfId="4353"/>
    <cellStyle name="Currency 2 2 5 5" xfId="4354"/>
    <cellStyle name="Currency 2 2 5 5 2" xfId="4355"/>
    <cellStyle name="Currency 2 2 5 5_DeltaViewer" xfId="4356"/>
    <cellStyle name="Currency 2 2 5 6" xfId="4357"/>
    <cellStyle name="Currency 2 2 5 7" xfId="4358"/>
    <cellStyle name="Currency 2 2 5_DeltaViewer" xfId="4359"/>
    <cellStyle name="Currency 2 2 6" xfId="4360"/>
    <cellStyle name="Currency 2 2 6 2" xfId="4361"/>
    <cellStyle name="Currency 2 2 6 2 2" xfId="4362"/>
    <cellStyle name="Currency 2 2 6 2_DeltaViewer" xfId="4363"/>
    <cellStyle name="Currency 2 2 6 3" xfId="4364"/>
    <cellStyle name="Currency 2 2 6_DeltaViewer" xfId="4365"/>
    <cellStyle name="Currency 2 2 7" xfId="4366"/>
    <cellStyle name="Currency 2 2 7 2" xfId="4367"/>
    <cellStyle name="Currency 2 2 7 2 2" xfId="4368"/>
    <cellStyle name="Currency 2 2 7 2_DeltaViewer" xfId="4369"/>
    <cellStyle name="Currency 2 2 7 3" xfId="4370"/>
    <cellStyle name="Currency 2 2 7_DeltaViewer" xfId="4371"/>
    <cellStyle name="Currency 2 2 8" xfId="4372"/>
    <cellStyle name="Currency 2 2 8 2" xfId="4373"/>
    <cellStyle name="Currency 2 2 8 2 2" xfId="4374"/>
    <cellStyle name="Currency 2 2 8 2_DeltaViewer" xfId="4375"/>
    <cellStyle name="Currency 2 2 8 3" xfId="4376"/>
    <cellStyle name="Currency 2 2 8_DeltaViewer" xfId="4377"/>
    <cellStyle name="Currency 2 2 9" xfId="4378"/>
    <cellStyle name="Currency 2 2 9 2" xfId="4379"/>
    <cellStyle name="Currency 2 2 9_DeltaViewer" xfId="4380"/>
    <cellStyle name="Currency 2 3" xfId="4381"/>
    <cellStyle name="Currency 2 3 2" xfId="4382"/>
    <cellStyle name="Currency 2 3 2 2" xfId="4383"/>
    <cellStyle name="Currency 2 3 2 2 2" xfId="4384"/>
    <cellStyle name="Currency 2 3 2 2 2 2" xfId="4385"/>
    <cellStyle name="Currency 2 3 2 2 2_DeltaViewer" xfId="4386"/>
    <cellStyle name="Currency 2 3 2 2 3" xfId="4387"/>
    <cellStyle name="Currency 2 3 2 2_DeltaViewer" xfId="4388"/>
    <cellStyle name="Currency 2 3 2 3" xfId="4389"/>
    <cellStyle name="Currency 2 3 2 3 2" xfId="4390"/>
    <cellStyle name="Currency 2 3 2 3 2 2" xfId="4391"/>
    <cellStyle name="Currency 2 3 2 3 2_DeltaViewer" xfId="4392"/>
    <cellStyle name="Currency 2 3 2 3 3" xfId="4393"/>
    <cellStyle name="Currency 2 3 2 3_DeltaViewer" xfId="4394"/>
    <cellStyle name="Currency 2 3 2 4" xfId="4395"/>
    <cellStyle name="Currency 2 3 2 4 2" xfId="4396"/>
    <cellStyle name="Currency 2 3 2 4 2 2" xfId="4397"/>
    <cellStyle name="Currency 2 3 2 4 2_DeltaViewer" xfId="4398"/>
    <cellStyle name="Currency 2 3 2 4 3" xfId="4399"/>
    <cellStyle name="Currency 2 3 2 4_DeltaViewer" xfId="4400"/>
    <cellStyle name="Currency 2 3 2 5" xfId="4401"/>
    <cellStyle name="Currency 2 3 2 5 2" xfId="4402"/>
    <cellStyle name="Currency 2 3 2 5_DeltaViewer" xfId="4403"/>
    <cellStyle name="Currency 2 3 2 6" xfId="4404"/>
    <cellStyle name="Currency 2 3 2 7" xfId="4405"/>
    <cellStyle name="Currency 2 3 2_DeltaViewer" xfId="4406"/>
    <cellStyle name="Currency 2 3 3" xfId="4407"/>
    <cellStyle name="Currency 2 3 3 2" xfId="4408"/>
    <cellStyle name="Currency 2 3 3 2 2" xfId="4409"/>
    <cellStyle name="Currency 2 3 3 2_DeltaViewer" xfId="4410"/>
    <cellStyle name="Currency 2 3 3 3" xfId="4411"/>
    <cellStyle name="Currency 2 3 3_DeltaViewer" xfId="4412"/>
    <cellStyle name="Currency 2 3 4" xfId="4413"/>
    <cellStyle name="Currency 2 3 4 2" xfId="4414"/>
    <cellStyle name="Currency 2 3 4 2 2" xfId="4415"/>
    <cellStyle name="Currency 2 3 4 2_DeltaViewer" xfId="4416"/>
    <cellStyle name="Currency 2 3 4 3" xfId="4417"/>
    <cellStyle name="Currency 2 3 4_DeltaViewer" xfId="4418"/>
    <cellStyle name="Currency 2 3 5" xfId="4419"/>
    <cellStyle name="Currency 2 3 5 2" xfId="4420"/>
    <cellStyle name="Currency 2 3 5 2 2" xfId="4421"/>
    <cellStyle name="Currency 2 3 5 2_DeltaViewer" xfId="4422"/>
    <cellStyle name="Currency 2 3 5 3" xfId="4423"/>
    <cellStyle name="Currency 2 3 5_DeltaViewer" xfId="4424"/>
    <cellStyle name="Currency 2 3 6" xfId="4425"/>
    <cellStyle name="Currency 2 3 6 2" xfId="4426"/>
    <cellStyle name="Currency 2 3 6_DeltaViewer" xfId="4427"/>
    <cellStyle name="Currency 2 3 7" xfId="4428"/>
    <cellStyle name="Currency 2 3 8" xfId="4429"/>
    <cellStyle name="Currency 2 3_DeltaViewer" xfId="4430"/>
    <cellStyle name="Currency 2 4" xfId="4431"/>
    <cellStyle name="Currency 2 4 2" xfId="4432"/>
    <cellStyle name="Currency 2 4 2 2" xfId="4433"/>
    <cellStyle name="Currency 2 4 2 2 2" xfId="4434"/>
    <cellStyle name="Currency 2 4 2 2 2 2" xfId="4435"/>
    <cellStyle name="Currency 2 4 2 2 2_DeltaViewer" xfId="4436"/>
    <cellStyle name="Currency 2 4 2 2 3" xfId="4437"/>
    <cellStyle name="Currency 2 4 2 2_DeltaViewer" xfId="4438"/>
    <cellStyle name="Currency 2 4 2 3" xfId="4439"/>
    <cellStyle name="Currency 2 4 2 3 2" xfId="4440"/>
    <cellStyle name="Currency 2 4 2 3 2 2" xfId="4441"/>
    <cellStyle name="Currency 2 4 2 3 2_DeltaViewer" xfId="4442"/>
    <cellStyle name="Currency 2 4 2 3 3" xfId="4443"/>
    <cellStyle name="Currency 2 4 2 3_DeltaViewer" xfId="4444"/>
    <cellStyle name="Currency 2 4 2 4" xfId="4445"/>
    <cellStyle name="Currency 2 4 2 4 2" xfId="4446"/>
    <cellStyle name="Currency 2 4 2 4 2 2" xfId="4447"/>
    <cellStyle name="Currency 2 4 2 4 2_DeltaViewer" xfId="4448"/>
    <cellStyle name="Currency 2 4 2 4 3" xfId="4449"/>
    <cellStyle name="Currency 2 4 2 4_DeltaViewer" xfId="4450"/>
    <cellStyle name="Currency 2 4 2 5" xfId="4451"/>
    <cellStyle name="Currency 2 4 2 5 2" xfId="4452"/>
    <cellStyle name="Currency 2 4 2 5_DeltaViewer" xfId="4453"/>
    <cellStyle name="Currency 2 4 2 6" xfId="4454"/>
    <cellStyle name="Currency 2 4 2 7" xfId="4455"/>
    <cellStyle name="Currency 2 4 2_DeltaViewer" xfId="4456"/>
    <cellStyle name="Currency 2 4 3" xfId="4457"/>
    <cellStyle name="Currency 2 4 3 2" xfId="4458"/>
    <cellStyle name="Currency 2 4 3 2 2" xfId="4459"/>
    <cellStyle name="Currency 2 4 3 2_DeltaViewer" xfId="4460"/>
    <cellStyle name="Currency 2 4 3 3" xfId="4461"/>
    <cellStyle name="Currency 2 4 3_DeltaViewer" xfId="4462"/>
    <cellStyle name="Currency 2 4 4" xfId="4463"/>
    <cellStyle name="Currency 2 4 4 2" xfId="4464"/>
    <cellStyle name="Currency 2 4 4 2 2" xfId="4465"/>
    <cellStyle name="Currency 2 4 4 2_DeltaViewer" xfId="4466"/>
    <cellStyle name="Currency 2 4 4 3" xfId="4467"/>
    <cellStyle name="Currency 2 4 4_DeltaViewer" xfId="4468"/>
    <cellStyle name="Currency 2 4 5" xfId="4469"/>
    <cellStyle name="Currency 2 4 5 2" xfId="4470"/>
    <cellStyle name="Currency 2 4 5 2 2" xfId="4471"/>
    <cellStyle name="Currency 2 4 5 2_DeltaViewer" xfId="4472"/>
    <cellStyle name="Currency 2 4 5 3" xfId="4473"/>
    <cellStyle name="Currency 2 4 5_DeltaViewer" xfId="4474"/>
    <cellStyle name="Currency 2 4 6" xfId="4475"/>
    <cellStyle name="Currency 2 4 6 2" xfId="4476"/>
    <cellStyle name="Currency 2 4 6_DeltaViewer" xfId="4477"/>
    <cellStyle name="Currency 2 4 7" xfId="4478"/>
    <cellStyle name="Currency 2 4 8" xfId="4479"/>
    <cellStyle name="Currency 2 4_DeltaViewer" xfId="4480"/>
    <cellStyle name="Currency 2 5" xfId="4481"/>
    <cellStyle name="Currency 2 5 2" xfId="4482"/>
    <cellStyle name="Currency 2 5 2 2" xfId="4483"/>
    <cellStyle name="Currency 2 5 2 2 2" xfId="4484"/>
    <cellStyle name="Currency 2 5 2 2_DeltaViewer" xfId="4485"/>
    <cellStyle name="Currency 2 5 2 3" xfId="4486"/>
    <cellStyle name="Currency 2 5 2_DeltaViewer" xfId="4487"/>
    <cellStyle name="Currency 2 5 3" xfId="4488"/>
    <cellStyle name="Currency 2 5 3 2" xfId="4489"/>
    <cellStyle name="Currency 2 5 3 2 2" xfId="4490"/>
    <cellStyle name="Currency 2 5 3 2_DeltaViewer" xfId="4491"/>
    <cellStyle name="Currency 2 5 3 3" xfId="4492"/>
    <cellStyle name="Currency 2 5 3_DeltaViewer" xfId="4493"/>
    <cellStyle name="Currency 2 5 4" xfId="4494"/>
    <cellStyle name="Currency 2 5 4 2" xfId="4495"/>
    <cellStyle name="Currency 2 5 4 2 2" xfId="4496"/>
    <cellStyle name="Currency 2 5 4 2_DeltaViewer" xfId="4497"/>
    <cellStyle name="Currency 2 5 4 3" xfId="4498"/>
    <cellStyle name="Currency 2 5 4_DeltaViewer" xfId="4499"/>
    <cellStyle name="Currency 2 5 5" xfId="4500"/>
    <cellStyle name="Currency 2 5 5 2" xfId="4501"/>
    <cellStyle name="Currency 2 5 5_DeltaViewer" xfId="4502"/>
    <cellStyle name="Currency 2 5 6" xfId="4503"/>
    <cellStyle name="Currency 2 5 7" xfId="4504"/>
    <cellStyle name="Currency 2 5_DeltaViewer" xfId="4505"/>
    <cellStyle name="Currency 2 6" xfId="4506"/>
    <cellStyle name="Currency 2 6 2" xfId="4507"/>
    <cellStyle name="Currency 2 6 2 2" xfId="4508"/>
    <cellStyle name="Currency 2 6 2_DeltaViewer" xfId="4509"/>
    <cellStyle name="Currency 2 6 3" xfId="4510"/>
    <cellStyle name="Currency 2 6_DeltaViewer" xfId="4511"/>
    <cellStyle name="Currency 2 7" xfId="4512"/>
    <cellStyle name="Currency 2 7 2" xfId="4513"/>
    <cellStyle name="Currency 2 7 2 2" xfId="4514"/>
    <cellStyle name="Currency 2 7 2_DeltaViewer" xfId="4515"/>
    <cellStyle name="Currency 2 7 3" xfId="4516"/>
    <cellStyle name="Currency 2 7_DeltaViewer" xfId="4517"/>
    <cellStyle name="Currency 2 8" xfId="4518"/>
    <cellStyle name="Currency 2 8 2" xfId="4519"/>
    <cellStyle name="Currency 2 8 2 2" xfId="4520"/>
    <cellStyle name="Currency 2 8 2_DeltaViewer" xfId="4521"/>
    <cellStyle name="Currency 2 8 3" xfId="4522"/>
    <cellStyle name="Currency 2 8_DeltaViewer" xfId="4523"/>
    <cellStyle name="Currency 2 9" xfId="4524"/>
    <cellStyle name="Currency 2 9 2" xfId="4525"/>
    <cellStyle name="Currency 2 9_DeltaViewer" xfId="4526"/>
    <cellStyle name="Currency 3" xfId="4527"/>
    <cellStyle name="Currency 3 2" xfId="4528"/>
    <cellStyle name="Currency 3 2 2" xfId="4529"/>
    <cellStyle name="Currency 3 2 2 2" xfId="4530"/>
    <cellStyle name="Currency 3 2 2 2 2" xfId="4531"/>
    <cellStyle name="Currency 3 2 2 2_DeltaViewer" xfId="4532"/>
    <cellStyle name="Currency 3 2 2 3" xfId="4533"/>
    <cellStyle name="Currency 3 2 2_DeltaViewer" xfId="4534"/>
    <cellStyle name="Currency 3 2 3" xfId="4535"/>
    <cellStyle name="Currency 3 2 3 2" xfId="4536"/>
    <cellStyle name="Currency 3 2 3 2 2" xfId="4537"/>
    <cellStyle name="Currency 3 2 3 2_DeltaViewer" xfId="4538"/>
    <cellStyle name="Currency 3 2 3 3" xfId="4539"/>
    <cellStyle name="Currency 3 2 3_DeltaViewer" xfId="4540"/>
    <cellStyle name="Currency 3 2 4" xfId="4541"/>
    <cellStyle name="Currency 3 2 4 2" xfId="4542"/>
    <cellStyle name="Currency 3 2 4 2 2" xfId="4543"/>
    <cellStyle name="Currency 3 2 4 2_DeltaViewer" xfId="4544"/>
    <cellStyle name="Currency 3 2 4 3" xfId="4545"/>
    <cellStyle name="Currency 3 2 4_DeltaViewer" xfId="4546"/>
    <cellStyle name="Currency 3 2 5" xfId="4547"/>
    <cellStyle name="Currency 3 2 5 2" xfId="4548"/>
    <cellStyle name="Currency 3 2 5_DeltaViewer" xfId="4549"/>
    <cellStyle name="Currency 3 2 6" xfId="4550"/>
    <cellStyle name="Currency 3 2 7" xfId="4551"/>
    <cellStyle name="Currency 3 2_DeltaViewer" xfId="4552"/>
    <cellStyle name="Currency 3 3" xfId="4553"/>
    <cellStyle name="Currency 3 3 2" xfId="4554"/>
    <cellStyle name="Currency 3 3 2 2" xfId="4555"/>
    <cellStyle name="Currency 3 3 2_DeltaViewer" xfId="4556"/>
    <cellStyle name="Currency 3 3 3" xfId="4557"/>
    <cellStyle name="Currency 3 3_DeltaViewer" xfId="4558"/>
    <cellStyle name="Currency 3 4" xfId="4559"/>
    <cellStyle name="Currency 3 4 2" xfId="4560"/>
    <cellStyle name="Currency 3 4 2 2" xfId="4561"/>
    <cellStyle name="Currency 3 4 2_DeltaViewer" xfId="4562"/>
    <cellStyle name="Currency 3 4 3" xfId="4563"/>
    <cellStyle name="Currency 3 4_DeltaViewer" xfId="4564"/>
    <cellStyle name="Currency 3 5" xfId="4565"/>
    <cellStyle name="Currency 3 5 2" xfId="4566"/>
    <cellStyle name="Currency 3 5 2 2" xfId="4567"/>
    <cellStyle name="Currency 3 5 2_DeltaViewer" xfId="4568"/>
    <cellStyle name="Currency 3 5 3" xfId="4569"/>
    <cellStyle name="Currency 3 5_DeltaViewer" xfId="4570"/>
    <cellStyle name="Currency 3 6" xfId="4571"/>
    <cellStyle name="Currency 3 6 2" xfId="4572"/>
    <cellStyle name="Currency 3 6_DeltaViewer" xfId="4573"/>
    <cellStyle name="Currency 3 7" xfId="4574"/>
    <cellStyle name="Currency 3 8" xfId="4575"/>
    <cellStyle name="Currency 3_DeltaViewer" xfId="4576"/>
    <cellStyle name="Data" xfId="4577"/>
    <cellStyle name="DataInput" xfId="4578"/>
    <cellStyle name="DataInput 2" xfId="4579"/>
    <cellStyle name="DataInput 2 2" xfId="4580"/>
    <cellStyle name="DataInput 2 2 2" xfId="21836"/>
    <cellStyle name="DataInput 3" xfId="4581"/>
    <cellStyle name="DataInput 3 2" xfId="21837"/>
    <cellStyle name="DataInput_DeltaViewer" xfId="4582"/>
    <cellStyle name="Dia" xfId="4583"/>
    <cellStyle name="Dia 2" xfId="4584"/>
    <cellStyle name="Dia 3" xfId="4585"/>
    <cellStyle name="Dia_DeltaViewer" xfId="4586"/>
    <cellStyle name="Encabez1" xfId="4587"/>
    <cellStyle name="Encabez1 2" xfId="4588"/>
    <cellStyle name="Encabez1 3" xfId="4589"/>
    <cellStyle name="Encabez1_DeltaViewer" xfId="4590"/>
    <cellStyle name="Encabez2" xfId="4591"/>
    <cellStyle name="Encabez2 2" xfId="4592"/>
    <cellStyle name="Encabez2 3" xfId="4593"/>
    <cellStyle name="Encabez2_DeltaViewer" xfId="4594"/>
    <cellStyle name="Encabezado 4" xfId="4595"/>
    <cellStyle name="Énfasis1" xfId="4596"/>
    <cellStyle name="Énfasis2" xfId="4597"/>
    <cellStyle name="Énfasis3" xfId="4598"/>
    <cellStyle name="Énfasis4" xfId="4599"/>
    <cellStyle name="Énfasis5" xfId="4600"/>
    <cellStyle name="Énfasis6" xfId="4601"/>
    <cellStyle name="Entrada" xfId="4602"/>
    <cellStyle name="Entrada 2" xfId="4603"/>
    <cellStyle name="Entrada 2 2" xfId="4604"/>
    <cellStyle name="Entrada 2 2 2" xfId="4605"/>
    <cellStyle name="Entrada 2 2_DeltaViewer" xfId="4606"/>
    <cellStyle name="Entrada 2 3" xfId="4607"/>
    <cellStyle name="Entrada 2_DeltaViewer" xfId="4608"/>
    <cellStyle name="Entrada 3" xfId="4609"/>
    <cellStyle name="Entrada 3 2" xfId="4610"/>
    <cellStyle name="Entrada 3 2 2" xfId="4611"/>
    <cellStyle name="Entrada 3 2_DeltaViewer" xfId="4612"/>
    <cellStyle name="Entrada 3 3" xfId="4613"/>
    <cellStyle name="Entrada 3_DeltaViewer" xfId="4614"/>
    <cellStyle name="Entrada 4" xfId="4615"/>
    <cellStyle name="Entrada 4 2" xfId="4616"/>
    <cellStyle name="Entrada 4_DeltaViewer" xfId="4617"/>
    <cellStyle name="Entrada 5" xfId="4618"/>
    <cellStyle name="Entrada_DeltaViewer" xfId="4619"/>
    <cellStyle name="Estilo 1" xfId="4620"/>
    <cellStyle name="Estilo 1 2" xfId="4621"/>
    <cellStyle name="Estilo 1 3" xfId="4622"/>
    <cellStyle name="Estilo 1 3 2" xfId="4623"/>
    <cellStyle name="Estilo 1 3 3" xfId="4624"/>
    <cellStyle name="Estilo 1 3 4" xfId="4625"/>
    <cellStyle name="Estilo 1 3 5" xfId="4626"/>
    <cellStyle name="Estilo 1 3_DeltaViewer" xfId="4627"/>
    <cellStyle name="Estilo 1 4" xfId="4628"/>
    <cellStyle name="Estilo 1 5" xfId="4629"/>
    <cellStyle name="Estilo 1 6" xfId="4630"/>
    <cellStyle name="Estilo 1 7" xfId="4631"/>
    <cellStyle name="Estilo 1_DeltaViewer" xfId="4632"/>
    <cellStyle name="Euro" xfId="4633"/>
    <cellStyle name="Euro 10" xfId="4634"/>
    <cellStyle name="Euro 10 2" xfId="4635"/>
    <cellStyle name="Euro 10 2 2" xfId="4636"/>
    <cellStyle name="Euro 10 2 2 2" xfId="4637"/>
    <cellStyle name="Euro 10 2 2 3" xfId="4638"/>
    <cellStyle name="Euro 10 2 2 4" xfId="4639"/>
    <cellStyle name="Euro 10 2 2 5" xfId="4640"/>
    <cellStyle name="Euro 10 2 2_DeltaViewer" xfId="4641"/>
    <cellStyle name="Euro 10 2 3" xfId="4642"/>
    <cellStyle name="Euro 10 2 4" xfId="4643"/>
    <cellStyle name="Euro 10 2 5" xfId="4644"/>
    <cellStyle name="Euro 10 2 6" xfId="4645"/>
    <cellStyle name="Euro 10 2_DeltaViewer" xfId="4646"/>
    <cellStyle name="Euro 10 3" xfId="4647"/>
    <cellStyle name="Euro 10 3 2" xfId="4648"/>
    <cellStyle name="Euro 10 3 2 2" xfId="4649"/>
    <cellStyle name="Euro 10 3 2 3" xfId="4650"/>
    <cellStyle name="Euro 10 3 2 4" xfId="4651"/>
    <cellStyle name="Euro 10 3 2 5" xfId="4652"/>
    <cellStyle name="Euro 10 3 2_DeltaViewer" xfId="4653"/>
    <cellStyle name="Euro 10 3 3" xfId="4654"/>
    <cellStyle name="Euro 10 3 4" xfId="4655"/>
    <cellStyle name="Euro 10 3 5" xfId="4656"/>
    <cellStyle name="Euro 10 3 6" xfId="4657"/>
    <cellStyle name="Euro 10 3_DeltaViewer" xfId="4658"/>
    <cellStyle name="Euro 10 4" xfId="4659"/>
    <cellStyle name="Euro 10 4 2" xfId="4660"/>
    <cellStyle name="Euro 10 4 2 2" xfId="4661"/>
    <cellStyle name="Euro 10 4 2 3" xfId="4662"/>
    <cellStyle name="Euro 10 4 2 4" xfId="4663"/>
    <cellStyle name="Euro 10 4 2 5" xfId="4664"/>
    <cellStyle name="Euro 10 4 2_DeltaViewer" xfId="4665"/>
    <cellStyle name="Euro 10 4 3" xfId="4666"/>
    <cellStyle name="Euro 10 4 4" xfId="4667"/>
    <cellStyle name="Euro 10 4 5" xfId="4668"/>
    <cellStyle name="Euro 10 4 6" xfId="4669"/>
    <cellStyle name="Euro 10 4_DeltaViewer" xfId="4670"/>
    <cellStyle name="Euro 10 5" xfId="4671"/>
    <cellStyle name="Euro 10 6" xfId="4672"/>
    <cellStyle name="Euro 10 7" xfId="4673"/>
    <cellStyle name="Euro 10 8" xfId="4674"/>
    <cellStyle name="Euro 10_DeltaViewer" xfId="4675"/>
    <cellStyle name="Euro 11" xfId="4676"/>
    <cellStyle name="Euro 11 2" xfId="4677"/>
    <cellStyle name="Euro 11 2 2" xfId="4678"/>
    <cellStyle name="Euro 11 2 3" xfId="4679"/>
    <cellStyle name="Euro 11 2 4" xfId="4680"/>
    <cellStyle name="Euro 11 2 5" xfId="4681"/>
    <cellStyle name="Euro 11 2_DeltaViewer" xfId="4682"/>
    <cellStyle name="Euro 11 3" xfId="4683"/>
    <cellStyle name="Euro 11 4" xfId="4684"/>
    <cellStyle name="Euro 11 5" xfId="4685"/>
    <cellStyle name="Euro 11 6" xfId="4686"/>
    <cellStyle name="Euro 11_DeltaViewer" xfId="4687"/>
    <cellStyle name="Euro 12" xfId="4688"/>
    <cellStyle name="Euro 12 2" xfId="4689"/>
    <cellStyle name="Euro 12 2 2" xfId="4690"/>
    <cellStyle name="Euro 12 2 3" xfId="4691"/>
    <cellStyle name="Euro 12 2 4" xfId="4692"/>
    <cellStyle name="Euro 12 2 5" xfId="4693"/>
    <cellStyle name="Euro 12 2_DeltaViewer" xfId="4694"/>
    <cellStyle name="Euro 12 3" xfId="4695"/>
    <cellStyle name="Euro 12 4" xfId="4696"/>
    <cellStyle name="Euro 12 5" xfId="4697"/>
    <cellStyle name="Euro 12 6" xfId="4698"/>
    <cellStyle name="Euro 12_DeltaViewer" xfId="4699"/>
    <cellStyle name="Euro 13" xfId="4700"/>
    <cellStyle name="Euro 13 2" xfId="4701"/>
    <cellStyle name="Euro 13 2 2" xfId="4702"/>
    <cellStyle name="Euro 13 2 3" xfId="4703"/>
    <cellStyle name="Euro 13 2 4" xfId="4704"/>
    <cellStyle name="Euro 13 2 5" xfId="4705"/>
    <cellStyle name="Euro 13 2_DeltaViewer" xfId="4706"/>
    <cellStyle name="Euro 13 3" xfId="4707"/>
    <cellStyle name="Euro 13 4" xfId="4708"/>
    <cellStyle name="Euro 13 5" xfId="4709"/>
    <cellStyle name="Euro 13 6" xfId="4710"/>
    <cellStyle name="Euro 13_DeltaViewer" xfId="4711"/>
    <cellStyle name="Euro 14" xfId="4712"/>
    <cellStyle name="Euro 14 2" xfId="4713"/>
    <cellStyle name="Euro 14 2 2" xfId="4714"/>
    <cellStyle name="Euro 14 2 3" xfId="4715"/>
    <cellStyle name="Euro 14 2 4" xfId="4716"/>
    <cellStyle name="Euro 14 2 5" xfId="4717"/>
    <cellStyle name="Euro 14 2_DeltaViewer" xfId="4718"/>
    <cellStyle name="Euro 14 3" xfId="4719"/>
    <cellStyle name="Euro 14 4" xfId="4720"/>
    <cellStyle name="Euro 14 5" xfId="4721"/>
    <cellStyle name="Euro 14 6" xfId="4722"/>
    <cellStyle name="Euro 14_DeltaViewer" xfId="4723"/>
    <cellStyle name="Euro 15" xfId="4724"/>
    <cellStyle name="Euro 15 2" xfId="4725"/>
    <cellStyle name="Euro 15 2 2" xfId="4726"/>
    <cellStyle name="Euro 15 2 2 2" xfId="4727"/>
    <cellStyle name="Euro 15 2 2 3" xfId="4728"/>
    <cellStyle name="Euro 15 2 2 4" xfId="4729"/>
    <cellStyle name="Euro 15 2 2 5" xfId="4730"/>
    <cellStyle name="Euro 15 2 2_DeltaViewer" xfId="4731"/>
    <cellStyle name="Euro 15 2 3" xfId="4732"/>
    <cellStyle name="Euro 15 2 4" xfId="4733"/>
    <cellStyle name="Euro 15 2 5" xfId="4734"/>
    <cellStyle name="Euro 15 2 6" xfId="4735"/>
    <cellStyle name="Euro 15 2_DeltaViewer" xfId="4736"/>
    <cellStyle name="Euro 15 3" xfId="4737"/>
    <cellStyle name="Euro 15 3 2" xfId="4738"/>
    <cellStyle name="Euro 15 3 3" xfId="4739"/>
    <cellStyle name="Euro 15 3 4" xfId="4740"/>
    <cellStyle name="Euro 15 3 5" xfId="4741"/>
    <cellStyle name="Euro 15 3_DeltaViewer" xfId="4742"/>
    <cellStyle name="Euro 15 4" xfId="4743"/>
    <cellStyle name="Euro 15 5" xfId="4744"/>
    <cellStyle name="Euro 15 6" xfId="4745"/>
    <cellStyle name="Euro 15 7" xfId="4746"/>
    <cellStyle name="Euro 15_DeltaViewer" xfId="4747"/>
    <cellStyle name="Euro 16" xfId="4748"/>
    <cellStyle name="Euro 16 2" xfId="4749"/>
    <cellStyle name="Euro 16 2 2" xfId="4750"/>
    <cellStyle name="Euro 16 2 2 2" xfId="4751"/>
    <cellStyle name="Euro 16 2 2 3" xfId="4752"/>
    <cellStyle name="Euro 16 2 2 4" xfId="4753"/>
    <cellStyle name="Euro 16 2 2 5" xfId="4754"/>
    <cellStyle name="Euro 16 2 2_DeltaViewer" xfId="4755"/>
    <cellStyle name="Euro 16 2 3" xfId="4756"/>
    <cellStyle name="Euro 16 2 4" xfId="4757"/>
    <cellStyle name="Euro 16 2 5" xfId="4758"/>
    <cellStyle name="Euro 16 2 6" xfId="4759"/>
    <cellStyle name="Euro 16 2_DeltaViewer" xfId="4760"/>
    <cellStyle name="Euro 16 3" xfId="4761"/>
    <cellStyle name="Euro 16 3 2" xfId="4762"/>
    <cellStyle name="Euro 16 3 3" xfId="4763"/>
    <cellStyle name="Euro 16 3 4" xfId="4764"/>
    <cellStyle name="Euro 16 3 5" xfId="4765"/>
    <cellStyle name="Euro 16 3_DeltaViewer" xfId="4766"/>
    <cellStyle name="Euro 16 4" xfId="4767"/>
    <cellStyle name="Euro 16 5" xfId="4768"/>
    <cellStyle name="Euro 16 6" xfId="4769"/>
    <cellStyle name="Euro 16 7" xfId="4770"/>
    <cellStyle name="Euro 16_DeltaViewer" xfId="4771"/>
    <cellStyle name="Euro 17" xfId="4772"/>
    <cellStyle name="Euro 17 2" xfId="4773"/>
    <cellStyle name="Euro 17 2 2" xfId="4774"/>
    <cellStyle name="Euro 17 2 2 2" xfId="4775"/>
    <cellStyle name="Euro 17 2 2 3" xfId="4776"/>
    <cellStyle name="Euro 17 2 2 4" xfId="4777"/>
    <cellStyle name="Euro 17 2 2 5" xfId="4778"/>
    <cellStyle name="Euro 17 2 2_DeltaViewer" xfId="4779"/>
    <cellStyle name="Euro 17 2 3" xfId="4780"/>
    <cellStyle name="Euro 17 2 4" xfId="4781"/>
    <cellStyle name="Euro 17 2 5" xfId="4782"/>
    <cellStyle name="Euro 17 2 6" xfId="4783"/>
    <cellStyle name="Euro 17 2_DeltaViewer" xfId="4784"/>
    <cellStyle name="Euro 17 3" xfId="4785"/>
    <cellStyle name="Euro 17 3 2" xfId="4786"/>
    <cellStyle name="Euro 17 3 3" xfId="4787"/>
    <cellStyle name="Euro 17 3 4" xfId="4788"/>
    <cellStyle name="Euro 17 3 5" xfId="4789"/>
    <cellStyle name="Euro 17 3_DeltaViewer" xfId="4790"/>
    <cellStyle name="Euro 17 4" xfId="4791"/>
    <cellStyle name="Euro 17 5" xfId="4792"/>
    <cellStyle name="Euro 17 6" xfId="4793"/>
    <cellStyle name="Euro 17 7" xfId="4794"/>
    <cellStyle name="Euro 17_DeltaViewer" xfId="4795"/>
    <cellStyle name="Euro 18" xfId="4796"/>
    <cellStyle name="Euro 18 2" xfId="4797"/>
    <cellStyle name="Euro 18 3" xfId="4798"/>
    <cellStyle name="Euro 18 3 2" xfId="4799"/>
    <cellStyle name="Euro 18 3 3" xfId="4800"/>
    <cellStyle name="Euro 18 3 4" xfId="4801"/>
    <cellStyle name="Euro 18 3 5" xfId="4802"/>
    <cellStyle name="Euro 18 3_DeltaViewer" xfId="4803"/>
    <cellStyle name="Euro 18 4" xfId="4804"/>
    <cellStyle name="Euro 18 5" xfId="4805"/>
    <cellStyle name="Euro 18 6" xfId="4806"/>
    <cellStyle name="Euro 18 7" xfId="4807"/>
    <cellStyle name="Euro 18_DeltaViewer" xfId="4808"/>
    <cellStyle name="Euro 19" xfId="4809"/>
    <cellStyle name="Euro 19 2" xfId="4810"/>
    <cellStyle name="Euro 19 2 2" xfId="4811"/>
    <cellStyle name="Euro 19 2 3" xfId="4812"/>
    <cellStyle name="Euro 19 2 4" xfId="4813"/>
    <cellStyle name="Euro 19 2 5" xfId="4814"/>
    <cellStyle name="Euro 19 2_DeltaViewer" xfId="4815"/>
    <cellStyle name="Euro 19 3" xfId="4816"/>
    <cellStyle name="Euro 19 4" xfId="4817"/>
    <cellStyle name="Euro 19 5" xfId="4818"/>
    <cellStyle name="Euro 19 6" xfId="4819"/>
    <cellStyle name="Euro 19_DeltaViewer" xfId="4820"/>
    <cellStyle name="Euro 2" xfId="4821"/>
    <cellStyle name="Euro 2 10" xfId="4822"/>
    <cellStyle name="Euro 2 11" xfId="4823"/>
    <cellStyle name="Euro 2 2" xfId="4824"/>
    <cellStyle name="Euro 2 2 10" xfId="4825"/>
    <cellStyle name="Euro 2 2 2" xfId="4826"/>
    <cellStyle name="Euro 2 2 2 2" xfId="4827"/>
    <cellStyle name="Euro 2 2 2 2 2" xfId="4828"/>
    <cellStyle name="Euro 2 2 2 2 3" xfId="4829"/>
    <cellStyle name="Euro 2 2 2 2 4" xfId="4830"/>
    <cellStyle name="Euro 2 2 2 2 5" xfId="4831"/>
    <cellStyle name="Euro 2 2 2 2_DeltaViewer" xfId="4832"/>
    <cellStyle name="Euro 2 2 2 3" xfId="4833"/>
    <cellStyle name="Euro 2 2 2 4" xfId="4834"/>
    <cellStyle name="Euro 2 2 2 5" xfId="4835"/>
    <cellStyle name="Euro 2 2 2 6" xfId="4836"/>
    <cellStyle name="Euro 2 2 2_DeltaViewer" xfId="4837"/>
    <cellStyle name="Euro 2 2 3" xfId="4838"/>
    <cellStyle name="Euro 2 2 3 2" xfId="4839"/>
    <cellStyle name="Euro 2 2 3 2 2" xfId="4840"/>
    <cellStyle name="Euro 2 2 3 2 3" xfId="4841"/>
    <cellStyle name="Euro 2 2 3 2 4" xfId="4842"/>
    <cellStyle name="Euro 2 2 3 2 5" xfId="4843"/>
    <cellStyle name="Euro 2 2 3 2_DeltaViewer" xfId="4844"/>
    <cellStyle name="Euro 2 2 3 3" xfId="4845"/>
    <cellStyle name="Euro 2 2 3 4" xfId="4846"/>
    <cellStyle name="Euro 2 2 3 5" xfId="4847"/>
    <cellStyle name="Euro 2 2 3 6" xfId="4848"/>
    <cellStyle name="Euro 2 2 3_DeltaViewer" xfId="4849"/>
    <cellStyle name="Euro 2 2 4" xfId="4850"/>
    <cellStyle name="Euro 2 2 4 2" xfId="4851"/>
    <cellStyle name="Euro 2 2 4 2 2" xfId="4852"/>
    <cellStyle name="Euro 2 2 4 2 3" xfId="4853"/>
    <cellStyle name="Euro 2 2 4 2 4" xfId="4854"/>
    <cellStyle name="Euro 2 2 4 2 5" xfId="4855"/>
    <cellStyle name="Euro 2 2 4 2_DeltaViewer" xfId="4856"/>
    <cellStyle name="Euro 2 2 4 3" xfId="4857"/>
    <cellStyle name="Euro 2 2 4 4" xfId="4858"/>
    <cellStyle name="Euro 2 2 4 5" xfId="4859"/>
    <cellStyle name="Euro 2 2 4 6" xfId="4860"/>
    <cellStyle name="Euro 2 2 4_DeltaViewer" xfId="4861"/>
    <cellStyle name="Euro 2 2 5" xfId="4862"/>
    <cellStyle name="Euro 2 2 5 2" xfId="4863"/>
    <cellStyle name="Euro 2 2 5 3" xfId="4864"/>
    <cellStyle name="Euro 2 2 5 4" xfId="4865"/>
    <cellStyle name="Euro 2 2 5 5" xfId="4866"/>
    <cellStyle name="Euro 2 2 5_DeltaViewer" xfId="4867"/>
    <cellStyle name="Euro 2 2 6" xfId="4868"/>
    <cellStyle name="Euro 2 2 7" xfId="4869"/>
    <cellStyle name="Euro 2 2 8" xfId="4870"/>
    <cellStyle name="Euro 2 2 9" xfId="4871"/>
    <cellStyle name="Euro 2 2_DeltaViewer" xfId="4872"/>
    <cellStyle name="Euro 2 3" xfId="4873"/>
    <cellStyle name="Euro 2 3 2" xfId="4874"/>
    <cellStyle name="Euro 2 3 2 2" xfId="4875"/>
    <cellStyle name="Euro 2 3 2 2 2" xfId="4876"/>
    <cellStyle name="Euro 2 3 2 2 3" xfId="4877"/>
    <cellStyle name="Euro 2 3 2 2 4" xfId="4878"/>
    <cellStyle name="Euro 2 3 2 2 5" xfId="4879"/>
    <cellStyle name="Euro 2 3 2 2_DeltaViewer" xfId="4880"/>
    <cellStyle name="Euro 2 3 2 3" xfId="4881"/>
    <cellStyle name="Euro 2 3 2 4" xfId="4882"/>
    <cellStyle name="Euro 2 3 2 5" xfId="4883"/>
    <cellStyle name="Euro 2 3 2 6" xfId="4884"/>
    <cellStyle name="Euro 2 3 2_DeltaViewer" xfId="4885"/>
    <cellStyle name="Euro 2 3 3" xfId="4886"/>
    <cellStyle name="Euro 2 3 3 2" xfId="4887"/>
    <cellStyle name="Euro 2 3 3 3" xfId="4888"/>
    <cellStyle name="Euro 2 3 3 4" xfId="4889"/>
    <cellStyle name="Euro 2 3 3 5" xfId="4890"/>
    <cellStyle name="Euro 2 3 3_DeltaViewer" xfId="4891"/>
    <cellStyle name="Euro 2 3 4" xfId="4892"/>
    <cellStyle name="Euro 2 3 5" xfId="4893"/>
    <cellStyle name="Euro 2 3 6" xfId="4894"/>
    <cellStyle name="Euro 2 3 7" xfId="4895"/>
    <cellStyle name="Euro 2 3 8" xfId="4896"/>
    <cellStyle name="Euro 2 3_DeltaViewer" xfId="4897"/>
    <cellStyle name="Euro 2 4" xfId="4898"/>
    <cellStyle name="Euro 2 4 2" xfId="4899"/>
    <cellStyle name="Euro 2 4 2 2" xfId="4900"/>
    <cellStyle name="Euro 2 4 2 3" xfId="4901"/>
    <cellStyle name="Euro 2 4 2 4" xfId="4902"/>
    <cellStyle name="Euro 2 4 2 5" xfId="4903"/>
    <cellStyle name="Euro 2 4 2_DeltaViewer" xfId="4904"/>
    <cellStyle name="Euro 2 4 3" xfId="4905"/>
    <cellStyle name="Euro 2 4 4" xfId="4906"/>
    <cellStyle name="Euro 2 4 5" xfId="4907"/>
    <cellStyle name="Euro 2 4 6" xfId="4908"/>
    <cellStyle name="Euro 2 4_DeltaViewer" xfId="4909"/>
    <cellStyle name="Euro 2 5" xfId="4910"/>
    <cellStyle name="Euro 2 5 2" xfId="4911"/>
    <cellStyle name="Euro 2 5 2 2" xfId="4912"/>
    <cellStyle name="Euro 2 5 2 3" xfId="4913"/>
    <cellStyle name="Euro 2 5 2 4" xfId="4914"/>
    <cellStyle name="Euro 2 5 2 5" xfId="4915"/>
    <cellStyle name="Euro 2 5 2_DeltaViewer" xfId="4916"/>
    <cellStyle name="Euro 2 5 3" xfId="4917"/>
    <cellStyle name="Euro 2 5 4" xfId="4918"/>
    <cellStyle name="Euro 2 5 5" xfId="4919"/>
    <cellStyle name="Euro 2 5 6" xfId="4920"/>
    <cellStyle name="Euro 2 5_DeltaViewer" xfId="4921"/>
    <cellStyle name="Euro 2 6" xfId="4922"/>
    <cellStyle name="Euro 2 6 2" xfId="4923"/>
    <cellStyle name="Euro 2 6 3" xfId="4924"/>
    <cellStyle name="Euro 2 6 4" xfId="4925"/>
    <cellStyle name="Euro 2 6 5" xfId="4926"/>
    <cellStyle name="Euro 2 6_DeltaViewer" xfId="4927"/>
    <cellStyle name="Euro 2 7" xfId="4928"/>
    <cellStyle name="Euro 2 8" xfId="4929"/>
    <cellStyle name="Euro 2 9" xfId="4930"/>
    <cellStyle name="Euro 2_DeltaViewer" xfId="4931"/>
    <cellStyle name="Euro 20" xfId="4932"/>
    <cellStyle name="Euro 20 2" xfId="4933"/>
    <cellStyle name="Euro 20 2 2" xfId="4934"/>
    <cellStyle name="Euro 20 2 3" xfId="4935"/>
    <cellStyle name="Euro 20 2 4" xfId="4936"/>
    <cellStyle name="Euro 20 2 5" xfId="4937"/>
    <cellStyle name="Euro 20 2_DeltaViewer" xfId="4938"/>
    <cellStyle name="Euro 20 3" xfId="4939"/>
    <cellStyle name="Euro 20 4" xfId="4940"/>
    <cellStyle name="Euro 20 5" xfId="4941"/>
    <cellStyle name="Euro 20 6" xfId="4942"/>
    <cellStyle name="Euro 20_DeltaViewer" xfId="4943"/>
    <cellStyle name="Euro 21" xfId="4944"/>
    <cellStyle name="Euro 21 2" xfId="4945"/>
    <cellStyle name="Euro 21 2 2" xfId="4946"/>
    <cellStyle name="Euro 21 2 3" xfId="4947"/>
    <cellStyle name="Euro 21 2 4" xfId="4948"/>
    <cellStyle name="Euro 21 2 5" xfId="4949"/>
    <cellStyle name="Euro 21 2_DeltaViewer" xfId="4950"/>
    <cellStyle name="Euro 21 3" xfId="4951"/>
    <cellStyle name="Euro 21 4" xfId="4952"/>
    <cellStyle name="Euro 21 5" xfId="4953"/>
    <cellStyle name="Euro 21 6" xfId="4954"/>
    <cellStyle name="Euro 21_DeltaViewer" xfId="4955"/>
    <cellStyle name="Euro 22" xfId="4956"/>
    <cellStyle name="Euro 23" xfId="4957"/>
    <cellStyle name="Euro 24" xfId="4958"/>
    <cellStyle name="Euro 25" xfId="4959"/>
    <cellStyle name="Euro 3" xfId="4960"/>
    <cellStyle name="Euro 3 10" xfId="4961"/>
    <cellStyle name="Euro 3 11" xfId="4962"/>
    <cellStyle name="Euro 3 12" xfId="4963"/>
    <cellStyle name="Euro 3 2" xfId="4964"/>
    <cellStyle name="Euro 3 2 2" xfId="4965"/>
    <cellStyle name="Euro 3 2 2 2" xfId="4966"/>
    <cellStyle name="Euro 3 2 2 2 2" xfId="4967"/>
    <cellStyle name="Euro 3 2 2 2 3" xfId="4968"/>
    <cellStyle name="Euro 3 2 2 2 4" xfId="4969"/>
    <cellStyle name="Euro 3 2 2 2 5" xfId="4970"/>
    <cellStyle name="Euro 3 2 2 2_DeltaViewer" xfId="4971"/>
    <cellStyle name="Euro 3 2 2 3" xfId="4972"/>
    <cellStyle name="Euro 3 2 2 4" xfId="4973"/>
    <cellStyle name="Euro 3 2 2 5" xfId="4974"/>
    <cellStyle name="Euro 3 2 2 6" xfId="4975"/>
    <cellStyle name="Euro 3 2 2_DeltaViewer" xfId="4976"/>
    <cellStyle name="Euro 3 2 3" xfId="4977"/>
    <cellStyle name="Euro 3 2 3 2" xfId="4978"/>
    <cellStyle name="Euro 3 2 3 3" xfId="4979"/>
    <cellStyle name="Euro 3 2 3 4" xfId="4980"/>
    <cellStyle name="Euro 3 2 3 5" xfId="4981"/>
    <cellStyle name="Euro 3 2 3_DeltaViewer" xfId="4982"/>
    <cellStyle name="Euro 3 2 4" xfId="4983"/>
    <cellStyle name="Euro 3 2 5" xfId="4984"/>
    <cellStyle name="Euro 3 2 6" xfId="4985"/>
    <cellStyle name="Euro 3 2 7" xfId="4986"/>
    <cellStyle name="Euro 3 2 8" xfId="4987"/>
    <cellStyle name="Euro 3 2_DeltaViewer" xfId="4988"/>
    <cellStyle name="Euro 3 3" xfId="4989"/>
    <cellStyle name="Euro 3 3 2" xfId="4990"/>
    <cellStyle name="Euro 3 3 2 2" xfId="4991"/>
    <cellStyle name="Euro 3 3 2 2 2" xfId="4992"/>
    <cellStyle name="Euro 3 3 2 2 3" xfId="4993"/>
    <cellStyle name="Euro 3 3 2 2 4" xfId="4994"/>
    <cellStyle name="Euro 3 3 2 2 5" xfId="4995"/>
    <cellStyle name="Euro 3 3 2 2_DeltaViewer" xfId="4996"/>
    <cellStyle name="Euro 3 3 2 3" xfId="4997"/>
    <cellStyle name="Euro 3 3 2 4" xfId="4998"/>
    <cellStyle name="Euro 3 3 2 5" xfId="4999"/>
    <cellStyle name="Euro 3 3 2 6" xfId="5000"/>
    <cellStyle name="Euro 3 3 2_DeltaViewer" xfId="5001"/>
    <cellStyle name="Euro 3 3 3" xfId="5002"/>
    <cellStyle name="Euro 3 3 3 2" xfId="5003"/>
    <cellStyle name="Euro 3 3 3 3" xfId="5004"/>
    <cellStyle name="Euro 3 3 3 4" xfId="5005"/>
    <cellStyle name="Euro 3 3 3 5" xfId="5006"/>
    <cellStyle name="Euro 3 3 3_DeltaViewer" xfId="5007"/>
    <cellStyle name="Euro 3 3 4" xfId="5008"/>
    <cellStyle name="Euro 3 3 5" xfId="5009"/>
    <cellStyle name="Euro 3 3 6" xfId="5010"/>
    <cellStyle name="Euro 3 3 7" xfId="5011"/>
    <cellStyle name="Euro 3 3 8" xfId="5012"/>
    <cellStyle name="Euro 3 3_DeltaViewer" xfId="5013"/>
    <cellStyle name="Euro 3 4" xfId="5014"/>
    <cellStyle name="Euro 3 4 2" xfId="5015"/>
    <cellStyle name="Euro 3 4 2 2" xfId="5016"/>
    <cellStyle name="Euro 3 4 2 2 2" xfId="5017"/>
    <cellStyle name="Euro 3 4 2 2 3" xfId="5018"/>
    <cellStyle name="Euro 3 4 2 2 4" xfId="5019"/>
    <cellStyle name="Euro 3 4 2 2 5" xfId="5020"/>
    <cellStyle name="Euro 3 4 2 2_DeltaViewer" xfId="5021"/>
    <cellStyle name="Euro 3 4 2 3" xfId="5022"/>
    <cellStyle name="Euro 3 4 2 4" xfId="5023"/>
    <cellStyle name="Euro 3 4 2 5" xfId="5024"/>
    <cellStyle name="Euro 3 4 2 6" xfId="5025"/>
    <cellStyle name="Euro 3 4 2_DeltaViewer" xfId="5026"/>
    <cellStyle name="Euro 3 4 3" xfId="5027"/>
    <cellStyle name="Euro 3 4 3 2" xfId="5028"/>
    <cellStyle name="Euro 3 4 3 3" xfId="5029"/>
    <cellStyle name="Euro 3 4 3 4" xfId="5030"/>
    <cellStyle name="Euro 3 4 3 5" xfId="5031"/>
    <cellStyle name="Euro 3 4 3_DeltaViewer" xfId="5032"/>
    <cellStyle name="Euro 3 4 4" xfId="5033"/>
    <cellStyle name="Euro 3 4 5" xfId="5034"/>
    <cellStyle name="Euro 3 4 6" xfId="5035"/>
    <cellStyle name="Euro 3 4 7" xfId="5036"/>
    <cellStyle name="Euro 3 4_DeltaViewer" xfId="5037"/>
    <cellStyle name="Euro 3 5" xfId="5038"/>
    <cellStyle name="Euro 3 5 2" xfId="5039"/>
    <cellStyle name="Euro 3 5 2 2" xfId="5040"/>
    <cellStyle name="Euro 3 5 2 3" xfId="5041"/>
    <cellStyle name="Euro 3 5 2 4" xfId="5042"/>
    <cellStyle name="Euro 3 5 2 5" xfId="5043"/>
    <cellStyle name="Euro 3 5 2_DeltaViewer" xfId="5044"/>
    <cellStyle name="Euro 3 5 3" xfId="5045"/>
    <cellStyle name="Euro 3 5 4" xfId="5046"/>
    <cellStyle name="Euro 3 5 5" xfId="5047"/>
    <cellStyle name="Euro 3 5 6" xfId="5048"/>
    <cellStyle name="Euro 3 5_DeltaViewer" xfId="5049"/>
    <cellStyle name="Euro 3 6" xfId="5050"/>
    <cellStyle name="Euro 3 6 2" xfId="5051"/>
    <cellStyle name="Euro 3 6 2 2" xfId="5052"/>
    <cellStyle name="Euro 3 6 2 3" xfId="5053"/>
    <cellStyle name="Euro 3 6 2 4" xfId="5054"/>
    <cellStyle name="Euro 3 6 2 5" xfId="5055"/>
    <cellStyle name="Euro 3 6 2_DeltaViewer" xfId="5056"/>
    <cellStyle name="Euro 3 6 3" xfId="5057"/>
    <cellStyle name="Euro 3 6 4" xfId="5058"/>
    <cellStyle name="Euro 3 6 5" xfId="5059"/>
    <cellStyle name="Euro 3 6 6" xfId="5060"/>
    <cellStyle name="Euro 3 6_DeltaViewer" xfId="5061"/>
    <cellStyle name="Euro 3 7" xfId="5062"/>
    <cellStyle name="Euro 3 7 2" xfId="5063"/>
    <cellStyle name="Euro 3 7 3" xfId="5064"/>
    <cellStyle name="Euro 3 7 4" xfId="5065"/>
    <cellStyle name="Euro 3 7 5" xfId="5066"/>
    <cellStyle name="Euro 3 7_DeltaViewer" xfId="5067"/>
    <cellStyle name="Euro 3 8" xfId="5068"/>
    <cellStyle name="Euro 3 9" xfId="5069"/>
    <cellStyle name="Euro 3_DeltaViewer" xfId="5070"/>
    <cellStyle name="Euro 4" xfId="5071"/>
    <cellStyle name="Euro 4 10" xfId="5072"/>
    <cellStyle name="Euro 4 2" xfId="5073"/>
    <cellStyle name="Euro 4 2 2" xfId="5074"/>
    <cellStyle name="Euro 4 2 2 2" xfId="5075"/>
    <cellStyle name="Euro 4 2 2 2 2" xfId="5076"/>
    <cellStyle name="Euro 4 2 2 2 2 2" xfId="5077"/>
    <cellStyle name="Euro 4 2 2 2 2 3" xfId="5078"/>
    <cellStyle name="Euro 4 2 2 2 2 4" xfId="5079"/>
    <cellStyle name="Euro 4 2 2 2 2 5" xfId="5080"/>
    <cellStyle name="Euro 4 2 2 2 2_DeltaViewer" xfId="5081"/>
    <cellStyle name="Euro 4 2 2 2 3" xfId="5082"/>
    <cellStyle name="Euro 4 2 2 2 4" xfId="5083"/>
    <cellStyle name="Euro 4 2 2 2 5" xfId="5084"/>
    <cellStyle name="Euro 4 2 2 2 6" xfId="5085"/>
    <cellStyle name="Euro 4 2 2 2_DeltaViewer" xfId="5086"/>
    <cellStyle name="Euro 4 2 2 3" xfId="5087"/>
    <cellStyle name="Euro 4 2 2 3 2" xfId="5088"/>
    <cellStyle name="Euro 4 2 2 3 3" xfId="5089"/>
    <cellStyle name="Euro 4 2 2 3 4" xfId="5090"/>
    <cellStyle name="Euro 4 2 2 3 5" xfId="5091"/>
    <cellStyle name="Euro 4 2 2 3_DeltaViewer" xfId="5092"/>
    <cellStyle name="Euro 4 2 2 4" xfId="5093"/>
    <cellStyle name="Euro 4 2 2 5" xfId="5094"/>
    <cellStyle name="Euro 4 2 2 6" xfId="5095"/>
    <cellStyle name="Euro 4 2 2 7" xfId="5096"/>
    <cellStyle name="Euro 4 2 2_DeltaViewer" xfId="5097"/>
    <cellStyle name="Euro 4 2 3" xfId="5098"/>
    <cellStyle name="Euro 4 2 3 2" xfId="5099"/>
    <cellStyle name="Euro 4 2 3 2 2" xfId="5100"/>
    <cellStyle name="Euro 4 2 3 2 3" xfId="5101"/>
    <cellStyle name="Euro 4 2 3 2 4" xfId="5102"/>
    <cellStyle name="Euro 4 2 3 2 5" xfId="5103"/>
    <cellStyle name="Euro 4 2 3 2_DeltaViewer" xfId="5104"/>
    <cellStyle name="Euro 4 2 3 3" xfId="5105"/>
    <cellStyle name="Euro 4 2 3 4" xfId="5106"/>
    <cellStyle name="Euro 4 2 3 5" xfId="5107"/>
    <cellStyle name="Euro 4 2 3 6" xfId="5108"/>
    <cellStyle name="Euro 4 2 3_DeltaViewer" xfId="5109"/>
    <cellStyle name="Euro 4 2 4" xfId="5110"/>
    <cellStyle name="Euro 4 2 4 2" xfId="5111"/>
    <cellStyle name="Euro 4 2 4 2 2" xfId="5112"/>
    <cellStyle name="Euro 4 2 4 2 3" xfId="5113"/>
    <cellStyle name="Euro 4 2 4 2 4" xfId="5114"/>
    <cellStyle name="Euro 4 2 4 2 5" xfId="5115"/>
    <cellStyle name="Euro 4 2 4 2_DeltaViewer" xfId="5116"/>
    <cellStyle name="Euro 4 2 4 3" xfId="5117"/>
    <cellStyle name="Euro 4 2 4 4" xfId="5118"/>
    <cellStyle name="Euro 4 2 4 5" xfId="5119"/>
    <cellStyle name="Euro 4 2 4 6" xfId="5120"/>
    <cellStyle name="Euro 4 2 4_DeltaViewer" xfId="5121"/>
    <cellStyle name="Euro 4 2 5" xfId="5122"/>
    <cellStyle name="Euro 4 2 5 2" xfId="5123"/>
    <cellStyle name="Euro 4 2 5 2 2" xfId="5124"/>
    <cellStyle name="Euro 4 2 5 2 3" xfId="5125"/>
    <cellStyle name="Euro 4 2 5 2 4" xfId="5126"/>
    <cellStyle name="Euro 4 2 5 2 5" xfId="5127"/>
    <cellStyle name="Euro 4 2 5 2_DeltaViewer" xfId="5128"/>
    <cellStyle name="Euro 4 2 5 3" xfId="5129"/>
    <cellStyle name="Euro 4 2 5 4" xfId="5130"/>
    <cellStyle name="Euro 4 2 5 5" xfId="5131"/>
    <cellStyle name="Euro 4 2 5 6" xfId="5132"/>
    <cellStyle name="Euro 4 2 5_DeltaViewer" xfId="5133"/>
    <cellStyle name="Euro 4 2 6" xfId="5134"/>
    <cellStyle name="Euro 4 2 7" xfId="5135"/>
    <cellStyle name="Euro 4 2 8" xfId="5136"/>
    <cellStyle name="Euro 4 2 9" xfId="5137"/>
    <cellStyle name="Euro 4 2_DeltaViewer" xfId="5138"/>
    <cellStyle name="Euro 4 3" xfId="5139"/>
    <cellStyle name="Euro 4 3 2" xfId="5140"/>
    <cellStyle name="Euro 4 3 2 2" xfId="5141"/>
    <cellStyle name="Euro 4 3 2 2 2" xfId="5142"/>
    <cellStyle name="Euro 4 3 2 2 3" xfId="5143"/>
    <cellStyle name="Euro 4 3 2 2 4" xfId="5144"/>
    <cellStyle name="Euro 4 3 2 2 5" xfId="5145"/>
    <cellStyle name="Euro 4 3 2 2_DeltaViewer" xfId="5146"/>
    <cellStyle name="Euro 4 3 2 3" xfId="5147"/>
    <cellStyle name="Euro 4 3 2 4" xfId="5148"/>
    <cellStyle name="Euro 4 3 2 5" xfId="5149"/>
    <cellStyle name="Euro 4 3 2 6" xfId="5150"/>
    <cellStyle name="Euro 4 3 2_DeltaViewer" xfId="5151"/>
    <cellStyle name="Euro 4 3 3" xfId="5152"/>
    <cellStyle name="Euro 4 3 3 2" xfId="5153"/>
    <cellStyle name="Euro 4 3 3 3" xfId="5154"/>
    <cellStyle name="Euro 4 3 3 4" xfId="5155"/>
    <cellStyle name="Euro 4 3 3 5" xfId="5156"/>
    <cellStyle name="Euro 4 3 3_DeltaViewer" xfId="5157"/>
    <cellStyle name="Euro 4 3 4" xfId="5158"/>
    <cellStyle name="Euro 4 3 5" xfId="5159"/>
    <cellStyle name="Euro 4 3 6" xfId="5160"/>
    <cellStyle name="Euro 4 3 7" xfId="5161"/>
    <cellStyle name="Euro 4 3_DeltaViewer" xfId="5162"/>
    <cellStyle name="Euro 4 4" xfId="5163"/>
    <cellStyle name="Euro 4 4 2" xfId="5164"/>
    <cellStyle name="Euro 4 4 2 2" xfId="5165"/>
    <cellStyle name="Euro 4 4 2 3" xfId="5166"/>
    <cellStyle name="Euro 4 4 2 4" xfId="5167"/>
    <cellStyle name="Euro 4 4 2 5" xfId="5168"/>
    <cellStyle name="Euro 4 4 2_DeltaViewer" xfId="5169"/>
    <cellStyle name="Euro 4 4 3" xfId="5170"/>
    <cellStyle name="Euro 4 4 4" xfId="5171"/>
    <cellStyle name="Euro 4 4 5" xfId="5172"/>
    <cellStyle name="Euro 4 4 6" xfId="5173"/>
    <cellStyle name="Euro 4 4_DeltaViewer" xfId="5174"/>
    <cellStyle name="Euro 4 5" xfId="5175"/>
    <cellStyle name="Euro 4 5 2" xfId="5176"/>
    <cellStyle name="Euro 4 5 2 2" xfId="5177"/>
    <cellStyle name="Euro 4 5 2 3" xfId="5178"/>
    <cellStyle name="Euro 4 5 2 4" xfId="5179"/>
    <cellStyle name="Euro 4 5 2 5" xfId="5180"/>
    <cellStyle name="Euro 4 5 2_DeltaViewer" xfId="5181"/>
    <cellStyle name="Euro 4 5 3" xfId="5182"/>
    <cellStyle name="Euro 4 5 4" xfId="5183"/>
    <cellStyle name="Euro 4 5 5" xfId="5184"/>
    <cellStyle name="Euro 4 5 6" xfId="5185"/>
    <cellStyle name="Euro 4 5_DeltaViewer" xfId="5186"/>
    <cellStyle name="Euro 4 6" xfId="5187"/>
    <cellStyle name="Euro 4 6 2" xfId="5188"/>
    <cellStyle name="Euro 4 6 2 2" xfId="5189"/>
    <cellStyle name="Euro 4 6 2 3" xfId="5190"/>
    <cellStyle name="Euro 4 6 2 4" xfId="5191"/>
    <cellStyle name="Euro 4 6 2 5" xfId="5192"/>
    <cellStyle name="Euro 4 6 2_DeltaViewer" xfId="5193"/>
    <cellStyle name="Euro 4 6 3" xfId="5194"/>
    <cellStyle name="Euro 4 6 4" xfId="5195"/>
    <cellStyle name="Euro 4 6 5" xfId="5196"/>
    <cellStyle name="Euro 4 6 6" xfId="5197"/>
    <cellStyle name="Euro 4 6_DeltaViewer" xfId="5198"/>
    <cellStyle name="Euro 4 7" xfId="5199"/>
    <cellStyle name="Euro 4 8" xfId="5200"/>
    <cellStyle name="Euro 4 9" xfId="5201"/>
    <cellStyle name="Euro 4_DeltaViewer" xfId="5202"/>
    <cellStyle name="Euro 5" xfId="5203"/>
    <cellStyle name="Euro 5 2" xfId="5204"/>
    <cellStyle name="Euro 5 2 2" xfId="5205"/>
    <cellStyle name="Euro 5 2 2 2" xfId="5206"/>
    <cellStyle name="Euro 5 2 2 3" xfId="5207"/>
    <cellStyle name="Euro 5 2 2 4" xfId="5208"/>
    <cellStyle name="Euro 5 2 2 5" xfId="5209"/>
    <cellStyle name="Euro 5 2 2_DeltaViewer" xfId="5210"/>
    <cellStyle name="Euro 5 2 3" xfId="5211"/>
    <cellStyle name="Euro 5 2 4" xfId="5212"/>
    <cellStyle name="Euro 5 2 5" xfId="5213"/>
    <cellStyle name="Euro 5 2 6" xfId="5214"/>
    <cellStyle name="Euro 5 2_DeltaViewer" xfId="5215"/>
    <cellStyle name="Euro 5 3" xfId="5216"/>
    <cellStyle name="Euro 5 3 2" xfId="5217"/>
    <cellStyle name="Euro 5 3 3" xfId="5218"/>
    <cellStyle name="Euro 5 3 4" xfId="5219"/>
    <cellStyle name="Euro 5 3 5" xfId="5220"/>
    <cellStyle name="Euro 5 3_DeltaViewer" xfId="5221"/>
    <cellStyle name="Euro 5 4" xfId="5222"/>
    <cellStyle name="Euro 5 5" xfId="5223"/>
    <cellStyle name="Euro 5 6" xfId="5224"/>
    <cellStyle name="Euro 5 7" xfId="5225"/>
    <cellStyle name="Euro 5_DeltaViewer" xfId="5226"/>
    <cellStyle name="Euro 6" xfId="5227"/>
    <cellStyle name="Euro 6 2" xfId="5228"/>
    <cellStyle name="Euro 6 2 2" xfId="5229"/>
    <cellStyle name="Euro 6 2 2 2" xfId="5230"/>
    <cellStyle name="Euro 6 2 2 2 2" xfId="5231"/>
    <cellStyle name="Euro 6 2 2 2 3" xfId="5232"/>
    <cellStyle name="Euro 6 2 2 2 4" xfId="5233"/>
    <cellStyle name="Euro 6 2 2 2 5" xfId="5234"/>
    <cellStyle name="Euro 6 2 2 2_DeltaViewer" xfId="5235"/>
    <cellStyle name="Euro 6 2 2 3" xfId="5236"/>
    <cellStyle name="Euro 6 2 2 4" xfId="5237"/>
    <cellStyle name="Euro 6 2 2 5" xfId="5238"/>
    <cellStyle name="Euro 6 2 2 6" xfId="5239"/>
    <cellStyle name="Euro 6 2 2_DeltaViewer" xfId="5240"/>
    <cellStyle name="Euro 6 2 3" xfId="5241"/>
    <cellStyle name="Euro 6 2 3 2" xfId="5242"/>
    <cellStyle name="Euro 6 2 3 3" xfId="5243"/>
    <cellStyle name="Euro 6 2 3 4" xfId="5244"/>
    <cellStyle name="Euro 6 2 3 5" xfId="5245"/>
    <cellStyle name="Euro 6 2 3_DeltaViewer" xfId="5246"/>
    <cellStyle name="Euro 6 2 4" xfId="5247"/>
    <cellStyle name="Euro 6 2 5" xfId="5248"/>
    <cellStyle name="Euro 6 2 6" xfId="5249"/>
    <cellStyle name="Euro 6 2 7" xfId="5250"/>
    <cellStyle name="Euro 6 2_DeltaViewer" xfId="5251"/>
    <cellStyle name="Euro 6 3" xfId="5252"/>
    <cellStyle name="Euro 6 3 2" xfId="5253"/>
    <cellStyle name="Euro 6 3 2 2" xfId="5254"/>
    <cellStyle name="Euro 6 3 2 3" xfId="5255"/>
    <cellStyle name="Euro 6 3 2 4" xfId="5256"/>
    <cellStyle name="Euro 6 3 2 5" xfId="5257"/>
    <cellStyle name="Euro 6 3 2_DeltaViewer" xfId="5258"/>
    <cellStyle name="Euro 6 3 3" xfId="5259"/>
    <cellStyle name="Euro 6 3 4" xfId="5260"/>
    <cellStyle name="Euro 6 3 5" xfId="5261"/>
    <cellStyle name="Euro 6 3 6" xfId="5262"/>
    <cellStyle name="Euro 6 3_DeltaViewer" xfId="5263"/>
    <cellStyle name="Euro 6 4" xfId="5264"/>
    <cellStyle name="Euro 6 4 2" xfId="5265"/>
    <cellStyle name="Euro 6 4 3" xfId="5266"/>
    <cellStyle name="Euro 6 4 4" xfId="5267"/>
    <cellStyle name="Euro 6 4 5" xfId="5268"/>
    <cellStyle name="Euro 6 4_DeltaViewer" xfId="5269"/>
    <cellStyle name="Euro 6 5" xfId="5270"/>
    <cellStyle name="Euro 6 6" xfId="5271"/>
    <cellStyle name="Euro 6 7" xfId="5272"/>
    <cellStyle name="Euro 6 8" xfId="5273"/>
    <cellStyle name="Euro 6_DeltaViewer" xfId="5274"/>
    <cellStyle name="Euro 7" xfId="5275"/>
    <cellStyle name="Euro 7 2" xfId="5276"/>
    <cellStyle name="Euro 7 2 2" xfId="5277"/>
    <cellStyle name="Euro 7 2 2 2" xfId="5278"/>
    <cellStyle name="Euro 7 2 2 3" xfId="5279"/>
    <cellStyle name="Euro 7 2 2 4" xfId="5280"/>
    <cellStyle name="Euro 7 2 2 5" xfId="5281"/>
    <cellStyle name="Euro 7 2 2_DeltaViewer" xfId="5282"/>
    <cellStyle name="Euro 7 2 3" xfId="5283"/>
    <cellStyle name="Euro 7 2 4" xfId="5284"/>
    <cellStyle name="Euro 7 2 5" xfId="5285"/>
    <cellStyle name="Euro 7 2 6" xfId="5286"/>
    <cellStyle name="Euro 7 2_DeltaViewer" xfId="5287"/>
    <cellStyle name="Euro 7 3" xfId="5288"/>
    <cellStyle name="Euro 7 3 2" xfId="5289"/>
    <cellStyle name="Euro 7 3 3" xfId="5290"/>
    <cellStyle name="Euro 7 3 4" xfId="5291"/>
    <cellStyle name="Euro 7 3 5" xfId="5292"/>
    <cellStyle name="Euro 7 3_DeltaViewer" xfId="5293"/>
    <cellStyle name="Euro 7 4" xfId="5294"/>
    <cellStyle name="Euro 7 5" xfId="5295"/>
    <cellStyle name="Euro 7 6" xfId="5296"/>
    <cellStyle name="Euro 7 7" xfId="5297"/>
    <cellStyle name="Euro 7_DeltaViewer" xfId="5298"/>
    <cellStyle name="Euro 8" xfId="5299"/>
    <cellStyle name="Euro 8 2" xfId="5300"/>
    <cellStyle name="Euro 8 2 2" xfId="5301"/>
    <cellStyle name="Euro 8 2 2 2" xfId="5302"/>
    <cellStyle name="Euro 8 2 2 3" xfId="5303"/>
    <cellStyle name="Euro 8 2 2 4" xfId="5304"/>
    <cellStyle name="Euro 8 2 2 5" xfId="5305"/>
    <cellStyle name="Euro 8 2 2_DeltaViewer" xfId="5306"/>
    <cellStyle name="Euro 8 2 3" xfId="5307"/>
    <cellStyle name="Euro 8 2 4" xfId="5308"/>
    <cellStyle name="Euro 8 2 5" xfId="5309"/>
    <cellStyle name="Euro 8 2 6" xfId="5310"/>
    <cellStyle name="Euro 8 2_DeltaViewer" xfId="5311"/>
    <cellStyle name="Euro 8 3" xfId="5312"/>
    <cellStyle name="Euro 8 3 2" xfId="5313"/>
    <cellStyle name="Euro 8 3 3" xfId="5314"/>
    <cellStyle name="Euro 8 3 4" xfId="5315"/>
    <cellStyle name="Euro 8 3 5" xfId="5316"/>
    <cellStyle name="Euro 8 3_DeltaViewer" xfId="5317"/>
    <cellStyle name="Euro 8 4" xfId="5318"/>
    <cellStyle name="Euro 8 5" xfId="5319"/>
    <cellStyle name="Euro 8 6" xfId="5320"/>
    <cellStyle name="Euro 8 7" xfId="5321"/>
    <cellStyle name="Euro 8_DeltaViewer" xfId="5322"/>
    <cellStyle name="Euro 9" xfId="5323"/>
    <cellStyle name="Euro 9 2" xfId="5324"/>
    <cellStyle name="Euro 9 2 2" xfId="5325"/>
    <cellStyle name="Euro 9 2 2 2" xfId="5326"/>
    <cellStyle name="Euro 9 2 2 3" xfId="5327"/>
    <cellStyle name="Euro 9 2 2 4" xfId="5328"/>
    <cellStyle name="Euro 9 2 2 5" xfId="5329"/>
    <cellStyle name="Euro 9 2 2_DeltaViewer" xfId="5330"/>
    <cellStyle name="Euro 9 2 3" xfId="5331"/>
    <cellStyle name="Euro 9 2 4" xfId="5332"/>
    <cellStyle name="Euro 9 2 5" xfId="5333"/>
    <cellStyle name="Euro 9 2 6" xfId="5334"/>
    <cellStyle name="Euro 9 2_DeltaViewer" xfId="5335"/>
    <cellStyle name="Euro 9 3" xfId="5336"/>
    <cellStyle name="Euro 9 3 2" xfId="5337"/>
    <cellStyle name="Euro 9 3 3" xfId="5338"/>
    <cellStyle name="Euro 9 3 4" xfId="5339"/>
    <cellStyle name="Euro 9 3 5" xfId="5340"/>
    <cellStyle name="Euro 9 3_DeltaViewer" xfId="5341"/>
    <cellStyle name="Euro 9 4" xfId="5342"/>
    <cellStyle name="Euro 9 5" xfId="5343"/>
    <cellStyle name="Euro 9 6" xfId="5344"/>
    <cellStyle name="Euro 9 7" xfId="5345"/>
    <cellStyle name="Euro 9_DeltaViewer" xfId="5346"/>
    <cellStyle name="Euro_Bfly" xfId="5347"/>
    <cellStyle name="Explanatory Text 10" xfId="5348"/>
    <cellStyle name="Explanatory Text 11" xfId="5349"/>
    <cellStyle name="Explanatory Text 2" xfId="5350"/>
    <cellStyle name="Explanatory Text 2 2" xfId="5351"/>
    <cellStyle name="Explanatory Text 2_DeltaViewer" xfId="5352"/>
    <cellStyle name="Explanatory Text 3" xfId="5353"/>
    <cellStyle name="Explanatory Text 4" xfId="5354"/>
    <cellStyle name="Explanatory Text 5" xfId="5355"/>
    <cellStyle name="Explanatory Text 6" xfId="5356"/>
    <cellStyle name="Explanatory Text 7" xfId="5357"/>
    <cellStyle name="Explanatory Text 8" xfId="5358"/>
    <cellStyle name="Explanatory Text 9" xfId="5359"/>
    <cellStyle name="F2" xfId="5360"/>
    <cellStyle name="F2 2" xfId="5361"/>
    <cellStyle name="F2 3" xfId="5362"/>
    <cellStyle name="F2_DeltaViewer" xfId="5363"/>
    <cellStyle name="F3" xfId="5364"/>
    <cellStyle name="F3 2" xfId="5365"/>
    <cellStyle name="F3 3" xfId="5366"/>
    <cellStyle name="F3_DeltaViewer" xfId="5367"/>
    <cellStyle name="F4" xfId="5368"/>
    <cellStyle name="F4 2" xfId="5369"/>
    <cellStyle name="F4 3" xfId="5370"/>
    <cellStyle name="F4_DeltaViewer" xfId="5371"/>
    <cellStyle name="F5" xfId="5372"/>
    <cellStyle name="F5 2" xfId="5373"/>
    <cellStyle name="F5 3" xfId="5374"/>
    <cellStyle name="F5_DeltaViewer" xfId="5375"/>
    <cellStyle name="F6" xfId="5376"/>
    <cellStyle name="F6 2" xfId="5377"/>
    <cellStyle name="F6 3" xfId="5378"/>
    <cellStyle name="F6_DeltaViewer" xfId="5379"/>
    <cellStyle name="F7" xfId="5380"/>
    <cellStyle name="F7 2" xfId="5381"/>
    <cellStyle name="F7 3" xfId="5382"/>
    <cellStyle name="F7_DeltaViewer" xfId="5383"/>
    <cellStyle name="F8" xfId="5384"/>
    <cellStyle name="F8 2" xfId="5385"/>
    <cellStyle name="F8 3" xfId="5386"/>
    <cellStyle name="F8_DeltaViewer" xfId="5387"/>
    <cellStyle name="Fijo" xfId="5388"/>
    <cellStyle name="Fijo 2" xfId="5389"/>
    <cellStyle name="Fijo 3" xfId="5390"/>
    <cellStyle name="Fijo_DeltaViewer" xfId="5391"/>
    <cellStyle name="Financiero" xfId="5392"/>
    <cellStyle name="Financiero 2" xfId="5393"/>
    <cellStyle name="Financiero 3" xfId="5394"/>
    <cellStyle name="Financiero_DeltaViewer" xfId="5395"/>
    <cellStyle name="Good 10" xfId="5396"/>
    <cellStyle name="Good 11" xfId="5397"/>
    <cellStyle name="Good 2" xfId="5398"/>
    <cellStyle name="Good 2 2" xfId="5399"/>
    <cellStyle name="Good 2_DeltaViewer" xfId="5400"/>
    <cellStyle name="Good 3" xfId="5401"/>
    <cellStyle name="Good 4" xfId="5402"/>
    <cellStyle name="Good 5" xfId="5403"/>
    <cellStyle name="Good 6" xfId="5404"/>
    <cellStyle name="Good 7" xfId="5405"/>
    <cellStyle name="Good 8" xfId="5406"/>
    <cellStyle name="Good 9" xfId="5407"/>
    <cellStyle name="Header" xfId="5408"/>
    <cellStyle name="Header 2" xfId="5409"/>
    <cellStyle name="Header 2 2" xfId="5410"/>
    <cellStyle name="Header 2 3" xfId="5411"/>
    <cellStyle name="Header 2 4" xfId="5412"/>
    <cellStyle name="Header 2 5" xfId="5413"/>
    <cellStyle name="Header 2 6" xfId="5414"/>
    <cellStyle name="Header 2_DeltaViewer" xfId="5415"/>
    <cellStyle name="Header_DeltaViewer" xfId="5416"/>
    <cellStyle name="Header1" xfId="5417"/>
    <cellStyle name="Header2" xfId="5418"/>
    <cellStyle name="Header2 2" xfId="5419"/>
    <cellStyle name="Header2_DeltaViewer" xfId="5420"/>
    <cellStyle name="Heading 1 10" xfId="5421"/>
    <cellStyle name="Heading 1 11" xfId="5422"/>
    <cellStyle name="Heading 1 2" xfId="5423"/>
    <cellStyle name="Heading 1 2 2" xfId="5424"/>
    <cellStyle name="Heading 1 2 3" xfId="5425"/>
    <cellStyle name="Heading 1 2_DeltaViewer" xfId="5426"/>
    <cellStyle name="Heading 1 3" xfId="5427"/>
    <cellStyle name="Heading 1 4" xfId="5428"/>
    <cellStyle name="Heading 1 5" xfId="5429"/>
    <cellStyle name="Heading 1 6" xfId="5430"/>
    <cellStyle name="Heading 1 7" xfId="5431"/>
    <cellStyle name="Heading 1 8" xfId="5432"/>
    <cellStyle name="Heading 1 9" xfId="5433"/>
    <cellStyle name="Heading 2 10" xfId="5434"/>
    <cellStyle name="Heading 2 11" xfId="5435"/>
    <cellStyle name="Heading 2 2" xfId="5436"/>
    <cellStyle name="Heading 2 2 2" xfId="5437"/>
    <cellStyle name="Heading 2 2 3" xfId="5438"/>
    <cellStyle name="Heading 2 2_DeltaViewer" xfId="5439"/>
    <cellStyle name="Heading 2 3" xfId="5440"/>
    <cellStyle name="Heading 2 4" xfId="5441"/>
    <cellStyle name="Heading 2 5" xfId="5442"/>
    <cellStyle name="Heading 2 6" xfId="5443"/>
    <cellStyle name="Heading 2 7" xfId="5444"/>
    <cellStyle name="Heading 2 8" xfId="5445"/>
    <cellStyle name="Heading 2 9" xfId="5446"/>
    <cellStyle name="Heading 3 10" xfId="5447"/>
    <cellStyle name="Heading 3 10 2" xfId="5448"/>
    <cellStyle name="Heading 3 10 2 10" xfId="24171"/>
    <cellStyle name="Heading 3 10 2 2" xfId="21444"/>
    <cellStyle name="Heading 3 10 2 2 2" xfId="26781"/>
    <cellStyle name="Heading 3 10 2 3" xfId="21580"/>
    <cellStyle name="Heading 3 10 2 3 2" xfId="26828"/>
    <cellStyle name="Heading 3 10 2 4" xfId="21565"/>
    <cellStyle name="Heading 3 10 2 4 2" xfId="26817"/>
    <cellStyle name="Heading 3 10 2 5" xfId="24216"/>
    <cellStyle name="Heading 3 10 2 5 2" xfId="29386"/>
    <cellStyle name="Heading 3 10 2 6" xfId="24184"/>
    <cellStyle name="Heading 3 10 2 6 2" xfId="29369"/>
    <cellStyle name="Heading 3 10 2 7" xfId="24159"/>
    <cellStyle name="Heading 3 10 2 7 2" xfId="29354"/>
    <cellStyle name="Heading 3 10 2 8" xfId="24168"/>
    <cellStyle name="Heading 3 10 2 8 2" xfId="29361"/>
    <cellStyle name="Heading 3 10 2 9" xfId="24148"/>
    <cellStyle name="Heading 3 10 2 9 2" xfId="29345"/>
    <cellStyle name="Heading 3 10 3" xfId="21538"/>
    <cellStyle name="Heading 3 10 3 2" xfId="26811"/>
    <cellStyle name="Heading 3 10 4" xfId="21528"/>
    <cellStyle name="Heading 3 10 4 2" xfId="26803"/>
    <cellStyle name="Heading 3 10 5" xfId="24250"/>
    <cellStyle name="Heading 3 10 5 2" xfId="29417"/>
    <cellStyle name="Heading 3 10 6" xfId="24175"/>
    <cellStyle name="Heading 3 10 6 2" xfId="29364"/>
    <cellStyle name="Heading 3 10 7" xfId="24094"/>
    <cellStyle name="Heading 3 10 7 2" xfId="29307"/>
    <cellStyle name="Heading 3 11" xfId="5449"/>
    <cellStyle name="Heading 3 11 2" xfId="5450"/>
    <cellStyle name="Heading 3 11 2 10" xfId="24197"/>
    <cellStyle name="Heading 3 11 2 2" xfId="21443"/>
    <cellStyle name="Heading 3 11 2 2 2" xfId="26780"/>
    <cellStyle name="Heading 3 11 2 3" xfId="24081"/>
    <cellStyle name="Heading 3 11 2 3 2" xfId="29304"/>
    <cellStyle name="Heading 3 11 2 4" xfId="21579"/>
    <cellStyle name="Heading 3 11 2 4 2" xfId="26827"/>
    <cellStyle name="Heading 3 11 2 5" xfId="24217"/>
    <cellStyle name="Heading 3 11 2 5 2" xfId="29387"/>
    <cellStyle name="Heading 3 11 2 6" xfId="24199"/>
    <cellStyle name="Heading 3 11 2 6 2" xfId="29380"/>
    <cellStyle name="Heading 3 11 2 7" xfId="24189"/>
    <cellStyle name="Heading 3 11 2 7 2" xfId="29373"/>
    <cellStyle name="Heading 3 11 2 8" xfId="24165"/>
    <cellStyle name="Heading 3 11 2 8 2" xfId="29360"/>
    <cellStyle name="Heading 3 11 2 9" xfId="24121"/>
    <cellStyle name="Heading 3 11 2 9 2" xfId="29324"/>
    <cellStyle name="Heading 3 11 3" xfId="21479"/>
    <cellStyle name="Heading 3 11 3 2" xfId="26788"/>
    <cellStyle name="Heading 3 11 4" xfId="21475"/>
    <cellStyle name="Heading 3 11 4 2" xfId="26784"/>
    <cellStyle name="Heading 3 11 5" xfId="24161"/>
    <cellStyle name="Heading 3 11 5 2" xfId="29356"/>
    <cellStyle name="Heading 3 11 6" xfId="24146"/>
    <cellStyle name="Heading 3 11 6 2" xfId="29343"/>
    <cellStyle name="Heading 3 11 7" xfId="24195"/>
    <cellStyle name="Heading 3 11 7 2" xfId="29377"/>
    <cellStyle name="Heading 3 2" xfId="5451"/>
    <cellStyle name="Heading 3 2 2" xfId="5452"/>
    <cellStyle name="Heading 3 2 2 2" xfId="5453"/>
    <cellStyle name="Heading 3 2 2 2 10" xfId="24166"/>
    <cellStyle name="Heading 3 2 2 2 2" xfId="21441"/>
    <cellStyle name="Heading 3 2 2 2 2 2" xfId="26778"/>
    <cellStyle name="Heading 3 2 2 2 3" xfId="21470"/>
    <cellStyle name="Heading 3 2 2 2 3 2" xfId="26783"/>
    <cellStyle name="Heading 3 2 2 2 4" xfId="21581"/>
    <cellStyle name="Heading 3 2 2 2 4 2" xfId="26829"/>
    <cellStyle name="Heading 3 2 2 2 5" xfId="24219"/>
    <cellStyle name="Heading 3 2 2 2 5 2" xfId="29389"/>
    <cellStyle name="Heading 3 2 2 2 6" xfId="24245"/>
    <cellStyle name="Heading 3 2 2 2 6 2" xfId="29414"/>
    <cellStyle name="Heading 3 2 2 2 7" xfId="24140"/>
    <cellStyle name="Heading 3 2 2 2 7 2" xfId="29339"/>
    <cellStyle name="Heading 3 2 2 2 8" xfId="24136"/>
    <cellStyle name="Heading 3 2 2 2 8 2" xfId="29335"/>
    <cellStyle name="Heading 3 2 2 2 9" xfId="24153"/>
    <cellStyle name="Heading 3 2 2 2 9 2" xfId="29349"/>
    <cellStyle name="Heading 3 2 2 3" xfId="21477"/>
    <cellStyle name="Heading 3 2 2 3 2" xfId="26786"/>
    <cellStyle name="Heading 3 2 2 4" xfId="21572"/>
    <cellStyle name="Heading 3 2 2 4 2" xfId="26823"/>
    <cellStyle name="Heading 3 2 2 5" xfId="24196"/>
    <cellStyle name="Heading 3 2 2 5 2" xfId="29378"/>
    <cellStyle name="Heading 3 2 2 6" xfId="24156"/>
    <cellStyle name="Heading 3 2 2 6 2" xfId="29351"/>
    <cellStyle name="Heading 3 2 2 7" xfId="24240"/>
    <cellStyle name="Heading 3 2 2 7 2" xfId="29409"/>
    <cellStyle name="Heading 3 2 3" xfId="5454"/>
    <cellStyle name="Heading 3 2 3 2" xfId="5455"/>
    <cellStyle name="Heading 3 2 3 2 10" xfId="24235"/>
    <cellStyle name="Heading 3 2 3 2 10 2" xfId="29405"/>
    <cellStyle name="Heading 3 2 3 2 2" xfId="21432"/>
    <cellStyle name="Heading 3 2 3 2 2 2" xfId="26769"/>
    <cellStyle name="Heading 3 2 3 2 3" xfId="21568"/>
    <cellStyle name="Heading 3 2 3 2 3 2" xfId="26820"/>
    <cellStyle name="Heading 3 2 3 2 4" xfId="21567"/>
    <cellStyle name="Heading 3 2 3 2 4 2" xfId="26819"/>
    <cellStyle name="Heading 3 2 3 2 5" xfId="24229"/>
    <cellStyle name="Heading 3 2 3 2 5 2" xfId="29399"/>
    <cellStyle name="Heading 3 2 3 2 6" xfId="24232"/>
    <cellStyle name="Heading 3 2 3 2 6 2" xfId="29402"/>
    <cellStyle name="Heading 3 2 3 2 7" xfId="24191"/>
    <cellStyle name="Heading 3 2 3 2 7 2" xfId="29375"/>
    <cellStyle name="Heading 3 2 3 2 8" xfId="24248"/>
    <cellStyle name="Heading 3 2 3 2 9" xfId="24125"/>
    <cellStyle name="Heading 3 2 3 2 9 2" xfId="29327"/>
    <cellStyle name="Heading 3 2 3 3" xfId="21548"/>
    <cellStyle name="Heading 3 2 3 3 2" xfId="26813"/>
    <cellStyle name="Heading 3 2 3 4" xfId="21533"/>
    <cellStyle name="Heading 3 2 3 4 2" xfId="26806"/>
    <cellStyle name="Heading 3 2 3 5" xfId="24093"/>
    <cellStyle name="Heading 3 2 3 5 2" xfId="29306"/>
    <cellStyle name="Heading 3 2 3 6" xfId="24214"/>
    <cellStyle name="Heading 3 2 3 6 2" xfId="29385"/>
    <cellStyle name="Heading 3 2 3 7" xfId="24107"/>
    <cellStyle name="Heading 3 2 4" xfId="5456"/>
    <cellStyle name="Heading 3 2 4 10" xfId="24215"/>
    <cellStyle name="Heading 3 2 4 2" xfId="21442"/>
    <cellStyle name="Heading 3 2 4 2 2" xfId="26779"/>
    <cellStyle name="Heading 3 2 4 3" xfId="21536"/>
    <cellStyle name="Heading 3 2 4 3 2" xfId="26809"/>
    <cellStyle name="Heading 3 2 4 4" xfId="24083"/>
    <cellStyle name="Heading 3 2 4 4 2" xfId="29305"/>
    <cellStyle name="Heading 3 2 4 5" xfId="24218"/>
    <cellStyle name="Heading 3 2 4 5 2" xfId="29388"/>
    <cellStyle name="Heading 3 2 4 6" xfId="24187"/>
    <cellStyle name="Heading 3 2 4 6 2" xfId="29372"/>
    <cellStyle name="Heading 3 2 4 7" xfId="24138"/>
    <cellStyle name="Heading 3 2 4 7 2" xfId="29337"/>
    <cellStyle name="Heading 3 2 4 8" xfId="24097"/>
    <cellStyle name="Heading 3 2 4 8 2" xfId="29310"/>
    <cellStyle name="Heading 3 2 4 9" xfId="24152"/>
    <cellStyle name="Heading 3 2 4 9 2" xfId="29348"/>
    <cellStyle name="Heading 3 2 5" xfId="21478"/>
    <cellStyle name="Heading 3 2 5 2" xfId="26787"/>
    <cellStyle name="Heading 3 2 6" xfId="21569"/>
    <cellStyle name="Heading 3 2 6 2" xfId="26821"/>
    <cellStyle name="Heading 3 2 7" xfId="24234"/>
    <cellStyle name="Heading 3 2 7 2" xfId="29404"/>
    <cellStyle name="Heading 3 2 8" xfId="24119"/>
    <cellStyle name="Heading 3 2 8 2" xfId="29323"/>
    <cellStyle name="Heading 3 2 9" xfId="24162"/>
    <cellStyle name="Heading 3 2 9 2" xfId="29357"/>
    <cellStyle name="Heading 3 2_DeltaViewer" xfId="5457"/>
    <cellStyle name="Heading 3 3" xfId="5458"/>
    <cellStyle name="Heading 3 3 2" xfId="5459"/>
    <cellStyle name="Heading 3 3 2 10" xfId="24104"/>
    <cellStyle name="Heading 3 3 2 2" xfId="21440"/>
    <cellStyle name="Heading 3 3 2 2 2" xfId="26777"/>
    <cellStyle name="Heading 3 3 2 3" xfId="21498"/>
    <cellStyle name="Heading 3 3 2 3 2" xfId="26797"/>
    <cellStyle name="Heading 3 3 2 4" xfId="21566"/>
    <cellStyle name="Heading 3 3 2 4 2" xfId="26818"/>
    <cellStyle name="Heading 3 3 2 5" xfId="24220"/>
    <cellStyle name="Heading 3 3 2 5 2" xfId="29390"/>
    <cellStyle name="Heading 3 3 2 6" xfId="24201"/>
    <cellStyle name="Heading 3 3 2 6 2" xfId="29381"/>
    <cellStyle name="Heading 3 3 2 7" xfId="24241"/>
    <cellStyle name="Heading 3 3 2 7 2" xfId="29410"/>
    <cellStyle name="Heading 3 3 2 8" xfId="24126"/>
    <cellStyle name="Heading 3 3 2 8 2" xfId="29328"/>
    <cellStyle name="Heading 3 3 2 9" xfId="24110"/>
    <cellStyle name="Heading 3 3 2 9 2" xfId="29317"/>
    <cellStyle name="Heading 3 3 3" xfId="21492"/>
    <cellStyle name="Heading 3 3 3 2" xfId="26793"/>
    <cellStyle name="Heading 3 3 4" xfId="21534"/>
    <cellStyle name="Heading 3 3 4 2" xfId="26807"/>
    <cellStyle name="Heading 3 3 5" xfId="24124"/>
    <cellStyle name="Heading 3 3 5 2" xfId="29326"/>
    <cellStyle name="Heading 3 3 6" xfId="24213"/>
    <cellStyle name="Heading 3 3 6 2" xfId="29384"/>
    <cellStyle name="Heading 3 3 7" xfId="24160"/>
    <cellStyle name="Heading 3 3 7 2" xfId="29355"/>
    <cellStyle name="Heading 3 4" xfId="5460"/>
    <cellStyle name="Heading 3 4 2" xfId="5461"/>
    <cellStyle name="Heading 3 4 2 10" xfId="24194"/>
    <cellStyle name="Heading 3 4 2 2" xfId="21439"/>
    <cellStyle name="Heading 3 4 2 2 2" xfId="26776"/>
    <cellStyle name="Heading 3 4 2 3" xfId="21502"/>
    <cellStyle name="Heading 3 4 2 3 2" xfId="26798"/>
    <cellStyle name="Heading 3 4 2 4" xfId="21493"/>
    <cellStyle name="Heading 3 4 2 4 2" xfId="26794"/>
    <cellStyle name="Heading 3 4 2 5" xfId="24221"/>
    <cellStyle name="Heading 3 4 2 5 2" xfId="29391"/>
    <cellStyle name="Heading 3 4 2 6" xfId="24113"/>
    <cellStyle name="Heading 3 4 2 6 2" xfId="29320"/>
    <cellStyle name="Heading 3 4 2 7" xfId="24133"/>
    <cellStyle name="Heading 3 4 2 7 2" xfId="29332"/>
    <cellStyle name="Heading 3 4 2 8" xfId="24163"/>
    <cellStyle name="Heading 3 4 2 8 2" xfId="29358"/>
    <cellStyle name="Heading 3 4 2 9" xfId="24100"/>
    <cellStyle name="Heading 3 4 2 9 2" xfId="29312"/>
    <cellStyle name="Heading 3 4 3" xfId="21476"/>
    <cellStyle name="Heading 3 4 3 2" xfId="26785"/>
    <cellStyle name="Heading 3 4 4" xfId="21489"/>
    <cellStyle name="Heading 3 4 4 2" xfId="26790"/>
    <cellStyle name="Heading 3 4 5" xfId="24177"/>
    <cellStyle name="Heading 3 4 5 2" xfId="29366"/>
    <cellStyle name="Heading 3 4 6" xfId="24109"/>
    <cellStyle name="Heading 3 4 6 2" xfId="29316"/>
    <cellStyle name="Heading 3 4 7" xfId="24238"/>
    <cellStyle name="Heading 3 4 7 2" xfId="29408"/>
    <cellStyle name="Heading 3 5" xfId="5462"/>
    <cellStyle name="Heading 3 5 2" xfId="5463"/>
    <cellStyle name="Heading 3 5 2 10" xfId="24092"/>
    <cellStyle name="Heading 3 5 2 2" xfId="21438"/>
    <cellStyle name="Heading 3 5 2 2 2" xfId="26775"/>
    <cellStyle name="Heading 3 5 2 3" xfId="21487"/>
    <cellStyle name="Heading 3 5 2 3 2" xfId="26789"/>
    <cellStyle name="Heading 3 5 2 4" xfId="21431"/>
    <cellStyle name="Heading 3 5 2 4 2" xfId="26768"/>
    <cellStyle name="Heading 3 5 2 5" xfId="24222"/>
    <cellStyle name="Heading 3 5 2 5 2" xfId="29392"/>
    <cellStyle name="Heading 3 5 2 6" xfId="24178"/>
    <cellStyle name="Heading 3 5 2 6 2" xfId="29367"/>
    <cellStyle name="Heading 3 5 2 7" xfId="24198"/>
    <cellStyle name="Heading 3 5 2 7 2" xfId="29379"/>
    <cellStyle name="Heading 3 5 2 8" xfId="24135"/>
    <cellStyle name="Heading 3 5 2 8 2" xfId="29334"/>
    <cellStyle name="Heading 3 5 2 9" xfId="24149"/>
    <cellStyle name="Heading 3 5 2 9 2" xfId="29346"/>
    <cellStyle name="Heading 3 5 3" xfId="21577"/>
    <cellStyle name="Heading 3 5 3 2" xfId="26825"/>
    <cellStyle name="Heading 3 5 4" xfId="21571"/>
    <cellStyle name="Heading 3 5 4 2" xfId="26822"/>
    <cellStyle name="Heading 3 5 5" xfId="24233"/>
    <cellStyle name="Heading 3 5 5 2" xfId="29403"/>
    <cellStyle name="Heading 3 5 6" xfId="24202"/>
    <cellStyle name="Heading 3 5 6 2" xfId="29382"/>
    <cellStyle name="Heading 3 5 7" xfId="24157"/>
    <cellStyle name="Heading 3 5 7 2" xfId="29352"/>
    <cellStyle name="Heading 3 6" xfId="5464"/>
    <cellStyle name="Heading 3 6 2" xfId="5465"/>
    <cellStyle name="Heading 3 6 2 10" xfId="24130"/>
    <cellStyle name="Heading 3 6 2 2" xfId="21437"/>
    <cellStyle name="Heading 3 6 2 2 2" xfId="26774"/>
    <cellStyle name="Heading 3 6 2 3" xfId="21494"/>
    <cellStyle name="Heading 3 6 2 3 2" xfId="26795"/>
    <cellStyle name="Heading 3 6 2 4" xfId="21535"/>
    <cellStyle name="Heading 3 6 2 4 2" xfId="26808"/>
    <cellStyle name="Heading 3 6 2 5" xfId="24223"/>
    <cellStyle name="Heading 3 6 2 5 2" xfId="29393"/>
    <cellStyle name="Heading 3 6 2 6" xfId="24230"/>
    <cellStyle name="Heading 3 6 2 6 2" xfId="29400"/>
    <cellStyle name="Heading 3 6 2 7" xfId="24164"/>
    <cellStyle name="Heading 3 6 2 7 2" xfId="29359"/>
    <cellStyle name="Heading 3 6 2 8" xfId="24095"/>
    <cellStyle name="Heading 3 6 2 8 2" xfId="29308"/>
    <cellStyle name="Heading 3 6 2 9" xfId="24190"/>
    <cellStyle name="Heading 3 6 2 9 2" xfId="29374"/>
    <cellStyle name="Heading 3 6 3" xfId="21509"/>
    <cellStyle name="Heading 3 6 3 2" xfId="26799"/>
    <cellStyle name="Heading 3 6 4" xfId="21490"/>
    <cellStyle name="Heading 3 6 4 2" xfId="26791"/>
    <cellStyle name="Heading 3 6 5" xfId="24204"/>
    <cellStyle name="Heading 3 6 5 2" xfId="29383"/>
    <cellStyle name="Heading 3 6 6" xfId="24112"/>
    <cellStyle name="Heading 3 6 6 2" xfId="29319"/>
    <cellStyle name="Heading 3 6 7" xfId="24144"/>
    <cellStyle name="Heading 3 6 7 2" xfId="29342"/>
    <cellStyle name="Heading 3 7" xfId="5466"/>
    <cellStyle name="Heading 3 7 2" xfId="5467"/>
    <cellStyle name="Heading 3 7 2 10" xfId="24141"/>
    <cellStyle name="Heading 3 7 2 2" xfId="21436"/>
    <cellStyle name="Heading 3 7 2 2 2" xfId="26773"/>
    <cellStyle name="Heading 3 7 2 3" xfId="21563"/>
    <cellStyle name="Heading 3 7 2 3 2" xfId="26816"/>
    <cellStyle name="Heading 3 7 2 4" xfId="21554"/>
    <cellStyle name="Heading 3 7 2 4 2" xfId="26815"/>
    <cellStyle name="Heading 3 7 2 5" xfId="24224"/>
    <cellStyle name="Heading 3 7 2 5 2" xfId="29394"/>
    <cellStyle name="Heading 3 7 2 6" xfId="24242"/>
    <cellStyle name="Heading 3 7 2 6 2" xfId="29411"/>
    <cellStyle name="Heading 3 7 2 7" xfId="24243"/>
    <cellStyle name="Heading 3 7 2 7 2" xfId="29412"/>
    <cellStyle name="Heading 3 7 2 8" xfId="24131"/>
    <cellStyle name="Heading 3 7 2 8 2" xfId="29330"/>
    <cellStyle name="Heading 3 7 2 9" xfId="24102"/>
    <cellStyle name="Heading 3 7 2 9 2" xfId="29314"/>
    <cellStyle name="Heading 3 7 3" xfId="21532"/>
    <cellStyle name="Heading 3 7 3 2" xfId="26805"/>
    <cellStyle name="Heading 3 7 4" xfId="21510"/>
    <cellStyle name="Heading 3 7 4 2" xfId="26800"/>
    <cellStyle name="Heading 3 7 5" xfId="24246"/>
    <cellStyle name="Heading 3 7 5 2" xfId="29415"/>
    <cellStyle name="Heading 3 7 6" xfId="24099"/>
    <cellStyle name="Heading 3 7 6 2" xfId="29311"/>
    <cellStyle name="Heading 3 7 7" xfId="24139"/>
    <cellStyle name="Heading 3 7 7 2" xfId="29338"/>
    <cellStyle name="Heading 3 8" xfId="5468"/>
    <cellStyle name="Heading 3 8 2" xfId="5469"/>
    <cellStyle name="Heading 3 8 2 10" xfId="24188"/>
    <cellStyle name="Heading 3 8 2 2" xfId="21435"/>
    <cellStyle name="Heading 3 8 2 2 2" xfId="26772"/>
    <cellStyle name="Heading 3 8 2 3" xfId="21529"/>
    <cellStyle name="Heading 3 8 2 3 2" xfId="26804"/>
    <cellStyle name="Heading 3 8 2 4" xfId="21582"/>
    <cellStyle name="Heading 3 8 2 4 2" xfId="26830"/>
    <cellStyle name="Heading 3 8 2 5" xfId="24225"/>
    <cellStyle name="Heading 3 8 2 5 2" xfId="29395"/>
    <cellStyle name="Heading 3 8 2 6" xfId="24237"/>
    <cellStyle name="Heading 3 8 2 6 2" xfId="29407"/>
    <cellStyle name="Heading 3 8 2 7" xfId="24132"/>
    <cellStyle name="Heading 3 8 2 7 2" xfId="29331"/>
    <cellStyle name="Heading 3 8 2 8" xfId="24137"/>
    <cellStyle name="Heading 3 8 2 8 2" xfId="29336"/>
    <cellStyle name="Heading 3 8 2 9" xfId="24183"/>
    <cellStyle name="Heading 3 8 2 9 2" xfId="29368"/>
    <cellStyle name="Heading 3 8 3" xfId="21537"/>
    <cellStyle name="Heading 3 8 3 2" xfId="26810"/>
    <cellStyle name="Heading 3 8 4" xfId="21547"/>
    <cellStyle name="Heading 3 8 4 2" xfId="26812"/>
    <cellStyle name="Heading 3 8 5" xfId="24151"/>
    <cellStyle name="Heading 3 8 5 2" xfId="29347"/>
    <cellStyle name="Heading 3 8 6" xfId="24117"/>
    <cellStyle name="Heading 3 8 6 2" xfId="29322"/>
    <cellStyle name="Heading 3 8 7" xfId="24123"/>
    <cellStyle name="Heading 3 8 7 2" xfId="29325"/>
    <cellStyle name="Heading 3 9" xfId="5470"/>
    <cellStyle name="Heading 3 9 2" xfId="5471"/>
    <cellStyle name="Heading 3 9 2 10" xfId="24174"/>
    <cellStyle name="Heading 3 9 2 2" xfId="21434"/>
    <cellStyle name="Heading 3 9 2 2 2" xfId="26771"/>
    <cellStyle name="Heading 3 9 2 3" xfId="21511"/>
    <cellStyle name="Heading 3 9 2 3 2" xfId="26801"/>
    <cellStyle name="Heading 3 9 2 4" xfId="21491"/>
    <cellStyle name="Heading 3 9 2 4 2" xfId="26792"/>
    <cellStyle name="Heading 3 9 2 5" xfId="24226"/>
    <cellStyle name="Heading 3 9 2 5 2" xfId="29396"/>
    <cellStyle name="Heading 3 9 2 6" xfId="24231"/>
    <cellStyle name="Heading 3 9 2 6 2" xfId="29401"/>
    <cellStyle name="Heading 3 9 2 7" xfId="24101"/>
    <cellStyle name="Heading 3 9 2 7 2" xfId="29313"/>
    <cellStyle name="Heading 3 9 2 8" xfId="24186"/>
    <cellStyle name="Heading 3 9 2 8 2" xfId="29371"/>
    <cellStyle name="Heading 3 9 2 9" xfId="24158"/>
    <cellStyle name="Heading 3 9 2 9 2" xfId="29353"/>
    <cellStyle name="Heading 3 9 3" xfId="21578"/>
    <cellStyle name="Heading 3 9 3 2" xfId="26826"/>
    <cellStyle name="Heading 3 9 4" xfId="21497"/>
    <cellStyle name="Heading 3 9 4 2" xfId="26796"/>
    <cellStyle name="Heading 3 9 5" xfId="24143"/>
    <cellStyle name="Heading 3 9 5 2" xfId="29341"/>
    <cellStyle name="Heading 3 9 6" xfId="24128"/>
    <cellStyle name="Heading 3 9 6 2" xfId="29329"/>
    <cellStyle name="Heading 3 9 7" xfId="24103"/>
    <cellStyle name="Heading 3 9 7 2" xfId="29315"/>
    <cellStyle name="Heading 4 10" xfId="5472"/>
    <cellStyle name="Heading 4 11" xfId="5473"/>
    <cellStyle name="Heading 4 2" xfId="5474"/>
    <cellStyle name="Heading 4 2 2" xfId="5475"/>
    <cellStyle name="Heading 4 2 3" xfId="5476"/>
    <cellStyle name="Heading 4 2_DeltaViewer" xfId="5477"/>
    <cellStyle name="Heading 4 3" xfId="5478"/>
    <cellStyle name="Heading 4 4" xfId="5479"/>
    <cellStyle name="Heading 4 5" xfId="5480"/>
    <cellStyle name="Heading 4 6" xfId="5481"/>
    <cellStyle name="Heading 4 7" xfId="5482"/>
    <cellStyle name="Heading 4 8" xfId="5483"/>
    <cellStyle name="Heading 4 9" xfId="5484"/>
    <cellStyle name="Hipervínculo visitado_Libro1" xfId="5485"/>
    <cellStyle name="Hipervínculo_EUROPA-FONDOS" xfId="5486"/>
    <cellStyle name="Hyperlink 2" xfId="5487"/>
    <cellStyle name="Incorrecto" xfId="5488"/>
    <cellStyle name="Input - heading" xfId="5489"/>
    <cellStyle name="Input - numbers" xfId="5490"/>
    <cellStyle name="Input 10" xfId="5491"/>
    <cellStyle name="Input 10 2" xfId="5492"/>
    <cellStyle name="Input 10 2 2" xfId="5493"/>
    <cellStyle name="Input 10 2_DeltaViewer" xfId="5494"/>
    <cellStyle name="Input 10 3" xfId="5495"/>
    <cellStyle name="Input 10 3 2" xfId="5496"/>
    <cellStyle name="Input 10 3_DeltaViewer" xfId="5497"/>
    <cellStyle name="Input 10 4" xfId="5498"/>
    <cellStyle name="Input 10 4 2" xfId="5499"/>
    <cellStyle name="Input 10 4_DeltaViewer" xfId="5500"/>
    <cellStyle name="Input 10 5" xfId="5501"/>
    <cellStyle name="Input 10 5 2" xfId="5502"/>
    <cellStyle name="Input 10 5_DeltaViewer" xfId="5503"/>
    <cellStyle name="Input 10 6" xfId="5504"/>
    <cellStyle name="Input 10_DeltaViewer" xfId="5505"/>
    <cellStyle name="Input 11" xfId="5506"/>
    <cellStyle name="Input 11 2" xfId="5507"/>
    <cellStyle name="Input 11 2 2" xfId="5508"/>
    <cellStyle name="Input 11 2_DeltaViewer" xfId="5509"/>
    <cellStyle name="Input 11 3" xfId="5510"/>
    <cellStyle name="Input 11_DeltaViewer" xfId="5511"/>
    <cellStyle name="Input 12" xfId="5512"/>
    <cellStyle name="Input 12 2" xfId="5513"/>
    <cellStyle name="Input 12_DeltaViewer" xfId="5514"/>
    <cellStyle name="Input 13" xfId="5515"/>
    <cellStyle name="Input 13 2" xfId="5516"/>
    <cellStyle name="Input 13_DeltaViewer" xfId="5517"/>
    <cellStyle name="Input 14" xfId="5518"/>
    <cellStyle name="Input 14 2" xfId="5519"/>
    <cellStyle name="Input 14_DeltaViewer" xfId="5520"/>
    <cellStyle name="Input 15" xfId="5521"/>
    <cellStyle name="Input 15 2" xfId="5522"/>
    <cellStyle name="Input 15_DeltaViewer" xfId="5523"/>
    <cellStyle name="Input 2" xfId="5524"/>
    <cellStyle name="Input 2 2" xfId="5525"/>
    <cellStyle name="Input 2 2 2" xfId="5526"/>
    <cellStyle name="Input 2 2 2 2" xfId="5527"/>
    <cellStyle name="Input 2 2 2 2 2" xfId="5528"/>
    <cellStyle name="Input 2 2 2 2_DeltaViewer" xfId="5529"/>
    <cellStyle name="Input 2 2 2 3" xfId="5530"/>
    <cellStyle name="Input 2 2 2_DeltaViewer" xfId="5531"/>
    <cellStyle name="Input 2 2 3" xfId="5532"/>
    <cellStyle name="Input 2 2 3 2" xfId="5533"/>
    <cellStyle name="Input 2 2 3 2 2" xfId="5534"/>
    <cellStyle name="Input 2 2 3 2_DeltaViewer" xfId="5535"/>
    <cellStyle name="Input 2 2 3 3" xfId="5536"/>
    <cellStyle name="Input 2 2 3_DeltaViewer" xfId="5537"/>
    <cellStyle name="Input 2 2 4" xfId="5538"/>
    <cellStyle name="Input 2 2 4 2" xfId="5539"/>
    <cellStyle name="Input 2 2 4_DeltaViewer" xfId="5540"/>
    <cellStyle name="Input 2 2 5" xfId="5541"/>
    <cellStyle name="Input 2 2_DeltaViewer" xfId="5542"/>
    <cellStyle name="Input 2 3" xfId="5543"/>
    <cellStyle name="Input 2 3 2" xfId="5544"/>
    <cellStyle name="Input 2 3 2 2" xfId="5545"/>
    <cellStyle name="Input 2 3 2_DeltaViewer" xfId="5546"/>
    <cellStyle name="Input 2 3 3" xfId="5547"/>
    <cellStyle name="Input 2 3_DeltaViewer" xfId="5548"/>
    <cellStyle name="Input 2 4" xfId="5549"/>
    <cellStyle name="Input 2 4 2" xfId="5550"/>
    <cellStyle name="Input 2 4 2 2" xfId="5551"/>
    <cellStyle name="Input 2 4 2_DeltaViewer" xfId="5552"/>
    <cellStyle name="Input 2 4 3" xfId="5553"/>
    <cellStyle name="Input 2 4_DeltaViewer" xfId="5554"/>
    <cellStyle name="Input 2 5" xfId="5555"/>
    <cellStyle name="Input 2 5 2" xfId="5556"/>
    <cellStyle name="Input 2 5_DeltaViewer" xfId="5557"/>
    <cellStyle name="Input 2 6" xfId="5558"/>
    <cellStyle name="Input 2 7" xfId="5559"/>
    <cellStyle name="Input 2_DeltaViewer" xfId="5560"/>
    <cellStyle name="Input 3" xfId="5561"/>
    <cellStyle name="Input 3 2" xfId="5562"/>
    <cellStyle name="Input 3 2 2" xfId="5563"/>
    <cellStyle name="Input 3 2 2 2" xfId="5564"/>
    <cellStyle name="Input 3 2 2_DeltaViewer" xfId="5565"/>
    <cellStyle name="Input 3 2 3" xfId="5566"/>
    <cellStyle name="Input 3 2_DeltaViewer" xfId="5567"/>
    <cellStyle name="Input 3 3" xfId="5568"/>
    <cellStyle name="Input 3 3 2" xfId="5569"/>
    <cellStyle name="Input 3 3 2 2" xfId="5570"/>
    <cellStyle name="Input 3 3 2_DeltaViewer" xfId="5571"/>
    <cellStyle name="Input 3 3 3" xfId="5572"/>
    <cellStyle name="Input 3 3_DeltaViewer" xfId="5573"/>
    <cellStyle name="Input 3 4" xfId="5574"/>
    <cellStyle name="Input 3 4 2" xfId="5575"/>
    <cellStyle name="Input 3 4_DeltaViewer" xfId="5576"/>
    <cellStyle name="Input 3 5" xfId="5577"/>
    <cellStyle name="Input 3_DeltaViewer" xfId="5578"/>
    <cellStyle name="Input 4" xfId="5579"/>
    <cellStyle name="Input 4 2" xfId="5580"/>
    <cellStyle name="Input 4 2 2" xfId="5581"/>
    <cellStyle name="Input 4 2 2 2" xfId="5582"/>
    <cellStyle name="Input 4 2 2_DeltaViewer" xfId="5583"/>
    <cellStyle name="Input 4 2 3" xfId="5584"/>
    <cellStyle name="Input 4 2_DeltaViewer" xfId="5585"/>
    <cellStyle name="Input 4 3" xfId="5586"/>
    <cellStyle name="Input 4 3 2" xfId="5587"/>
    <cellStyle name="Input 4 3 2 2" xfId="5588"/>
    <cellStyle name="Input 4 3 2_DeltaViewer" xfId="5589"/>
    <cellStyle name="Input 4 3 3" xfId="5590"/>
    <cellStyle name="Input 4 3_DeltaViewer" xfId="5591"/>
    <cellStyle name="Input 4 4" xfId="5592"/>
    <cellStyle name="Input 4 4 2" xfId="5593"/>
    <cellStyle name="Input 4 4_DeltaViewer" xfId="5594"/>
    <cellStyle name="Input 4 5" xfId="5595"/>
    <cellStyle name="Input 4_DeltaViewer" xfId="5596"/>
    <cellStyle name="Input 5" xfId="5597"/>
    <cellStyle name="Input 5 2" xfId="5598"/>
    <cellStyle name="Input 5 2 2" xfId="5599"/>
    <cellStyle name="Input 5 2 2 2" xfId="5600"/>
    <cellStyle name="Input 5 2 2_DeltaViewer" xfId="5601"/>
    <cellStyle name="Input 5 2 3" xfId="5602"/>
    <cellStyle name="Input 5 2_DeltaViewer" xfId="5603"/>
    <cellStyle name="Input 5 3" xfId="5604"/>
    <cellStyle name="Input 5 3 2" xfId="5605"/>
    <cellStyle name="Input 5 3 2 2" xfId="5606"/>
    <cellStyle name="Input 5 3 2_DeltaViewer" xfId="5607"/>
    <cellStyle name="Input 5 3 3" xfId="5608"/>
    <cellStyle name="Input 5 3_DeltaViewer" xfId="5609"/>
    <cellStyle name="Input 5 4" xfId="5610"/>
    <cellStyle name="Input 5 4 2" xfId="5611"/>
    <cellStyle name="Input 5 4_DeltaViewer" xfId="5612"/>
    <cellStyle name="Input 5 5" xfId="5613"/>
    <cellStyle name="Input 5_DeltaViewer" xfId="5614"/>
    <cellStyle name="Input 6" xfId="5615"/>
    <cellStyle name="Input 6 2" xfId="5616"/>
    <cellStyle name="Input 6 2 2" xfId="5617"/>
    <cellStyle name="Input 6 2 2 2" xfId="5618"/>
    <cellStyle name="Input 6 2 2_DeltaViewer" xfId="5619"/>
    <cellStyle name="Input 6 2 3" xfId="5620"/>
    <cellStyle name="Input 6 2_DeltaViewer" xfId="5621"/>
    <cellStyle name="Input 6 3" xfId="5622"/>
    <cellStyle name="Input 6 3 2" xfId="5623"/>
    <cellStyle name="Input 6 3 2 2" xfId="5624"/>
    <cellStyle name="Input 6 3 2_DeltaViewer" xfId="5625"/>
    <cellStyle name="Input 6 3 3" xfId="5626"/>
    <cellStyle name="Input 6 3_DeltaViewer" xfId="5627"/>
    <cellStyle name="Input 6 4" xfId="5628"/>
    <cellStyle name="Input 6 4 2" xfId="5629"/>
    <cellStyle name="Input 6 4_DeltaViewer" xfId="5630"/>
    <cellStyle name="Input 6 5" xfId="5631"/>
    <cellStyle name="Input 6_DeltaViewer" xfId="5632"/>
    <cellStyle name="Input 7" xfId="5633"/>
    <cellStyle name="Input 7 2" xfId="5634"/>
    <cellStyle name="Input 7 2 2" xfId="5635"/>
    <cellStyle name="Input 7 2 2 2" xfId="5636"/>
    <cellStyle name="Input 7 2 2_DeltaViewer" xfId="5637"/>
    <cellStyle name="Input 7 2 3" xfId="5638"/>
    <cellStyle name="Input 7 2_DeltaViewer" xfId="5639"/>
    <cellStyle name="Input 7 3" xfId="5640"/>
    <cellStyle name="Input 7 3 2" xfId="5641"/>
    <cellStyle name="Input 7 3 2 2" xfId="5642"/>
    <cellStyle name="Input 7 3 2_DeltaViewer" xfId="5643"/>
    <cellStyle name="Input 7 3 3" xfId="5644"/>
    <cellStyle name="Input 7 3_DeltaViewer" xfId="5645"/>
    <cellStyle name="Input 7 4" xfId="5646"/>
    <cellStyle name="Input 7 4 2" xfId="5647"/>
    <cellStyle name="Input 7 4_DeltaViewer" xfId="5648"/>
    <cellStyle name="Input 7 5" xfId="5649"/>
    <cellStyle name="Input 7_DeltaViewer" xfId="5650"/>
    <cellStyle name="Input 8" xfId="5651"/>
    <cellStyle name="Input 8 2" xfId="5652"/>
    <cellStyle name="Input 8 2 2" xfId="5653"/>
    <cellStyle name="Input 8 2 2 2" xfId="5654"/>
    <cellStyle name="Input 8 2 2_DeltaViewer" xfId="5655"/>
    <cellStyle name="Input 8 2 3" xfId="5656"/>
    <cellStyle name="Input 8 2_DeltaViewer" xfId="5657"/>
    <cellStyle name="Input 8 3" xfId="5658"/>
    <cellStyle name="Input 8 3 2" xfId="5659"/>
    <cellStyle name="Input 8 3 2 2" xfId="5660"/>
    <cellStyle name="Input 8 3 2_DeltaViewer" xfId="5661"/>
    <cellStyle name="Input 8 3 3" xfId="5662"/>
    <cellStyle name="Input 8 3_DeltaViewer" xfId="5663"/>
    <cellStyle name="Input 8 4" xfId="5664"/>
    <cellStyle name="Input 8 4 2" xfId="5665"/>
    <cellStyle name="Input 8 4_DeltaViewer" xfId="5666"/>
    <cellStyle name="Input 8 5" xfId="5667"/>
    <cellStyle name="Input 8_DeltaViewer" xfId="5668"/>
    <cellStyle name="Input 9" xfId="5669"/>
    <cellStyle name="Input 9 2" xfId="5670"/>
    <cellStyle name="Input 9 2 2" xfId="5671"/>
    <cellStyle name="Input 9 2_DeltaViewer" xfId="5672"/>
    <cellStyle name="Input 9 3" xfId="5673"/>
    <cellStyle name="Input 9_DeltaViewer" xfId="5674"/>
    <cellStyle name="InputDataRow" xfId="5675"/>
    <cellStyle name="InputDataRow 2" xfId="5676"/>
    <cellStyle name="InputDataRow 3" xfId="5677"/>
    <cellStyle name="InputDataRow_DeltaViewer" xfId="5678"/>
    <cellStyle name="l]_x000d__x000a_Path=M:\RIOCEN01_x000d__x000a_Name=Carlos Emilio Brousse_x000d__x000a_DDEApps=nsf,nsg,nsh,ntf,ns2,ors,org_x000d__x000a_SmartIcons=Todos_x000d__x000a_" xfId="5679"/>
    <cellStyle name="l]_x000d__x000a_Path=M:\RIOCEN01_x000d__x000a_Name=Carlos Emilio Brousse_x000d__x000a_DDEApps=nsf,nsg,nsh,ntf,ns2,ors,org_x000d__x000a_SmartIcons=Todos_x000d__x000a_ 2" xfId="5680"/>
    <cellStyle name="l]_x000d__x000a_Path=M:\RIOCEN01_x000d__x000a_Name=Carlos Emilio Brousse_x000d__x000a_DDEApps=nsf,nsg,nsh,ntf,ns2,ors,org_x000d__x000a_SmartIcons=Todos_x000d__x000a_ 2 2" xfId="5681"/>
    <cellStyle name="l]_x000d__x000a_Path=M:\RIOCEN01_x000d__x000a_Name=Carlos Emilio Brousse_x000d__x000a_DDEApps=nsf,nsg,nsh,ntf,ns2,ors,org_x000d__x000a_SmartIcons=Todos_x000d__x000a_ 2 3" xfId="5682"/>
    <cellStyle name="l]_x000d__x000a_Path=M:\RIOCEN01_x000d__x000a_Name=Carlos Emilio Brousse_x000d__x000a_DDEApps=nsf,nsg,nsh,ntf,ns2,ors,org_x000d__x000a_SmartIcons=Todos_x000d__x000a_ 2 4" xfId="5683"/>
    <cellStyle name="l]_x000d__x000a_Path=M:\RIOCEN01_x000d__x000a_Name=Carlos Emilio Brousse_x000d__x000a_DDEApps=nsf,nsg,nsh,ntf,ns2,ors,org_x000d__x000a_SmartIcons=Todos_x000d__x000a_ 2 5" xfId="5684"/>
    <cellStyle name="l]_x000d__x000a_Path=M:\RIOCEN01_x000d__x000a_Name=Carlos Emilio Brousse_x000d__x000a_DDEApps=nsf,nsg,nsh,ntf,ns2,ors,org_x000d__x000a_SmartIcons=Todos_x000d__x000a_ 2_DeltaViewer" xfId="5685"/>
    <cellStyle name="l]_x000d__x000a_Path=M:\RIOCEN01_x000d__x000a_Name=Carlos Emilio Brousse_x000d__x000a_DDEApps=nsf,nsg,nsh,ntf,ns2,ors,org_x000d__x000a_SmartIcons=Todos_x000d__x000a_ 3" xfId="5686"/>
    <cellStyle name="l]_x000d__x000a_Path=M:\RIOCEN01_x000d__x000a_Name=Carlos Emilio Brousse_x000d__x000a_DDEApps=nsf,nsg,nsh,ntf,ns2,ors,org_x000d__x000a_SmartIcons=Todos_x000d__x000a_ 3 2" xfId="5687"/>
    <cellStyle name="l]_x000d__x000a_Path=M:\RIOCEN01_x000d__x000a_Name=Carlos Emilio Brousse_x000d__x000a_DDEApps=nsf,nsg,nsh,ntf,ns2,ors,org_x000d__x000a_SmartIcons=Todos_x000d__x000a_ 3 3" xfId="5688"/>
    <cellStyle name="l]_x000d__x000a_Path=M:\RIOCEN01_x000d__x000a_Name=Carlos Emilio Brousse_x000d__x000a_DDEApps=nsf,nsg,nsh,ntf,ns2,ors,org_x000d__x000a_SmartIcons=Todos_x000d__x000a_ 3_DeltaViewer" xfId="5689"/>
    <cellStyle name="l]_x000d__x000a_Path=M:\RIOCEN01_x000d__x000a_Name=Carlos Emilio Brousse_x000d__x000a_DDEApps=nsf,nsg,nsh,ntf,ns2,ors,org_x000d__x000a_SmartIcons=Todos_x000d__x000a_ 4" xfId="5690"/>
    <cellStyle name="l]_x000d__x000a_Path=M:\RIOCEN01_x000d__x000a_Name=Carlos Emilio Brousse_x000d__x000a_DDEApps=nsf,nsg,nsh,ntf,ns2,ors,org_x000d__x000a_SmartIcons=Todos_x000d__x000a_ 5" xfId="5691"/>
    <cellStyle name="l]_x000d__x000a_Path=M:\RIOCEN01_x000d__x000a_Name=Carlos Emilio Brousse_x000d__x000a_DDEApps=nsf,nsg,nsh,ntf,ns2,ors,org_x000d__x000a_SmartIcons=Todos_x000d__x000a_ 6" xfId="5692"/>
    <cellStyle name="l]_x000d__x000a_Path=M:\RIOCEN01_x000d__x000a_Name=Carlos Emilio Brousse_x000d__x000a_DDEApps=nsf,nsg,nsh,ntf,ns2,ors,org_x000d__x000a_SmartIcons=Todos_x000d__x000a__DeltaViewer" xfId="5693"/>
    <cellStyle name="label" xfId="5694"/>
    <cellStyle name="Link - heading" xfId="5695"/>
    <cellStyle name="Link - numbers" xfId="5696"/>
    <cellStyle name="Linked Cell 10" xfId="5697"/>
    <cellStyle name="Linked Cell 11" xfId="5698"/>
    <cellStyle name="Linked Cell 2" xfId="5699"/>
    <cellStyle name="Linked Cell 2 2" xfId="5700"/>
    <cellStyle name="Linked Cell 2_DeltaViewer" xfId="5701"/>
    <cellStyle name="Linked Cell 3" xfId="5702"/>
    <cellStyle name="Linked Cell 4" xfId="5703"/>
    <cellStyle name="Linked Cell 5" xfId="5704"/>
    <cellStyle name="Linked Cell 6" xfId="5705"/>
    <cellStyle name="Linked Cell 7" xfId="5706"/>
    <cellStyle name="Linked Cell 8" xfId="5707"/>
    <cellStyle name="Linked Cell 9" xfId="5708"/>
    <cellStyle name="main_input" xfId="5709"/>
    <cellStyle name="Millares 2" xfId="73"/>
    <cellStyle name="Millares 2 10" xfId="5710"/>
    <cellStyle name="Millares 2 11" xfId="5711"/>
    <cellStyle name="Millares 2 2" xfId="5712"/>
    <cellStyle name="Millares 2 2 2" xfId="5713"/>
    <cellStyle name="Millares 2 2 2 2" xfId="5714"/>
    <cellStyle name="Millares 2 2 2 2 2" xfId="5715"/>
    <cellStyle name="Millares 2 2 2 2 2 2" xfId="5716"/>
    <cellStyle name="Millares 2 2 2 2 2_DeltaViewer" xfId="5717"/>
    <cellStyle name="Millares 2 2 2 2 3" xfId="5718"/>
    <cellStyle name="Millares 2 2 2 2_DeltaViewer" xfId="5719"/>
    <cellStyle name="Millares 2 2 2 3" xfId="5720"/>
    <cellStyle name="Millares 2 2 2 3 2" xfId="5721"/>
    <cellStyle name="Millares 2 2 2 3 2 2" xfId="5722"/>
    <cellStyle name="Millares 2 2 2 3 2_DeltaViewer" xfId="5723"/>
    <cellStyle name="Millares 2 2 2 3 3" xfId="5724"/>
    <cellStyle name="Millares 2 2 2 3_DeltaViewer" xfId="5725"/>
    <cellStyle name="Millares 2 2 2 4" xfId="5726"/>
    <cellStyle name="Millares 2 2 2 4 2" xfId="5727"/>
    <cellStyle name="Millares 2 2 2 4 2 2" xfId="5728"/>
    <cellStyle name="Millares 2 2 2 4 2_DeltaViewer" xfId="5729"/>
    <cellStyle name="Millares 2 2 2 4 3" xfId="5730"/>
    <cellStyle name="Millares 2 2 2 4_DeltaViewer" xfId="5731"/>
    <cellStyle name="Millares 2 2 2 5" xfId="5732"/>
    <cellStyle name="Millares 2 2 2 5 2" xfId="5733"/>
    <cellStyle name="Millares 2 2 2 5 2 2" xfId="5734"/>
    <cellStyle name="Millares 2 2 2 5 2_DeltaViewer" xfId="5735"/>
    <cellStyle name="Millares 2 2 2 5 3" xfId="5736"/>
    <cellStyle name="Millares 2 2 2 5_DeltaViewer" xfId="5737"/>
    <cellStyle name="Millares 2 2 2 6" xfId="5738"/>
    <cellStyle name="Millares 2 2 2 6 2" xfId="5739"/>
    <cellStyle name="Millares 2 2 2 6_DeltaViewer" xfId="5740"/>
    <cellStyle name="Millares 2 2 2 7" xfId="5741"/>
    <cellStyle name="Millares 2 2 2 8" xfId="5742"/>
    <cellStyle name="Millares 2 2 2_DeltaViewer" xfId="5743"/>
    <cellStyle name="Millares 2 2 3" xfId="5744"/>
    <cellStyle name="Millares 2 2 3 2" xfId="5745"/>
    <cellStyle name="Millares 2 2 3 2 2" xfId="5746"/>
    <cellStyle name="Millares 2 2 3 2_DeltaViewer" xfId="5747"/>
    <cellStyle name="Millares 2 2 3 3" xfId="5748"/>
    <cellStyle name="Millares 2 2 3_DeltaViewer" xfId="5749"/>
    <cellStyle name="Millares 2 2 4" xfId="5750"/>
    <cellStyle name="Millares 2 2 4 2" xfId="5751"/>
    <cellStyle name="Millares 2 2 4 2 2" xfId="5752"/>
    <cellStyle name="Millares 2 2 4 2_DeltaViewer" xfId="5753"/>
    <cellStyle name="Millares 2 2 4 3" xfId="5754"/>
    <cellStyle name="Millares 2 2 4_DeltaViewer" xfId="5755"/>
    <cellStyle name="Millares 2 2 5" xfId="5756"/>
    <cellStyle name="Millares 2 2 5 2" xfId="5757"/>
    <cellStyle name="Millares 2 2 5 2 2" xfId="5758"/>
    <cellStyle name="Millares 2 2 5 2_DeltaViewer" xfId="5759"/>
    <cellStyle name="Millares 2 2 5 3" xfId="5760"/>
    <cellStyle name="Millares 2 2 5_DeltaViewer" xfId="5761"/>
    <cellStyle name="Millares 2 2 6" xfId="5762"/>
    <cellStyle name="Millares 2 2 6 2" xfId="5763"/>
    <cellStyle name="Millares 2 2 6 2 2" xfId="5764"/>
    <cellStyle name="Millares 2 2 6 2_DeltaViewer" xfId="5765"/>
    <cellStyle name="Millares 2 2 6 3" xfId="5766"/>
    <cellStyle name="Millares 2 2 6_DeltaViewer" xfId="5767"/>
    <cellStyle name="Millares 2 2 7" xfId="5768"/>
    <cellStyle name="Millares 2 2 7 2" xfId="5769"/>
    <cellStyle name="Millares 2 2 7_DeltaViewer" xfId="5770"/>
    <cellStyle name="Millares 2 2 8" xfId="5771"/>
    <cellStyle name="Millares 2 2 9" xfId="5772"/>
    <cellStyle name="Millares 2 2_DeltaViewer" xfId="5773"/>
    <cellStyle name="Millares 2 3" xfId="5774"/>
    <cellStyle name="Millares 2 3 2" xfId="5775"/>
    <cellStyle name="Millares 2 3 2 2" xfId="5776"/>
    <cellStyle name="Millares 2 3 2 2 2" xfId="5777"/>
    <cellStyle name="Millares 2 3 2 2_DeltaViewer" xfId="5778"/>
    <cellStyle name="Millares 2 3 2 3" xfId="5779"/>
    <cellStyle name="Millares 2 3 2_DeltaViewer" xfId="5780"/>
    <cellStyle name="Millares 2 3 3" xfId="5781"/>
    <cellStyle name="Millares 2 3 3 2" xfId="5782"/>
    <cellStyle name="Millares 2 3 3 2 2" xfId="5783"/>
    <cellStyle name="Millares 2 3 3 2_DeltaViewer" xfId="5784"/>
    <cellStyle name="Millares 2 3 3 3" xfId="5785"/>
    <cellStyle name="Millares 2 3 3_DeltaViewer" xfId="5786"/>
    <cellStyle name="Millares 2 3 4" xfId="5787"/>
    <cellStyle name="Millares 2 3 4 2" xfId="5788"/>
    <cellStyle name="Millares 2 3 4 2 2" xfId="5789"/>
    <cellStyle name="Millares 2 3 4 2_DeltaViewer" xfId="5790"/>
    <cellStyle name="Millares 2 3 4 3" xfId="5791"/>
    <cellStyle name="Millares 2 3 4_DeltaViewer" xfId="5792"/>
    <cellStyle name="Millares 2 3 5" xfId="5793"/>
    <cellStyle name="Millares 2 3 5 2" xfId="5794"/>
    <cellStyle name="Millares 2 3 5 2 2" xfId="5795"/>
    <cellStyle name="Millares 2 3 5 2_DeltaViewer" xfId="5796"/>
    <cellStyle name="Millares 2 3 5 3" xfId="5797"/>
    <cellStyle name="Millares 2 3 5_DeltaViewer" xfId="5798"/>
    <cellStyle name="Millares 2 3 6" xfId="5799"/>
    <cellStyle name="Millares 2 3 6 2" xfId="5800"/>
    <cellStyle name="Millares 2 3 6_DeltaViewer" xfId="5801"/>
    <cellStyle name="Millares 2 3 7" xfId="5802"/>
    <cellStyle name="Millares 2 3 8" xfId="5803"/>
    <cellStyle name="Millares 2 3_DeltaViewer" xfId="5804"/>
    <cellStyle name="Millares 2 4" xfId="5805"/>
    <cellStyle name="Millares 2 4 2" xfId="5806"/>
    <cellStyle name="Millares 2 4 2 2" xfId="5807"/>
    <cellStyle name="Millares 2 4 2_DeltaViewer" xfId="5808"/>
    <cellStyle name="Millares 2 4 3" xfId="5809"/>
    <cellStyle name="Millares 2 4_DeltaViewer" xfId="5810"/>
    <cellStyle name="Millares 2 5" xfId="5811"/>
    <cellStyle name="Millares 2 5 2" xfId="5812"/>
    <cellStyle name="Millares 2 5 2 2" xfId="5813"/>
    <cellStyle name="Millares 2 5 2_DeltaViewer" xfId="5814"/>
    <cellStyle name="Millares 2 5 3" xfId="5815"/>
    <cellStyle name="Millares 2 5_DeltaViewer" xfId="5816"/>
    <cellStyle name="Millares 2 6" xfId="5817"/>
    <cellStyle name="Millares 2 6 2" xfId="5818"/>
    <cellStyle name="Millares 2 6 2 2" xfId="5819"/>
    <cellStyle name="Millares 2 6 2_DeltaViewer" xfId="5820"/>
    <cellStyle name="Millares 2 6 3" xfId="5821"/>
    <cellStyle name="Millares 2 6_DeltaViewer" xfId="5822"/>
    <cellStyle name="Millares 2 7" xfId="5823"/>
    <cellStyle name="Millares 2 7 2" xfId="5824"/>
    <cellStyle name="Millares 2 7 2 2" xfId="5825"/>
    <cellStyle name="Millares 2 7 2_DeltaViewer" xfId="5826"/>
    <cellStyle name="Millares 2 7 3" xfId="5827"/>
    <cellStyle name="Millares 2 7_DeltaViewer" xfId="5828"/>
    <cellStyle name="Millares 2 8" xfId="5829"/>
    <cellStyle name="Millares 2 8 2" xfId="5830"/>
    <cellStyle name="Millares 2 8_DeltaViewer" xfId="5831"/>
    <cellStyle name="Millares 2 9" xfId="5832"/>
    <cellStyle name="Millares 2_DeltaViewer" xfId="5833"/>
    <cellStyle name="Moeda [0]_1 I" xfId="5834"/>
    <cellStyle name="Moeda_1 I" xfId="5835"/>
    <cellStyle name="Monetario" xfId="5836"/>
    <cellStyle name="Monetario 2" xfId="5837"/>
    <cellStyle name="Monetario 3" xfId="5838"/>
    <cellStyle name="Monetario_DeltaViewer" xfId="5839"/>
    <cellStyle name="Neutral 10" xfId="5840"/>
    <cellStyle name="Neutral 11" xfId="5841"/>
    <cellStyle name="Neutral 2" xfId="5842"/>
    <cellStyle name="Neutral 2 2" xfId="5843"/>
    <cellStyle name="Neutral 2_DeltaViewer" xfId="5844"/>
    <cellStyle name="Neutral 3" xfId="5845"/>
    <cellStyle name="Neutral 3 2" xfId="5846"/>
    <cellStyle name="Neutral 3_DeltaViewer" xfId="5847"/>
    <cellStyle name="Neutral 4" xfId="5848"/>
    <cellStyle name="Neutral 5" xfId="5849"/>
    <cellStyle name="Neutral 6" xfId="5850"/>
    <cellStyle name="Neutral 7" xfId="5851"/>
    <cellStyle name="Neutral 8" xfId="5852"/>
    <cellStyle name="Neutral 9" xfId="5853"/>
    <cellStyle name="no dec" xfId="5854"/>
    <cellStyle name="no dec 2" xfId="5855"/>
    <cellStyle name="no dec 3" xfId="5856"/>
    <cellStyle name="no dec_DeltaViewer" xfId="5857"/>
    <cellStyle name="No-definido" xfId="5858"/>
    <cellStyle name="Normal" xfId="0" builtinId="0"/>
    <cellStyle name="Normal - Style1" xfId="5859"/>
    <cellStyle name="Normal 10" xfId="74"/>
    <cellStyle name="Normal 10 2" xfId="165"/>
    <cellStyle name="Normal 10 2 2" xfId="21710"/>
    <cellStyle name="Normal 10 2 3" xfId="21471"/>
    <cellStyle name="Normal 100" xfId="24155"/>
    <cellStyle name="Normal 100 2" xfId="29350"/>
    <cellStyle name="Normal 101" xfId="24193"/>
    <cellStyle name="Normal 101 2" xfId="29376"/>
    <cellStyle name="Normal 102" xfId="24169"/>
    <cellStyle name="Normal 102 2" xfId="29362"/>
    <cellStyle name="Normal 103" xfId="24111"/>
    <cellStyle name="Normal 103 2" xfId="29318"/>
    <cellStyle name="Normal 104" xfId="24176"/>
    <cellStyle name="Normal 104 2" xfId="29365"/>
    <cellStyle name="Normal 105" xfId="24185"/>
    <cellStyle name="Normal 105 2" xfId="29370"/>
    <cellStyle name="Normal 106" xfId="24251"/>
    <cellStyle name="Normal 107" xfId="24212"/>
    <cellStyle name="Normal 11" xfId="75"/>
    <cellStyle name="Normal 11 10" xfId="5860"/>
    <cellStyle name="Normal 11 10 2" xfId="5861"/>
    <cellStyle name="Normal 11 10 2 2" xfId="5862"/>
    <cellStyle name="Normal 11 10 2 2 2" xfId="21840"/>
    <cellStyle name="Normal 11 10 2 2 2 2" xfId="27073"/>
    <cellStyle name="Normal 11 10 2 2 3" xfId="24561"/>
    <cellStyle name="Normal 11 10 2 3" xfId="21839"/>
    <cellStyle name="Normal 11 10 2 3 2" xfId="27072"/>
    <cellStyle name="Normal 11 10 2 4" xfId="24560"/>
    <cellStyle name="Normal 11 10 3" xfId="5863"/>
    <cellStyle name="Normal 11 10 3 2" xfId="21841"/>
    <cellStyle name="Normal 11 10 3 2 2" xfId="27074"/>
    <cellStyle name="Normal 11 10 3 3" xfId="24562"/>
    <cellStyle name="Normal 11 10 4" xfId="21838"/>
    <cellStyle name="Normal 11 10 4 2" xfId="27071"/>
    <cellStyle name="Normal 11 10 5" xfId="24559"/>
    <cellStyle name="Normal 11 10_DeltaViewer" xfId="5864"/>
    <cellStyle name="Normal 11 11" xfId="5865"/>
    <cellStyle name="Normal 11 11 2" xfId="5866"/>
    <cellStyle name="Normal 11 11 2 2" xfId="21843"/>
    <cellStyle name="Normal 11 11 2 2 2" xfId="27076"/>
    <cellStyle name="Normal 11 11 2 3" xfId="24564"/>
    <cellStyle name="Normal 11 11 3" xfId="21842"/>
    <cellStyle name="Normal 11 11 3 2" xfId="27075"/>
    <cellStyle name="Normal 11 11 4" xfId="24563"/>
    <cellStyle name="Normal 11 12" xfId="5867"/>
    <cellStyle name="Normal 11 12 2" xfId="5868"/>
    <cellStyle name="Normal 11 12 2 2" xfId="21845"/>
    <cellStyle name="Normal 11 12 2 2 2" xfId="27078"/>
    <cellStyle name="Normal 11 12 2 3" xfId="24566"/>
    <cellStyle name="Normal 11 12 3" xfId="21844"/>
    <cellStyle name="Normal 11 12 3 2" xfId="27077"/>
    <cellStyle name="Normal 11 12 4" xfId="24565"/>
    <cellStyle name="Normal 11 13" xfId="5869"/>
    <cellStyle name="Normal 11 13 2" xfId="21846"/>
    <cellStyle name="Normal 11 13 2 2" xfId="27079"/>
    <cellStyle name="Normal 11 13 3" xfId="24567"/>
    <cellStyle name="Normal 11 14" xfId="21644"/>
    <cellStyle name="Normal 11 15" xfId="24078"/>
    <cellStyle name="Normal 11 16" xfId="24312"/>
    <cellStyle name="Normal 11 2" xfId="170"/>
    <cellStyle name="Normal 11 2 10" xfId="21495"/>
    <cellStyle name="Normal 11 2 11" xfId="24394"/>
    <cellStyle name="Normal 11 2 2" xfId="5870"/>
    <cellStyle name="Normal 11 2 2 10" xfId="5871"/>
    <cellStyle name="Normal 11 2 2 10 2" xfId="21848"/>
    <cellStyle name="Normal 11 2 2 10 2 2" xfId="27081"/>
    <cellStyle name="Normal 11 2 2 10 3" xfId="24569"/>
    <cellStyle name="Normal 11 2 2 11" xfId="21847"/>
    <cellStyle name="Normal 11 2 2 11 2" xfId="27080"/>
    <cellStyle name="Normal 11 2 2 12" xfId="24568"/>
    <cellStyle name="Normal 11 2 2 2" xfId="5872"/>
    <cellStyle name="Normal 11 2 2 2 10" xfId="24570"/>
    <cellStyle name="Normal 11 2 2 2 2" xfId="5873"/>
    <cellStyle name="Normal 11 2 2 2 2 2" xfId="5874"/>
    <cellStyle name="Normal 11 2 2 2 2 2 2" xfId="5875"/>
    <cellStyle name="Normal 11 2 2 2 2 2 2 2" xfId="5876"/>
    <cellStyle name="Normal 11 2 2 2 2 2 2 2 2" xfId="21853"/>
    <cellStyle name="Normal 11 2 2 2 2 2 2 2 2 2" xfId="27086"/>
    <cellStyle name="Normal 11 2 2 2 2 2 2 2 3" xfId="24574"/>
    <cellStyle name="Normal 11 2 2 2 2 2 2 3" xfId="21852"/>
    <cellStyle name="Normal 11 2 2 2 2 2 2 3 2" xfId="27085"/>
    <cellStyle name="Normal 11 2 2 2 2 2 2 4" xfId="24573"/>
    <cellStyle name="Normal 11 2 2 2 2 2 3" xfId="5877"/>
    <cellStyle name="Normal 11 2 2 2 2 2 3 2" xfId="21854"/>
    <cellStyle name="Normal 11 2 2 2 2 2 3 2 2" xfId="27087"/>
    <cellStyle name="Normal 11 2 2 2 2 2 3 3" xfId="24575"/>
    <cellStyle name="Normal 11 2 2 2 2 2 4" xfId="21851"/>
    <cellStyle name="Normal 11 2 2 2 2 2 4 2" xfId="27084"/>
    <cellStyle name="Normal 11 2 2 2 2 2 5" xfId="24572"/>
    <cellStyle name="Normal 11 2 2 2 2 2_DeltaViewer" xfId="5878"/>
    <cellStyle name="Normal 11 2 2 2 2 3" xfId="5879"/>
    <cellStyle name="Normal 11 2 2 2 2 3 2" xfId="5880"/>
    <cellStyle name="Normal 11 2 2 2 2 3 2 2" xfId="21856"/>
    <cellStyle name="Normal 11 2 2 2 2 3 2 2 2" xfId="27089"/>
    <cellStyle name="Normal 11 2 2 2 2 3 2 3" xfId="24577"/>
    <cellStyle name="Normal 11 2 2 2 2 3 3" xfId="21855"/>
    <cellStyle name="Normal 11 2 2 2 2 3 3 2" xfId="27088"/>
    <cellStyle name="Normal 11 2 2 2 2 3 4" xfId="24576"/>
    <cellStyle name="Normal 11 2 2 2 2 4" xfId="5881"/>
    <cellStyle name="Normal 11 2 2 2 2 4 2" xfId="21857"/>
    <cellStyle name="Normal 11 2 2 2 2 4 2 2" xfId="27090"/>
    <cellStyle name="Normal 11 2 2 2 2 4 3" xfId="24578"/>
    <cellStyle name="Normal 11 2 2 2 2 5" xfId="21850"/>
    <cellStyle name="Normal 11 2 2 2 2 5 2" xfId="27083"/>
    <cellStyle name="Normal 11 2 2 2 2 6" xfId="24571"/>
    <cellStyle name="Normal 11 2 2 2 2_DeltaViewer" xfId="5882"/>
    <cellStyle name="Normal 11 2 2 2 3" xfId="5883"/>
    <cellStyle name="Normal 11 2 2 2 3 2" xfId="5884"/>
    <cellStyle name="Normal 11 2 2 2 3 2 2" xfId="5885"/>
    <cellStyle name="Normal 11 2 2 2 3 2 2 2" xfId="5886"/>
    <cellStyle name="Normal 11 2 2 2 3 2 2 2 2" xfId="21861"/>
    <cellStyle name="Normal 11 2 2 2 3 2 2 2 2 2" xfId="27094"/>
    <cellStyle name="Normal 11 2 2 2 3 2 2 2 3" xfId="24582"/>
    <cellStyle name="Normal 11 2 2 2 3 2 2 3" xfId="21860"/>
    <cellStyle name="Normal 11 2 2 2 3 2 2 3 2" xfId="27093"/>
    <cellStyle name="Normal 11 2 2 2 3 2 2 4" xfId="24581"/>
    <cellStyle name="Normal 11 2 2 2 3 2 3" xfId="5887"/>
    <cellStyle name="Normal 11 2 2 2 3 2 3 2" xfId="21862"/>
    <cellStyle name="Normal 11 2 2 2 3 2 3 2 2" xfId="27095"/>
    <cellStyle name="Normal 11 2 2 2 3 2 3 3" xfId="24583"/>
    <cellStyle name="Normal 11 2 2 2 3 2 4" xfId="21859"/>
    <cellStyle name="Normal 11 2 2 2 3 2 4 2" xfId="27092"/>
    <cellStyle name="Normal 11 2 2 2 3 2 5" xfId="24580"/>
    <cellStyle name="Normal 11 2 2 2 3 2_DeltaViewer" xfId="5888"/>
    <cellStyle name="Normal 11 2 2 2 3 3" xfId="5889"/>
    <cellStyle name="Normal 11 2 2 2 3 3 2" xfId="5890"/>
    <cellStyle name="Normal 11 2 2 2 3 3 2 2" xfId="21864"/>
    <cellStyle name="Normal 11 2 2 2 3 3 2 2 2" xfId="27097"/>
    <cellStyle name="Normal 11 2 2 2 3 3 2 3" xfId="24585"/>
    <cellStyle name="Normal 11 2 2 2 3 3 3" xfId="21863"/>
    <cellStyle name="Normal 11 2 2 2 3 3 3 2" xfId="27096"/>
    <cellStyle name="Normal 11 2 2 2 3 3 4" xfId="24584"/>
    <cellStyle name="Normal 11 2 2 2 3 4" xfId="5891"/>
    <cellStyle name="Normal 11 2 2 2 3 4 2" xfId="21865"/>
    <cellStyle name="Normal 11 2 2 2 3 4 2 2" xfId="27098"/>
    <cellStyle name="Normal 11 2 2 2 3 4 3" xfId="24586"/>
    <cellStyle name="Normal 11 2 2 2 3 5" xfId="21858"/>
    <cellStyle name="Normal 11 2 2 2 3 5 2" xfId="27091"/>
    <cellStyle name="Normal 11 2 2 2 3 6" xfId="24579"/>
    <cellStyle name="Normal 11 2 2 2 3_DeltaViewer" xfId="5892"/>
    <cellStyle name="Normal 11 2 2 2 4" xfId="5893"/>
    <cellStyle name="Normal 11 2 2 2 4 2" xfId="5894"/>
    <cellStyle name="Normal 11 2 2 2 4 2 2" xfId="5895"/>
    <cellStyle name="Normal 11 2 2 2 4 2 2 2" xfId="5896"/>
    <cellStyle name="Normal 11 2 2 2 4 2 2 2 2" xfId="21869"/>
    <cellStyle name="Normal 11 2 2 2 4 2 2 2 2 2" xfId="27102"/>
    <cellStyle name="Normal 11 2 2 2 4 2 2 2 3" xfId="24590"/>
    <cellStyle name="Normal 11 2 2 2 4 2 2 3" xfId="21868"/>
    <cellStyle name="Normal 11 2 2 2 4 2 2 3 2" xfId="27101"/>
    <cellStyle name="Normal 11 2 2 2 4 2 2 4" xfId="24589"/>
    <cellStyle name="Normal 11 2 2 2 4 2 3" xfId="5897"/>
    <cellStyle name="Normal 11 2 2 2 4 2 3 2" xfId="21870"/>
    <cellStyle name="Normal 11 2 2 2 4 2 3 2 2" xfId="27103"/>
    <cellStyle name="Normal 11 2 2 2 4 2 3 3" xfId="24591"/>
    <cellStyle name="Normal 11 2 2 2 4 2 4" xfId="21867"/>
    <cellStyle name="Normal 11 2 2 2 4 2 4 2" xfId="27100"/>
    <cellStyle name="Normal 11 2 2 2 4 2 5" xfId="24588"/>
    <cellStyle name="Normal 11 2 2 2 4 2_DeltaViewer" xfId="5898"/>
    <cellStyle name="Normal 11 2 2 2 4 3" xfId="5899"/>
    <cellStyle name="Normal 11 2 2 2 4 3 2" xfId="5900"/>
    <cellStyle name="Normal 11 2 2 2 4 3 2 2" xfId="21872"/>
    <cellStyle name="Normal 11 2 2 2 4 3 2 2 2" xfId="27105"/>
    <cellStyle name="Normal 11 2 2 2 4 3 2 3" xfId="24593"/>
    <cellStyle name="Normal 11 2 2 2 4 3 3" xfId="21871"/>
    <cellStyle name="Normal 11 2 2 2 4 3 3 2" xfId="27104"/>
    <cellStyle name="Normal 11 2 2 2 4 3 4" xfId="24592"/>
    <cellStyle name="Normal 11 2 2 2 4 4" xfId="5901"/>
    <cellStyle name="Normal 11 2 2 2 4 4 2" xfId="21873"/>
    <cellStyle name="Normal 11 2 2 2 4 4 2 2" xfId="27106"/>
    <cellStyle name="Normal 11 2 2 2 4 4 3" xfId="24594"/>
    <cellStyle name="Normal 11 2 2 2 4 5" xfId="21866"/>
    <cellStyle name="Normal 11 2 2 2 4 5 2" xfId="27099"/>
    <cellStyle name="Normal 11 2 2 2 4 6" xfId="24587"/>
    <cellStyle name="Normal 11 2 2 2 4_DeltaViewer" xfId="5902"/>
    <cellStyle name="Normal 11 2 2 2 5" xfId="5903"/>
    <cellStyle name="Normal 11 2 2 2 5 2" xfId="5904"/>
    <cellStyle name="Normal 11 2 2 2 5 2 2" xfId="5905"/>
    <cellStyle name="Normal 11 2 2 2 5 2 2 2" xfId="21876"/>
    <cellStyle name="Normal 11 2 2 2 5 2 2 2 2" xfId="27109"/>
    <cellStyle name="Normal 11 2 2 2 5 2 2 3" xfId="24597"/>
    <cellStyle name="Normal 11 2 2 2 5 2 3" xfId="21875"/>
    <cellStyle name="Normal 11 2 2 2 5 2 3 2" xfId="27108"/>
    <cellStyle name="Normal 11 2 2 2 5 2 4" xfId="24596"/>
    <cellStyle name="Normal 11 2 2 2 5 3" xfId="5906"/>
    <cellStyle name="Normal 11 2 2 2 5 3 2" xfId="21877"/>
    <cellStyle name="Normal 11 2 2 2 5 3 2 2" xfId="27110"/>
    <cellStyle name="Normal 11 2 2 2 5 3 3" xfId="24598"/>
    <cellStyle name="Normal 11 2 2 2 5 4" xfId="21874"/>
    <cellStyle name="Normal 11 2 2 2 5 4 2" xfId="27107"/>
    <cellStyle name="Normal 11 2 2 2 5 5" xfId="24595"/>
    <cellStyle name="Normal 11 2 2 2 5_DeltaViewer" xfId="5907"/>
    <cellStyle name="Normal 11 2 2 2 6" xfId="5908"/>
    <cellStyle name="Normal 11 2 2 2 6 2" xfId="5909"/>
    <cellStyle name="Normal 11 2 2 2 6 2 2" xfId="21879"/>
    <cellStyle name="Normal 11 2 2 2 6 2 2 2" xfId="27112"/>
    <cellStyle name="Normal 11 2 2 2 6 2 3" xfId="24600"/>
    <cellStyle name="Normal 11 2 2 2 6 3" xfId="21878"/>
    <cellStyle name="Normal 11 2 2 2 6 3 2" xfId="27111"/>
    <cellStyle name="Normal 11 2 2 2 6 4" xfId="24599"/>
    <cellStyle name="Normal 11 2 2 2 7" xfId="5910"/>
    <cellStyle name="Normal 11 2 2 2 7 2" xfId="5911"/>
    <cellStyle name="Normal 11 2 2 2 7 2 2" xfId="21881"/>
    <cellStyle name="Normal 11 2 2 2 7 2 2 2" xfId="27114"/>
    <cellStyle name="Normal 11 2 2 2 7 2 3" xfId="24602"/>
    <cellStyle name="Normal 11 2 2 2 7 3" xfId="21880"/>
    <cellStyle name="Normal 11 2 2 2 7 3 2" xfId="27113"/>
    <cellStyle name="Normal 11 2 2 2 7 4" xfId="24601"/>
    <cellStyle name="Normal 11 2 2 2 8" xfId="5912"/>
    <cellStyle name="Normal 11 2 2 2 8 2" xfId="21882"/>
    <cellStyle name="Normal 11 2 2 2 8 2 2" xfId="27115"/>
    <cellStyle name="Normal 11 2 2 2 8 3" xfId="24603"/>
    <cellStyle name="Normal 11 2 2 2 9" xfId="21849"/>
    <cellStyle name="Normal 11 2 2 2 9 2" xfId="27082"/>
    <cellStyle name="Normal 11 2 2 2_DeltaViewer" xfId="5913"/>
    <cellStyle name="Normal 11 2 2 3" xfId="5914"/>
    <cellStyle name="Normal 11 2 2 3 10" xfId="24604"/>
    <cellStyle name="Normal 11 2 2 3 2" xfId="5915"/>
    <cellStyle name="Normal 11 2 2 3 2 2" xfId="5916"/>
    <cellStyle name="Normal 11 2 2 3 2 2 2" xfId="5917"/>
    <cellStyle name="Normal 11 2 2 3 2 2 2 2" xfId="5918"/>
    <cellStyle name="Normal 11 2 2 3 2 2 2 2 2" xfId="21887"/>
    <cellStyle name="Normal 11 2 2 3 2 2 2 2 2 2" xfId="27120"/>
    <cellStyle name="Normal 11 2 2 3 2 2 2 2 3" xfId="24608"/>
    <cellStyle name="Normal 11 2 2 3 2 2 2 3" xfId="21886"/>
    <cellStyle name="Normal 11 2 2 3 2 2 2 3 2" xfId="27119"/>
    <cellStyle name="Normal 11 2 2 3 2 2 2 4" xfId="24607"/>
    <cellStyle name="Normal 11 2 2 3 2 2 3" xfId="5919"/>
    <cellStyle name="Normal 11 2 2 3 2 2 3 2" xfId="21888"/>
    <cellStyle name="Normal 11 2 2 3 2 2 3 2 2" xfId="27121"/>
    <cellStyle name="Normal 11 2 2 3 2 2 3 3" xfId="24609"/>
    <cellStyle name="Normal 11 2 2 3 2 2 4" xfId="21885"/>
    <cellStyle name="Normal 11 2 2 3 2 2 4 2" xfId="27118"/>
    <cellStyle name="Normal 11 2 2 3 2 2 5" xfId="24606"/>
    <cellStyle name="Normal 11 2 2 3 2 2_DeltaViewer" xfId="5920"/>
    <cellStyle name="Normal 11 2 2 3 2 3" xfId="5921"/>
    <cellStyle name="Normal 11 2 2 3 2 3 2" xfId="5922"/>
    <cellStyle name="Normal 11 2 2 3 2 3 2 2" xfId="21890"/>
    <cellStyle name="Normal 11 2 2 3 2 3 2 2 2" xfId="27123"/>
    <cellStyle name="Normal 11 2 2 3 2 3 2 3" xfId="24611"/>
    <cellStyle name="Normal 11 2 2 3 2 3 3" xfId="21889"/>
    <cellStyle name="Normal 11 2 2 3 2 3 3 2" xfId="27122"/>
    <cellStyle name="Normal 11 2 2 3 2 3 4" xfId="24610"/>
    <cellStyle name="Normal 11 2 2 3 2 4" xfId="5923"/>
    <cellStyle name="Normal 11 2 2 3 2 4 2" xfId="21891"/>
    <cellStyle name="Normal 11 2 2 3 2 4 2 2" xfId="27124"/>
    <cellStyle name="Normal 11 2 2 3 2 4 3" xfId="24612"/>
    <cellStyle name="Normal 11 2 2 3 2 5" xfId="21884"/>
    <cellStyle name="Normal 11 2 2 3 2 5 2" xfId="27117"/>
    <cellStyle name="Normal 11 2 2 3 2 6" xfId="24605"/>
    <cellStyle name="Normal 11 2 2 3 2_DeltaViewer" xfId="5924"/>
    <cellStyle name="Normal 11 2 2 3 3" xfId="5925"/>
    <cellStyle name="Normal 11 2 2 3 3 2" xfId="5926"/>
    <cellStyle name="Normal 11 2 2 3 3 2 2" xfId="5927"/>
    <cellStyle name="Normal 11 2 2 3 3 2 2 2" xfId="5928"/>
    <cellStyle name="Normal 11 2 2 3 3 2 2 2 2" xfId="21895"/>
    <cellStyle name="Normal 11 2 2 3 3 2 2 2 2 2" xfId="27128"/>
    <cellStyle name="Normal 11 2 2 3 3 2 2 2 3" xfId="24616"/>
    <cellStyle name="Normal 11 2 2 3 3 2 2 3" xfId="21894"/>
    <cellStyle name="Normal 11 2 2 3 3 2 2 3 2" xfId="27127"/>
    <cellStyle name="Normal 11 2 2 3 3 2 2 4" xfId="24615"/>
    <cellStyle name="Normal 11 2 2 3 3 2 3" xfId="5929"/>
    <cellStyle name="Normal 11 2 2 3 3 2 3 2" xfId="21896"/>
    <cellStyle name="Normal 11 2 2 3 3 2 3 2 2" xfId="27129"/>
    <cellStyle name="Normal 11 2 2 3 3 2 3 3" xfId="24617"/>
    <cellStyle name="Normal 11 2 2 3 3 2 4" xfId="21893"/>
    <cellStyle name="Normal 11 2 2 3 3 2 4 2" xfId="27126"/>
    <cellStyle name="Normal 11 2 2 3 3 2 5" xfId="24614"/>
    <cellStyle name="Normal 11 2 2 3 3 2_DeltaViewer" xfId="5930"/>
    <cellStyle name="Normal 11 2 2 3 3 3" xfId="5931"/>
    <cellStyle name="Normal 11 2 2 3 3 3 2" xfId="5932"/>
    <cellStyle name="Normal 11 2 2 3 3 3 2 2" xfId="21898"/>
    <cellStyle name="Normal 11 2 2 3 3 3 2 2 2" xfId="27131"/>
    <cellStyle name="Normal 11 2 2 3 3 3 2 3" xfId="24619"/>
    <cellStyle name="Normal 11 2 2 3 3 3 3" xfId="21897"/>
    <cellStyle name="Normal 11 2 2 3 3 3 3 2" xfId="27130"/>
    <cellStyle name="Normal 11 2 2 3 3 3 4" xfId="24618"/>
    <cellStyle name="Normal 11 2 2 3 3 4" xfId="5933"/>
    <cellStyle name="Normal 11 2 2 3 3 4 2" xfId="21899"/>
    <cellStyle name="Normal 11 2 2 3 3 4 2 2" xfId="27132"/>
    <cellStyle name="Normal 11 2 2 3 3 4 3" xfId="24620"/>
    <cellStyle name="Normal 11 2 2 3 3 5" xfId="21892"/>
    <cellStyle name="Normal 11 2 2 3 3 5 2" xfId="27125"/>
    <cellStyle name="Normal 11 2 2 3 3 6" xfId="24613"/>
    <cellStyle name="Normal 11 2 2 3 3_DeltaViewer" xfId="5934"/>
    <cellStyle name="Normal 11 2 2 3 4" xfId="5935"/>
    <cellStyle name="Normal 11 2 2 3 4 2" xfId="5936"/>
    <cellStyle name="Normal 11 2 2 3 4 2 2" xfId="5937"/>
    <cellStyle name="Normal 11 2 2 3 4 2 2 2" xfId="5938"/>
    <cellStyle name="Normal 11 2 2 3 4 2 2 2 2" xfId="21903"/>
    <cellStyle name="Normal 11 2 2 3 4 2 2 2 2 2" xfId="27136"/>
    <cellStyle name="Normal 11 2 2 3 4 2 2 2 3" xfId="24624"/>
    <cellStyle name="Normal 11 2 2 3 4 2 2 3" xfId="21902"/>
    <cellStyle name="Normal 11 2 2 3 4 2 2 3 2" xfId="27135"/>
    <cellStyle name="Normal 11 2 2 3 4 2 2 4" xfId="24623"/>
    <cellStyle name="Normal 11 2 2 3 4 2 3" xfId="5939"/>
    <cellStyle name="Normal 11 2 2 3 4 2 3 2" xfId="21904"/>
    <cellStyle name="Normal 11 2 2 3 4 2 3 2 2" xfId="27137"/>
    <cellStyle name="Normal 11 2 2 3 4 2 3 3" xfId="24625"/>
    <cellStyle name="Normal 11 2 2 3 4 2 4" xfId="21901"/>
    <cellStyle name="Normal 11 2 2 3 4 2 4 2" xfId="27134"/>
    <cellStyle name="Normal 11 2 2 3 4 2 5" xfId="24622"/>
    <cellStyle name="Normal 11 2 2 3 4 2_DeltaViewer" xfId="5940"/>
    <cellStyle name="Normal 11 2 2 3 4 3" xfId="5941"/>
    <cellStyle name="Normal 11 2 2 3 4 3 2" xfId="5942"/>
    <cellStyle name="Normal 11 2 2 3 4 3 2 2" xfId="21906"/>
    <cellStyle name="Normal 11 2 2 3 4 3 2 2 2" xfId="27139"/>
    <cellStyle name="Normal 11 2 2 3 4 3 2 3" xfId="24627"/>
    <cellStyle name="Normal 11 2 2 3 4 3 3" xfId="21905"/>
    <cellStyle name="Normal 11 2 2 3 4 3 3 2" xfId="27138"/>
    <cellStyle name="Normal 11 2 2 3 4 3 4" xfId="24626"/>
    <cellStyle name="Normal 11 2 2 3 4 4" xfId="5943"/>
    <cellStyle name="Normal 11 2 2 3 4 4 2" xfId="21907"/>
    <cellStyle name="Normal 11 2 2 3 4 4 2 2" xfId="27140"/>
    <cellStyle name="Normal 11 2 2 3 4 4 3" xfId="24628"/>
    <cellStyle name="Normal 11 2 2 3 4 5" xfId="21900"/>
    <cellStyle name="Normal 11 2 2 3 4 5 2" xfId="27133"/>
    <cellStyle name="Normal 11 2 2 3 4 6" xfId="24621"/>
    <cellStyle name="Normal 11 2 2 3 4_DeltaViewer" xfId="5944"/>
    <cellStyle name="Normal 11 2 2 3 5" xfId="5945"/>
    <cellStyle name="Normal 11 2 2 3 5 2" xfId="5946"/>
    <cellStyle name="Normal 11 2 2 3 5 2 2" xfId="5947"/>
    <cellStyle name="Normal 11 2 2 3 5 2 2 2" xfId="21910"/>
    <cellStyle name="Normal 11 2 2 3 5 2 2 2 2" xfId="27143"/>
    <cellStyle name="Normal 11 2 2 3 5 2 2 3" xfId="24631"/>
    <cellStyle name="Normal 11 2 2 3 5 2 3" xfId="21909"/>
    <cellStyle name="Normal 11 2 2 3 5 2 3 2" xfId="27142"/>
    <cellStyle name="Normal 11 2 2 3 5 2 4" xfId="24630"/>
    <cellStyle name="Normal 11 2 2 3 5 3" xfId="5948"/>
    <cellStyle name="Normal 11 2 2 3 5 3 2" xfId="21911"/>
    <cellStyle name="Normal 11 2 2 3 5 3 2 2" xfId="27144"/>
    <cellStyle name="Normal 11 2 2 3 5 3 3" xfId="24632"/>
    <cellStyle name="Normal 11 2 2 3 5 4" xfId="21908"/>
    <cellStyle name="Normal 11 2 2 3 5 4 2" xfId="27141"/>
    <cellStyle name="Normal 11 2 2 3 5 5" xfId="24629"/>
    <cellStyle name="Normal 11 2 2 3 5_DeltaViewer" xfId="5949"/>
    <cellStyle name="Normal 11 2 2 3 6" xfId="5950"/>
    <cellStyle name="Normal 11 2 2 3 6 2" xfId="5951"/>
    <cellStyle name="Normal 11 2 2 3 6 2 2" xfId="21913"/>
    <cellStyle name="Normal 11 2 2 3 6 2 2 2" xfId="27146"/>
    <cellStyle name="Normal 11 2 2 3 6 2 3" xfId="24634"/>
    <cellStyle name="Normal 11 2 2 3 6 3" xfId="21912"/>
    <cellStyle name="Normal 11 2 2 3 6 3 2" xfId="27145"/>
    <cellStyle name="Normal 11 2 2 3 6 4" xfId="24633"/>
    <cellStyle name="Normal 11 2 2 3 7" xfId="5952"/>
    <cellStyle name="Normal 11 2 2 3 7 2" xfId="5953"/>
    <cellStyle name="Normal 11 2 2 3 7 2 2" xfId="21915"/>
    <cellStyle name="Normal 11 2 2 3 7 2 2 2" xfId="27148"/>
    <cellStyle name="Normal 11 2 2 3 7 2 3" xfId="24636"/>
    <cellStyle name="Normal 11 2 2 3 7 3" xfId="21914"/>
    <cellStyle name="Normal 11 2 2 3 7 3 2" xfId="27147"/>
    <cellStyle name="Normal 11 2 2 3 7 4" xfId="24635"/>
    <cellStyle name="Normal 11 2 2 3 8" xfId="5954"/>
    <cellStyle name="Normal 11 2 2 3 8 2" xfId="21916"/>
    <cellStyle name="Normal 11 2 2 3 8 2 2" xfId="27149"/>
    <cellStyle name="Normal 11 2 2 3 8 3" xfId="24637"/>
    <cellStyle name="Normal 11 2 2 3 9" xfId="21883"/>
    <cellStyle name="Normal 11 2 2 3 9 2" xfId="27116"/>
    <cellStyle name="Normal 11 2 2 3_DeltaViewer" xfId="5955"/>
    <cellStyle name="Normal 11 2 2 4" xfId="5956"/>
    <cellStyle name="Normal 11 2 2 4 2" xfId="5957"/>
    <cellStyle name="Normal 11 2 2 4 2 2" xfId="5958"/>
    <cellStyle name="Normal 11 2 2 4 2 2 2" xfId="5959"/>
    <cellStyle name="Normal 11 2 2 4 2 2 2 2" xfId="21920"/>
    <cellStyle name="Normal 11 2 2 4 2 2 2 2 2" xfId="27153"/>
    <cellStyle name="Normal 11 2 2 4 2 2 2 3" xfId="24641"/>
    <cellStyle name="Normal 11 2 2 4 2 2 3" xfId="21919"/>
    <cellStyle name="Normal 11 2 2 4 2 2 3 2" xfId="27152"/>
    <cellStyle name="Normal 11 2 2 4 2 2 4" xfId="24640"/>
    <cellStyle name="Normal 11 2 2 4 2 3" xfId="5960"/>
    <cellStyle name="Normal 11 2 2 4 2 3 2" xfId="21921"/>
    <cellStyle name="Normal 11 2 2 4 2 3 2 2" xfId="27154"/>
    <cellStyle name="Normal 11 2 2 4 2 3 3" xfId="24642"/>
    <cellStyle name="Normal 11 2 2 4 2 4" xfId="21918"/>
    <cellStyle name="Normal 11 2 2 4 2 4 2" xfId="27151"/>
    <cellStyle name="Normal 11 2 2 4 2 5" xfId="24639"/>
    <cellStyle name="Normal 11 2 2 4 2_DeltaViewer" xfId="5961"/>
    <cellStyle name="Normal 11 2 2 4 3" xfId="5962"/>
    <cellStyle name="Normal 11 2 2 4 3 2" xfId="5963"/>
    <cellStyle name="Normal 11 2 2 4 3 2 2" xfId="21923"/>
    <cellStyle name="Normal 11 2 2 4 3 2 2 2" xfId="27156"/>
    <cellStyle name="Normal 11 2 2 4 3 2 3" xfId="24644"/>
    <cellStyle name="Normal 11 2 2 4 3 3" xfId="21922"/>
    <cellStyle name="Normal 11 2 2 4 3 3 2" xfId="27155"/>
    <cellStyle name="Normal 11 2 2 4 3 4" xfId="24643"/>
    <cellStyle name="Normal 11 2 2 4 4" xfId="5964"/>
    <cellStyle name="Normal 11 2 2 4 4 2" xfId="21924"/>
    <cellStyle name="Normal 11 2 2 4 4 2 2" xfId="27157"/>
    <cellStyle name="Normal 11 2 2 4 4 3" xfId="24645"/>
    <cellStyle name="Normal 11 2 2 4 5" xfId="21917"/>
    <cellStyle name="Normal 11 2 2 4 5 2" xfId="27150"/>
    <cellStyle name="Normal 11 2 2 4 6" xfId="24638"/>
    <cellStyle name="Normal 11 2 2 4_DeltaViewer" xfId="5965"/>
    <cellStyle name="Normal 11 2 2 5" xfId="5966"/>
    <cellStyle name="Normal 11 2 2 5 2" xfId="5967"/>
    <cellStyle name="Normal 11 2 2 5 2 2" xfId="5968"/>
    <cellStyle name="Normal 11 2 2 5 2 2 2" xfId="5969"/>
    <cellStyle name="Normal 11 2 2 5 2 2 2 2" xfId="21928"/>
    <cellStyle name="Normal 11 2 2 5 2 2 2 2 2" xfId="27161"/>
    <cellStyle name="Normal 11 2 2 5 2 2 2 3" xfId="24649"/>
    <cellStyle name="Normal 11 2 2 5 2 2 3" xfId="21927"/>
    <cellStyle name="Normal 11 2 2 5 2 2 3 2" xfId="27160"/>
    <cellStyle name="Normal 11 2 2 5 2 2 4" xfId="24648"/>
    <cellStyle name="Normal 11 2 2 5 2 3" xfId="5970"/>
    <cellStyle name="Normal 11 2 2 5 2 3 2" xfId="21929"/>
    <cellStyle name="Normal 11 2 2 5 2 3 2 2" xfId="27162"/>
    <cellStyle name="Normal 11 2 2 5 2 3 3" xfId="24650"/>
    <cellStyle name="Normal 11 2 2 5 2 4" xfId="21926"/>
    <cellStyle name="Normal 11 2 2 5 2 4 2" xfId="27159"/>
    <cellStyle name="Normal 11 2 2 5 2 5" xfId="24647"/>
    <cellStyle name="Normal 11 2 2 5 2_DeltaViewer" xfId="5971"/>
    <cellStyle name="Normal 11 2 2 5 3" xfId="5972"/>
    <cellStyle name="Normal 11 2 2 5 3 2" xfId="5973"/>
    <cellStyle name="Normal 11 2 2 5 3 2 2" xfId="21931"/>
    <cellStyle name="Normal 11 2 2 5 3 2 2 2" xfId="27164"/>
    <cellStyle name="Normal 11 2 2 5 3 2 3" xfId="24652"/>
    <cellStyle name="Normal 11 2 2 5 3 3" xfId="21930"/>
    <cellStyle name="Normal 11 2 2 5 3 3 2" xfId="27163"/>
    <cellStyle name="Normal 11 2 2 5 3 4" xfId="24651"/>
    <cellStyle name="Normal 11 2 2 5 4" xfId="5974"/>
    <cellStyle name="Normal 11 2 2 5 4 2" xfId="21932"/>
    <cellStyle name="Normal 11 2 2 5 4 2 2" xfId="27165"/>
    <cellStyle name="Normal 11 2 2 5 4 3" xfId="24653"/>
    <cellStyle name="Normal 11 2 2 5 5" xfId="21925"/>
    <cellStyle name="Normal 11 2 2 5 5 2" xfId="27158"/>
    <cellStyle name="Normal 11 2 2 5 6" xfId="24646"/>
    <cellStyle name="Normal 11 2 2 5_DeltaViewer" xfId="5975"/>
    <cellStyle name="Normal 11 2 2 6" xfId="5976"/>
    <cellStyle name="Normal 11 2 2 6 2" xfId="5977"/>
    <cellStyle name="Normal 11 2 2 6 2 2" xfId="5978"/>
    <cellStyle name="Normal 11 2 2 6 2 2 2" xfId="5979"/>
    <cellStyle name="Normal 11 2 2 6 2 2 2 2" xfId="21936"/>
    <cellStyle name="Normal 11 2 2 6 2 2 2 2 2" xfId="27169"/>
    <cellStyle name="Normal 11 2 2 6 2 2 2 3" xfId="24657"/>
    <cellStyle name="Normal 11 2 2 6 2 2 3" xfId="21935"/>
    <cellStyle name="Normal 11 2 2 6 2 2 3 2" xfId="27168"/>
    <cellStyle name="Normal 11 2 2 6 2 2 4" xfId="24656"/>
    <cellStyle name="Normal 11 2 2 6 2 3" xfId="5980"/>
    <cellStyle name="Normal 11 2 2 6 2 3 2" xfId="21937"/>
    <cellStyle name="Normal 11 2 2 6 2 3 2 2" xfId="27170"/>
    <cellStyle name="Normal 11 2 2 6 2 3 3" xfId="24658"/>
    <cellStyle name="Normal 11 2 2 6 2 4" xfId="21934"/>
    <cellStyle name="Normal 11 2 2 6 2 4 2" xfId="27167"/>
    <cellStyle name="Normal 11 2 2 6 2 5" xfId="24655"/>
    <cellStyle name="Normal 11 2 2 6 2_DeltaViewer" xfId="5981"/>
    <cellStyle name="Normal 11 2 2 6 3" xfId="5982"/>
    <cellStyle name="Normal 11 2 2 6 3 2" xfId="5983"/>
    <cellStyle name="Normal 11 2 2 6 3 2 2" xfId="21939"/>
    <cellStyle name="Normal 11 2 2 6 3 2 2 2" xfId="27172"/>
    <cellStyle name="Normal 11 2 2 6 3 2 3" xfId="24660"/>
    <cellStyle name="Normal 11 2 2 6 3 3" xfId="21938"/>
    <cellStyle name="Normal 11 2 2 6 3 3 2" xfId="27171"/>
    <cellStyle name="Normal 11 2 2 6 3 4" xfId="24659"/>
    <cellStyle name="Normal 11 2 2 6 4" xfId="5984"/>
    <cellStyle name="Normal 11 2 2 6 4 2" xfId="21940"/>
    <cellStyle name="Normal 11 2 2 6 4 2 2" xfId="27173"/>
    <cellStyle name="Normal 11 2 2 6 4 3" xfId="24661"/>
    <cellStyle name="Normal 11 2 2 6 5" xfId="21933"/>
    <cellStyle name="Normal 11 2 2 6 5 2" xfId="27166"/>
    <cellStyle name="Normal 11 2 2 6 6" xfId="24654"/>
    <cellStyle name="Normal 11 2 2 6_DeltaViewer" xfId="5985"/>
    <cellStyle name="Normal 11 2 2 7" xfId="5986"/>
    <cellStyle name="Normal 11 2 2 7 2" xfId="5987"/>
    <cellStyle name="Normal 11 2 2 7 2 2" xfId="5988"/>
    <cellStyle name="Normal 11 2 2 7 2 2 2" xfId="21943"/>
    <cellStyle name="Normal 11 2 2 7 2 2 2 2" xfId="27176"/>
    <cellStyle name="Normal 11 2 2 7 2 2 3" xfId="24664"/>
    <cellStyle name="Normal 11 2 2 7 2 3" xfId="21942"/>
    <cellStyle name="Normal 11 2 2 7 2 3 2" xfId="27175"/>
    <cellStyle name="Normal 11 2 2 7 2 4" xfId="24663"/>
    <cellStyle name="Normal 11 2 2 7 3" xfId="5989"/>
    <cellStyle name="Normal 11 2 2 7 3 2" xfId="21944"/>
    <cellStyle name="Normal 11 2 2 7 3 2 2" xfId="27177"/>
    <cellStyle name="Normal 11 2 2 7 3 3" xfId="24665"/>
    <cellStyle name="Normal 11 2 2 7 4" xfId="21941"/>
    <cellStyle name="Normal 11 2 2 7 4 2" xfId="27174"/>
    <cellStyle name="Normal 11 2 2 7 5" xfId="24662"/>
    <cellStyle name="Normal 11 2 2 7_DeltaViewer" xfId="5990"/>
    <cellStyle name="Normal 11 2 2 8" xfId="5991"/>
    <cellStyle name="Normal 11 2 2 8 2" xfId="5992"/>
    <cellStyle name="Normal 11 2 2 8 2 2" xfId="21946"/>
    <cellStyle name="Normal 11 2 2 8 2 2 2" xfId="27179"/>
    <cellStyle name="Normal 11 2 2 8 2 3" xfId="24667"/>
    <cellStyle name="Normal 11 2 2 8 3" xfId="21945"/>
    <cellStyle name="Normal 11 2 2 8 3 2" xfId="27178"/>
    <cellStyle name="Normal 11 2 2 8 4" xfId="24666"/>
    <cellStyle name="Normal 11 2 2 9" xfId="5993"/>
    <cellStyle name="Normal 11 2 2 9 2" xfId="5994"/>
    <cellStyle name="Normal 11 2 2 9 2 2" xfId="21948"/>
    <cellStyle name="Normal 11 2 2 9 2 2 2" xfId="27181"/>
    <cellStyle name="Normal 11 2 2 9 2 3" xfId="24669"/>
    <cellStyle name="Normal 11 2 2 9 3" xfId="21947"/>
    <cellStyle name="Normal 11 2 2 9 3 2" xfId="27180"/>
    <cellStyle name="Normal 11 2 2 9 4" xfId="24668"/>
    <cellStyle name="Normal 11 2 2_DeltaViewer" xfId="5995"/>
    <cellStyle name="Normal 11 2 3" xfId="5996"/>
    <cellStyle name="Normal 11 2 4" xfId="5997"/>
    <cellStyle name="Normal 11 2 4 10" xfId="24670"/>
    <cellStyle name="Normal 11 2 4 2" xfId="5998"/>
    <cellStyle name="Normal 11 2 4 2 2" xfId="5999"/>
    <cellStyle name="Normal 11 2 4 2 2 2" xfId="6000"/>
    <cellStyle name="Normal 11 2 4 2 2 2 2" xfId="6001"/>
    <cellStyle name="Normal 11 2 4 2 2 2 2 2" xfId="21953"/>
    <cellStyle name="Normal 11 2 4 2 2 2 2 2 2" xfId="27186"/>
    <cellStyle name="Normal 11 2 4 2 2 2 2 3" xfId="24674"/>
    <cellStyle name="Normal 11 2 4 2 2 2 3" xfId="21952"/>
    <cellStyle name="Normal 11 2 4 2 2 2 3 2" xfId="27185"/>
    <cellStyle name="Normal 11 2 4 2 2 2 4" xfId="24673"/>
    <cellStyle name="Normal 11 2 4 2 2 3" xfId="6002"/>
    <cellStyle name="Normal 11 2 4 2 2 3 2" xfId="21954"/>
    <cellStyle name="Normal 11 2 4 2 2 3 2 2" xfId="27187"/>
    <cellStyle name="Normal 11 2 4 2 2 3 3" xfId="24675"/>
    <cellStyle name="Normal 11 2 4 2 2 4" xfId="21951"/>
    <cellStyle name="Normal 11 2 4 2 2 4 2" xfId="27184"/>
    <cellStyle name="Normal 11 2 4 2 2 5" xfId="24672"/>
    <cellStyle name="Normal 11 2 4 2 2_DeltaViewer" xfId="6003"/>
    <cellStyle name="Normal 11 2 4 2 3" xfId="6004"/>
    <cellStyle name="Normal 11 2 4 2 3 2" xfId="6005"/>
    <cellStyle name="Normal 11 2 4 2 3 2 2" xfId="21956"/>
    <cellStyle name="Normal 11 2 4 2 3 2 2 2" xfId="27189"/>
    <cellStyle name="Normal 11 2 4 2 3 2 3" xfId="24677"/>
    <cellStyle name="Normal 11 2 4 2 3 3" xfId="21955"/>
    <cellStyle name="Normal 11 2 4 2 3 3 2" xfId="27188"/>
    <cellStyle name="Normal 11 2 4 2 3 4" xfId="24676"/>
    <cellStyle name="Normal 11 2 4 2 4" xfId="6006"/>
    <cellStyle name="Normal 11 2 4 2 4 2" xfId="21957"/>
    <cellStyle name="Normal 11 2 4 2 4 2 2" xfId="27190"/>
    <cellStyle name="Normal 11 2 4 2 4 3" xfId="24678"/>
    <cellStyle name="Normal 11 2 4 2 5" xfId="21950"/>
    <cellStyle name="Normal 11 2 4 2 5 2" xfId="27183"/>
    <cellStyle name="Normal 11 2 4 2 6" xfId="24671"/>
    <cellStyle name="Normal 11 2 4 2_DeltaViewer" xfId="6007"/>
    <cellStyle name="Normal 11 2 4 3" xfId="6008"/>
    <cellStyle name="Normal 11 2 4 3 2" xfId="6009"/>
    <cellStyle name="Normal 11 2 4 3 2 2" xfId="6010"/>
    <cellStyle name="Normal 11 2 4 3 2 2 2" xfId="6011"/>
    <cellStyle name="Normal 11 2 4 3 2 2 2 2" xfId="21961"/>
    <cellStyle name="Normal 11 2 4 3 2 2 2 2 2" xfId="27194"/>
    <cellStyle name="Normal 11 2 4 3 2 2 2 3" xfId="24682"/>
    <cellStyle name="Normal 11 2 4 3 2 2 3" xfId="21960"/>
    <cellStyle name="Normal 11 2 4 3 2 2 3 2" xfId="27193"/>
    <cellStyle name="Normal 11 2 4 3 2 2 4" xfId="24681"/>
    <cellStyle name="Normal 11 2 4 3 2 3" xfId="6012"/>
    <cellStyle name="Normal 11 2 4 3 2 3 2" xfId="21962"/>
    <cellStyle name="Normal 11 2 4 3 2 3 2 2" xfId="27195"/>
    <cellStyle name="Normal 11 2 4 3 2 3 3" xfId="24683"/>
    <cellStyle name="Normal 11 2 4 3 2 4" xfId="21959"/>
    <cellStyle name="Normal 11 2 4 3 2 4 2" xfId="27192"/>
    <cellStyle name="Normal 11 2 4 3 2 5" xfId="24680"/>
    <cellStyle name="Normal 11 2 4 3 2_DeltaViewer" xfId="6013"/>
    <cellStyle name="Normal 11 2 4 3 3" xfId="6014"/>
    <cellStyle name="Normal 11 2 4 3 3 2" xfId="6015"/>
    <cellStyle name="Normal 11 2 4 3 3 2 2" xfId="21964"/>
    <cellStyle name="Normal 11 2 4 3 3 2 2 2" xfId="27197"/>
    <cellStyle name="Normal 11 2 4 3 3 2 3" xfId="24685"/>
    <cellStyle name="Normal 11 2 4 3 3 3" xfId="21963"/>
    <cellStyle name="Normal 11 2 4 3 3 3 2" xfId="27196"/>
    <cellStyle name="Normal 11 2 4 3 3 4" xfId="24684"/>
    <cellStyle name="Normal 11 2 4 3 4" xfId="6016"/>
    <cellStyle name="Normal 11 2 4 3 4 2" xfId="21965"/>
    <cellStyle name="Normal 11 2 4 3 4 2 2" xfId="27198"/>
    <cellStyle name="Normal 11 2 4 3 4 3" xfId="24686"/>
    <cellStyle name="Normal 11 2 4 3 5" xfId="21958"/>
    <cellStyle name="Normal 11 2 4 3 5 2" xfId="27191"/>
    <cellStyle name="Normal 11 2 4 3 6" xfId="24679"/>
    <cellStyle name="Normal 11 2 4 3_DeltaViewer" xfId="6017"/>
    <cellStyle name="Normal 11 2 4 4" xfId="6018"/>
    <cellStyle name="Normal 11 2 4 4 2" xfId="6019"/>
    <cellStyle name="Normal 11 2 4 4 2 2" xfId="6020"/>
    <cellStyle name="Normal 11 2 4 4 2 2 2" xfId="6021"/>
    <cellStyle name="Normal 11 2 4 4 2 2 2 2" xfId="21969"/>
    <cellStyle name="Normal 11 2 4 4 2 2 2 2 2" xfId="27202"/>
    <cellStyle name="Normal 11 2 4 4 2 2 2 3" xfId="24690"/>
    <cellStyle name="Normal 11 2 4 4 2 2 3" xfId="21968"/>
    <cellStyle name="Normal 11 2 4 4 2 2 3 2" xfId="27201"/>
    <cellStyle name="Normal 11 2 4 4 2 2 4" xfId="24689"/>
    <cellStyle name="Normal 11 2 4 4 2 3" xfId="6022"/>
    <cellStyle name="Normal 11 2 4 4 2 3 2" xfId="21970"/>
    <cellStyle name="Normal 11 2 4 4 2 3 2 2" xfId="27203"/>
    <cellStyle name="Normal 11 2 4 4 2 3 3" xfId="24691"/>
    <cellStyle name="Normal 11 2 4 4 2 4" xfId="21967"/>
    <cellStyle name="Normal 11 2 4 4 2 4 2" xfId="27200"/>
    <cellStyle name="Normal 11 2 4 4 2 5" xfId="24688"/>
    <cellStyle name="Normal 11 2 4 4 2_DeltaViewer" xfId="6023"/>
    <cellStyle name="Normal 11 2 4 4 3" xfId="6024"/>
    <cellStyle name="Normal 11 2 4 4 3 2" xfId="6025"/>
    <cellStyle name="Normal 11 2 4 4 3 2 2" xfId="21972"/>
    <cellStyle name="Normal 11 2 4 4 3 2 2 2" xfId="27205"/>
    <cellStyle name="Normal 11 2 4 4 3 2 3" xfId="24693"/>
    <cellStyle name="Normal 11 2 4 4 3 3" xfId="21971"/>
    <cellStyle name="Normal 11 2 4 4 3 3 2" xfId="27204"/>
    <cellStyle name="Normal 11 2 4 4 3 4" xfId="24692"/>
    <cellStyle name="Normal 11 2 4 4 4" xfId="6026"/>
    <cellStyle name="Normal 11 2 4 4 4 2" xfId="21973"/>
    <cellStyle name="Normal 11 2 4 4 4 2 2" xfId="27206"/>
    <cellStyle name="Normal 11 2 4 4 4 3" xfId="24694"/>
    <cellStyle name="Normal 11 2 4 4 5" xfId="21966"/>
    <cellStyle name="Normal 11 2 4 4 5 2" xfId="27199"/>
    <cellStyle name="Normal 11 2 4 4 6" xfId="24687"/>
    <cellStyle name="Normal 11 2 4 4_DeltaViewer" xfId="6027"/>
    <cellStyle name="Normal 11 2 4 5" xfId="6028"/>
    <cellStyle name="Normal 11 2 4 5 2" xfId="6029"/>
    <cellStyle name="Normal 11 2 4 5 2 2" xfId="6030"/>
    <cellStyle name="Normal 11 2 4 5 2 2 2" xfId="21976"/>
    <cellStyle name="Normal 11 2 4 5 2 2 2 2" xfId="27209"/>
    <cellStyle name="Normal 11 2 4 5 2 2 3" xfId="24697"/>
    <cellStyle name="Normal 11 2 4 5 2 3" xfId="21975"/>
    <cellStyle name="Normal 11 2 4 5 2 3 2" xfId="27208"/>
    <cellStyle name="Normal 11 2 4 5 2 4" xfId="24696"/>
    <cellStyle name="Normal 11 2 4 5 3" xfId="6031"/>
    <cellStyle name="Normal 11 2 4 5 3 2" xfId="21977"/>
    <cellStyle name="Normal 11 2 4 5 3 2 2" xfId="27210"/>
    <cellStyle name="Normal 11 2 4 5 3 3" xfId="24698"/>
    <cellStyle name="Normal 11 2 4 5 4" xfId="21974"/>
    <cellStyle name="Normal 11 2 4 5 4 2" xfId="27207"/>
    <cellStyle name="Normal 11 2 4 5 5" xfId="24695"/>
    <cellStyle name="Normal 11 2 4 5_DeltaViewer" xfId="6032"/>
    <cellStyle name="Normal 11 2 4 6" xfId="6033"/>
    <cellStyle name="Normal 11 2 4 6 2" xfId="6034"/>
    <cellStyle name="Normal 11 2 4 6 2 2" xfId="21979"/>
    <cellStyle name="Normal 11 2 4 6 2 2 2" xfId="27212"/>
    <cellStyle name="Normal 11 2 4 6 2 3" xfId="24700"/>
    <cellStyle name="Normal 11 2 4 6 3" xfId="21978"/>
    <cellStyle name="Normal 11 2 4 6 3 2" xfId="27211"/>
    <cellStyle name="Normal 11 2 4 6 4" xfId="24699"/>
    <cellStyle name="Normal 11 2 4 7" xfId="6035"/>
    <cellStyle name="Normal 11 2 4 7 2" xfId="6036"/>
    <cellStyle name="Normal 11 2 4 7 2 2" xfId="21981"/>
    <cellStyle name="Normal 11 2 4 7 2 2 2" xfId="27214"/>
    <cellStyle name="Normal 11 2 4 7 2 3" xfId="24702"/>
    <cellStyle name="Normal 11 2 4 7 3" xfId="21980"/>
    <cellStyle name="Normal 11 2 4 7 3 2" xfId="27213"/>
    <cellStyle name="Normal 11 2 4 7 4" xfId="24701"/>
    <cellStyle name="Normal 11 2 4 8" xfId="6037"/>
    <cellStyle name="Normal 11 2 4 8 2" xfId="21982"/>
    <cellStyle name="Normal 11 2 4 8 2 2" xfId="27215"/>
    <cellStyle name="Normal 11 2 4 8 3" xfId="24703"/>
    <cellStyle name="Normal 11 2 4 9" xfId="21949"/>
    <cellStyle name="Normal 11 2 4 9 2" xfId="27182"/>
    <cellStyle name="Normal 11 2 4_DeltaViewer" xfId="6038"/>
    <cellStyle name="Normal 11 2 5" xfId="21715"/>
    <cellStyle name="Normal 11 2 5 2" xfId="26953"/>
    <cellStyle name="Normal 11 2 6" xfId="21472"/>
    <cellStyle name="Normal 11 2 7" xfId="21576"/>
    <cellStyle name="Normal 11 2 8" xfId="21505"/>
    <cellStyle name="Normal 11 2 9" xfId="24084"/>
    <cellStyle name="Normal 11 2_DeltaViewer" xfId="6039"/>
    <cellStyle name="Normal 11 3" xfId="6040"/>
    <cellStyle name="Normal 11 3 2" xfId="6041"/>
    <cellStyle name="Normal 11 3 3" xfId="6042"/>
    <cellStyle name="Normal 11 3_DeltaViewer" xfId="6043"/>
    <cellStyle name="Normal 11 4" xfId="6044"/>
    <cellStyle name="Normal 11 4 10" xfId="6045"/>
    <cellStyle name="Normal 11 4 10 2" xfId="21984"/>
    <cellStyle name="Normal 11 4 10 2 2" xfId="27217"/>
    <cellStyle name="Normal 11 4 10 3" xfId="24705"/>
    <cellStyle name="Normal 11 4 11" xfId="21983"/>
    <cellStyle name="Normal 11 4 11 2" xfId="27216"/>
    <cellStyle name="Normal 11 4 12" xfId="24704"/>
    <cellStyle name="Normal 11 4 2" xfId="6046"/>
    <cellStyle name="Normal 11 4 2 10" xfId="24706"/>
    <cellStyle name="Normal 11 4 2 2" xfId="6047"/>
    <cellStyle name="Normal 11 4 2 2 2" xfId="6048"/>
    <cellStyle name="Normal 11 4 2 2 2 2" xfId="6049"/>
    <cellStyle name="Normal 11 4 2 2 2 2 2" xfId="6050"/>
    <cellStyle name="Normal 11 4 2 2 2 2 2 2" xfId="21989"/>
    <cellStyle name="Normal 11 4 2 2 2 2 2 2 2" xfId="27222"/>
    <cellStyle name="Normal 11 4 2 2 2 2 2 3" xfId="24710"/>
    <cellStyle name="Normal 11 4 2 2 2 2 3" xfId="21988"/>
    <cellStyle name="Normal 11 4 2 2 2 2 3 2" xfId="27221"/>
    <cellStyle name="Normal 11 4 2 2 2 2 4" xfId="24709"/>
    <cellStyle name="Normal 11 4 2 2 2 3" xfId="6051"/>
    <cellStyle name="Normal 11 4 2 2 2 3 2" xfId="21990"/>
    <cellStyle name="Normal 11 4 2 2 2 3 2 2" xfId="27223"/>
    <cellStyle name="Normal 11 4 2 2 2 3 3" xfId="24711"/>
    <cellStyle name="Normal 11 4 2 2 2 4" xfId="21987"/>
    <cellStyle name="Normal 11 4 2 2 2 4 2" xfId="27220"/>
    <cellStyle name="Normal 11 4 2 2 2 5" xfId="24708"/>
    <cellStyle name="Normal 11 4 2 2 2_DeltaViewer" xfId="6052"/>
    <cellStyle name="Normal 11 4 2 2 3" xfId="6053"/>
    <cellStyle name="Normal 11 4 2 2 3 2" xfId="6054"/>
    <cellStyle name="Normal 11 4 2 2 3 2 2" xfId="21992"/>
    <cellStyle name="Normal 11 4 2 2 3 2 2 2" xfId="27225"/>
    <cellStyle name="Normal 11 4 2 2 3 2 3" xfId="24713"/>
    <cellStyle name="Normal 11 4 2 2 3 3" xfId="21991"/>
    <cellStyle name="Normal 11 4 2 2 3 3 2" xfId="27224"/>
    <cellStyle name="Normal 11 4 2 2 3 4" xfId="24712"/>
    <cellStyle name="Normal 11 4 2 2 4" xfId="6055"/>
    <cellStyle name="Normal 11 4 2 2 4 2" xfId="21993"/>
    <cellStyle name="Normal 11 4 2 2 4 2 2" xfId="27226"/>
    <cellStyle name="Normal 11 4 2 2 4 3" xfId="24714"/>
    <cellStyle name="Normal 11 4 2 2 5" xfId="21986"/>
    <cellStyle name="Normal 11 4 2 2 5 2" xfId="27219"/>
    <cellStyle name="Normal 11 4 2 2 6" xfId="24707"/>
    <cellStyle name="Normal 11 4 2 2_DeltaViewer" xfId="6056"/>
    <cellStyle name="Normal 11 4 2 3" xfId="6057"/>
    <cellStyle name="Normal 11 4 2 3 2" xfId="6058"/>
    <cellStyle name="Normal 11 4 2 3 2 2" xfId="6059"/>
    <cellStyle name="Normal 11 4 2 3 2 2 2" xfId="6060"/>
    <cellStyle name="Normal 11 4 2 3 2 2 2 2" xfId="21997"/>
    <cellStyle name="Normal 11 4 2 3 2 2 2 2 2" xfId="27230"/>
    <cellStyle name="Normal 11 4 2 3 2 2 2 3" xfId="24718"/>
    <cellStyle name="Normal 11 4 2 3 2 2 3" xfId="21996"/>
    <cellStyle name="Normal 11 4 2 3 2 2 3 2" xfId="27229"/>
    <cellStyle name="Normal 11 4 2 3 2 2 4" xfId="24717"/>
    <cellStyle name="Normal 11 4 2 3 2 3" xfId="6061"/>
    <cellStyle name="Normal 11 4 2 3 2 3 2" xfId="21998"/>
    <cellStyle name="Normal 11 4 2 3 2 3 2 2" xfId="27231"/>
    <cellStyle name="Normal 11 4 2 3 2 3 3" xfId="24719"/>
    <cellStyle name="Normal 11 4 2 3 2 4" xfId="21995"/>
    <cellStyle name="Normal 11 4 2 3 2 4 2" xfId="27228"/>
    <cellStyle name="Normal 11 4 2 3 2 5" xfId="24716"/>
    <cellStyle name="Normal 11 4 2 3 2_DeltaViewer" xfId="6062"/>
    <cellStyle name="Normal 11 4 2 3 3" xfId="6063"/>
    <cellStyle name="Normal 11 4 2 3 3 2" xfId="6064"/>
    <cellStyle name="Normal 11 4 2 3 3 2 2" xfId="22000"/>
    <cellStyle name="Normal 11 4 2 3 3 2 2 2" xfId="27233"/>
    <cellStyle name="Normal 11 4 2 3 3 2 3" xfId="24721"/>
    <cellStyle name="Normal 11 4 2 3 3 3" xfId="21999"/>
    <cellStyle name="Normal 11 4 2 3 3 3 2" xfId="27232"/>
    <cellStyle name="Normal 11 4 2 3 3 4" xfId="24720"/>
    <cellStyle name="Normal 11 4 2 3 4" xfId="6065"/>
    <cellStyle name="Normal 11 4 2 3 4 2" xfId="22001"/>
    <cellStyle name="Normal 11 4 2 3 4 2 2" xfId="27234"/>
    <cellStyle name="Normal 11 4 2 3 4 3" xfId="24722"/>
    <cellStyle name="Normal 11 4 2 3 5" xfId="21994"/>
    <cellStyle name="Normal 11 4 2 3 5 2" xfId="27227"/>
    <cellStyle name="Normal 11 4 2 3 6" xfId="24715"/>
    <cellStyle name="Normal 11 4 2 3_DeltaViewer" xfId="6066"/>
    <cellStyle name="Normal 11 4 2 4" xfId="6067"/>
    <cellStyle name="Normal 11 4 2 4 2" xfId="6068"/>
    <cellStyle name="Normal 11 4 2 4 2 2" xfId="6069"/>
    <cellStyle name="Normal 11 4 2 4 2 2 2" xfId="6070"/>
    <cellStyle name="Normal 11 4 2 4 2 2 2 2" xfId="22005"/>
    <cellStyle name="Normal 11 4 2 4 2 2 2 2 2" xfId="27238"/>
    <cellStyle name="Normal 11 4 2 4 2 2 2 3" xfId="24726"/>
    <cellStyle name="Normal 11 4 2 4 2 2 3" xfId="22004"/>
    <cellStyle name="Normal 11 4 2 4 2 2 3 2" xfId="27237"/>
    <cellStyle name="Normal 11 4 2 4 2 2 4" xfId="24725"/>
    <cellStyle name="Normal 11 4 2 4 2 3" xfId="6071"/>
    <cellStyle name="Normal 11 4 2 4 2 3 2" xfId="22006"/>
    <cellStyle name="Normal 11 4 2 4 2 3 2 2" xfId="27239"/>
    <cellStyle name="Normal 11 4 2 4 2 3 3" xfId="24727"/>
    <cellStyle name="Normal 11 4 2 4 2 4" xfId="22003"/>
    <cellStyle name="Normal 11 4 2 4 2 4 2" xfId="27236"/>
    <cellStyle name="Normal 11 4 2 4 2 5" xfId="24724"/>
    <cellStyle name="Normal 11 4 2 4 2_DeltaViewer" xfId="6072"/>
    <cellStyle name="Normal 11 4 2 4 3" xfId="6073"/>
    <cellStyle name="Normal 11 4 2 4 3 2" xfId="6074"/>
    <cellStyle name="Normal 11 4 2 4 3 2 2" xfId="22008"/>
    <cellStyle name="Normal 11 4 2 4 3 2 2 2" xfId="27241"/>
    <cellStyle name="Normal 11 4 2 4 3 2 3" xfId="24729"/>
    <cellStyle name="Normal 11 4 2 4 3 3" xfId="22007"/>
    <cellStyle name="Normal 11 4 2 4 3 3 2" xfId="27240"/>
    <cellStyle name="Normal 11 4 2 4 3 4" xfId="24728"/>
    <cellStyle name="Normal 11 4 2 4 4" xfId="6075"/>
    <cellStyle name="Normal 11 4 2 4 4 2" xfId="22009"/>
    <cellStyle name="Normal 11 4 2 4 4 2 2" xfId="27242"/>
    <cellStyle name="Normal 11 4 2 4 4 3" xfId="24730"/>
    <cellStyle name="Normal 11 4 2 4 5" xfId="22002"/>
    <cellStyle name="Normal 11 4 2 4 5 2" xfId="27235"/>
    <cellStyle name="Normal 11 4 2 4 6" xfId="24723"/>
    <cellStyle name="Normal 11 4 2 4_DeltaViewer" xfId="6076"/>
    <cellStyle name="Normal 11 4 2 5" xfId="6077"/>
    <cellStyle name="Normal 11 4 2 5 2" xfId="6078"/>
    <cellStyle name="Normal 11 4 2 5 2 2" xfId="6079"/>
    <cellStyle name="Normal 11 4 2 5 2 2 2" xfId="22012"/>
    <cellStyle name="Normal 11 4 2 5 2 2 2 2" xfId="27245"/>
    <cellStyle name="Normal 11 4 2 5 2 2 3" xfId="24733"/>
    <cellStyle name="Normal 11 4 2 5 2 3" xfId="22011"/>
    <cellStyle name="Normal 11 4 2 5 2 3 2" xfId="27244"/>
    <cellStyle name="Normal 11 4 2 5 2 4" xfId="24732"/>
    <cellStyle name="Normal 11 4 2 5 3" xfId="6080"/>
    <cellStyle name="Normal 11 4 2 5 3 2" xfId="22013"/>
    <cellStyle name="Normal 11 4 2 5 3 2 2" xfId="27246"/>
    <cellStyle name="Normal 11 4 2 5 3 3" xfId="24734"/>
    <cellStyle name="Normal 11 4 2 5 4" xfId="22010"/>
    <cellStyle name="Normal 11 4 2 5 4 2" xfId="27243"/>
    <cellStyle name="Normal 11 4 2 5 5" xfId="24731"/>
    <cellStyle name="Normal 11 4 2 5_DeltaViewer" xfId="6081"/>
    <cellStyle name="Normal 11 4 2 6" xfId="6082"/>
    <cellStyle name="Normal 11 4 2 6 2" xfId="6083"/>
    <cellStyle name="Normal 11 4 2 6 2 2" xfId="22015"/>
    <cellStyle name="Normal 11 4 2 6 2 2 2" xfId="27248"/>
    <cellStyle name="Normal 11 4 2 6 2 3" xfId="24736"/>
    <cellStyle name="Normal 11 4 2 6 3" xfId="22014"/>
    <cellStyle name="Normal 11 4 2 6 3 2" xfId="27247"/>
    <cellStyle name="Normal 11 4 2 6 4" xfId="24735"/>
    <cellStyle name="Normal 11 4 2 7" xfId="6084"/>
    <cellStyle name="Normal 11 4 2 7 2" xfId="6085"/>
    <cellStyle name="Normal 11 4 2 7 2 2" xfId="22017"/>
    <cellStyle name="Normal 11 4 2 7 2 2 2" xfId="27250"/>
    <cellStyle name="Normal 11 4 2 7 2 3" xfId="24738"/>
    <cellStyle name="Normal 11 4 2 7 3" xfId="22016"/>
    <cellStyle name="Normal 11 4 2 7 3 2" xfId="27249"/>
    <cellStyle name="Normal 11 4 2 7 4" xfId="24737"/>
    <cellStyle name="Normal 11 4 2 8" xfId="6086"/>
    <cellStyle name="Normal 11 4 2 8 2" xfId="22018"/>
    <cellStyle name="Normal 11 4 2 8 2 2" xfId="27251"/>
    <cellStyle name="Normal 11 4 2 8 3" xfId="24739"/>
    <cellStyle name="Normal 11 4 2 9" xfId="21985"/>
    <cellStyle name="Normal 11 4 2 9 2" xfId="27218"/>
    <cellStyle name="Normal 11 4 2_DeltaViewer" xfId="6087"/>
    <cellStyle name="Normal 11 4 3" xfId="6088"/>
    <cellStyle name="Normal 11 4 3 10" xfId="24740"/>
    <cellStyle name="Normal 11 4 3 2" xfId="6089"/>
    <cellStyle name="Normal 11 4 3 2 2" xfId="6090"/>
    <cellStyle name="Normal 11 4 3 2 2 2" xfId="6091"/>
    <cellStyle name="Normal 11 4 3 2 2 2 2" xfId="6092"/>
    <cellStyle name="Normal 11 4 3 2 2 2 2 2" xfId="22023"/>
    <cellStyle name="Normal 11 4 3 2 2 2 2 2 2" xfId="27256"/>
    <cellStyle name="Normal 11 4 3 2 2 2 2 3" xfId="24744"/>
    <cellStyle name="Normal 11 4 3 2 2 2 3" xfId="22022"/>
    <cellStyle name="Normal 11 4 3 2 2 2 3 2" xfId="27255"/>
    <cellStyle name="Normal 11 4 3 2 2 2 4" xfId="24743"/>
    <cellStyle name="Normal 11 4 3 2 2 3" xfId="6093"/>
    <cellStyle name="Normal 11 4 3 2 2 3 2" xfId="22024"/>
    <cellStyle name="Normal 11 4 3 2 2 3 2 2" xfId="27257"/>
    <cellStyle name="Normal 11 4 3 2 2 3 3" xfId="24745"/>
    <cellStyle name="Normal 11 4 3 2 2 4" xfId="22021"/>
    <cellStyle name="Normal 11 4 3 2 2 4 2" xfId="27254"/>
    <cellStyle name="Normal 11 4 3 2 2 5" xfId="24742"/>
    <cellStyle name="Normal 11 4 3 2 2_DeltaViewer" xfId="6094"/>
    <cellStyle name="Normal 11 4 3 2 3" xfId="6095"/>
    <cellStyle name="Normal 11 4 3 2 3 2" xfId="6096"/>
    <cellStyle name="Normal 11 4 3 2 3 2 2" xfId="22026"/>
    <cellStyle name="Normal 11 4 3 2 3 2 2 2" xfId="27259"/>
    <cellStyle name="Normal 11 4 3 2 3 2 3" xfId="24747"/>
    <cellStyle name="Normal 11 4 3 2 3 3" xfId="22025"/>
    <cellStyle name="Normal 11 4 3 2 3 3 2" xfId="27258"/>
    <cellStyle name="Normal 11 4 3 2 3 4" xfId="24746"/>
    <cellStyle name="Normal 11 4 3 2 4" xfId="6097"/>
    <cellStyle name="Normal 11 4 3 2 4 2" xfId="22027"/>
    <cellStyle name="Normal 11 4 3 2 4 2 2" xfId="27260"/>
    <cellStyle name="Normal 11 4 3 2 4 3" xfId="24748"/>
    <cellStyle name="Normal 11 4 3 2 5" xfId="22020"/>
    <cellStyle name="Normal 11 4 3 2 5 2" xfId="27253"/>
    <cellStyle name="Normal 11 4 3 2 6" xfId="24741"/>
    <cellStyle name="Normal 11 4 3 2_DeltaViewer" xfId="6098"/>
    <cellStyle name="Normal 11 4 3 3" xfId="6099"/>
    <cellStyle name="Normal 11 4 3 3 2" xfId="6100"/>
    <cellStyle name="Normal 11 4 3 3 2 2" xfId="6101"/>
    <cellStyle name="Normal 11 4 3 3 2 2 2" xfId="6102"/>
    <cellStyle name="Normal 11 4 3 3 2 2 2 2" xfId="22031"/>
    <cellStyle name="Normal 11 4 3 3 2 2 2 2 2" xfId="27264"/>
    <cellStyle name="Normal 11 4 3 3 2 2 2 3" xfId="24752"/>
    <cellStyle name="Normal 11 4 3 3 2 2 3" xfId="22030"/>
    <cellStyle name="Normal 11 4 3 3 2 2 3 2" xfId="27263"/>
    <cellStyle name="Normal 11 4 3 3 2 2 4" xfId="24751"/>
    <cellStyle name="Normal 11 4 3 3 2 3" xfId="6103"/>
    <cellStyle name="Normal 11 4 3 3 2 3 2" xfId="22032"/>
    <cellStyle name="Normal 11 4 3 3 2 3 2 2" xfId="27265"/>
    <cellStyle name="Normal 11 4 3 3 2 3 3" xfId="24753"/>
    <cellStyle name="Normal 11 4 3 3 2 4" xfId="22029"/>
    <cellStyle name="Normal 11 4 3 3 2 4 2" xfId="27262"/>
    <cellStyle name="Normal 11 4 3 3 2 5" xfId="24750"/>
    <cellStyle name="Normal 11 4 3 3 2_DeltaViewer" xfId="6104"/>
    <cellStyle name="Normal 11 4 3 3 3" xfId="6105"/>
    <cellStyle name="Normal 11 4 3 3 3 2" xfId="6106"/>
    <cellStyle name="Normal 11 4 3 3 3 2 2" xfId="22034"/>
    <cellStyle name="Normal 11 4 3 3 3 2 2 2" xfId="27267"/>
    <cellStyle name="Normal 11 4 3 3 3 2 3" xfId="24755"/>
    <cellStyle name="Normal 11 4 3 3 3 3" xfId="22033"/>
    <cellStyle name="Normal 11 4 3 3 3 3 2" xfId="27266"/>
    <cellStyle name="Normal 11 4 3 3 3 4" xfId="24754"/>
    <cellStyle name="Normal 11 4 3 3 4" xfId="6107"/>
    <cellStyle name="Normal 11 4 3 3 4 2" xfId="22035"/>
    <cellStyle name="Normal 11 4 3 3 4 2 2" xfId="27268"/>
    <cellStyle name="Normal 11 4 3 3 4 3" xfId="24756"/>
    <cellStyle name="Normal 11 4 3 3 5" xfId="22028"/>
    <cellStyle name="Normal 11 4 3 3 5 2" xfId="27261"/>
    <cellStyle name="Normal 11 4 3 3 6" xfId="24749"/>
    <cellStyle name="Normal 11 4 3 3_DeltaViewer" xfId="6108"/>
    <cellStyle name="Normal 11 4 3 4" xfId="6109"/>
    <cellStyle name="Normal 11 4 3 4 2" xfId="6110"/>
    <cellStyle name="Normal 11 4 3 4 2 2" xfId="6111"/>
    <cellStyle name="Normal 11 4 3 4 2 2 2" xfId="6112"/>
    <cellStyle name="Normal 11 4 3 4 2 2 2 2" xfId="22039"/>
    <cellStyle name="Normal 11 4 3 4 2 2 2 2 2" xfId="27272"/>
    <cellStyle name="Normal 11 4 3 4 2 2 2 3" xfId="24760"/>
    <cellStyle name="Normal 11 4 3 4 2 2 3" xfId="22038"/>
    <cellStyle name="Normal 11 4 3 4 2 2 3 2" xfId="27271"/>
    <cellStyle name="Normal 11 4 3 4 2 2 4" xfId="24759"/>
    <cellStyle name="Normal 11 4 3 4 2 3" xfId="6113"/>
    <cellStyle name="Normal 11 4 3 4 2 3 2" xfId="22040"/>
    <cellStyle name="Normal 11 4 3 4 2 3 2 2" xfId="27273"/>
    <cellStyle name="Normal 11 4 3 4 2 3 3" xfId="24761"/>
    <cellStyle name="Normal 11 4 3 4 2 4" xfId="22037"/>
    <cellStyle name="Normal 11 4 3 4 2 4 2" xfId="27270"/>
    <cellStyle name="Normal 11 4 3 4 2 5" xfId="24758"/>
    <cellStyle name="Normal 11 4 3 4 2_DeltaViewer" xfId="6114"/>
    <cellStyle name="Normal 11 4 3 4 3" xfId="6115"/>
    <cellStyle name="Normal 11 4 3 4 3 2" xfId="6116"/>
    <cellStyle name="Normal 11 4 3 4 3 2 2" xfId="22042"/>
    <cellStyle name="Normal 11 4 3 4 3 2 2 2" xfId="27275"/>
    <cellStyle name="Normal 11 4 3 4 3 2 3" xfId="24763"/>
    <cellStyle name="Normal 11 4 3 4 3 3" xfId="22041"/>
    <cellStyle name="Normal 11 4 3 4 3 3 2" xfId="27274"/>
    <cellStyle name="Normal 11 4 3 4 3 4" xfId="24762"/>
    <cellStyle name="Normal 11 4 3 4 4" xfId="6117"/>
    <cellStyle name="Normal 11 4 3 4 4 2" xfId="22043"/>
    <cellStyle name="Normal 11 4 3 4 4 2 2" xfId="27276"/>
    <cellStyle name="Normal 11 4 3 4 4 3" xfId="24764"/>
    <cellStyle name="Normal 11 4 3 4 5" xfId="22036"/>
    <cellStyle name="Normal 11 4 3 4 5 2" xfId="27269"/>
    <cellStyle name="Normal 11 4 3 4 6" xfId="24757"/>
    <cellStyle name="Normal 11 4 3 4_DeltaViewer" xfId="6118"/>
    <cellStyle name="Normal 11 4 3 5" xfId="6119"/>
    <cellStyle name="Normal 11 4 3 5 2" xfId="6120"/>
    <cellStyle name="Normal 11 4 3 5 2 2" xfId="6121"/>
    <cellStyle name="Normal 11 4 3 5 2 2 2" xfId="22046"/>
    <cellStyle name="Normal 11 4 3 5 2 2 2 2" xfId="27279"/>
    <cellStyle name="Normal 11 4 3 5 2 2 3" xfId="24767"/>
    <cellStyle name="Normal 11 4 3 5 2 3" xfId="22045"/>
    <cellStyle name="Normal 11 4 3 5 2 3 2" xfId="27278"/>
    <cellStyle name="Normal 11 4 3 5 2 4" xfId="24766"/>
    <cellStyle name="Normal 11 4 3 5 3" xfId="6122"/>
    <cellStyle name="Normal 11 4 3 5 3 2" xfId="22047"/>
    <cellStyle name="Normal 11 4 3 5 3 2 2" xfId="27280"/>
    <cellStyle name="Normal 11 4 3 5 3 3" xfId="24768"/>
    <cellStyle name="Normal 11 4 3 5 4" xfId="22044"/>
    <cellStyle name="Normal 11 4 3 5 4 2" xfId="27277"/>
    <cellStyle name="Normal 11 4 3 5 5" xfId="24765"/>
    <cellStyle name="Normal 11 4 3 5_DeltaViewer" xfId="6123"/>
    <cellStyle name="Normal 11 4 3 6" xfId="6124"/>
    <cellStyle name="Normal 11 4 3 6 2" xfId="6125"/>
    <cellStyle name="Normal 11 4 3 6 2 2" xfId="22049"/>
    <cellStyle name="Normal 11 4 3 6 2 2 2" xfId="27282"/>
    <cellStyle name="Normal 11 4 3 6 2 3" xfId="24770"/>
    <cellStyle name="Normal 11 4 3 6 3" xfId="22048"/>
    <cellStyle name="Normal 11 4 3 6 3 2" xfId="27281"/>
    <cellStyle name="Normal 11 4 3 6 4" xfId="24769"/>
    <cellStyle name="Normal 11 4 3 7" xfId="6126"/>
    <cellStyle name="Normal 11 4 3 7 2" xfId="6127"/>
    <cellStyle name="Normal 11 4 3 7 2 2" xfId="22051"/>
    <cellStyle name="Normal 11 4 3 7 2 2 2" xfId="27284"/>
    <cellStyle name="Normal 11 4 3 7 2 3" xfId="24772"/>
    <cellStyle name="Normal 11 4 3 7 3" xfId="22050"/>
    <cellStyle name="Normal 11 4 3 7 3 2" xfId="27283"/>
    <cellStyle name="Normal 11 4 3 7 4" xfId="24771"/>
    <cellStyle name="Normal 11 4 3 8" xfId="6128"/>
    <cellStyle name="Normal 11 4 3 8 2" xfId="22052"/>
    <cellStyle name="Normal 11 4 3 8 2 2" xfId="27285"/>
    <cellStyle name="Normal 11 4 3 8 3" xfId="24773"/>
    <cellStyle name="Normal 11 4 3 9" xfId="22019"/>
    <cellStyle name="Normal 11 4 3 9 2" xfId="27252"/>
    <cellStyle name="Normal 11 4 3_DeltaViewer" xfId="6129"/>
    <cellStyle name="Normal 11 4 4" xfId="6130"/>
    <cellStyle name="Normal 11 4 4 2" xfId="6131"/>
    <cellStyle name="Normal 11 4 4 2 2" xfId="6132"/>
    <cellStyle name="Normal 11 4 4 2 2 2" xfId="6133"/>
    <cellStyle name="Normal 11 4 4 2 2 2 2" xfId="22056"/>
    <cellStyle name="Normal 11 4 4 2 2 2 2 2" xfId="27289"/>
    <cellStyle name="Normal 11 4 4 2 2 2 3" xfId="24777"/>
    <cellStyle name="Normal 11 4 4 2 2 3" xfId="22055"/>
    <cellStyle name="Normal 11 4 4 2 2 3 2" xfId="27288"/>
    <cellStyle name="Normal 11 4 4 2 2 4" xfId="24776"/>
    <cellStyle name="Normal 11 4 4 2 3" xfId="6134"/>
    <cellStyle name="Normal 11 4 4 2 3 2" xfId="22057"/>
    <cellStyle name="Normal 11 4 4 2 3 2 2" xfId="27290"/>
    <cellStyle name="Normal 11 4 4 2 3 3" xfId="24778"/>
    <cellStyle name="Normal 11 4 4 2 4" xfId="22054"/>
    <cellStyle name="Normal 11 4 4 2 4 2" xfId="27287"/>
    <cellStyle name="Normal 11 4 4 2 5" xfId="24775"/>
    <cellStyle name="Normal 11 4 4 2_DeltaViewer" xfId="6135"/>
    <cellStyle name="Normal 11 4 4 3" xfId="6136"/>
    <cellStyle name="Normal 11 4 4 3 2" xfId="6137"/>
    <cellStyle name="Normal 11 4 4 3 2 2" xfId="22059"/>
    <cellStyle name="Normal 11 4 4 3 2 2 2" xfId="27292"/>
    <cellStyle name="Normal 11 4 4 3 2 3" xfId="24780"/>
    <cellStyle name="Normal 11 4 4 3 3" xfId="22058"/>
    <cellStyle name="Normal 11 4 4 3 3 2" xfId="27291"/>
    <cellStyle name="Normal 11 4 4 3 4" xfId="24779"/>
    <cellStyle name="Normal 11 4 4 4" xfId="6138"/>
    <cellStyle name="Normal 11 4 4 4 2" xfId="22060"/>
    <cellStyle name="Normal 11 4 4 4 2 2" xfId="27293"/>
    <cellStyle name="Normal 11 4 4 4 3" xfId="24781"/>
    <cellStyle name="Normal 11 4 4 5" xfId="22053"/>
    <cellStyle name="Normal 11 4 4 5 2" xfId="27286"/>
    <cellStyle name="Normal 11 4 4 6" xfId="24774"/>
    <cellStyle name="Normal 11 4 4_DeltaViewer" xfId="6139"/>
    <cellStyle name="Normal 11 4 5" xfId="6140"/>
    <cellStyle name="Normal 11 4 5 2" xfId="6141"/>
    <cellStyle name="Normal 11 4 5 2 2" xfId="6142"/>
    <cellStyle name="Normal 11 4 5 2 2 2" xfId="6143"/>
    <cellStyle name="Normal 11 4 5 2 2 2 2" xfId="22064"/>
    <cellStyle name="Normal 11 4 5 2 2 2 2 2" xfId="27297"/>
    <cellStyle name="Normal 11 4 5 2 2 2 3" xfId="24785"/>
    <cellStyle name="Normal 11 4 5 2 2 3" xfId="22063"/>
    <cellStyle name="Normal 11 4 5 2 2 3 2" xfId="27296"/>
    <cellStyle name="Normal 11 4 5 2 2 4" xfId="24784"/>
    <cellStyle name="Normal 11 4 5 2 3" xfId="6144"/>
    <cellStyle name="Normal 11 4 5 2 3 2" xfId="22065"/>
    <cellStyle name="Normal 11 4 5 2 3 2 2" xfId="27298"/>
    <cellStyle name="Normal 11 4 5 2 3 3" xfId="24786"/>
    <cellStyle name="Normal 11 4 5 2 4" xfId="22062"/>
    <cellStyle name="Normal 11 4 5 2 4 2" xfId="27295"/>
    <cellStyle name="Normal 11 4 5 2 5" xfId="24783"/>
    <cellStyle name="Normal 11 4 5 2_DeltaViewer" xfId="6145"/>
    <cellStyle name="Normal 11 4 5 3" xfId="6146"/>
    <cellStyle name="Normal 11 4 5 3 2" xfId="6147"/>
    <cellStyle name="Normal 11 4 5 3 2 2" xfId="22067"/>
    <cellStyle name="Normal 11 4 5 3 2 2 2" xfId="27300"/>
    <cellStyle name="Normal 11 4 5 3 2 3" xfId="24788"/>
    <cellStyle name="Normal 11 4 5 3 3" xfId="22066"/>
    <cellStyle name="Normal 11 4 5 3 3 2" xfId="27299"/>
    <cellStyle name="Normal 11 4 5 3 4" xfId="24787"/>
    <cellStyle name="Normal 11 4 5 4" xfId="6148"/>
    <cellStyle name="Normal 11 4 5 4 2" xfId="22068"/>
    <cellStyle name="Normal 11 4 5 4 2 2" xfId="27301"/>
    <cellStyle name="Normal 11 4 5 4 3" xfId="24789"/>
    <cellStyle name="Normal 11 4 5 5" xfId="22061"/>
    <cellStyle name="Normal 11 4 5 5 2" xfId="27294"/>
    <cellStyle name="Normal 11 4 5 6" xfId="24782"/>
    <cellStyle name="Normal 11 4 5_DeltaViewer" xfId="6149"/>
    <cellStyle name="Normal 11 4 6" xfId="6150"/>
    <cellStyle name="Normal 11 4 6 2" xfId="6151"/>
    <cellStyle name="Normal 11 4 6 2 2" xfId="6152"/>
    <cellStyle name="Normal 11 4 6 2 2 2" xfId="6153"/>
    <cellStyle name="Normal 11 4 6 2 2 2 2" xfId="22072"/>
    <cellStyle name="Normal 11 4 6 2 2 2 2 2" xfId="27305"/>
    <cellStyle name="Normal 11 4 6 2 2 2 3" xfId="24793"/>
    <cellStyle name="Normal 11 4 6 2 2 3" xfId="22071"/>
    <cellStyle name="Normal 11 4 6 2 2 3 2" xfId="27304"/>
    <cellStyle name="Normal 11 4 6 2 2 4" xfId="24792"/>
    <cellStyle name="Normal 11 4 6 2 3" xfId="6154"/>
    <cellStyle name="Normal 11 4 6 2 3 2" xfId="22073"/>
    <cellStyle name="Normal 11 4 6 2 3 2 2" xfId="27306"/>
    <cellStyle name="Normal 11 4 6 2 3 3" xfId="24794"/>
    <cellStyle name="Normal 11 4 6 2 4" xfId="22070"/>
    <cellStyle name="Normal 11 4 6 2 4 2" xfId="27303"/>
    <cellStyle name="Normal 11 4 6 2 5" xfId="24791"/>
    <cellStyle name="Normal 11 4 6 2_DeltaViewer" xfId="6155"/>
    <cellStyle name="Normal 11 4 6 3" xfId="6156"/>
    <cellStyle name="Normal 11 4 6 3 2" xfId="6157"/>
    <cellStyle name="Normal 11 4 6 3 2 2" xfId="22075"/>
    <cellStyle name="Normal 11 4 6 3 2 2 2" xfId="27308"/>
    <cellStyle name="Normal 11 4 6 3 2 3" xfId="24796"/>
    <cellStyle name="Normal 11 4 6 3 3" xfId="22074"/>
    <cellStyle name="Normal 11 4 6 3 3 2" xfId="27307"/>
    <cellStyle name="Normal 11 4 6 3 4" xfId="24795"/>
    <cellStyle name="Normal 11 4 6 4" xfId="6158"/>
    <cellStyle name="Normal 11 4 6 4 2" xfId="22076"/>
    <cellStyle name="Normal 11 4 6 4 2 2" xfId="27309"/>
    <cellStyle name="Normal 11 4 6 4 3" xfId="24797"/>
    <cellStyle name="Normal 11 4 6 5" xfId="22069"/>
    <cellStyle name="Normal 11 4 6 5 2" xfId="27302"/>
    <cellStyle name="Normal 11 4 6 6" xfId="24790"/>
    <cellStyle name="Normal 11 4 6_DeltaViewer" xfId="6159"/>
    <cellStyle name="Normal 11 4 7" xfId="6160"/>
    <cellStyle name="Normal 11 4 7 2" xfId="6161"/>
    <cellStyle name="Normal 11 4 7 2 2" xfId="6162"/>
    <cellStyle name="Normal 11 4 7 2 2 2" xfId="22079"/>
    <cellStyle name="Normal 11 4 7 2 2 2 2" xfId="27312"/>
    <cellStyle name="Normal 11 4 7 2 2 3" xfId="24800"/>
    <cellStyle name="Normal 11 4 7 2 3" xfId="22078"/>
    <cellStyle name="Normal 11 4 7 2 3 2" xfId="27311"/>
    <cellStyle name="Normal 11 4 7 2 4" xfId="24799"/>
    <cellStyle name="Normal 11 4 7 3" xfId="6163"/>
    <cellStyle name="Normal 11 4 7 3 2" xfId="22080"/>
    <cellStyle name="Normal 11 4 7 3 2 2" xfId="27313"/>
    <cellStyle name="Normal 11 4 7 3 3" xfId="24801"/>
    <cellStyle name="Normal 11 4 7 4" xfId="22077"/>
    <cellStyle name="Normal 11 4 7 4 2" xfId="27310"/>
    <cellStyle name="Normal 11 4 7 5" xfId="24798"/>
    <cellStyle name="Normal 11 4 7_DeltaViewer" xfId="6164"/>
    <cellStyle name="Normal 11 4 8" xfId="6165"/>
    <cellStyle name="Normal 11 4 8 2" xfId="6166"/>
    <cellStyle name="Normal 11 4 8 2 2" xfId="22082"/>
    <cellStyle name="Normal 11 4 8 2 2 2" xfId="27315"/>
    <cellStyle name="Normal 11 4 8 2 3" xfId="24803"/>
    <cellStyle name="Normal 11 4 8 3" xfId="22081"/>
    <cellStyle name="Normal 11 4 8 3 2" xfId="27314"/>
    <cellStyle name="Normal 11 4 8 4" xfId="24802"/>
    <cellStyle name="Normal 11 4 9" xfId="6167"/>
    <cellStyle name="Normal 11 4 9 2" xfId="6168"/>
    <cellStyle name="Normal 11 4 9 2 2" xfId="22084"/>
    <cellStyle name="Normal 11 4 9 2 2 2" xfId="27317"/>
    <cellStyle name="Normal 11 4 9 2 3" xfId="24805"/>
    <cellStyle name="Normal 11 4 9 3" xfId="22083"/>
    <cellStyle name="Normal 11 4 9 3 2" xfId="27316"/>
    <cellStyle name="Normal 11 4 9 4" xfId="24804"/>
    <cellStyle name="Normal 11 4_DeltaViewer" xfId="6169"/>
    <cellStyle name="Normal 11 5" xfId="6170"/>
    <cellStyle name="Normal 11 5 10" xfId="6171"/>
    <cellStyle name="Normal 11 5 10 2" xfId="22086"/>
    <cellStyle name="Normal 11 5 10 2 2" xfId="27319"/>
    <cellStyle name="Normal 11 5 10 3" xfId="24807"/>
    <cellStyle name="Normal 11 5 11" xfId="22085"/>
    <cellStyle name="Normal 11 5 11 2" xfId="27318"/>
    <cellStyle name="Normal 11 5 12" xfId="24806"/>
    <cellStyle name="Normal 11 5 2" xfId="6172"/>
    <cellStyle name="Normal 11 5 2 10" xfId="24808"/>
    <cellStyle name="Normal 11 5 2 2" xfId="6173"/>
    <cellStyle name="Normal 11 5 2 2 2" xfId="6174"/>
    <cellStyle name="Normal 11 5 2 2 2 2" xfId="6175"/>
    <cellStyle name="Normal 11 5 2 2 2 2 2" xfId="6176"/>
    <cellStyle name="Normal 11 5 2 2 2 2 2 2" xfId="22091"/>
    <cellStyle name="Normal 11 5 2 2 2 2 2 2 2" xfId="27324"/>
    <cellStyle name="Normal 11 5 2 2 2 2 2 3" xfId="24812"/>
    <cellStyle name="Normal 11 5 2 2 2 2 3" xfId="22090"/>
    <cellStyle name="Normal 11 5 2 2 2 2 3 2" xfId="27323"/>
    <cellStyle name="Normal 11 5 2 2 2 2 4" xfId="24811"/>
    <cellStyle name="Normal 11 5 2 2 2 3" xfId="6177"/>
    <cellStyle name="Normal 11 5 2 2 2 3 2" xfId="22092"/>
    <cellStyle name="Normal 11 5 2 2 2 3 2 2" xfId="27325"/>
    <cellStyle name="Normal 11 5 2 2 2 3 3" xfId="24813"/>
    <cellStyle name="Normal 11 5 2 2 2 4" xfId="22089"/>
    <cellStyle name="Normal 11 5 2 2 2 4 2" xfId="27322"/>
    <cellStyle name="Normal 11 5 2 2 2 5" xfId="24810"/>
    <cellStyle name="Normal 11 5 2 2 2_DeltaViewer" xfId="6178"/>
    <cellStyle name="Normal 11 5 2 2 3" xfId="6179"/>
    <cellStyle name="Normal 11 5 2 2 3 2" xfId="6180"/>
    <cellStyle name="Normal 11 5 2 2 3 2 2" xfId="22094"/>
    <cellStyle name="Normal 11 5 2 2 3 2 2 2" xfId="27327"/>
    <cellStyle name="Normal 11 5 2 2 3 2 3" xfId="24815"/>
    <cellStyle name="Normal 11 5 2 2 3 3" xfId="22093"/>
    <cellStyle name="Normal 11 5 2 2 3 3 2" xfId="27326"/>
    <cellStyle name="Normal 11 5 2 2 3 4" xfId="24814"/>
    <cellStyle name="Normal 11 5 2 2 4" xfId="6181"/>
    <cellStyle name="Normal 11 5 2 2 4 2" xfId="22095"/>
    <cellStyle name="Normal 11 5 2 2 4 2 2" xfId="27328"/>
    <cellStyle name="Normal 11 5 2 2 4 3" xfId="24816"/>
    <cellStyle name="Normal 11 5 2 2 5" xfId="22088"/>
    <cellStyle name="Normal 11 5 2 2 5 2" xfId="27321"/>
    <cellStyle name="Normal 11 5 2 2 6" xfId="24809"/>
    <cellStyle name="Normal 11 5 2 2_DeltaViewer" xfId="6182"/>
    <cellStyle name="Normal 11 5 2 3" xfId="6183"/>
    <cellStyle name="Normal 11 5 2 3 2" xfId="6184"/>
    <cellStyle name="Normal 11 5 2 3 2 2" xfId="6185"/>
    <cellStyle name="Normal 11 5 2 3 2 2 2" xfId="6186"/>
    <cellStyle name="Normal 11 5 2 3 2 2 2 2" xfId="22099"/>
    <cellStyle name="Normal 11 5 2 3 2 2 2 2 2" xfId="27332"/>
    <cellStyle name="Normal 11 5 2 3 2 2 2 3" xfId="24820"/>
    <cellStyle name="Normal 11 5 2 3 2 2 3" xfId="22098"/>
    <cellStyle name="Normal 11 5 2 3 2 2 3 2" xfId="27331"/>
    <cellStyle name="Normal 11 5 2 3 2 2 4" xfId="24819"/>
    <cellStyle name="Normal 11 5 2 3 2 3" xfId="6187"/>
    <cellStyle name="Normal 11 5 2 3 2 3 2" xfId="22100"/>
    <cellStyle name="Normal 11 5 2 3 2 3 2 2" xfId="27333"/>
    <cellStyle name="Normal 11 5 2 3 2 3 3" xfId="24821"/>
    <cellStyle name="Normal 11 5 2 3 2 4" xfId="22097"/>
    <cellStyle name="Normal 11 5 2 3 2 4 2" xfId="27330"/>
    <cellStyle name="Normal 11 5 2 3 2 5" xfId="24818"/>
    <cellStyle name="Normal 11 5 2 3 2_DeltaViewer" xfId="6188"/>
    <cellStyle name="Normal 11 5 2 3 3" xfId="6189"/>
    <cellStyle name="Normal 11 5 2 3 3 2" xfId="6190"/>
    <cellStyle name="Normal 11 5 2 3 3 2 2" xfId="22102"/>
    <cellStyle name="Normal 11 5 2 3 3 2 2 2" xfId="27335"/>
    <cellStyle name="Normal 11 5 2 3 3 2 3" xfId="24823"/>
    <cellStyle name="Normal 11 5 2 3 3 3" xfId="22101"/>
    <cellStyle name="Normal 11 5 2 3 3 3 2" xfId="27334"/>
    <cellStyle name="Normal 11 5 2 3 3 4" xfId="24822"/>
    <cellStyle name="Normal 11 5 2 3 4" xfId="6191"/>
    <cellStyle name="Normal 11 5 2 3 4 2" xfId="22103"/>
    <cellStyle name="Normal 11 5 2 3 4 2 2" xfId="27336"/>
    <cellStyle name="Normal 11 5 2 3 4 3" xfId="24824"/>
    <cellStyle name="Normal 11 5 2 3 5" xfId="22096"/>
    <cellStyle name="Normal 11 5 2 3 5 2" xfId="27329"/>
    <cellStyle name="Normal 11 5 2 3 6" xfId="24817"/>
    <cellStyle name="Normal 11 5 2 3_DeltaViewer" xfId="6192"/>
    <cellStyle name="Normal 11 5 2 4" xfId="6193"/>
    <cellStyle name="Normal 11 5 2 4 2" xfId="6194"/>
    <cellStyle name="Normal 11 5 2 4 2 2" xfId="6195"/>
    <cellStyle name="Normal 11 5 2 4 2 2 2" xfId="6196"/>
    <cellStyle name="Normal 11 5 2 4 2 2 2 2" xfId="22107"/>
    <cellStyle name="Normal 11 5 2 4 2 2 2 2 2" xfId="27340"/>
    <cellStyle name="Normal 11 5 2 4 2 2 2 3" xfId="24828"/>
    <cellStyle name="Normal 11 5 2 4 2 2 3" xfId="22106"/>
    <cellStyle name="Normal 11 5 2 4 2 2 3 2" xfId="27339"/>
    <cellStyle name="Normal 11 5 2 4 2 2 4" xfId="24827"/>
    <cellStyle name="Normal 11 5 2 4 2 3" xfId="6197"/>
    <cellStyle name="Normal 11 5 2 4 2 3 2" xfId="22108"/>
    <cellStyle name="Normal 11 5 2 4 2 3 2 2" xfId="27341"/>
    <cellStyle name="Normal 11 5 2 4 2 3 3" xfId="24829"/>
    <cellStyle name="Normal 11 5 2 4 2 4" xfId="22105"/>
    <cellStyle name="Normal 11 5 2 4 2 4 2" xfId="27338"/>
    <cellStyle name="Normal 11 5 2 4 2 5" xfId="24826"/>
    <cellStyle name="Normal 11 5 2 4 2_DeltaViewer" xfId="6198"/>
    <cellStyle name="Normal 11 5 2 4 3" xfId="6199"/>
    <cellStyle name="Normal 11 5 2 4 3 2" xfId="6200"/>
    <cellStyle name="Normal 11 5 2 4 3 2 2" xfId="22110"/>
    <cellStyle name="Normal 11 5 2 4 3 2 2 2" xfId="27343"/>
    <cellStyle name="Normal 11 5 2 4 3 2 3" xfId="24831"/>
    <cellStyle name="Normal 11 5 2 4 3 3" xfId="22109"/>
    <cellStyle name="Normal 11 5 2 4 3 3 2" xfId="27342"/>
    <cellStyle name="Normal 11 5 2 4 3 4" xfId="24830"/>
    <cellStyle name="Normal 11 5 2 4 4" xfId="6201"/>
    <cellStyle name="Normal 11 5 2 4 4 2" xfId="22111"/>
    <cellStyle name="Normal 11 5 2 4 4 2 2" xfId="27344"/>
    <cellStyle name="Normal 11 5 2 4 4 3" xfId="24832"/>
    <cellStyle name="Normal 11 5 2 4 5" xfId="22104"/>
    <cellStyle name="Normal 11 5 2 4 5 2" xfId="27337"/>
    <cellStyle name="Normal 11 5 2 4 6" xfId="24825"/>
    <cellStyle name="Normal 11 5 2 4_DeltaViewer" xfId="6202"/>
    <cellStyle name="Normal 11 5 2 5" xfId="6203"/>
    <cellStyle name="Normal 11 5 2 5 2" xfId="6204"/>
    <cellStyle name="Normal 11 5 2 5 2 2" xfId="6205"/>
    <cellStyle name="Normal 11 5 2 5 2 2 2" xfId="22114"/>
    <cellStyle name="Normal 11 5 2 5 2 2 2 2" xfId="27347"/>
    <cellStyle name="Normal 11 5 2 5 2 2 3" xfId="24835"/>
    <cellStyle name="Normal 11 5 2 5 2 3" xfId="22113"/>
    <cellStyle name="Normal 11 5 2 5 2 3 2" xfId="27346"/>
    <cellStyle name="Normal 11 5 2 5 2 4" xfId="24834"/>
    <cellStyle name="Normal 11 5 2 5 3" xfId="6206"/>
    <cellStyle name="Normal 11 5 2 5 3 2" xfId="22115"/>
    <cellStyle name="Normal 11 5 2 5 3 2 2" xfId="27348"/>
    <cellStyle name="Normal 11 5 2 5 3 3" xfId="24836"/>
    <cellStyle name="Normal 11 5 2 5 4" xfId="22112"/>
    <cellStyle name="Normal 11 5 2 5 4 2" xfId="27345"/>
    <cellStyle name="Normal 11 5 2 5 5" xfId="24833"/>
    <cellStyle name="Normal 11 5 2 5_DeltaViewer" xfId="6207"/>
    <cellStyle name="Normal 11 5 2 6" xfId="6208"/>
    <cellStyle name="Normal 11 5 2 6 2" xfId="6209"/>
    <cellStyle name="Normal 11 5 2 6 2 2" xfId="22117"/>
    <cellStyle name="Normal 11 5 2 6 2 2 2" xfId="27350"/>
    <cellStyle name="Normal 11 5 2 6 2 3" xfId="24838"/>
    <cellStyle name="Normal 11 5 2 6 3" xfId="22116"/>
    <cellStyle name="Normal 11 5 2 6 3 2" xfId="27349"/>
    <cellStyle name="Normal 11 5 2 6 4" xfId="24837"/>
    <cellStyle name="Normal 11 5 2 7" xfId="6210"/>
    <cellStyle name="Normal 11 5 2 7 2" xfId="6211"/>
    <cellStyle name="Normal 11 5 2 7 2 2" xfId="22119"/>
    <cellStyle name="Normal 11 5 2 7 2 2 2" xfId="27352"/>
    <cellStyle name="Normal 11 5 2 7 2 3" xfId="24840"/>
    <cellStyle name="Normal 11 5 2 7 3" xfId="22118"/>
    <cellStyle name="Normal 11 5 2 7 3 2" xfId="27351"/>
    <cellStyle name="Normal 11 5 2 7 4" xfId="24839"/>
    <cellStyle name="Normal 11 5 2 8" xfId="6212"/>
    <cellStyle name="Normal 11 5 2 8 2" xfId="22120"/>
    <cellStyle name="Normal 11 5 2 8 2 2" xfId="27353"/>
    <cellStyle name="Normal 11 5 2 8 3" xfId="24841"/>
    <cellStyle name="Normal 11 5 2 9" xfId="22087"/>
    <cellStyle name="Normal 11 5 2 9 2" xfId="27320"/>
    <cellStyle name="Normal 11 5 2_DeltaViewer" xfId="6213"/>
    <cellStyle name="Normal 11 5 3" xfId="6214"/>
    <cellStyle name="Normal 11 5 3 10" xfId="24842"/>
    <cellStyle name="Normal 11 5 3 2" xfId="6215"/>
    <cellStyle name="Normal 11 5 3 2 2" xfId="6216"/>
    <cellStyle name="Normal 11 5 3 2 2 2" xfId="6217"/>
    <cellStyle name="Normal 11 5 3 2 2 2 2" xfId="6218"/>
    <cellStyle name="Normal 11 5 3 2 2 2 2 2" xfId="22125"/>
    <cellStyle name="Normal 11 5 3 2 2 2 2 2 2" xfId="27358"/>
    <cellStyle name="Normal 11 5 3 2 2 2 2 3" xfId="24846"/>
    <cellStyle name="Normal 11 5 3 2 2 2 3" xfId="22124"/>
    <cellStyle name="Normal 11 5 3 2 2 2 3 2" xfId="27357"/>
    <cellStyle name="Normal 11 5 3 2 2 2 4" xfId="24845"/>
    <cellStyle name="Normal 11 5 3 2 2 3" xfId="6219"/>
    <cellStyle name="Normal 11 5 3 2 2 3 2" xfId="22126"/>
    <cellStyle name="Normal 11 5 3 2 2 3 2 2" xfId="27359"/>
    <cellStyle name="Normal 11 5 3 2 2 3 3" xfId="24847"/>
    <cellStyle name="Normal 11 5 3 2 2 4" xfId="22123"/>
    <cellStyle name="Normal 11 5 3 2 2 4 2" xfId="27356"/>
    <cellStyle name="Normal 11 5 3 2 2 5" xfId="24844"/>
    <cellStyle name="Normal 11 5 3 2 2_DeltaViewer" xfId="6220"/>
    <cellStyle name="Normal 11 5 3 2 3" xfId="6221"/>
    <cellStyle name="Normal 11 5 3 2 3 2" xfId="6222"/>
    <cellStyle name="Normal 11 5 3 2 3 2 2" xfId="22128"/>
    <cellStyle name="Normal 11 5 3 2 3 2 2 2" xfId="27361"/>
    <cellStyle name="Normal 11 5 3 2 3 2 3" xfId="24849"/>
    <cellStyle name="Normal 11 5 3 2 3 3" xfId="22127"/>
    <cellStyle name="Normal 11 5 3 2 3 3 2" xfId="27360"/>
    <cellStyle name="Normal 11 5 3 2 3 4" xfId="24848"/>
    <cellStyle name="Normal 11 5 3 2 4" xfId="6223"/>
    <cellStyle name="Normal 11 5 3 2 4 2" xfId="22129"/>
    <cellStyle name="Normal 11 5 3 2 4 2 2" xfId="27362"/>
    <cellStyle name="Normal 11 5 3 2 4 3" xfId="24850"/>
    <cellStyle name="Normal 11 5 3 2 5" xfId="22122"/>
    <cellStyle name="Normal 11 5 3 2 5 2" xfId="27355"/>
    <cellStyle name="Normal 11 5 3 2 6" xfId="24843"/>
    <cellStyle name="Normal 11 5 3 2_DeltaViewer" xfId="6224"/>
    <cellStyle name="Normal 11 5 3 3" xfId="6225"/>
    <cellStyle name="Normal 11 5 3 3 2" xfId="6226"/>
    <cellStyle name="Normal 11 5 3 3 2 2" xfId="6227"/>
    <cellStyle name="Normal 11 5 3 3 2 2 2" xfId="6228"/>
    <cellStyle name="Normal 11 5 3 3 2 2 2 2" xfId="22133"/>
    <cellStyle name="Normal 11 5 3 3 2 2 2 2 2" xfId="27366"/>
    <cellStyle name="Normal 11 5 3 3 2 2 2 3" xfId="24854"/>
    <cellStyle name="Normal 11 5 3 3 2 2 3" xfId="22132"/>
    <cellStyle name="Normal 11 5 3 3 2 2 3 2" xfId="27365"/>
    <cellStyle name="Normal 11 5 3 3 2 2 4" xfId="24853"/>
    <cellStyle name="Normal 11 5 3 3 2 3" xfId="6229"/>
    <cellStyle name="Normal 11 5 3 3 2 3 2" xfId="22134"/>
    <cellStyle name="Normal 11 5 3 3 2 3 2 2" xfId="27367"/>
    <cellStyle name="Normal 11 5 3 3 2 3 3" xfId="24855"/>
    <cellStyle name="Normal 11 5 3 3 2 4" xfId="22131"/>
    <cellStyle name="Normal 11 5 3 3 2 4 2" xfId="27364"/>
    <cellStyle name="Normal 11 5 3 3 2 5" xfId="24852"/>
    <cellStyle name="Normal 11 5 3 3 2_DeltaViewer" xfId="6230"/>
    <cellStyle name="Normal 11 5 3 3 3" xfId="6231"/>
    <cellStyle name="Normal 11 5 3 3 3 2" xfId="6232"/>
    <cellStyle name="Normal 11 5 3 3 3 2 2" xfId="22136"/>
    <cellStyle name="Normal 11 5 3 3 3 2 2 2" xfId="27369"/>
    <cellStyle name="Normal 11 5 3 3 3 2 3" xfId="24857"/>
    <cellStyle name="Normal 11 5 3 3 3 3" xfId="22135"/>
    <cellStyle name="Normal 11 5 3 3 3 3 2" xfId="27368"/>
    <cellStyle name="Normal 11 5 3 3 3 4" xfId="24856"/>
    <cellStyle name="Normal 11 5 3 3 4" xfId="6233"/>
    <cellStyle name="Normal 11 5 3 3 4 2" xfId="22137"/>
    <cellStyle name="Normal 11 5 3 3 4 2 2" xfId="27370"/>
    <cellStyle name="Normal 11 5 3 3 4 3" xfId="24858"/>
    <cellStyle name="Normal 11 5 3 3 5" xfId="22130"/>
    <cellStyle name="Normal 11 5 3 3 5 2" xfId="27363"/>
    <cellStyle name="Normal 11 5 3 3 6" xfId="24851"/>
    <cellStyle name="Normal 11 5 3 3_DeltaViewer" xfId="6234"/>
    <cellStyle name="Normal 11 5 3 4" xfId="6235"/>
    <cellStyle name="Normal 11 5 3 4 2" xfId="6236"/>
    <cellStyle name="Normal 11 5 3 4 2 2" xfId="6237"/>
    <cellStyle name="Normal 11 5 3 4 2 2 2" xfId="6238"/>
    <cellStyle name="Normal 11 5 3 4 2 2 2 2" xfId="22141"/>
    <cellStyle name="Normal 11 5 3 4 2 2 2 2 2" xfId="27374"/>
    <cellStyle name="Normal 11 5 3 4 2 2 2 3" xfId="24862"/>
    <cellStyle name="Normal 11 5 3 4 2 2 3" xfId="22140"/>
    <cellStyle name="Normal 11 5 3 4 2 2 3 2" xfId="27373"/>
    <cellStyle name="Normal 11 5 3 4 2 2 4" xfId="24861"/>
    <cellStyle name="Normal 11 5 3 4 2 3" xfId="6239"/>
    <cellStyle name="Normal 11 5 3 4 2 3 2" xfId="22142"/>
    <cellStyle name="Normal 11 5 3 4 2 3 2 2" xfId="27375"/>
    <cellStyle name="Normal 11 5 3 4 2 3 3" xfId="24863"/>
    <cellStyle name="Normal 11 5 3 4 2 4" xfId="22139"/>
    <cellStyle name="Normal 11 5 3 4 2 4 2" xfId="27372"/>
    <cellStyle name="Normal 11 5 3 4 2 5" xfId="24860"/>
    <cellStyle name="Normal 11 5 3 4 2_DeltaViewer" xfId="6240"/>
    <cellStyle name="Normal 11 5 3 4 3" xfId="6241"/>
    <cellStyle name="Normal 11 5 3 4 3 2" xfId="6242"/>
    <cellStyle name="Normal 11 5 3 4 3 2 2" xfId="22144"/>
    <cellStyle name="Normal 11 5 3 4 3 2 2 2" xfId="27377"/>
    <cellStyle name="Normal 11 5 3 4 3 2 3" xfId="24865"/>
    <cellStyle name="Normal 11 5 3 4 3 3" xfId="22143"/>
    <cellStyle name="Normal 11 5 3 4 3 3 2" xfId="27376"/>
    <cellStyle name="Normal 11 5 3 4 3 4" xfId="24864"/>
    <cellStyle name="Normal 11 5 3 4 4" xfId="6243"/>
    <cellStyle name="Normal 11 5 3 4 4 2" xfId="22145"/>
    <cellStyle name="Normal 11 5 3 4 4 2 2" xfId="27378"/>
    <cellStyle name="Normal 11 5 3 4 4 3" xfId="24866"/>
    <cellStyle name="Normal 11 5 3 4 5" xfId="22138"/>
    <cellStyle name="Normal 11 5 3 4 5 2" xfId="27371"/>
    <cellStyle name="Normal 11 5 3 4 6" xfId="24859"/>
    <cellStyle name="Normal 11 5 3 4_DeltaViewer" xfId="6244"/>
    <cellStyle name="Normal 11 5 3 5" xfId="6245"/>
    <cellStyle name="Normal 11 5 3 5 2" xfId="6246"/>
    <cellStyle name="Normal 11 5 3 5 2 2" xfId="6247"/>
    <cellStyle name="Normal 11 5 3 5 2 2 2" xfId="22148"/>
    <cellStyle name="Normal 11 5 3 5 2 2 2 2" xfId="27381"/>
    <cellStyle name="Normal 11 5 3 5 2 2 3" xfId="24869"/>
    <cellStyle name="Normal 11 5 3 5 2 3" xfId="22147"/>
    <cellStyle name="Normal 11 5 3 5 2 3 2" xfId="27380"/>
    <cellStyle name="Normal 11 5 3 5 2 4" xfId="24868"/>
    <cellStyle name="Normal 11 5 3 5 3" xfId="6248"/>
    <cellStyle name="Normal 11 5 3 5 3 2" xfId="22149"/>
    <cellStyle name="Normal 11 5 3 5 3 2 2" xfId="27382"/>
    <cellStyle name="Normal 11 5 3 5 3 3" xfId="24870"/>
    <cellStyle name="Normal 11 5 3 5 4" xfId="22146"/>
    <cellStyle name="Normal 11 5 3 5 4 2" xfId="27379"/>
    <cellStyle name="Normal 11 5 3 5 5" xfId="24867"/>
    <cellStyle name="Normal 11 5 3 5_DeltaViewer" xfId="6249"/>
    <cellStyle name="Normal 11 5 3 6" xfId="6250"/>
    <cellStyle name="Normal 11 5 3 6 2" xfId="6251"/>
    <cellStyle name="Normal 11 5 3 6 2 2" xfId="22151"/>
    <cellStyle name="Normal 11 5 3 6 2 2 2" xfId="27384"/>
    <cellStyle name="Normal 11 5 3 6 2 3" xfId="24872"/>
    <cellStyle name="Normal 11 5 3 6 3" xfId="22150"/>
    <cellStyle name="Normal 11 5 3 6 3 2" xfId="27383"/>
    <cellStyle name="Normal 11 5 3 6 4" xfId="24871"/>
    <cellStyle name="Normal 11 5 3 7" xfId="6252"/>
    <cellStyle name="Normal 11 5 3 7 2" xfId="6253"/>
    <cellStyle name="Normal 11 5 3 7 2 2" xfId="22153"/>
    <cellStyle name="Normal 11 5 3 7 2 2 2" xfId="27386"/>
    <cellStyle name="Normal 11 5 3 7 2 3" xfId="24874"/>
    <cellStyle name="Normal 11 5 3 7 3" xfId="22152"/>
    <cellStyle name="Normal 11 5 3 7 3 2" xfId="27385"/>
    <cellStyle name="Normal 11 5 3 7 4" xfId="24873"/>
    <cellStyle name="Normal 11 5 3 8" xfId="6254"/>
    <cellStyle name="Normal 11 5 3 8 2" xfId="22154"/>
    <cellStyle name="Normal 11 5 3 8 2 2" xfId="27387"/>
    <cellStyle name="Normal 11 5 3 8 3" xfId="24875"/>
    <cellStyle name="Normal 11 5 3 9" xfId="22121"/>
    <cellStyle name="Normal 11 5 3 9 2" xfId="27354"/>
    <cellStyle name="Normal 11 5 3_DeltaViewer" xfId="6255"/>
    <cellStyle name="Normal 11 5 4" xfId="6256"/>
    <cellStyle name="Normal 11 5 4 2" xfId="6257"/>
    <cellStyle name="Normal 11 5 4 2 2" xfId="6258"/>
    <cellStyle name="Normal 11 5 4 2 2 2" xfId="6259"/>
    <cellStyle name="Normal 11 5 4 2 2 2 2" xfId="22158"/>
    <cellStyle name="Normal 11 5 4 2 2 2 2 2" xfId="27391"/>
    <cellStyle name="Normal 11 5 4 2 2 2 3" xfId="24879"/>
    <cellStyle name="Normal 11 5 4 2 2 3" xfId="22157"/>
    <cellStyle name="Normal 11 5 4 2 2 3 2" xfId="27390"/>
    <cellStyle name="Normal 11 5 4 2 2 4" xfId="24878"/>
    <cellStyle name="Normal 11 5 4 2 3" xfId="6260"/>
    <cellStyle name="Normal 11 5 4 2 3 2" xfId="22159"/>
    <cellStyle name="Normal 11 5 4 2 3 2 2" xfId="27392"/>
    <cellStyle name="Normal 11 5 4 2 3 3" xfId="24880"/>
    <cellStyle name="Normal 11 5 4 2 4" xfId="22156"/>
    <cellStyle name="Normal 11 5 4 2 4 2" xfId="27389"/>
    <cellStyle name="Normal 11 5 4 2 5" xfId="24877"/>
    <cellStyle name="Normal 11 5 4 2_DeltaViewer" xfId="6261"/>
    <cellStyle name="Normal 11 5 4 3" xfId="6262"/>
    <cellStyle name="Normal 11 5 4 3 2" xfId="6263"/>
    <cellStyle name="Normal 11 5 4 3 2 2" xfId="22161"/>
    <cellStyle name="Normal 11 5 4 3 2 2 2" xfId="27394"/>
    <cellStyle name="Normal 11 5 4 3 2 3" xfId="24882"/>
    <cellStyle name="Normal 11 5 4 3 3" xfId="22160"/>
    <cellStyle name="Normal 11 5 4 3 3 2" xfId="27393"/>
    <cellStyle name="Normal 11 5 4 3 4" xfId="24881"/>
    <cellStyle name="Normal 11 5 4 4" xfId="6264"/>
    <cellStyle name="Normal 11 5 4 4 2" xfId="22162"/>
    <cellStyle name="Normal 11 5 4 4 2 2" xfId="27395"/>
    <cellStyle name="Normal 11 5 4 4 3" xfId="24883"/>
    <cellStyle name="Normal 11 5 4 5" xfId="22155"/>
    <cellStyle name="Normal 11 5 4 5 2" xfId="27388"/>
    <cellStyle name="Normal 11 5 4 6" xfId="24876"/>
    <cellStyle name="Normal 11 5 4_DeltaViewer" xfId="6265"/>
    <cellStyle name="Normal 11 5 5" xfId="6266"/>
    <cellStyle name="Normal 11 5 5 2" xfId="6267"/>
    <cellStyle name="Normal 11 5 5 2 2" xfId="6268"/>
    <cellStyle name="Normal 11 5 5 2 2 2" xfId="6269"/>
    <cellStyle name="Normal 11 5 5 2 2 2 2" xfId="22166"/>
    <cellStyle name="Normal 11 5 5 2 2 2 2 2" xfId="27399"/>
    <cellStyle name="Normal 11 5 5 2 2 2 3" xfId="24887"/>
    <cellStyle name="Normal 11 5 5 2 2 3" xfId="22165"/>
    <cellStyle name="Normal 11 5 5 2 2 3 2" xfId="27398"/>
    <cellStyle name="Normal 11 5 5 2 2 4" xfId="24886"/>
    <cellStyle name="Normal 11 5 5 2 3" xfId="6270"/>
    <cellStyle name="Normal 11 5 5 2 3 2" xfId="22167"/>
    <cellStyle name="Normal 11 5 5 2 3 2 2" xfId="27400"/>
    <cellStyle name="Normal 11 5 5 2 3 3" xfId="24888"/>
    <cellStyle name="Normal 11 5 5 2 4" xfId="22164"/>
    <cellStyle name="Normal 11 5 5 2 4 2" xfId="27397"/>
    <cellStyle name="Normal 11 5 5 2 5" xfId="24885"/>
    <cellStyle name="Normal 11 5 5 2_DeltaViewer" xfId="6271"/>
    <cellStyle name="Normal 11 5 5 3" xfId="6272"/>
    <cellStyle name="Normal 11 5 5 3 2" xfId="6273"/>
    <cellStyle name="Normal 11 5 5 3 2 2" xfId="22169"/>
    <cellStyle name="Normal 11 5 5 3 2 2 2" xfId="27402"/>
    <cellStyle name="Normal 11 5 5 3 2 3" xfId="24890"/>
    <cellStyle name="Normal 11 5 5 3 3" xfId="22168"/>
    <cellStyle name="Normal 11 5 5 3 3 2" xfId="27401"/>
    <cellStyle name="Normal 11 5 5 3 4" xfId="24889"/>
    <cellStyle name="Normal 11 5 5 4" xfId="6274"/>
    <cellStyle name="Normal 11 5 5 4 2" xfId="22170"/>
    <cellStyle name="Normal 11 5 5 4 2 2" xfId="27403"/>
    <cellStyle name="Normal 11 5 5 4 3" xfId="24891"/>
    <cellStyle name="Normal 11 5 5 5" xfId="22163"/>
    <cellStyle name="Normal 11 5 5 5 2" xfId="27396"/>
    <cellStyle name="Normal 11 5 5 6" xfId="24884"/>
    <cellStyle name="Normal 11 5 5_DeltaViewer" xfId="6275"/>
    <cellStyle name="Normal 11 5 6" xfId="6276"/>
    <cellStyle name="Normal 11 5 6 2" xfId="6277"/>
    <cellStyle name="Normal 11 5 6 2 2" xfId="6278"/>
    <cellStyle name="Normal 11 5 6 2 2 2" xfId="6279"/>
    <cellStyle name="Normal 11 5 6 2 2 2 2" xfId="22174"/>
    <cellStyle name="Normal 11 5 6 2 2 2 2 2" xfId="27407"/>
    <cellStyle name="Normal 11 5 6 2 2 2 3" xfId="24895"/>
    <cellStyle name="Normal 11 5 6 2 2 3" xfId="22173"/>
    <cellStyle name="Normal 11 5 6 2 2 3 2" xfId="27406"/>
    <cellStyle name="Normal 11 5 6 2 2 4" xfId="24894"/>
    <cellStyle name="Normal 11 5 6 2 3" xfId="6280"/>
    <cellStyle name="Normal 11 5 6 2 3 2" xfId="22175"/>
    <cellStyle name="Normal 11 5 6 2 3 2 2" xfId="27408"/>
    <cellStyle name="Normal 11 5 6 2 3 3" xfId="24896"/>
    <cellStyle name="Normal 11 5 6 2 4" xfId="22172"/>
    <cellStyle name="Normal 11 5 6 2 4 2" xfId="27405"/>
    <cellStyle name="Normal 11 5 6 2 5" xfId="24893"/>
    <cellStyle name="Normal 11 5 6 2_DeltaViewer" xfId="6281"/>
    <cellStyle name="Normal 11 5 6 3" xfId="6282"/>
    <cellStyle name="Normal 11 5 6 3 2" xfId="6283"/>
    <cellStyle name="Normal 11 5 6 3 2 2" xfId="22177"/>
    <cellStyle name="Normal 11 5 6 3 2 2 2" xfId="27410"/>
    <cellStyle name="Normal 11 5 6 3 2 3" xfId="24898"/>
    <cellStyle name="Normal 11 5 6 3 3" xfId="22176"/>
    <cellStyle name="Normal 11 5 6 3 3 2" xfId="27409"/>
    <cellStyle name="Normal 11 5 6 3 4" xfId="24897"/>
    <cellStyle name="Normal 11 5 6 4" xfId="6284"/>
    <cellStyle name="Normal 11 5 6 4 2" xfId="22178"/>
    <cellStyle name="Normal 11 5 6 4 2 2" xfId="27411"/>
    <cellStyle name="Normal 11 5 6 4 3" xfId="24899"/>
    <cellStyle name="Normal 11 5 6 5" xfId="22171"/>
    <cellStyle name="Normal 11 5 6 5 2" xfId="27404"/>
    <cellStyle name="Normal 11 5 6 6" xfId="24892"/>
    <cellStyle name="Normal 11 5 6_DeltaViewer" xfId="6285"/>
    <cellStyle name="Normal 11 5 7" xfId="6286"/>
    <cellStyle name="Normal 11 5 7 2" xfId="6287"/>
    <cellStyle name="Normal 11 5 7 2 2" xfId="6288"/>
    <cellStyle name="Normal 11 5 7 2 2 2" xfId="22181"/>
    <cellStyle name="Normal 11 5 7 2 2 2 2" xfId="27414"/>
    <cellStyle name="Normal 11 5 7 2 2 3" xfId="24902"/>
    <cellStyle name="Normal 11 5 7 2 3" xfId="22180"/>
    <cellStyle name="Normal 11 5 7 2 3 2" xfId="27413"/>
    <cellStyle name="Normal 11 5 7 2 4" xfId="24901"/>
    <cellStyle name="Normal 11 5 7 3" xfId="6289"/>
    <cellStyle name="Normal 11 5 7 3 2" xfId="22182"/>
    <cellStyle name="Normal 11 5 7 3 2 2" xfId="27415"/>
    <cellStyle name="Normal 11 5 7 3 3" xfId="24903"/>
    <cellStyle name="Normal 11 5 7 4" xfId="22179"/>
    <cellStyle name="Normal 11 5 7 4 2" xfId="27412"/>
    <cellStyle name="Normal 11 5 7 5" xfId="24900"/>
    <cellStyle name="Normal 11 5 7_DeltaViewer" xfId="6290"/>
    <cellStyle name="Normal 11 5 8" xfId="6291"/>
    <cellStyle name="Normal 11 5 8 2" xfId="6292"/>
    <cellStyle name="Normal 11 5 8 2 2" xfId="22184"/>
    <cellStyle name="Normal 11 5 8 2 2 2" xfId="27417"/>
    <cellStyle name="Normal 11 5 8 2 3" xfId="24905"/>
    <cellStyle name="Normal 11 5 8 3" xfId="22183"/>
    <cellStyle name="Normal 11 5 8 3 2" xfId="27416"/>
    <cellStyle name="Normal 11 5 8 4" xfId="24904"/>
    <cellStyle name="Normal 11 5 9" xfId="6293"/>
    <cellStyle name="Normal 11 5 9 2" xfId="6294"/>
    <cellStyle name="Normal 11 5 9 2 2" xfId="22186"/>
    <cellStyle name="Normal 11 5 9 2 2 2" xfId="27419"/>
    <cellStyle name="Normal 11 5 9 2 3" xfId="24907"/>
    <cellStyle name="Normal 11 5 9 3" xfId="22185"/>
    <cellStyle name="Normal 11 5 9 3 2" xfId="27418"/>
    <cellStyle name="Normal 11 5 9 4" xfId="24906"/>
    <cellStyle name="Normal 11 5_DeltaViewer" xfId="6295"/>
    <cellStyle name="Normal 11 6" xfId="6296"/>
    <cellStyle name="Normal 11 6 10" xfId="22187"/>
    <cellStyle name="Normal 11 6 10 2" xfId="27420"/>
    <cellStyle name="Normal 11 6 11" xfId="24908"/>
    <cellStyle name="Normal 11 6 2" xfId="6297"/>
    <cellStyle name="Normal 11 6 2 10" xfId="24909"/>
    <cellStyle name="Normal 11 6 2 2" xfId="6298"/>
    <cellStyle name="Normal 11 6 2 2 2" xfId="6299"/>
    <cellStyle name="Normal 11 6 2 2 2 2" xfId="6300"/>
    <cellStyle name="Normal 11 6 2 2 2 2 2" xfId="6301"/>
    <cellStyle name="Normal 11 6 2 2 2 2 2 2" xfId="22192"/>
    <cellStyle name="Normal 11 6 2 2 2 2 2 2 2" xfId="27425"/>
    <cellStyle name="Normal 11 6 2 2 2 2 2 3" xfId="24913"/>
    <cellStyle name="Normal 11 6 2 2 2 2 3" xfId="22191"/>
    <cellStyle name="Normal 11 6 2 2 2 2 3 2" xfId="27424"/>
    <cellStyle name="Normal 11 6 2 2 2 2 4" xfId="24912"/>
    <cellStyle name="Normal 11 6 2 2 2 3" xfId="6302"/>
    <cellStyle name="Normal 11 6 2 2 2 3 2" xfId="22193"/>
    <cellStyle name="Normal 11 6 2 2 2 3 2 2" xfId="27426"/>
    <cellStyle name="Normal 11 6 2 2 2 3 3" xfId="24914"/>
    <cellStyle name="Normal 11 6 2 2 2 4" xfId="22190"/>
    <cellStyle name="Normal 11 6 2 2 2 4 2" xfId="27423"/>
    <cellStyle name="Normal 11 6 2 2 2 5" xfId="24911"/>
    <cellStyle name="Normal 11 6 2 2 2_DeltaViewer" xfId="6303"/>
    <cellStyle name="Normal 11 6 2 2 3" xfId="6304"/>
    <cellStyle name="Normal 11 6 2 2 3 2" xfId="6305"/>
    <cellStyle name="Normal 11 6 2 2 3 2 2" xfId="22195"/>
    <cellStyle name="Normal 11 6 2 2 3 2 2 2" xfId="27428"/>
    <cellStyle name="Normal 11 6 2 2 3 2 3" xfId="24916"/>
    <cellStyle name="Normal 11 6 2 2 3 3" xfId="22194"/>
    <cellStyle name="Normal 11 6 2 2 3 3 2" xfId="27427"/>
    <cellStyle name="Normal 11 6 2 2 3 4" xfId="24915"/>
    <cellStyle name="Normal 11 6 2 2 4" xfId="6306"/>
    <cellStyle name="Normal 11 6 2 2 4 2" xfId="22196"/>
    <cellStyle name="Normal 11 6 2 2 4 2 2" xfId="27429"/>
    <cellStyle name="Normal 11 6 2 2 4 3" xfId="24917"/>
    <cellStyle name="Normal 11 6 2 2 5" xfId="22189"/>
    <cellStyle name="Normal 11 6 2 2 5 2" xfId="27422"/>
    <cellStyle name="Normal 11 6 2 2 6" xfId="24910"/>
    <cellStyle name="Normal 11 6 2 2_DeltaViewer" xfId="6307"/>
    <cellStyle name="Normal 11 6 2 3" xfId="6308"/>
    <cellStyle name="Normal 11 6 2 3 2" xfId="6309"/>
    <cellStyle name="Normal 11 6 2 3 2 2" xfId="6310"/>
    <cellStyle name="Normal 11 6 2 3 2 2 2" xfId="6311"/>
    <cellStyle name="Normal 11 6 2 3 2 2 2 2" xfId="22200"/>
    <cellStyle name="Normal 11 6 2 3 2 2 2 2 2" xfId="27433"/>
    <cellStyle name="Normal 11 6 2 3 2 2 2 3" xfId="24921"/>
    <cellStyle name="Normal 11 6 2 3 2 2 3" xfId="22199"/>
    <cellStyle name="Normal 11 6 2 3 2 2 3 2" xfId="27432"/>
    <cellStyle name="Normal 11 6 2 3 2 2 4" xfId="24920"/>
    <cellStyle name="Normal 11 6 2 3 2 3" xfId="6312"/>
    <cellStyle name="Normal 11 6 2 3 2 3 2" xfId="22201"/>
    <cellStyle name="Normal 11 6 2 3 2 3 2 2" xfId="27434"/>
    <cellStyle name="Normal 11 6 2 3 2 3 3" xfId="24922"/>
    <cellStyle name="Normal 11 6 2 3 2 4" xfId="22198"/>
    <cellStyle name="Normal 11 6 2 3 2 4 2" xfId="27431"/>
    <cellStyle name="Normal 11 6 2 3 2 5" xfId="24919"/>
    <cellStyle name="Normal 11 6 2 3 2_DeltaViewer" xfId="6313"/>
    <cellStyle name="Normal 11 6 2 3 3" xfId="6314"/>
    <cellStyle name="Normal 11 6 2 3 3 2" xfId="6315"/>
    <cellStyle name="Normal 11 6 2 3 3 2 2" xfId="22203"/>
    <cellStyle name="Normal 11 6 2 3 3 2 2 2" xfId="27436"/>
    <cellStyle name="Normal 11 6 2 3 3 2 3" xfId="24924"/>
    <cellStyle name="Normal 11 6 2 3 3 3" xfId="22202"/>
    <cellStyle name="Normal 11 6 2 3 3 3 2" xfId="27435"/>
    <cellStyle name="Normal 11 6 2 3 3 4" xfId="24923"/>
    <cellStyle name="Normal 11 6 2 3 4" xfId="6316"/>
    <cellStyle name="Normal 11 6 2 3 4 2" xfId="22204"/>
    <cellStyle name="Normal 11 6 2 3 4 2 2" xfId="27437"/>
    <cellStyle name="Normal 11 6 2 3 4 3" xfId="24925"/>
    <cellStyle name="Normal 11 6 2 3 5" xfId="22197"/>
    <cellStyle name="Normal 11 6 2 3 5 2" xfId="27430"/>
    <cellStyle name="Normal 11 6 2 3 6" xfId="24918"/>
    <cellStyle name="Normal 11 6 2 3_DeltaViewer" xfId="6317"/>
    <cellStyle name="Normal 11 6 2 4" xfId="6318"/>
    <cellStyle name="Normal 11 6 2 4 2" xfId="6319"/>
    <cellStyle name="Normal 11 6 2 4 2 2" xfId="6320"/>
    <cellStyle name="Normal 11 6 2 4 2 2 2" xfId="6321"/>
    <cellStyle name="Normal 11 6 2 4 2 2 2 2" xfId="22208"/>
    <cellStyle name="Normal 11 6 2 4 2 2 2 2 2" xfId="27441"/>
    <cellStyle name="Normal 11 6 2 4 2 2 2 3" xfId="24929"/>
    <cellStyle name="Normal 11 6 2 4 2 2 3" xfId="22207"/>
    <cellStyle name="Normal 11 6 2 4 2 2 3 2" xfId="27440"/>
    <cellStyle name="Normal 11 6 2 4 2 2 4" xfId="24928"/>
    <cellStyle name="Normal 11 6 2 4 2 3" xfId="6322"/>
    <cellStyle name="Normal 11 6 2 4 2 3 2" xfId="22209"/>
    <cellStyle name="Normal 11 6 2 4 2 3 2 2" xfId="27442"/>
    <cellStyle name="Normal 11 6 2 4 2 3 3" xfId="24930"/>
    <cellStyle name="Normal 11 6 2 4 2 4" xfId="22206"/>
    <cellStyle name="Normal 11 6 2 4 2 4 2" xfId="27439"/>
    <cellStyle name="Normal 11 6 2 4 2 5" xfId="24927"/>
    <cellStyle name="Normal 11 6 2 4 2_DeltaViewer" xfId="6323"/>
    <cellStyle name="Normal 11 6 2 4 3" xfId="6324"/>
    <cellStyle name="Normal 11 6 2 4 3 2" xfId="6325"/>
    <cellStyle name="Normal 11 6 2 4 3 2 2" xfId="22211"/>
    <cellStyle name="Normal 11 6 2 4 3 2 2 2" xfId="27444"/>
    <cellStyle name="Normal 11 6 2 4 3 2 3" xfId="24932"/>
    <cellStyle name="Normal 11 6 2 4 3 3" xfId="22210"/>
    <cellStyle name="Normal 11 6 2 4 3 3 2" xfId="27443"/>
    <cellStyle name="Normal 11 6 2 4 3 4" xfId="24931"/>
    <cellStyle name="Normal 11 6 2 4 4" xfId="6326"/>
    <cellStyle name="Normal 11 6 2 4 4 2" xfId="22212"/>
    <cellStyle name="Normal 11 6 2 4 4 2 2" xfId="27445"/>
    <cellStyle name="Normal 11 6 2 4 4 3" xfId="24933"/>
    <cellStyle name="Normal 11 6 2 4 5" xfId="22205"/>
    <cellStyle name="Normal 11 6 2 4 5 2" xfId="27438"/>
    <cellStyle name="Normal 11 6 2 4 6" xfId="24926"/>
    <cellStyle name="Normal 11 6 2 4_DeltaViewer" xfId="6327"/>
    <cellStyle name="Normal 11 6 2 5" xfId="6328"/>
    <cellStyle name="Normal 11 6 2 5 2" xfId="6329"/>
    <cellStyle name="Normal 11 6 2 5 2 2" xfId="6330"/>
    <cellStyle name="Normal 11 6 2 5 2 2 2" xfId="22215"/>
    <cellStyle name="Normal 11 6 2 5 2 2 2 2" xfId="27448"/>
    <cellStyle name="Normal 11 6 2 5 2 2 3" xfId="24936"/>
    <cellStyle name="Normal 11 6 2 5 2 3" xfId="22214"/>
    <cellStyle name="Normal 11 6 2 5 2 3 2" xfId="27447"/>
    <cellStyle name="Normal 11 6 2 5 2 4" xfId="24935"/>
    <cellStyle name="Normal 11 6 2 5 3" xfId="6331"/>
    <cellStyle name="Normal 11 6 2 5 3 2" xfId="22216"/>
    <cellStyle name="Normal 11 6 2 5 3 2 2" xfId="27449"/>
    <cellStyle name="Normal 11 6 2 5 3 3" xfId="24937"/>
    <cellStyle name="Normal 11 6 2 5 4" xfId="22213"/>
    <cellStyle name="Normal 11 6 2 5 4 2" xfId="27446"/>
    <cellStyle name="Normal 11 6 2 5 5" xfId="24934"/>
    <cellStyle name="Normal 11 6 2 5_DeltaViewer" xfId="6332"/>
    <cellStyle name="Normal 11 6 2 6" xfId="6333"/>
    <cellStyle name="Normal 11 6 2 6 2" xfId="6334"/>
    <cellStyle name="Normal 11 6 2 6 2 2" xfId="22218"/>
    <cellStyle name="Normal 11 6 2 6 2 2 2" xfId="27451"/>
    <cellStyle name="Normal 11 6 2 6 2 3" xfId="24939"/>
    <cellStyle name="Normal 11 6 2 6 3" xfId="22217"/>
    <cellStyle name="Normal 11 6 2 6 3 2" xfId="27450"/>
    <cellStyle name="Normal 11 6 2 6 4" xfId="24938"/>
    <cellStyle name="Normal 11 6 2 7" xfId="6335"/>
    <cellStyle name="Normal 11 6 2 7 2" xfId="6336"/>
    <cellStyle name="Normal 11 6 2 7 2 2" xfId="22220"/>
    <cellStyle name="Normal 11 6 2 7 2 2 2" xfId="27453"/>
    <cellStyle name="Normal 11 6 2 7 2 3" xfId="24941"/>
    <cellStyle name="Normal 11 6 2 7 3" xfId="22219"/>
    <cellStyle name="Normal 11 6 2 7 3 2" xfId="27452"/>
    <cellStyle name="Normal 11 6 2 7 4" xfId="24940"/>
    <cellStyle name="Normal 11 6 2 8" xfId="6337"/>
    <cellStyle name="Normal 11 6 2 8 2" xfId="22221"/>
    <cellStyle name="Normal 11 6 2 8 2 2" xfId="27454"/>
    <cellStyle name="Normal 11 6 2 8 3" xfId="24942"/>
    <cellStyle name="Normal 11 6 2 9" xfId="22188"/>
    <cellStyle name="Normal 11 6 2 9 2" xfId="27421"/>
    <cellStyle name="Normal 11 6 2_DeltaViewer" xfId="6338"/>
    <cellStyle name="Normal 11 6 3" xfId="6339"/>
    <cellStyle name="Normal 11 6 3 2" xfId="6340"/>
    <cellStyle name="Normal 11 6 3 2 2" xfId="6341"/>
    <cellStyle name="Normal 11 6 3 2 2 2" xfId="6342"/>
    <cellStyle name="Normal 11 6 3 2 2 2 2" xfId="22225"/>
    <cellStyle name="Normal 11 6 3 2 2 2 2 2" xfId="27458"/>
    <cellStyle name="Normal 11 6 3 2 2 2 3" xfId="24946"/>
    <cellStyle name="Normal 11 6 3 2 2 3" xfId="22224"/>
    <cellStyle name="Normal 11 6 3 2 2 3 2" xfId="27457"/>
    <cellStyle name="Normal 11 6 3 2 2 4" xfId="24945"/>
    <cellStyle name="Normal 11 6 3 2 3" xfId="6343"/>
    <cellStyle name="Normal 11 6 3 2 3 2" xfId="22226"/>
    <cellStyle name="Normal 11 6 3 2 3 2 2" xfId="27459"/>
    <cellStyle name="Normal 11 6 3 2 3 3" xfId="24947"/>
    <cellStyle name="Normal 11 6 3 2 4" xfId="22223"/>
    <cellStyle name="Normal 11 6 3 2 4 2" xfId="27456"/>
    <cellStyle name="Normal 11 6 3 2 5" xfId="24944"/>
    <cellStyle name="Normal 11 6 3 2_DeltaViewer" xfId="6344"/>
    <cellStyle name="Normal 11 6 3 3" xfId="6345"/>
    <cellStyle name="Normal 11 6 3 3 2" xfId="6346"/>
    <cellStyle name="Normal 11 6 3 3 2 2" xfId="22228"/>
    <cellStyle name="Normal 11 6 3 3 2 2 2" xfId="27461"/>
    <cellStyle name="Normal 11 6 3 3 2 3" xfId="24949"/>
    <cellStyle name="Normal 11 6 3 3 3" xfId="22227"/>
    <cellStyle name="Normal 11 6 3 3 3 2" xfId="27460"/>
    <cellStyle name="Normal 11 6 3 3 4" xfId="24948"/>
    <cellStyle name="Normal 11 6 3 4" xfId="6347"/>
    <cellStyle name="Normal 11 6 3 4 2" xfId="22229"/>
    <cellStyle name="Normal 11 6 3 4 2 2" xfId="27462"/>
    <cellStyle name="Normal 11 6 3 4 3" xfId="24950"/>
    <cellStyle name="Normal 11 6 3 5" xfId="22222"/>
    <cellStyle name="Normal 11 6 3 5 2" xfId="27455"/>
    <cellStyle name="Normal 11 6 3 6" xfId="24943"/>
    <cellStyle name="Normal 11 6 3_DeltaViewer" xfId="6348"/>
    <cellStyle name="Normal 11 6 4" xfId="6349"/>
    <cellStyle name="Normal 11 6 4 2" xfId="6350"/>
    <cellStyle name="Normal 11 6 4 2 2" xfId="6351"/>
    <cellStyle name="Normal 11 6 4 2 2 2" xfId="6352"/>
    <cellStyle name="Normal 11 6 4 2 2 2 2" xfId="22233"/>
    <cellStyle name="Normal 11 6 4 2 2 2 2 2" xfId="27466"/>
    <cellStyle name="Normal 11 6 4 2 2 2 3" xfId="24954"/>
    <cellStyle name="Normal 11 6 4 2 2 3" xfId="22232"/>
    <cellStyle name="Normal 11 6 4 2 2 3 2" xfId="27465"/>
    <cellStyle name="Normal 11 6 4 2 2 4" xfId="24953"/>
    <cellStyle name="Normal 11 6 4 2 3" xfId="6353"/>
    <cellStyle name="Normal 11 6 4 2 3 2" xfId="22234"/>
    <cellStyle name="Normal 11 6 4 2 3 2 2" xfId="27467"/>
    <cellStyle name="Normal 11 6 4 2 3 3" xfId="24955"/>
    <cellStyle name="Normal 11 6 4 2 4" xfId="22231"/>
    <cellStyle name="Normal 11 6 4 2 4 2" xfId="27464"/>
    <cellStyle name="Normal 11 6 4 2 5" xfId="24952"/>
    <cellStyle name="Normal 11 6 4 2_DeltaViewer" xfId="6354"/>
    <cellStyle name="Normal 11 6 4 3" xfId="6355"/>
    <cellStyle name="Normal 11 6 4 3 2" xfId="6356"/>
    <cellStyle name="Normal 11 6 4 3 2 2" xfId="22236"/>
    <cellStyle name="Normal 11 6 4 3 2 2 2" xfId="27469"/>
    <cellStyle name="Normal 11 6 4 3 2 3" xfId="24957"/>
    <cellStyle name="Normal 11 6 4 3 3" xfId="22235"/>
    <cellStyle name="Normal 11 6 4 3 3 2" xfId="27468"/>
    <cellStyle name="Normal 11 6 4 3 4" xfId="24956"/>
    <cellStyle name="Normal 11 6 4 4" xfId="6357"/>
    <cellStyle name="Normal 11 6 4 4 2" xfId="22237"/>
    <cellStyle name="Normal 11 6 4 4 2 2" xfId="27470"/>
    <cellStyle name="Normal 11 6 4 4 3" xfId="24958"/>
    <cellStyle name="Normal 11 6 4 5" xfId="22230"/>
    <cellStyle name="Normal 11 6 4 5 2" xfId="27463"/>
    <cellStyle name="Normal 11 6 4 6" xfId="24951"/>
    <cellStyle name="Normal 11 6 4_DeltaViewer" xfId="6358"/>
    <cellStyle name="Normal 11 6 5" xfId="6359"/>
    <cellStyle name="Normal 11 6 5 2" xfId="6360"/>
    <cellStyle name="Normal 11 6 5 2 2" xfId="6361"/>
    <cellStyle name="Normal 11 6 5 2 2 2" xfId="6362"/>
    <cellStyle name="Normal 11 6 5 2 2 2 2" xfId="22241"/>
    <cellStyle name="Normal 11 6 5 2 2 2 2 2" xfId="27474"/>
    <cellStyle name="Normal 11 6 5 2 2 2 3" xfId="24962"/>
    <cellStyle name="Normal 11 6 5 2 2 3" xfId="22240"/>
    <cellStyle name="Normal 11 6 5 2 2 3 2" xfId="27473"/>
    <cellStyle name="Normal 11 6 5 2 2 4" xfId="24961"/>
    <cellStyle name="Normal 11 6 5 2 3" xfId="6363"/>
    <cellStyle name="Normal 11 6 5 2 3 2" xfId="22242"/>
    <cellStyle name="Normal 11 6 5 2 3 2 2" xfId="27475"/>
    <cellStyle name="Normal 11 6 5 2 3 3" xfId="24963"/>
    <cellStyle name="Normal 11 6 5 2 4" xfId="22239"/>
    <cellStyle name="Normal 11 6 5 2 4 2" xfId="27472"/>
    <cellStyle name="Normal 11 6 5 2 5" xfId="24960"/>
    <cellStyle name="Normal 11 6 5 2_DeltaViewer" xfId="6364"/>
    <cellStyle name="Normal 11 6 5 3" xfId="6365"/>
    <cellStyle name="Normal 11 6 5 3 2" xfId="6366"/>
    <cellStyle name="Normal 11 6 5 3 2 2" xfId="22244"/>
    <cellStyle name="Normal 11 6 5 3 2 2 2" xfId="27477"/>
    <cellStyle name="Normal 11 6 5 3 2 3" xfId="24965"/>
    <cellStyle name="Normal 11 6 5 3 3" xfId="22243"/>
    <cellStyle name="Normal 11 6 5 3 3 2" xfId="27476"/>
    <cellStyle name="Normal 11 6 5 3 4" xfId="24964"/>
    <cellStyle name="Normal 11 6 5 4" xfId="6367"/>
    <cellStyle name="Normal 11 6 5 4 2" xfId="22245"/>
    <cellStyle name="Normal 11 6 5 4 2 2" xfId="27478"/>
    <cellStyle name="Normal 11 6 5 4 3" xfId="24966"/>
    <cellStyle name="Normal 11 6 5 5" xfId="22238"/>
    <cellStyle name="Normal 11 6 5 5 2" xfId="27471"/>
    <cellStyle name="Normal 11 6 5 6" xfId="24959"/>
    <cellStyle name="Normal 11 6 5_DeltaViewer" xfId="6368"/>
    <cellStyle name="Normal 11 6 6" xfId="6369"/>
    <cellStyle name="Normal 11 6 6 2" xfId="6370"/>
    <cellStyle name="Normal 11 6 6 2 2" xfId="6371"/>
    <cellStyle name="Normal 11 6 6 2 2 2" xfId="22248"/>
    <cellStyle name="Normal 11 6 6 2 2 2 2" xfId="27481"/>
    <cellStyle name="Normal 11 6 6 2 2 3" xfId="24969"/>
    <cellStyle name="Normal 11 6 6 2 3" xfId="22247"/>
    <cellStyle name="Normal 11 6 6 2 3 2" xfId="27480"/>
    <cellStyle name="Normal 11 6 6 2 4" xfId="24968"/>
    <cellStyle name="Normal 11 6 6 3" xfId="6372"/>
    <cellStyle name="Normal 11 6 6 3 2" xfId="22249"/>
    <cellStyle name="Normal 11 6 6 3 2 2" xfId="27482"/>
    <cellStyle name="Normal 11 6 6 3 3" xfId="24970"/>
    <cellStyle name="Normal 11 6 6 4" xfId="22246"/>
    <cellStyle name="Normal 11 6 6 4 2" xfId="27479"/>
    <cellStyle name="Normal 11 6 6 5" xfId="24967"/>
    <cellStyle name="Normal 11 6 6_DeltaViewer" xfId="6373"/>
    <cellStyle name="Normal 11 6 7" xfId="6374"/>
    <cellStyle name="Normal 11 6 7 2" xfId="6375"/>
    <cellStyle name="Normal 11 6 7 2 2" xfId="22251"/>
    <cellStyle name="Normal 11 6 7 2 2 2" xfId="27484"/>
    <cellStyle name="Normal 11 6 7 2 3" xfId="24972"/>
    <cellStyle name="Normal 11 6 7 3" xfId="22250"/>
    <cellStyle name="Normal 11 6 7 3 2" xfId="27483"/>
    <cellStyle name="Normal 11 6 7 4" xfId="24971"/>
    <cellStyle name="Normal 11 6 8" xfId="6376"/>
    <cellStyle name="Normal 11 6 8 2" xfId="6377"/>
    <cellStyle name="Normal 11 6 8 2 2" xfId="22253"/>
    <cellStyle name="Normal 11 6 8 2 2 2" xfId="27486"/>
    <cellStyle name="Normal 11 6 8 2 3" xfId="24974"/>
    <cellStyle name="Normal 11 6 8 3" xfId="22252"/>
    <cellStyle name="Normal 11 6 8 3 2" xfId="27485"/>
    <cellStyle name="Normal 11 6 8 4" xfId="24973"/>
    <cellStyle name="Normal 11 6 9" xfId="6378"/>
    <cellStyle name="Normal 11 6 9 2" xfId="22254"/>
    <cellStyle name="Normal 11 6 9 2 2" xfId="27487"/>
    <cellStyle name="Normal 11 6 9 3" xfId="24975"/>
    <cellStyle name="Normal 11 6_DeltaViewer" xfId="6379"/>
    <cellStyle name="Normal 11 7" xfId="6380"/>
    <cellStyle name="Normal 11 7 2" xfId="6381"/>
    <cellStyle name="Normal 11 7 2 2" xfId="6382"/>
    <cellStyle name="Normal 11 7 2 2 2" xfId="6383"/>
    <cellStyle name="Normal 11 7 2 2 2 2" xfId="22258"/>
    <cellStyle name="Normal 11 7 2 2 2 2 2" xfId="27491"/>
    <cellStyle name="Normal 11 7 2 2 2 3" xfId="24979"/>
    <cellStyle name="Normal 11 7 2 2 3" xfId="22257"/>
    <cellStyle name="Normal 11 7 2 2 3 2" xfId="27490"/>
    <cellStyle name="Normal 11 7 2 2 4" xfId="24978"/>
    <cellStyle name="Normal 11 7 2 3" xfId="6384"/>
    <cellStyle name="Normal 11 7 2 3 2" xfId="22259"/>
    <cellStyle name="Normal 11 7 2 3 2 2" xfId="27492"/>
    <cellStyle name="Normal 11 7 2 3 3" xfId="24980"/>
    <cellStyle name="Normal 11 7 2 4" xfId="22256"/>
    <cellStyle name="Normal 11 7 2 4 2" xfId="27489"/>
    <cellStyle name="Normal 11 7 2 5" xfId="24977"/>
    <cellStyle name="Normal 11 7 2_DeltaViewer" xfId="6385"/>
    <cellStyle name="Normal 11 7 3" xfId="6386"/>
    <cellStyle name="Normal 11 7 3 2" xfId="6387"/>
    <cellStyle name="Normal 11 7 3 2 2" xfId="22261"/>
    <cellStyle name="Normal 11 7 3 2 2 2" xfId="27494"/>
    <cellStyle name="Normal 11 7 3 2 3" xfId="24982"/>
    <cellStyle name="Normal 11 7 3 3" xfId="22260"/>
    <cellStyle name="Normal 11 7 3 3 2" xfId="27493"/>
    <cellStyle name="Normal 11 7 3 4" xfId="24981"/>
    <cellStyle name="Normal 11 7 4" xfId="6388"/>
    <cellStyle name="Normal 11 7 4 2" xfId="22262"/>
    <cellStyle name="Normal 11 7 4 2 2" xfId="27495"/>
    <cellStyle name="Normal 11 7 4 3" xfId="24983"/>
    <cellStyle name="Normal 11 7 5" xfId="22255"/>
    <cellStyle name="Normal 11 7 5 2" xfId="27488"/>
    <cellStyle name="Normal 11 7 6" xfId="24976"/>
    <cellStyle name="Normal 11 7_DeltaViewer" xfId="6389"/>
    <cellStyle name="Normal 11 8" xfId="6390"/>
    <cellStyle name="Normal 11 8 2" xfId="6391"/>
    <cellStyle name="Normal 11 8 2 2" xfId="6392"/>
    <cellStyle name="Normal 11 8 2 2 2" xfId="6393"/>
    <cellStyle name="Normal 11 8 2 2 2 2" xfId="22266"/>
    <cellStyle name="Normal 11 8 2 2 2 2 2" xfId="27499"/>
    <cellStyle name="Normal 11 8 2 2 2 3" xfId="24987"/>
    <cellStyle name="Normal 11 8 2 2 3" xfId="22265"/>
    <cellStyle name="Normal 11 8 2 2 3 2" xfId="27498"/>
    <cellStyle name="Normal 11 8 2 2 4" xfId="24986"/>
    <cellStyle name="Normal 11 8 2 3" xfId="6394"/>
    <cellStyle name="Normal 11 8 2 3 2" xfId="22267"/>
    <cellStyle name="Normal 11 8 2 3 2 2" xfId="27500"/>
    <cellStyle name="Normal 11 8 2 3 3" xfId="24988"/>
    <cellStyle name="Normal 11 8 2 4" xfId="22264"/>
    <cellStyle name="Normal 11 8 2 4 2" xfId="27497"/>
    <cellStyle name="Normal 11 8 2 5" xfId="24985"/>
    <cellStyle name="Normal 11 8 2_DeltaViewer" xfId="6395"/>
    <cellStyle name="Normal 11 8 3" xfId="6396"/>
    <cellStyle name="Normal 11 8 3 2" xfId="6397"/>
    <cellStyle name="Normal 11 8 3 2 2" xfId="22269"/>
    <cellStyle name="Normal 11 8 3 2 2 2" xfId="27502"/>
    <cellStyle name="Normal 11 8 3 2 3" xfId="24990"/>
    <cellStyle name="Normal 11 8 3 3" xfId="22268"/>
    <cellStyle name="Normal 11 8 3 3 2" xfId="27501"/>
    <cellStyle name="Normal 11 8 3 4" xfId="24989"/>
    <cellStyle name="Normal 11 8 4" xfId="6398"/>
    <cellStyle name="Normal 11 8 4 2" xfId="22270"/>
    <cellStyle name="Normal 11 8 4 2 2" xfId="27503"/>
    <cellStyle name="Normal 11 8 4 3" xfId="24991"/>
    <cellStyle name="Normal 11 8 5" xfId="22263"/>
    <cellStyle name="Normal 11 8 5 2" xfId="27496"/>
    <cellStyle name="Normal 11 8 6" xfId="24984"/>
    <cellStyle name="Normal 11 8_DeltaViewer" xfId="6399"/>
    <cellStyle name="Normal 11 9" xfId="6400"/>
    <cellStyle name="Normal 11 9 2" xfId="6401"/>
    <cellStyle name="Normal 11 9 2 2" xfId="6402"/>
    <cellStyle name="Normal 11 9 2 2 2" xfId="6403"/>
    <cellStyle name="Normal 11 9 2 2 2 2" xfId="22274"/>
    <cellStyle name="Normal 11 9 2 2 2 2 2" xfId="27507"/>
    <cellStyle name="Normal 11 9 2 2 2 3" xfId="24995"/>
    <cellStyle name="Normal 11 9 2 2 3" xfId="22273"/>
    <cellStyle name="Normal 11 9 2 2 3 2" xfId="27506"/>
    <cellStyle name="Normal 11 9 2 2 4" xfId="24994"/>
    <cellStyle name="Normal 11 9 2 3" xfId="6404"/>
    <cellStyle name="Normal 11 9 2 3 2" xfId="22275"/>
    <cellStyle name="Normal 11 9 2 3 2 2" xfId="27508"/>
    <cellStyle name="Normal 11 9 2 3 3" xfId="24996"/>
    <cellStyle name="Normal 11 9 2 4" xfId="22272"/>
    <cellStyle name="Normal 11 9 2 4 2" xfId="27505"/>
    <cellStyle name="Normal 11 9 2 5" xfId="24993"/>
    <cellStyle name="Normal 11 9 2_DeltaViewer" xfId="6405"/>
    <cellStyle name="Normal 11 9 3" xfId="6406"/>
    <cellStyle name="Normal 11 9 3 2" xfId="6407"/>
    <cellStyle name="Normal 11 9 3 2 2" xfId="22277"/>
    <cellStyle name="Normal 11 9 3 2 2 2" xfId="27510"/>
    <cellStyle name="Normal 11 9 3 2 3" xfId="24998"/>
    <cellStyle name="Normal 11 9 3 3" xfId="22276"/>
    <cellStyle name="Normal 11 9 3 3 2" xfId="27509"/>
    <cellStyle name="Normal 11 9 3 4" xfId="24997"/>
    <cellStyle name="Normal 11 9 4" xfId="6408"/>
    <cellStyle name="Normal 11 9 4 2" xfId="22278"/>
    <cellStyle name="Normal 11 9 4 2 2" xfId="27511"/>
    <cellStyle name="Normal 11 9 4 3" xfId="24999"/>
    <cellStyle name="Normal 11 9 5" xfId="22271"/>
    <cellStyle name="Normal 11 9 5 2" xfId="27504"/>
    <cellStyle name="Normal 11 9 6" xfId="24992"/>
    <cellStyle name="Normal 11 9_DeltaViewer" xfId="6409"/>
    <cellStyle name="Normal 11_DeltaViewer" xfId="6410"/>
    <cellStyle name="Normal 12" xfId="76"/>
    <cellStyle name="Normal 12 2" xfId="77"/>
    <cellStyle name="Normal 12 2 2" xfId="78"/>
    <cellStyle name="Normal 12 2 2 2" xfId="235"/>
    <cellStyle name="Normal 12 2 2 2 2" xfId="21774"/>
    <cellStyle name="Normal 12 2 2 2 2 2" xfId="27011"/>
    <cellStyle name="Normal 12 2 2 2 3" xfId="21514"/>
    <cellStyle name="Normal 12 2 2 2 4" xfId="24459"/>
    <cellStyle name="Normal 12 2 2 3" xfId="6411"/>
    <cellStyle name="Normal 12 2 2 4" xfId="6412"/>
    <cellStyle name="Normal 12 2 2 5" xfId="6413"/>
    <cellStyle name="Normal 12 2 2 6" xfId="21647"/>
    <cellStyle name="Normal 12 2 2 6 2" xfId="26893"/>
    <cellStyle name="Normal 12 2 2 7" xfId="24315"/>
    <cellStyle name="Normal 12 2 2_DeltaViewer" xfId="6414"/>
    <cellStyle name="Normal 12 2 3" xfId="79"/>
    <cellStyle name="Normal 12 2 3 2" xfId="236"/>
    <cellStyle name="Normal 12 2 3 2 2" xfId="24460"/>
    <cellStyle name="Normal 12 2 3 3" xfId="21648"/>
    <cellStyle name="Normal 12 2 3 3 2" xfId="26894"/>
    <cellStyle name="Normal 12 2 3 4" xfId="21513"/>
    <cellStyle name="Normal 12 2 3 5" xfId="24316"/>
    <cellStyle name="Normal 12 2 4" xfId="234"/>
    <cellStyle name="Normal 12 2 4 2" xfId="21773"/>
    <cellStyle name="Normal 12 2 4 2 2" xfId="27010"/>
    <cellStyle name="Normal 12 2 4 3" xfId="21500"/>
    <cellStyle name="Normal 12 2 4 4" xfId="24458"/>
    <cellStyle name="Normal 12 2 5" xfId="6415"/>
    <cellStyle name="Normal 12 2 6" xfId="6416"/>
    <cellStyle name="Normal 12 2 7" xfId="21646"/>
    <cellStyle name="Normal 12 2 7 2" xfId="26892"/>
    <cellStyle name="Normal 12 2 8" xfId="24314"/>
    <cellStyle name="Normal 12 2_DeltaViewer" xfId="6417"/>
    <cellStyle name="Normal 12 3" xfId="80"/>
    <cellStyle name="Normal 12 3 2" xfId="237"/>
    <cellStyle name="Normal 12 3 2 2" xfId="21775"/>
    <cellStyle name="Normal 12 3 2 2 2" xfId="27012"/>
    <cellStyle name="Normal 12 3 2 3" xfId="21515"/>
    <cellStyle name="Normal 12 3 2 4" xfId="24461"/>
    <cellStyle name="Normal 12 3 3" xfId="6418"/>
    <cellStyle name="Normal 12 3 4" xfId="6419"/>
    <cellStyle name="Normal 12 3 5" xfId="6420"/>
    <cellStyle name="Normal 12 3 6" xfId="21649"/>
    <cellStyle name="Normal 12 3 6 2" xfId="26895"/>
    <cellStyle name="Normal 12 3 7" xfId="24317"/>
    <cellStyle name="Normal 12 3_DeltaViewer" xfId="6421"/>
    <cellStyle name="Normal 12 4" xfId="81"/>
    <cellStyle name="Normal 12 4 2" xfId="238"/>
    <cellStyle name="Normal 12 4 2 2" xfId="24462"/>
    <cellStyle name="Normal 12 4 3" xfId="21650"/>
    <cellStyle name="Normal 12 4 3 2" xfId="26896"/>
    <cellStyle name="Normal 12 4 4" xfId="21512"/>
    <cellStyle name="Normal 12 4 5" xfId="24318"/>
    <cellStyle name="Normal 12 5" xfId="233"/>
    <cellStyle name="Normal 12 5 2" xfId="21772"/>
    <cellStyle name="Normal 12 5 2 2" xfId="27009"/>
    <cellStyle name="Normal 12 5 3" xfId="21499"/>
    <cellStyle name="Normal 12 5 4" xfId="24457"/>
    <cellStyle name="Normal 12 6" xfId="6422"/>
    <cellStyle name="Normal 12 7" xfId="6423"/>
    <cellStyle name="Normal 12 8" xfId="21645"/>
    <cellStyle name="Normal 12 8 2" xfId="26891"/>
    <cellStyle name="Normal 12 9" xfId="24313"/>
    <cellStyle name="Normal 12_DeltaViewer" xfId="6424"/>
    <cellStyle name="Normal 13" xfId="82"/>
    <cellStyle name="Normal 13 2" xfId="83"/>
    <cellStyle name="Normal 13 2 2" xfId="240"/>
    <cellStyle name="Normal 13 2 2 2" xfId="21777"/>
    <cellStyle name="Normal 13 2 2 2 2" xfId="27014"/>
    <cellStyle name="Normal 13 2 2 3" xfId="21517"/>
    <cellStyle name="Normal 13 2 2 4" xfId="24464"/>
    <cellStyle name="Normal 13 2 3" xfId="6425"/>
    <cellStyle name="Normal 13 2 4" xfId="6426"/>
    <cellStyle name="Normal 13 2 5" xfId="6427"/>
    <cellStyle name="Normal 13 2 6" xfId="21652"/>
    <cellStyle name="Normal 13 2 6 2" xfId="26898"/>
    <cellStyle name="Normal 13 2 7" xfId="24320"/>
    <cellStyle name="Normal 13 2_DeltaViewer" xfId="6428"/>
    <cellStyle name="Normal 13 3" xfId="84"/>
    <cellStyle name="Normal 13 3 2" xfId="241"/>
    <cellStyle name="Normal 13 3 2 2" xfId="24465"/>
    <cellStyle name="Normal 13 3 3" xfId="21653"/>
    <cellStyle name="Normal 13 3 3 2" xfId="26899"/>
    <cellStyle name="Normal 13 3 4" xfId="21516"/>
    <cellStyle name="Normal 13 3 5" xfId="24321"/>
    <cellStyle name="Normal 13 4" xfId="239"/>
    <cellStyle name="Normal 13 4 2" xfId="21776"/>
    <cellStyle name="Normal 13 4 2 2" xfId="27013"/>
    <cellStyle name="Normal 13 4 3" xfId="21501"/>
    <cellStyle name="Normal 13 4 4" xfId="24463"/>
    <cellStyle name="Normal 13 5" xfId="6429"/>
    <cellStyle name="Normal 13 6" xfId="6430"/>
    <cellStyle name="Normal 13 7" xfId="21651"/>
    <cellStyle name="Normal 13 7 2" xfId="26897"/>
    <cellStyle name="Normal 13 8" xfId="24319"/>
    <cellStyle name="Normal 13_DeltaViewer" xfId="6431"/>
    <cellStyle name="Normal 14" xfId="85"/>
    <cellStyle name="Normal 14 10" xfId="24322"/>
    <cellStyle name="Normal 14 2" xfId="242"/>
    <cellStyle name="Normal 14 2 2" xfId="6432"/>
    <cellStyle name="Normal 14 2 2 2" xfId="6433"/>
    <cellStyle name="Normal 14 2 2 3" xfId="6434"/>
    <cellStyle name="Normal 14 2 2 4" xfId="6435"/>
    <cellStyle name="Normal 14 2 2 5" xfId="6436"/>
    <cellStyle name="Normal 14 2 2_DeltaViewer" xfId="6437"/>
    <cellStyle name="Normal 14 2 3" xfId="6438"/>
    <cellStyle name="Normal 14 2 4" xfId="6439"/>
    <cellStyle name="Normal 14 2 5" xfId="6440"/>
    <cellStyle name="Normal 14 2 6" xfId="6441"/>
    <cellStyle name="Normal 14 2 7" xfId="21778"/>
    <cellStyle name="Normal 14 2 7 2" xfId="27015"/>
    <cellStyle name="Normal 14 2 8" xfId="24060"/>
    <cellStyle name="Normal 14 2 8 2" xfId="29291"/>
    <cellStyle name="Normal 14 2 9" xfId="24466"/>
    <cellStyle name="Normal 14 2_DeltaViewer" xfId="6442"/>
    <cellStyle name="Normal 14 3" xfId="6443"/>
    <cellStyle name="Normal 14 3 2" xfId="6444"/>
    <cellStyle name="Normal 14 3 3" xfId="6445"/>
    <cellStyle name="Normal 14 3 4" xfId="6446"/>
    <cellStyle name="Normal 14 3 5" xfId="6447"/>
    <cellStyle name="Normal 14 3_DeltaViewer" xfId="6448"/>
    <cellStyle name="Normal 14 4" xfId="6449"/>
    <cellStyle name="Normal 14 5" xfId="6450"/>
    <cellStyle name="Normal 14 6" xfId="6451"/>
    <cellStyle name="Normal 14 7" xfId="6452"/>
    <cellStyle name="Normal 14 8" xfId="21654"/>
    <cellStyle name="Normal 14 8 2" xfId="26900"/>
    <cellStyle name="Normal 14 9" xfId="24077"/>
    <cellStyle name="Normal 14 9 2" xfId="29302"/>
    <cellStyle name="Normal 14_DeltaViewer" xfId="6453"/>
    <cellStyle name="Normal 15" xfId="86"/>
    <cellStyle name="Normal 15 10" xfId="24323"/>
    <cellStyle name="Normal 15 2" xfId="243"/>
    <cellStyle name="Normal 15 2 2" xfId="6454"/>
    <cellStyle name="Normal 15 2 2 2" xfId="6455"/>
    <cellStyle name="Normal 15 2 2 3" xfId="6456"/>
    <cellStyle name="Normal 15 2 2 4" xfId="6457"/>
    <cellStyle name="Normal 15 2 2 5" xfId="6458"/>
    <cellStyle name="Normal 15 2 2_DeltaViewer" xfId="6459"/>
    <cellStyle name="Normal 15 2 3" xfId="6460"/>
    <cellStyle name="Normal 15 2 4" xfId="6461"/>
    <cellStyle name="Normal 15 2 5" xfId="6462"/>
    <cellStyle name="Normal 15 2 6" xfId="6463"/>
    <cellStyle name="Normal 15 2 7" xfId="21779"/>
    <cellStyle name="Normal 15 2 7 2" xfId="27016"/>
    <cellStyle name="Normal 15 2 8" xfId="24059"/>
    <cellStyle name="Normal 15 2 8 2" xfId="29290"/>
    <cellStyle name="Normal 15 2 9" xfId="24467"/>
    <cellStyle name="Normal 15 2_DeltaViewer" xfId="6464"/>
    <cellStyle name="Normal 15 3" xfId="6465"/>
    <cellStyle name="Normal 15 3 2" xfId="6466"/>
    <cellStyle name="Normal 15 3 3" xfId="6467"/>
    <cellStyle name="Normal 15 3 4" xfId="6468"/>
    <cellStyle name="Normal 15 3 5" xfId="6469"/>
    <cellStyle name="Normal 15 3_DeltaViewer" xfId="6470"/>
    <cellStyle name="Normal 15 4" xfId="6471"/>
    <cellStyle name="Normal 15 5" xfId="6472"/>
    <cellStyle name="Normal 15 6" xfId="6473"/>
    <cellStyle name="Normal 15 7" xfId="6474"/>
    <cellStyle name="Normal 15 8" xfId="21655"/>
    <cellStyle name="Normal 15 8 2" xfId="26901"/>
    <cellStyle name="Normal 15 9" xfId="24076"/>
    <cellStyle name="Normal 15 9 2" xfId="29301"/>
    <cellStyle name="Normal 15_DeltaViewer" xfId="6475"/>
    <cellStyle name="Normal 16" xfId="172"/>
    <cellStyle name="Normal 16 10" xfId="24396"/>
    <cellStyle name="Normal 16 2" xfId="305"/>
    <cellStyle name="Normal 16 2 2" xfId="6476"/>
    <cellStyle name="Normal 16 2 2 2" xfId="6477"/>
    <cellStyle name="Normal 16 2 2 3" xfId="6478"/>
    <cellStyle name="Normal 16 2 2 4" xfId="6479"/>
    <cellStyle name="Normal 16 2 2 5" xfId="6480"/>
    <cellStyle name="Normal 16 2 2_DeltaViewer" xfId="6481"/>
    <cellStyle name="Normal 16 2 3" xfId="6482"/>
    <cellStyle name="Normal 16 2 4" xfId="6483"/>
    <cellStyle name="Normal 16 2 5" xfId="6484"/>
    <cellStyle name="Normal 16 2 6" xfId="6485"/>
    <cellStyle name="Normal 16 2 7" xfId="21806"/>
    <cellStyle name="Normal 16 2 8" xfId="24048"/>
    <cellStyle name="Normal 16 2 9" xfId="24529"/>
    <cellStyle name="Normal 16 2_DeltaViewer" xfId="6486"/>
    <cellStyle name="Normal 16 3" xfId="6487"/>
    <cellStyle name="Normal 16 3 2" xfId="6488"/>
    <cellStyle name="Normal 16 3 3" xfId="6489"/>
    <cellStyle name="Normal 16 3 4" xfId="6490"/>
    <cellStyle name="Normal 16 3 5" xfId="6491"/>
    <cellStyle name="Normal 16 3_DeltaViewer" xfId="6492"/>
    <cellStyle name="Normal 16 4" xfId="6493"/>
    <cellStyle name="Normal 16 5" xfId="6494"/>
    <cellStyle name="Normal 16 6" xfId="6495"/>
    <cellStyle name="Normal 16 7" xfId="6496"/>
    <cellStyle name="Normal 16 8" xfId="21717"/>
    <cellStyle name="Normal 16 9" xfId="24061"/>
    <cellStyle name="Normal 16_DeltaViewer" xfId="6497"/>
    <cellStyle name="Normal 17" xfId="173"/>
    <cellStyle name="Normal 17 10" xfId="6498"/>
    <cellStyle name="Normal 17 10 2" xfId="6499"/>
    <cellStyle name="Normal 17 10 2 2" xfId="22280"/>
    <cellStyle name="Normal 17 10 2 2 2" xfId="27513"/>
    <cellStyle name="Normal 17 10 2 3" xfId="25001"/>
    <cellStyle name="Normal 17 10 3" xfId="22279"/>
    <cellStyle name="Normal 17 10 3 2" xfId="27512"/>
    <cellStyle name="Normal 17 10 4" xfId="25000"/>
    <cellStyle name="Normal 17 11" xfId="6500"/>
    <cellStyle name="Normal 17 11 2" xfId="22281"/>
    <cellStyle name="Normal 17 11 2 2" xfId="27514"/>
    <cellStyle name="Normal 17 11 3" xfId="25002"/>
    <cellStyle name="Normal 17 12" xfId="21718"/>
    <cellStyle name="Normal 17 12 2" xfId="26955"/>
    <cellStyle name="Normal 17 13" xfId="24397"/>
    <cellStyle name="Normal 17 2" xfId="6501"/>
    <cellStyle name="Normal 17 2 2" xfId="6502"/>
    <cellStyle name="Normal 17 2 2 10" xfId="25003"/>
    <cellStyle name="Normal 17 2 2 2" xfId="6503"/>
    <cellStyle name="Normal 17 2 2 2 2" xfId="6504"/>
    <cellStyle name="Normal 17 2 2 2 2 2" xfId="6505"/>
    <cellStyle name="Normal 17 2 2 2 2 2 2" xfId="6506"/>
    <cellStyle name="Normal 17 2 2 2 2 2 2 2" xfId="22286"/>
    <cellStyle name="Normal 17 2 2 2 2 2 2 2 2" xfId="27519"/>
    <cellStyle name="Normal 17 2 2 2 2 2 2 3" xfId="25007"/>
    <cellStyle name="Normal 17 2 2 2 2 2 3" xfId="22285"/>
    <cellStyle name="Normal 17 2 2 2 2 2 3 2" xfId="27518"/>
    <cellStyle name="Normal 17 2 2 2 2 2 4" xfId="25006"/>
    <cellStyle name="Normal 17 2 2 2 2 3" xfId="6507"/>
    <cellStyle name="Normal 17 2 2 2 2 3 2" xfId="22287"/>
    <cellStyle name="Normal 17 2 2 2 2 3 2 2" xfId="27520"/>
    <cellStyle name="Normal 17 2 2 2 2 3 3" xfId="25008"/>
    <cellStyle name="Normal 17 2 2 2 2 4" xfId="22284"/>
    <cellStyle name="Normal 17 2 2 2 2 4 2" xfId="27517"/>
    <cellStyle name="Normal 17 2 2 2 2 5" xfId="25005"/>
    <cellStyle name="Normal 17 2 2 2 2_DeltaViewer" xfId="6508"/>
    <cellStyle name="Normal 17 2 2 2 3" xfId="6509"/>
    <cellStyle name="Normal 17 2 2 2 3 2" xfId="6510"/>
    <cellStyle name="Normal 17 2 2 2 3 2 2" xfId="22289"/>
    <cellStyle name="Normal 17 2 2 2 3 2 2 2" xfId="27522"/>
    <cellStyle name="Normal 17 2 2 2 3 2 3" xfId="25010"/>
    <cellStyle name="Normal 17 2 2 2 3 3" xfId="22288"/>
    <cellStyle name="Normal 17 2 2 2 3 3 2" xfId="27521"/>
    <cellStyle name="Normal 17 2 2 2 3 4" xfId="25009"/>
    <cellStyle name="Normal 17 2 2 2 4" xfId="6511"/>
    <cellStyle name="Normal 17 2 2 2 4 2" xfId="22290"/>
    <cellStyle name="Normal 17 2 2 2 4 2 2" xfId="27523"/>
    <cellStyle name="Normal 17 2 2 2 4 3" xfId="25011"/>
    <cellStyle name="Normal 17 2 2 2 5" xfId="22283"/>
    <cellStyle name="Normal 17 2 2 2 5 2" xfId="27516"/>
    <cellStyle name="Normal 17 2 2 2 6" xfId="25004"/>
    <cellStyle name="Normal 17 2 2 2_DeltaViewer" xfId="6512"/>
    <cellStyle name="Normal 17 2 2 3" xfId="6513"/>
    <cellStyle name="Normal 17 2 2 3 2" xfId="6514"/>
    <cellStyle name="Normal 17 2 2 3 2 2" xfId="6515"/>
    <cellStyle name="Normal 17 2 2 3 2 2 2" xfId="6516"/>
    <cellStyle name="Normal 17 2 2 3 2 2 2 2" xfId="22294"/>
    <cellStyle name="Normal 17 2 2 3 2 2 2 2 2" xfId="27527"/>
    <cellStyle name="Normal 17 2 2 3 2 2 2 3" xfId="25015"/>
    <cellStyle name="Normal 17 2 2 3 2 2 3" xfId="22293"/>
    <cellStyle name="Normal 17 2 2 3 2 2 3 2" xfId="27526"/>
    <cellStyle name="Normal 17 2 2 3 2 2 4" xfId="25014"/>
    <cellStyle name="Normal 17 2 2 3 2 3" xfId="6517"/>
    <cellStyle name="Normal 17 2 2 3 2 3 2" xfId="22295"/>
    <cellStyle name="Normal 17 2 2 3 2 3 2 2" xfId="27528"/>
    <cellStyle name="Normal 17 2 2 3 2 3 3" xfId="25016"/>
    <cellStyle name="Normal 17 2 2 3 2 4" xfId="22292"/>
    <cellStyle name="Normal 17 2 2 3 2 4 2" xfId="27525"/>
    <cellStyle name="Normal 17 2 2 3 2 5" xfId="25013"/>
    <cellStyle name="Normal 17 2 2 3 2_DeltaViewer" xfId="6518"/>
    <cellStyle name="Normal 17 2 2 3 3" xfId="6519"/>
    <cellStyle name="Normal 17 2 2 3 3 2" xfId="6520"/>
    <cellStyle name="Normal 17 2 2 3 3 2 2" xfId="22297"/>
    <cellStyle name="Normal 17 2 2 3 3 2 2 2" xfId="27530"/>
    <cellStyle name="Normal 17 2 2 3 3 2 3" xfId="25018"/>
    <cellStyle name="Normal 17 2 2 3 3 3" xfId="22296"/>
    <cellStyle name="Normal 17 2 2 3 3 3 2" xfId="27529"/>
    <cellStyle name="Normal 17 2 2 3 3 4" xfId="25017"/>
    <cellStyle name="Normal 17 2 2 3 4" xfId="6521"/>
    <cellStyle name="Normal 17 2 2 3 4 2" xfId="22298"/>
    <cellStyle name="Normal 17 2 2 3 4 2 2" xfId="27531"/>
    <cellStyle name="Normal 17 2 2 3 4 3" xfId="25019"/>
    <cellStyle name="Normal 17 2 2 3 5" xfId="22291"/>
    <cellStyle name="Normal 17 2 2 3 5 2" xfId="27524"/>
    <cellStyle name="Normal 17 2 2 3 6" xfId="25012"/>
    <cellStyle name="Normal 17 2 2 3_DeltaViewer" xfId="6522"/>
    <cellStyle name="Normal 17 2 2 4" xfId="6523"/>
    <cellStyle name="Normal 17 2 2 4 2" xfId="6524"/>
    <cellStyle name="Normal 17 2 2 4 2 2" xfId="6525"/>
    <cellStyle name="Normal 17 2 2 4 2 2 2" xfId="6526"/>
    <cellStyle name="Normal 17 2 2 4 2 2 2 2" xfId="22302"/>
    <cellStyle name="Normal 17 2 2 4 2 2 2 2 2" xfId="27535"/>
    <cellStyle name="Normal 17 2 2 4 2 2 2 3" xfId="25023"/>
    <cellStyle name="Normal 17 2 2 4 2 2 3" xfId="22301"/>
    <cellStyle name="Normal 17 2 2 4 2 2 3 2" xfId="27534"/>
    <cellStyle name="Normal 17 2 2 4 2 2 4" xfId="25022"/>
    <cellStyle name="Normal 17 2 2 4 2 3" xfId="6527"/>
    <cellStyle name="Normal 17 2 2 4 2 3 2" xfId="22303"/>
    <cellStyle name="Normal 17 2 2 4 2 3 2 2" xfId="27536"/>
    <cellStyle name="Normal 17 2 2 4 2 3 3" xfId="25024"/>
    <cellStyle name="Normal 17 2 2 4 2 4" xfId="22300"/>
    <cellStyle name="Normal 17 2 2 4 2 4 2" xfId="27533"/>
    <cellStyle name="Normal 17 2 2 4 2 5" xfId="25021"/>
    <cellStyle name="Normal 17 2 2 4 2_DeltaViewer" xfId="6528"/>
    <cellStyle name="Normal 17 2 2 4 3" xfId="6529"/>
    <cellStyle name="Normal 17 2 2 4 3 2" xfId="6530"/>
    <cellStyle name="Normal 17 2 2 4 3 2 2" xfId="22305"/>
    <cellStyle name="Normal 17 2 2 4 3 2 2 2" xfId="27538"/>
    <cellStyle name="Normal 17 2 2 4 3 2 3" xfId="25026"/>
    <cellStyle name="Normal 17 2 2 4 3 3" xfId="22304"/>
    <cellStyle name="Normal 17 2 2 4 3 3 2" xfId="27537"/>
    <cellStyle name="Normal 17 2 2 4 3 4" xfId="25025"/>
    <cellStyle name="Normal 17 2 2 4 4" xfId="6531"/>
    <cellStyle name="Normal 17 2 2 4 4 2" xfId="22306"/>
    <cellStyle name="Normal 17 2 2 4 4 2 2" xfId="27539"/>
    <cellStyle name="Normal 17 2 2 4 4 3" xfId="25027"/>
    <cellStyle name="Normal 17 2 2 4 5" xfId="22299"/>
    <cellStyle name="Normal 17 2 2 4 5 2" xfId="27532"/>
    <cellStyle name="Normal 17 2 2 4 6" xfId="25020"/>
    <cellStyle name="Normal 17 2 2 4_DeltaViewer" xfId="6532"/>
    <cellStyle name="Normal 17 2 2 5" xfId="6533"/>
    <cellStyle name="Normal 17 2 2 5 2" xfId="6534"/>
    <cellStyle name="Normal 17 2 2 5 2 2" xfId="6535"/>
    <cellStyle name="Normal 17 2 2 5 2 2 2" xfId="22309"/>
    <cellStyle name="Normal 17 2 2 5 2 2 2 2" xfId="27542"/>
    <cellStyle name="Normal 17 2 2 5 2 2 3" xfId="25030"/>
    <cellStyle name="Normal 17 2 2 5 2 3" xfId="22308"/>
    <cellStyle name="Normal 17 2 2 5 2 3 2" xfId="27541"/>
    <cellStyle name="Normal 17 2 2 5 2 4" xfId="25029"/>
    <cellStyle name="Normal 17 2 2 5 3" xfId="6536"/>
    <cellStyle name="Normal 17 2 2 5 3 2" xfId="22310"/>
    <cellStyle name="Normal 17 2 2 5 3 2 2" xfId="27543"/>
    <cellStyle name="Normal 17 2 2 5 3 3" xfId="25031"/>
    <cellStyle name="Normal 17 2 2 5 4" xfId="22307"/>
    <cellStyle name="Normal 17 2 2 5 4 2" xfId="27540"/>
    <cellStyle name="Normal 17 2 2 5 5" xfId="25028"/>
    <cellStyle name="Normal 17 2 2 5_DeltaViewer" xfId="6537"/>
    <cellStyle name="Normal 17 2 2 6" xfId="6538"/>
    <cellStyle name="Normal 17 2 2 6 2" xfId="6539"/>
    <cellStyle name="Normal 17 2 2 6 2 2" xfId="22312"/>
    <cellStyle name="Normal 17 2 2 6 2 2 2" xfId="27545"/>
    <cellStyle name="Normal 17 2 2 6 2 3" xfId="25033"/>
    <cellStyle name="Normal 17 2 2 6 3" xfId="22311"/>
    <cellStyle name="Normal 17 2 2 6 3 2" xfId="27544"/>
    <cellStyle name="Normal 17 2 2 6 4" xfId="25032"/>
    <cellStyle name="Normal 17 2 2 7" xfId="6540"/>
    <cellStyle name="Normal 17 2 2 7 2" xfId="6541"/>
    <cellStyle name="Normal 17 2 2 7 2 2" xfId="22314"/>
    <cellStyle name="Normal 17 2 2 7 2 2 2" xfId="27547"/>
    <cellStyle name="Normal 17 2 2 7 2 3" xfId="25035"/>
    <cellStyle name="Normal 17 2 2 7 3" xfId="22313"/>
    <cellStyle name="Normal 17 2 2 7 3 2" xfId="27546"/>
    <cellStyle name="Normal 17 2 2 7 4" xfId="25034"/>
    <cellStyle name="Normal 17 2 2 8" xfId="6542"/>
    <cellStyle name="Normal 17 2 2 8 2" xfId="22315"/>
    <cellStyle name="Normal 17 2 2 8 2 2" xfId="27548"/>
    <cellStyle name="Normal 17 2 2 8 3" xfId="25036"/>
    <cellStyle name="Normal 17 2 2 9" xfId="22282"/>
    <cellStyle name="Normal 17 2 2 9 2" xfId="27515"/>
    <cellStyle name="Normal 17 2 2_DeltaViewer" xfId="6543"/>
    <cellStyle name="Normal 17 2 3" xfId="6544"/>
    <cellStyle name="Normal 17 2 3 10" xfId="25037"/>
    <cellStyle name="Normal 17 2 3 2" xfId="6545"/>
    <cellStyle name="Normal 17 2 3 2 2" xfId="6546"/>
    <cellStyle name="Normal 17 2 3 2 2 2" xfId="6547"/>
    <cellStyle name="Normal 17 2 3 2 2 2 2" xfId="6548"/>
    <cellStyle name="Normal 17 2 3 2 2 2 2 2" xfId="22320"/>
    <cellStyle name="Normal 17 2 3 2 2 2 2 2 2" xfId="27553"/>
    <cellStyle name="Normal 17 2 3 2 2 2 2 3" xfId="25041"/>
    <cellStyle name="Normal 17 2 3 2 2 2 3" xfId="22319"/>
    <cellStyle name="Normal 17 2 3 2 2 2 3 2" xfId="27552"/>
    <cellStyle name="Normal 17 2 3 2 2 2 4" xfId="25040"/>
    <cellStyle name="Normal 17 2 3 2 2 3" xfId="6549"/>
    <cellStyle name="Normal 17 2 3 2 2 3 2" xfId="22321"/>
    <cellStyle name="Normal 17 2 3 2 2 3 2 2" xfId="27554"/>
    <cellStyle name="Normal 17 2 3 2 2 3 3" xfId="25042"/>
    <cellStyle name="Normal 17 2 3 2 2 4" xfId="22318"/>
    <cellStyle name="Normal 17 2 3 2 2 4 2" xfId="27551"/>
    <cellStyle name="Normal 17 2 3 2 2 5" xfId="25039"/>
    <cellStyle name="Normal 17 2 3 2 2_DeltaViewer" xfId="6550"/>
    <cellStyle name="Normal 17 2 3 2 3" xfId="6551"/>
    <cellStyle name="Normal 17 2 3 2 3 2" xfId="6552"/>
    <cellStyle name="Normal 17 2 3 2 3 2 2" xfId="22323"/>
    <cellStyle name="Normal 17 2 3 2 3 2 2 2" xfId="27556"/>
    <cellStyle name="Normal 17 2 3 2 3 2 3" xfId="25044"/>
    <cellStyle name="Normal 17 2 3 2 3 3" xfId="22322"/>
    <cellStyle name="Normal 17 2 3 2 3 3 2" xfId="27555"/>
    <cellStyle name="Normal 17 2 3 2 3 4" xfId="25043"/>
    <cellStyle name="Normal 17 2 3 2 4" xfId="6553"/>
    <cellStyle name="Normal 17 2 3 2 4 2" xfId="22324"/>
    <cellStyle name="Normal 17 2 3 2 4 2 2" xfId="27557"/>
    <cellStyle name="Normal 17 2 3 2 4 3" xfId="25045"/>
    <cellStyle name="Normal 17 2 3 2 5" xfId="22317"/>
    <cellStyle name="Normal 17 2 3 2 5 2" xfId="27550"/>
    <cellStyle name="Normal 17 2 3 2 6" xfId="25038"/>
    <cellStyle name="Normal 17 2 3 2_DeltaViewer" xfId="6554"/>
    <cellStyle name="Normal 17 2 3 3" xfId="6555"/>
    <cellStyle name="Normal 17 2 3 3 2" xfId="6556"/>
    <cellStyle name="Normal 17 2 3 3 2 2" xfId="6557"/>
    <cellStyle name="Normal 17 2 3 3 2 2 2" xfId="6558"/>
    <cellStyle name="Normal 17 2 3 3 2 2 2 2" xfId="22328"/>
    <cellStyle name="Normal 17 2 3 3 2 2 2 2 2" xfId="27561"/>
    <cellStyle name="Normal 17 2 3 3 2 2 2 3" xfId="25049"/>
    <cellStyle name="Normal 17 2 3 3 2 2 3" xfId="22327"/>
    <cellStyle name="Normal 17 2 3 3 2 2 3 2" xfId="27560"/>
    <cellStyle name="Normal 17 2 3 3 2 2 4" xfId="25048"/>
    <cellStyle name="Normal 17 2 3 3 2 3" xfId="6559"/>
    <cellStyle name="Normal 17 2 3 3 2 3 2" xfId="22329"/>
    <cellStyle name="Normal 17 2 3 3 2 3 2 2" xfId="27562"/>
    <cellStyle name="Normal 17 2 3 3 2 3 3" xfId="25050"/>
    <cellStyle name="Normal 17 2 3 3 2 4" xfId="22326"/>
    <cellStyle name="Normal 17 2 3 3 2 4 2" xfId="27559"/>
    <cellStyle name="Normal 17 2 3 3 2 5" xfId="25047"/>
    <cellStyle name="Normal 17 2 3 3 2_DeltaViewer" xfId="6560"/>
    <cellStyle name="Normal 17 2 3 3 3" xfId="6561"/>
    <cellStyle name="Normal 17 2 3 3 3 2" xfId="6562"/>
    <cellStyle name="Normal 17 2 3 3 3 2 2" xfId="22331"/>
    <cellStyle name="Normal 17 2 3 3 3 2 2 2" xfId="27564"/>
    <cellStyle name="Normal 17 2 3 3 3 2 3" xfId="25052"/>
    <cellStyle name="Normal 17 2 3 3 3 3" xfId="22330"/>
    <cellStyle name="Normal 17 2 3 3 3 3 2" xfId="27563"/>
    <cellStyle name="Normal 17 2 3 3 3 4" xfId="25051"/>
    <cellStyle name="Normal 17 2 3 3 4" xfId="6563"/>
    <cellStyle name="Normal 17 2 3 3 4 2" xfId="22332"/>
    <cellStyle name="Normal 17 2 3 3 4 2 2" xfId="27565"/>
    <cellStyle name="Normal 17 2 3 3 4 3" xfId="25053"/>
    <cellStyle name="Normal 17 2 3 3 5" xfId="22325"/>
    <cellStyle name="Normal 17 2 3 3 5 2" xfId="27558"/>
    <cellStyle name="Normal 17 2 3 3 6" xfId="25046"/>
    <cellStyle name="Normal 17 2 3 3_DeltaViewer" xfId="6564"/>
    <cellStyle name="Normal 17 2 3 4" xfId="6565"/>
    <cellStyle name="Normal 17 2 3 4 2" xfId="6566"/>
    <cellStyle name="Normal 17 2 3 4 2 2" xfId="6567"/>
    <cellStyle name="Normal 17 2 3 4 2 2 2" xfId="6568"/>
    <cellStyle name="Normal 17 2 3 4 2 2 2 2" xfId="22336"/>
    <cellStyle name="Normal 17 2 3 4 2 2 2 2 2" xfId="27569"/>
    <cellStyle name="Normal 17 2 3 4 2 2 2 3" xfId="25057"/>
    <cellStyle name="Normal 17 2 3 4 2 2 3" xfId="22335"/>
    <cellStyle name="Normal 17 2 3 4 2 2 3 2" xfId="27568"/>
    <cellStyle name="Normal 17 2 3 4 2 2 4" xfId="25056"/>
    <cellStyle name="Normal 17 2 3 4 2 3" xfId="6569"/>
    <cellStyle name="Normal 17 2 3 4 2 3 2" xfId="22337"/>
    <cellStyle name="Normal 17 2 3 4 2 3 2 2" xfId="27570"/>
    <cellStyle name="Normal 17 2 3 4 2 3 3" xfId="25058"/>
    <cellStyle name="Normal 17 2 3 4 2 4" xfId="22334"/>
    <cellStyle name="Normal 17 2 3 4 2 4 2" xfId="27567"/>
    <cellStyle name="Normal 17 2 3 4 2 5" xfId="25055"/>
    <cellStyle name="Normal 17 2 3 4 2_DeltaViewer" xfId="6570"/>
    <cellStyle name="Normal 17 2 3 4 3" xfId="6571"/>
    <cellStyle name="Normal 17 2 3 4 3 2" xfId="6572"/>
    <cellStyle name="Normal 17 2 3 4 3 2 2" xfId="22339"/>
    <cellStyle name="Normal 17 2 3 4 3 2 2 2" xfId="27572"/>
    <cellStyle name="Normal 17 2 3 4 3 2 3" xfId="25060"/>
    <cellStyle name="Normal 17 2 3 4 3 3" xfId="22338"/>
    <cellStyle name="Normal 17 2 3 4 3 3 2" xfId="27571"/>
    <cellStyle name="Normal 17 2 3 4 3 4" xfId="25059"/>
    <cellStyle name="Normal 17 2 3 4 4" xfId="6573"/>
    <cellStyle name="Normal 17 2 3 4 4 2" xfId="22340"/>
    <cellStyle name="Normal 17 2 3 4 4 2 2" xfId="27573"/>
    <cellStyle name="Normal 17 2 3 4 4 3" xfId="25061"/>
    <cellStyle name="Normal 17 2 3 4 5" xfId="22333"/>
    <cellStyle name="Normal 17 2 3 4 5 2" xfId="27566"/>
    <cellStyle name="Normal 17 2 3 4 6" xfId="25054"/>
    <cellStyle name="Normal 17 2 3 4_DeltaViewer" xfId="6574"/>
    <cellStyle name="Normal 17 2 3 5" xfId="6575"/>
    <cellStyle name="Normal 17 2 3 5 2" xfId="6576"/>
    <cellStyle name="Normal 17 2 3 5 2 2" xfId="6577"/>
    <cellStyle name="Normal 17 2 3 5 2 2 2" xfId="22343"/>
    <cellStyle name="Normal 17 2 3 5 2 2 2 2" xfId="27576"/>
    <cellStyle name="Normal 17 2 3 5 2 2 3" xfId="25064"/>
    <cellStyle name="Normal 17 2 3 5 2 3" xfId="22342"/>
    <cellStyle name="Normal 17 2 3 5 2 3 2" xfId="27575"/>
    <cellStyle name="Normal 17 2 3 5 2 4" xfId="25063"/>
    <cellStyle name="Normal 17 2 3 5 3" xfId="6578"/>
    <cellStyle name="Normal 17 2 3 5 3 2" xfId="22344"/>
    <cellStyle name="Normal 17 2 3 5 3 2 2" xfId="27577"/>
    <cellStyle name="Normal 17 2 3 5 3 3" xfId="25065"/>
    <cellStyle name="Normal 17 2 3 5 4" xfId="22341"/>
    <cellStyle name="Normal 17 2 3 5 4 2" xfId="27574"/>
    <cellStyle name="Normal 17 2 3 5 5" xfId="25062"/>
    <cellStyle name="Normal 17 2 3 5_DeltaViewer" xfId="6579"/>
    <cellStyle name="Normal 17 2 3 6" xfId="6580"/>
    <cellStyle name="Normal 17 2 3 6 2" xfId="6581"/>
    <cellStyle name="Normal 17 2 3 6 2 2" xfId="22346"/>
    <cellStyle name="Normal 17 2 3 6 2 2 2" xfId="27579"/>
    <cellStyle name="Normal 17 2 3 6 2 3" xfId="25067"/>
    <cellStyle name="Normal 17 2 3 6 3" xfId="22345"/>
    <cellStyle name="Normal 17 2 3 6 3 2" xfId="27578"/>
    <cellStyle name="Normal 17 2 3 6 4" xfId="25066"/>
    <cellStyle name="Normal 17 2 3 7" xfId="6582"/>
    <cellStyle name="Normal 17 2 3 7 2" xfId="6583"/>
    <cellStyle name="Normal 17 2 3 7 2 2" xfId="22348"/>
    <cellStyle name="Normal 17 2 3 7 2 2 2" xfId="27581"/>
    <cellStyle name="Normal 17 2 3 7 2 3" xfId="25069"/>
    <cellStyle name="Normal 17 2 3 7 3" xfId="22347"/>
    <cellStyle name="Normal 17 2 3 7 3 2" xfId="27580"/>
    <cellStyle name="Normal 17 2 3 7 4" xfId="25068"/>
    <cellStyle name="Normal 17 2 3 8" xfId="6584"/>
    <cellStyle name="Normal 17 2 3 8 2" xfId="22349"/>
    <cellStyle name="Normal 17 2 3 8 2 2" xfId="27582"/>
    <cellStyle name="Normal 17 2 3 8 3" xfId="25070"/>
    <cellStyle name="Normal 17 2 3 9" xfId="22316"/>
    <cellStyle name="Normal 17 2 3 9 2" xfId="27549"/>
    <cellStyle name="Normal 17 2 3_DeltaViewer" xfId="6585"/>
    <cellStyle name="Normal 17 2 4" xfId="6586"/>
    <cellStyle name="Normal 17 2 5" xfId="6587"/>
    <cellStyle name="Normal 17 2 6" xfId="6588"/>
    <cellStyle name="Normal 17 2 7" xfId="6589"/>
    <cellStyle name="Normal 17 2_DeltaViewer" xfId="6590"/>
    <cellStyle name="Normal 17 3" xfId="6591"/>
    <cellStyle name="Normal 17 3 2" xfId="6592"/>
    <cellStyle name="Normal 17 3 3" xfId="6593"/>
    <cellStyle name="Normal 17 3 4" xfId="6594"/>
    <cellStyle name="Normal 17 3 5" xfId="6595"/>
    <cellStyle name="Normal 17 3_DeltaViewer" xfId="6596"/>
    <cellStyle name="Normal 17 4" xfId="6597"/>
    <cellStyle name="Normal 17 4 10" xfId="25071"/>
    <cellStyle name="Normal 17 4 2" xfId="6598"/>
    <cellStyle name="Normal 17 4 2 2" xfId="6599"/>
    <cellStyle name="Normal 17 4 2 2 2" xfId="6600"/>
    <cellStyle name="Normal 17 4 2 2 2 2" xfId="6601"/>
    <cellStyle name="Normal 17 4 2 2 2 2 2" xfId="22354"/>
    <cellStyle name="Normal 17 4 2 2 2 2 2 2" xfId="27587"/>
    <cellStyle name="Normal 17 4 2 2 2 2 3" xfId="25075"/>
    <cellStyle name="Normal 17 4 2 2 2 3" xfId="22353"/>
    <cellStyle name="Normal 17 4 2 2 2 3 2" xfId="27586"/>
    <cellStyle name="Normal 17 4 2 2 2 4" xfId="25074"/>
    <cellStyle name="Normal 17 4 2 2 3" xfId="6602"/>
    <cellStyle name="Normal 17 4 2 2 3 2" xfId="22355"/>
    <cellStyle name="Normal 17 4 2 2 3 2 2" xfId="27588"/>
    <cellStyle name="Normal 17 4 2 2 3 3" xfId="25076"/>
    <cellStyle name="Normal 17 4 2 2 4" xfId="22352"/>
    <cellStyle name="Normal 17 4 2 2 4 2" xfId="27585"/>
    <cellStyle name="Normal 17 4 2 2 5" xfId="25073"/>
    <cellStyle name="Normal 17 4 2 2_DeltaViewer" xfId="6603"/>
    <cellStyle name="Normal 17 4 2 3" xfId="6604"/>
    <cellStyle name="Normal 17 4 2 3 2" xfId="6605"/>
    <cellStyle name="Normal 17 4 2 3 2 2" xfId="22357"/>
    <cellStyle name="Normal 17 4 2 3 2 2 2" xfId="27590"/>
    <cellStyle name="Normal 17 4 2 3 2 3" xfId="25078"/>
    <cellStyle name="Normal 17 4 2 3 3" xfId="22356"/>
    <cellStyle name="Normal 17 4 2 3 3 2" xfId="27589"/>
    <cellStyle name="Normal 17 4 2 3 4" xfId="25077"/>
    <cellStyle name="Normal 17 4 2 4" xfId="6606"/>
    <cellStyle name="Normal 17 4 2 4 2" xfId="22358"/>
    <cellStyle name="Normal 17 4 2 4 2 2" xfId="27591"/>
    <cellStyle name="Normal 17 4 2 4 3" xfId="25079"/>
    <cellStyle name="Normal 17 4 2 5" xfId="22351"/>
    <cellStyle name="Normal 17 4 2 5 2" xfId="27584"/>
    <cellStyle name="Normal 17 4 2 6" xfId="25072"/>
    <cellStyle name="Normal 17 4 2_DeltaViewer" xfId="6607"/>
    <cellStyle name="Normal 17 4 3" xfId="6608"/>
    <cellStyle name="Normal 17 4 3 2" xfId="6609"/>
    <cellStyle name="Normal 17 4 3 2 2" xfId="6610"/>
    <cellStyle name="Normal 17 4 3 2 2 2" xfId="6611"/>
    <cellStyle name="Normal 17 4 3 2 2 2 2" xfId="22362"/>
    <cellStyle name="Normal 17 4 3 2 2 2 2 2" xfId="27595"/>
    <cellStyle name="Normal 17 4 3 2 2 2 3" xfId="25083"/>
    <cellStyle name="Normal 17 4 3 2 2 3" xfId="22361"/>
    <cellStyle name="Normal 17 4 3 2 2 3 2" xfId="27594"/>
    <cellStyle name="Normal 17 4 3 2 2 4" xfId="25082"/>
    <cellStyle name="Normal 17 4 3 2 3" xfId="6612"/>
    <cellStyle name="Normal 17 4 3 2 3 2" xfId="22363"/>
    <cellStyle name="Normal 17 4 3 2 3 2 2" xfId="27596"/>
    <cellStyle name="Normal 17 4 3 2 3 3" xfId="25084"/>
    <cellStyle name="Normal 17 4 3 2 4" xfId="22360"/>
    <cellStyle name="Normal 17 4 3 2 4 2" xfId="27593"/>
    <cellStyle name="Normal 17 4 3 2 5" xfId="25081"/>
    <cellStyle name="Normal 17 4 3 2_DeltaViewer" xfId="6613"/>
    <cellStyle name="Normal 17 4 3 3" xfId="6614"/>
    <cellStyle name="Normal 17 4 3 3 2" xfId="6615"/>
    <cellStyle name="Normal 17 4 3 3 2 2" xfId="22365"/>
    <cellStyle name="Normal 17 4 3 3 2 2 2" xfId="27598"/>
    <cellStyle name="Normal 17 4 3 3 2 3" xfId="25086"/>
    <cellStyle name="Normal 17 4 3 3 3" xfId="22364"/>
    <cellStyle name="Normal 17 4 3 3 3 2" xfId="27597"/>
    <cellStyle name="Normal 17 4 3 3 4" xfId="25085"/>
    <cellStyle name="Normal 17 4 3 4" xfId="6616"/>
    <cellStyle name="Normal 17 4 3 4 2" xfId="22366"/>
    <cellStyle name="Normal 17 4 3 4 2 2" xfId="27599"/>
    <cellStyle name="Normal 17 4 3 4 3" xfId="25087"/>
    <cellStyle name="Normal 17 4 3 5" xfId="22359"/>
    <cellStyle name="Normal 17 4 3 5 2" xfId="27592"/>
    <cellStyle name="Normal 17 4 3 6" xfId="25080"/>
    <cellStyle name="Normal 17 4 3_DeltaViewer" xfId="6617"/>
    <cellStyle name="Normal 17 4 4" xfId="6618"/>
    <cellStyle name="Normal 17 4 4 2" xfId="6619"/>
    <cellStyle name="Normal 17 4 4 2 2" xfId="6620"/>
    <cellStyle name="Normal 17 4 4 2 2 2" xfId="6621"/>
    <cellStyle name="Normal 17 4 4 2 2 2 2" xfId="22370"/>
    <cellStyle name="Normal 17 4 4 2 2 2 2 2" xfId="27603"/>
    <cellStyle name="Normal 17 4 4 2 2 2 3" xfId="25091"/>
    <cellStyle name="Normal 17 4 4 2 2 3" xfId="22369"/>
    <cellStyle name="Normal 17 4 4 2 2 3 2" xfId="27602"/>
    <cellStyle name="Normal 17 4 4 2 2 4" xfId="25090"/>
    <cellStyle name="Normal 17 4 4 2 3" xfId="6622"/>
    <cellStyle name="Normal 17 4 4 2 3 2" xfId="22371"/>
    <cellStyle name="Normal 17 4 4 2 3 2 2" xfId="27604"/>
    <cellStyle name="Normal 17 4 4 2 3 3" xfId="25092"/>
    <cellStyle name="Normal 17 4 4 2 4" xfId="22368"/>
    <cellStyle name="Normal 17 4 4 2 4 2" xfId="27601"/>
    <cellStyle name="Normal 17 4 4 2 5" xfId="25089"/>
    <cellStyle name="Normal 17 4 4 2_DeltaViewer" xfId="6623"/>
    <cellStyle name="Normal 17 4 4 3" xfId="6624"/>
    <cellStyle name="Normal 17 4 4 3 2" xfId="6625"/>
    <cellStyle name="Normal 17 4 4 3 2 2" xfId="22373"/>
    <cellStyle name="Normal 17 4 4 3 2 2 2" xfId="27606"/>
    <cellStyle name="Normal 17 4 4 3 2 3" xfId="25094"/>
    <cellStyle name="Normal 17 4 4 3 3" xfId="22372"/>
    <cellStyle name="Normal 17 4 4 3 3 2" xfId="27605"/>
    <cellStyle name="Normal 17 4 4 3 4" xfId="25093"/>
    <cellStyle name="Normal 17 4 4 4" xfId="6626"/>
    <cellStyle name="Normal 17 4 4 4 2" xfId="22374"/>
    <cellStyle name="Normal 17 4 4 4 2 2" xfId="27607"/>
    <cellStyle name="Normal 17 4 4 4 3" xfId="25095"/>
    <cellStyle name="Normal 17 4 4 5" xfId="22367"/>
    <cellStyle name="Normal 17 4 4 5 2" xfId="27600"/>
    <cellStyle name="Normal 17 4 4 6" xfId="25088"/>
    <cellStyle name="Normal 17 4 4_DeltaViewer" xfId="6627"/>
    <cellStyle name="Normal 17 4 5" xfId="6628"/>
    <cellStyle name="Normal 17 4 5 2" xfId="6629"/>
    <cellStyle name="Normal 17 4 5 2 2" xfId="6630"/>
    <cellStyle name="Normal 17 4 5 2 2 2" xfId="22377"/>
    <cellStyle name="Normal 17 4 5 2 2 2 2" xfId="27610"/>
    <cellStyle name="Normal 17 4 5 2 2 3" xfId="25098"/>
    <cellStyle name="Normal 17 4 5 2 3" xfId="22376"/>
    <cellStyle name="Normal 17 4 5 2 3 2" xfId="27609"/>
    <cellStyle name="Normal 17 4 5 2 4" xfId="25097"/>
    <cellStyle name="Normal 17 4 5 3" xfId="6631"/>
    <cellStyle name="Normal 17 4 5 3 2" xfId="22378"/>
    <cellStyle name="Normal 17 4 5 3 2 2" xfId="27611"/>
    <cellStyle name="Normal 17 4 5 3 3" xfId="25099"/>
    <cellStyle name="Normal 17 4 5 4" xfId="22375"/>
    <cellStyle name="Normal 17 4 5 4 2" xfId="27608"/>
    <cellStyle name="Normal 17 4 5 5" xfId="25096"/>
    <cellStyle name="Normal 17 4 5_DeltaViewer" xfId="6632"/>
    <cellStyle name="Normal 17 4 6" xfId="6633"/>
    <cellStyle name="Normal 17 4 6 2" xfId="6634"/>
    <cellStyle name="Normal 17 4 6 2 2" xfId="22380"/>
    <cellStyle name="Normal 17 4 6 2 2 2" xfId="27613"/>
    <cellStyle name="Normal 17 4 6 2 3" xfId="25101"/>
    <cellStyle name="Normal 17 4 6 3" xfId="22379"/>
    <cellStyle name="Normal 17 4 6 3 2" xfId="27612"/>
    <cellStyle name="Normal 17 4 6 4" xfId="25100"/>
    <cellStyle name="Normal 17 4 7" xfId="6635"/>
    <cellStyle name="Normal 17 4 7 2" xfId="6636"/>
    <cellStyle name="Normal 17 4 7 2 2" xfId="22382"/>
    <cellStyle name="Normal 17 4 7 2 2 2" xfId="27615"/>
    <cellStyle name="Normal 17 4 7 2 3" xfId="25103"/>
    <cellStyle name="Normal 17 4 7 3" xfId="22381"/>
    <cellStyle name="Normal 17 4 7 3 2" xfId="27614"/>
    <cellStyle name="Normal 17 4 7 4" xfId="25102"/>
    <cellStyle name="Normal 17 4 8" xfId="6637"/>
    <cellStyle name="Normal 17 4 8 2" xfId="22383"/>
    <cellStyle name="Normal 17 4 8 2 2" xfId="27616"/>
    <cellStyle name="Normal 17 4 8 3" xfId="25104"/>
    <cellStyle name="Normal 17 4 9" xfId="22350"/>
    <cellStyle name="Normal 17 4 9 2" xfId="27583"/>
    <cellStyle name="Normal 17 4_DeltaViewer" xfId="6638"/>
    <cellStyle name="Normal 17 5" xfId="6639"/>
    <cellStyle name="Normal 17 5 2" xfId="6640"/>
    <cellStyle name="Normal 17 5 2 2" xfId="6641"/>
    <cellStyle name="Normal 17 5 2 2 2" xfId="6642"/>
    <cellStyle name="Normal 17 5 2 2 2 2" xfId="22387"/>
    <cellStyle name="Normal 17 5 2 2 2 2 2" xfId="27620"/>
    <cellStyle name="Normal 17 5 2 2 2 3" xfId="25108"/>
    <cellStyle name="Normal 17 5 2 2 3" xfId="22386"/>
    <cellStyle name="Normal 17 5 2 2 3 2" xfId="27619"/>
    <cellStyle name="Normal 17 5 2 2 4" xfId="25107"/>
    <cellStyle name="Normal 17 5 2 3" xfId="6643"/>
    <cellStyle name="Normal 17 5 2 3 2" xfId="22388"/>
    <cellStyle name="Normal 17 5 2 3 2 2" xfId="27621"/>
    <cellStyle name="Normal 17 5 2 3 3" xfId="25109"/>
    <cellStyle name="Normal 17 5 2 4" xfId="22385"/>
    <cellStyle name="Normal 17 5 2 4 2" xfId="27618"/>
    <cellStyle name="Normal 17 5 2 5" xfId="25106"/>
    <cellStyle name="Normal 17 5 2_DeltaViewer" xfId="6644"/>
    <cellStyle name="Normal 17 5 3" xfId="6645"/>
    <cellStyle name="Normal 17 5 3 2" xfId="6646"/>
    <cellStyle name="Normal 17 5 3 2 2" xfId="22390"/>
    <cellStyle name="Normal 17 5 3 2 2 2" xfId="27623"/>
    <cellStyle name="Normal 17 5 3 2 3" xfId="25111"/>
    <cellStyle name="Normal 17 5 3 3" xfId="22389"/>
    <cellStyle name="Normal 17 5 3 3 2" xfId="27622"/>
    <cellStyle name="Normal 17 5 3 4" xfId="25110"/>
    <cellStyle name="Normal 17 5 4" xfId="6647"/>
    <cellStyle name="Normal 17 5 4 2" xfId="22391"/>
    <cellStyle name="Normal 17 5 4 2 2" xfId="27624"/>
    <cellStyle name="Normal 17 5 4 3" xfId="25112"/>
    <cellStyle name="Normal 17 5 5" xfId="22384"/>
    <cellStyle name="Normal 17 5 5 2" xfId="27617"/>
    <cellStyle name="Normal 17 5 6" xfId="25105"/>
    <cellStyle name="Normal 17 5_DeltaViewer" xfId="6648"/>
    <cellStyle name="Normal 17 6" xfId="6649"/>
    <cellStyle name="Normal 17 6 2" xfId="6650"/>
    <cellStyle name="Normal 17 6 2 2" xfId="6651"/>
    <cellStyle name="Normal 17 6 2 2 2" xfId="6652"/>
    <cellStyle name="Normal 17 6 2 2 2 2" xfId="22395"/>
    <cellStyle name="Normal 17 6 2 2 2 2 2" xfId="27628"/>
    <cellStyle name="Normal 17 6 2 2 2 3" xfId="25116"/>
    <cellStyle name="Normal 17 6 2 2 3" xfId="22394"/>
    <cellStyle name="Normal 17 6 2 2 3 2" xfId="27627"/>
    <cellStyle name="Normal 17 6 2 2 4" xfId="25115"/>
    <cellStyle name="Normal 17 6 2 3" xfId="6653"/>
    <cellStyle name="Normal 17 6 2 3 2" xfId="22396"/>
    <cellStyle name="Normal 17 6 2 3 2 2" xfId="27629"/>
    <cellStyle name="Normal 17 6 2 3 3" xfId="25117"/>
    <cellStyle name="Normal 17 6 2 4" xfId="22393"/>
    <cellStyle name="Normal 17 6 2 4 2" xfId="27626"/>
    <cellStyle name="Normal 17 6 2 5" xfId="25114"/>
    <cellStyle name="Normal 17 6 2_DeltaViewer" xfId="6654"/>
    <cellStyle name="Normal 17 6 3" xfId="6655"/>
    <cellStyle name="Normal 17 6 3 2" xfId="6656"/>
    <cellStyle name="Normal 17 6 3 2 2" xfId="22398"/>
    <cellStyle name="Normal 17 6 3 2 2 2" xfId="27631"/>
    <cellStyle name="Normal 17 6 3 2 3" xfId="25119"/>
    <cellStyle name="Normal 17 6 3 3" xfId="22397"/>
    <cellStyle name="Normal 17 6 3 3 2" xfId="27630"/>
    <cellStyle name="Normal 17 6 3 4" xfId="25118"/>
    <cellStyle name="Normal 17 6 4" xfId="6657"/>
    <cellStyle name="Normal 17 6 4 2" xfId="22399"/>
    <cellStyle name="Normal 17 6 4 2 2" xfId="27632"/>
    <cellStyle name="Normal 17 6 4 3" xfId="25120"/>
    <cellStyle name="Normal 17 6 5" xfId="22392"/>
    <cellStyle name="Normal 17 6 5 2" xfId="27625"/>
    <cellStyle name="Normal 17 6 6" xfId="25113"/>
    <cellStyle name="Normal 17 6_DeltaViewer" xfId="6658"/>
    <cellStyle name="Normal 17 7" xfId="6659"/>
    <cellStyle name="Normal 17 7 2" xfId="6660"/>
    <cellStyle name="Normal 17 7 2 2" xfId="6661"/>
    <cellStyle name="Normal 17 7 2 2 2" xfId="6662"/>
    <cellStyle name="Normal 17 7 2 2 2 2" xfId="22403"/>
    <cellStyle name="Normal 17 7 2 2 2 2 2" xfId="27636"/>
    <cellStyle name="Normal 17 7 2 2 2 3" xfId="25124"/>
    <cellStyle name="Normal 17 7 2 2 3" xfId="22402"/>
    <cellStyle name="Normal 17 7 2 2 3 2" xfId="27635"/>
    <cellStyle name="Normal 17 7 2 2 4" xfId="25123"/>
    <cellStyle name="Normal 17 7 2 3" xfId="6663"/>
    <cellStyle name="Normal 17 7 2 3 2" xfId="22404"/>
    <cellStyle name="Normal 17 7 2 3 2 2" xfId="27637"/>
    <cellStyle name="Normal 17 7 2 3 3" xfId="25125"/>
    <cellStyle name="Normal 17 7 2 4" xfId="22401"/>
    <cellStyle name="Normal 17 7 2 4 2" xfId="27634"/>
    <cellStyle name="Normal 17 7 2 5" xfId="25122"/>
    <cellStyle name="Normal 17 7 2_DeltaViewer" xfId="6664"/>
    <cellStyle name="Normal 17 7 3" xfId="6665"/>
    <cellStyle name="Normal 17 7 3 2" xfId="6666"/>
    <cellStyle name="Normal 17 7 3 2 2" xfId="22406"/>
    <cellStyle name="Normal 17 7 3 2 2 2" xfId="27639"/>
    <cellStyle name="Normal 17 7 3 2 3" xfId="25127"/>
    <cellStyle name="Normal 17 7 3 3" xfId="22405"/>
    <cellStyle name="Normal 17 7 3 3 2" xfId="27638"/>
    <cellStyle name="Normal 17 7 3 4" xfId="25126"/>
    <cellStyle name="Normal 17 7 4" xfId="6667"/>
    <cellStyle name="Normal 17 7 4 2" xfId="22407"/>
    <cellStyle name="Normal 17 7 4 2 2" xfId="27640"/>
    <cellStyle name="Normal 17 7 4 3" xfId="25128"/>
    <cellStyle name="Normal 17 7 5" xfId="22400"/>
    <cellStyle name="Normal 17 7 5 2" xfId="27633"/>
    <cellStyle name="Normal 17 7 6" xfId="25121"/>
    <cellStyle name="Normal 17 7_DeltaViewer" xfId="6668"/>
    <cellStyle name="Normal 17 8" xfId="6669"/>
    <cellStyle name="Normal 17 8 2" xfId="6670"/>
    <cellStyle name="Normal 17 8 2 2" xfId="6671"/>
    <cellStyle name="Normal 17 8 2 2 2" xfId="22410"/>
    <cellStyle name="Normal 17 8 2 2 2 2" xfId="27643"/>
    <cellStyle name="Normal 17 8 2 2 3" xfId="25131"/>
    <cellStyle name="Normal 17 8 2 3" xfId="22409"/>
    <cellStyle name="Normal 17 8 2 3 2" xfId="27642"/>
    <cellStyle name="Normal 17 8 2 4" xfId="25130"/>
    <cellStyle name="Normal 17 8 3" xfId="6672"/>
    <cellStyle name="Normal 17 8 3 2" xfId="22411"/>
    <cellStyle name="Normal 17 8 3 2 2" xfId="27644"/>
    <cellStyle name="Normal 17 8 3 3" xfId="25132"/>
    <cellStyle name="Normal 17 8 4" xfId="22408"/>
    <cellStyle name="Normal 17 8 4 2" xfId="27641"/>
    <cellStyle name="Normal 17 8 5" xfId="25129"/>
    <cellStyle name="Normal 17 8_DeltaViewer" xfId="6673"/>
    <cellStyle name="Normal 17 9" xfId="6674"/>
    <cellStyle name="Normal 17 9 2" xfId="6675"/>
    <cellStyle name="Normal 17 9 2 2" xfId="22413"/>
    <cellStyle name="Normal 17 9 2 2 2" xfId="27646"/>
    <cellStyle name="Normal 17 9 2 3" xfId="25134"/>
    <cellStyle name="Normal 17 9 3" xfId="22412"/>
    <cellStyle name="Normal 17 9 3 2" xfId="27645"/>
    <cellStyle name="Normal 17 9 4" xfId="25133"/>
    <cellStyle name="Normal 17_DeltaViewer" xfId="6676"/>
    <cellStyle name="Normal 18" xfId="6677"/>
    <cellStyle name="Normal 18 10" xfId="6678"/>
    <cellStyle name="Normal 18 10 2" xfId="22415"/>
    <cellStyle name="Normal 18 10 2 2" xfId="27648"/>
    <cellStyle name="Normal 18 10 3" xfId="25136"/>
    <cellStyle name="Normal 18 11" xfId="22414"/>
    <cellStyle name="Normal 18 11 2" xfId="27647"/>
    <cellStyle name="Normal 18 12" xfId="25135"/>
    <cellStyle name="Normal 18 2" xfId="6679"/>
    <cellStyle name="Normal 18 2 10" xfId="25137"/>
    <cellStyle name="Normal 18 2 2" xfId="6680"/>
    <cellStyle name="Normal 18 2 2 2" xfId="6681"/>
    <cellStyle name="Normal 18 2 2 2 2" xfId="6682"/>
    <cellStyle name="Normal 18 2 2 2 2 2" xfId="6683"/>
    <cellStyle name="Normal 18 2 2 2 2 2 2" xfId="22420"/>
    <cellStyle name="Normal 18 2 2 2 2 2 2 2" xfId="27653"/>
    <cellStyle name="Normal 18 2 2 2 2 2 3" xfId="25141"/>
    <cellStyle name="Normal 18 2 2 2 2 3" xfId="22419"/>
    <cellStyle name="Normal 18 2 2 2 2 3 2" xfId="27652"/>
    <cellStyle name="Normal 18 2 2 2 2 4" xfId="25140"/>
    <cellStyle name="Normal 18 2 2 2 3" xfId="6684"/>
    <cellStyle name="Normal 18 2 2 2 3 2" xfId="22421"/>
    <cellStyle name="Normal 18 2 2 2 3 2 2" xfId="27654"/>
    <cellStyle name="Normal 18 2 2 2 3 3" xfId="25142"/>
    <cellStyle name="Normal 18 2 2 2 4" xfId="22418"/>
    <cellStyle name="Normal 18 2 2 2 4 2" xfId="27651"/>
    <cellStyle name="Normal 18 2 2 2 5" xfId="25139"/>
    <cellStyle name="Normal 18 2 2 2_DeltaViewer" xfId="6685"/>
    <cellStyle name="Normal 18 2 2 3" xfId="6686"/>
    <cellStyle name="Normal 18 2 2 3 2" xfId="6687"/>
    <cellStyle name="Normal 18 2 2 3 2 2" xfId="22423"/>
    <cellStyle name="Normal 18 2 2 3 2 2 2" xfId="27656"/>
    <cellStyle name="Normal 18 2 2 3 2 3" xfId="25144"/>
    <cellStyle name="Normal 18 2 2 3 3" xfId="22422"/>
    <cellStyle name="Normal 18 2 2 3 3 2" xfId="27655"/>
    <cellStyle name="Normal 18 2 2 3 4" xfId="25143"/>
    <cellStyle name="Normal 18 2 2 4" xfId="6688"/>
    <cellStyle name="Normal 18 2 2 4 2" xfId="22424"/>
    <cellStyle name="Normal 18 2 2 4 2 2" xfId="27657"/>
    <cellStyle name="Normal 18 2 2 4 3" xfId="25145"/>
    <cellStyle name="Normal 18 2 2 5" xfId="22417"/>
    <cellStyle name="Normal 18 2 2 5 2" xfId="27650"/>
    <cellStyle name="Normal 18 2 2 6" xfId="25138"/>
    <cellStyle name="Normal 18 2 2_DeltaViewer" xfId="6689"/>
    <cellStyle name="Normal 18 2 3" xfId="6690"/>
    <cellStyle name="Normal 18 2 3 2" xfId="6691"/>
    <cellStyle name="Normal 18 2 3 2 2" xfId="6692"/>
    <cellStyle name="Normal 18 2 3 2 2 2" xfId="6693"/>
    <cellStyle name="Normal 18 2 3 2 2 2 2" xfId="22428"/>
    <cellStyle name="Normal 18 2 3 2 2 2 2 2" xfId="27661"/>
    <cellStyle name="Normal 18 2 3 2 2 2 3" xfId="25149"/>
    <cellStyle name="Normal 18 2 3 2 2 3" xfId="22427"/>
    <cellStyle name="Normal 18 2 3 2 2 3 2" xfId="27660"/>
    <cellStyle name="Normal 18 2 3 2 2 4" xfId="25148"/>
    <cellStyle name="Normal 18 2 3 2 3" xfId="6694"/>
    <cellStyle name="Normal 18 2 3 2 3 2" xfId="22429"/>
    <cellStyle name="Normal 18 2 3 2 3 2 2" xfId="27662"/>
    <cellStyle name="Normal 18 2 3 2 3 3" xfId="25150"/>
    <cellStyle name="Normal 18 2 3 2 4" xfId="22426"/>
    <cellStyle name="Normal 18 2 3 2 4 2" xfId="27659"/>
    <cellStyle name="Normal 18 2 3 2 5" xfId="25147"/>
    <cellStyle name="Normal 18 2 3 2_DeltaViewer" xfId="6695"/>
    <cellStyle name="Normal 18 2 3 3" xfId="6696"/>
    <cellStyle name="Normal 18 2 3 3 2" xfId="6697"/>
    <cellStyle name="Normal 18 2 3 3 2 2" xfId="22431"/>
    <cellStyle name="Normal 18 2 3 3 2 2 2" xfId="27664"/>
    <cellStyle name="Normal 18 2 3 3 2 3" xfId="25152"/>
    <cellStyle name="Normal 18 2 3 3 3" xfId="22430"/>
    <cellStyle name="Normal 18 2 3 3 3 2" xfId="27663"/>
    <cellStyle name="Normal 18 2 3 3 4" xfId="25151"/>
    <cellStyle name="Normal 18 2 3 4" xfId="6698"/>
    <cellStyle name="Normal 18 2 3 4 2" xfId="22432"/>
    <cellStyle name="Normal 18 2 3 4 2 2" xfId="27665"/>
    <cellStyle name="Normal 18 2 3 4 3" xfId="25153"/>
    <cellStyle name="Normal 18 2 3 5" xfId="22425"/>
    <cellStyle name="Normal 18 2 3 5 2" xfId="27658"/>
    <cellStyle name="Normal 18 2 3 6" xfId="25146"/>
    <cellStyle name="Normal 18 2 3_DeltaViewer" xfId="6699"/>
    <cellStyle name="Normal 18 2 4" xfId="6700"/>
    <cellStyle name="Normal 18 2 4 2" xfId="6701"/>
    <cellStyle name="Normal 18 2 4 2 2" xfId="6702"/>
    <cellStyle name="Normal 18 2 4 2 2 2" xfId="6703"/>
    <cellStyle name="Normal 18 2 4 2 2 2 2" xfId="22436"/>
    <cellStyle name="Normal 18 2 4 2 2 2 2 2" xfId="27669"/>
    <cellStyle name="Normal 18 2 4 2 2 2 3" xfId="25157"/>
    <cellStyle name="Normal 18 2 4 2 2 3" xfId="22435"/>
    <cellStyle name="Normal 18 2 4 2 2 3 2" xfId="27668"/>
    <cellStyle name="Normal 18 2 4 2 2 4" xfId="25156"/>
    <cellStyle name="Normal 18 2 4 2 3" xfId="6704"/>
    <cellStyle name="Normal 18 2 4 2 3 2" xfId="22437"/>
    <cellStyle name="Normal 18 2 4 2 3 2 2" xfId="27670"/>
    <cellStyle name="Normal 18 2 4 2 3 3" xfId="25158"/>
    <cellStyle name="Normal 18 2 4 2 4" xfId="22434"/>
    <cellStyle name="Normal 18 2 4 2 4 2" xfId="27667"/>
    <cellStyle name="Normal 18 2 4 2 5" xfId="25155"/>
    <cellStyle name="Normal 18 2 4 2_DeltaViewer" xfId="6705"/>
    <cellStyle name="Normal 18 2 4 3" xfId="6706"/>
    <cellStyle name="Normal 18 2 4 3 2" xfId="6707"/>
    <cellStyle name="Normal 18 2 4 3 2 2" xfId="22439"/>
    <cellStyle name="Normal 18 2 4 3 2 2 2" xfId="27672"/>
    <cellStyle name="Normal 18 2 4 3 2 3" xfId="25160"/>
    <cellStyle name="Normal 18 2 4 3 3" xfId="22438"/>
    <cellStyle name="Normal 18 2 4 3 3 2" xfId="27671"/>
    <cellStyle name="Normal 18 2 4 3 4" xfId="25159"/>
    <cellStyle name="Normal 18 2 4 4" xfId="6708"/>
    <cellStyle name="Normal 18 2 4 4 2" xfId="22440"/>
    <cellStyle name="Normal 18 2 4 4 2 2" xfId="27673"/>
    <cellStyle name="Normal 18 2 4 4 3" xfId="25161"/>
    <cellStyle name="Normal 18 2 4 5" xfId="22433"/>
    <cellStyle name="Normal 18 2 4 5 2" xfId="27666"/>
    <cellStyle name="Normal 18 2 4 6" xfId="25154"/>
    <cellStyle name="Normal 18 2 4_DeltaViewer" xfId="6709"/>
    <cellStyle name="Normal 18 2 5" xfId="6710"/>
    <cellStyle name="Normal 18 2 5 2" xfId="6711"/>
    <cellStyle name="Normal 18 2 5 2 2" xfId="6712"/>
    <cellStyle name="Normal 18 2 5 2 2 2" xfId="22443"/>
    <cellStyle name="Normal 18 2 5 2 2 2 2" xfId="27676"/>
    <cellStyle name="Normal 18 2 5 2 2 3" xfId="25164"/>
    <cellStyle name="Normal 18 2 5 2 3" xfId="22442"/>
    <cellStyle name="Normal 18 2 5 2 3 2" xfId="27675"/>
    <cellStyle name="Normal 18 2 5 2 4" xfId="25163"/>
    <cellStyle name="Normal 18 2 5 3" xfId="6713"/>
    <cellStyle name="Normal 18 2 5 3 2" xfId="22444"/>
    <cellStyle name="Normal 18 2 5 3 2 2" xfId="27677"/>
    <cellStyle name="Normal 18 2 5 3 3" xfId="25165"/>
    <cellStyle name="Normal 18 2 5 4" xfId="22441"/>
    <cellStyle name="Normal 18 2 5 4 2" xfId="27674"/>
    <cellStyle name="Normal 18 2 5 5" xfId="25162"/>
    <cellStyle name="Normal 18 2 5_DeltaViewer" xfId="6714"/>
    <cellStyle name="Normal 18 2 6" xfId="6715"/>
    <cellStyle name="Normal 18 2 6 2" xfId="6716"/>
    <cellStyle name="Normal 18 2 6 2 2" xfId="22446"/>
    <cellStyle name="Normal 18 2 6 2 2 2" xfId="27679"/>
    <cellStyle name="Normal 18 2 6 2 3" xfId="25167"/>
    <cellStyle name="Normal 18 2 6 3" xfId="22445"/>
    <cellStyle name="Normal 18 2 6 3 2" xfId="27678"/>
    <cellStyle name="Normal 18 2 6 4" xfId="25166"/>
    <cellStyle name="Normal 18 2 7" xfId="6717"/>
    <cellStyle name="Normal 18 2 7 2" xfId="6718"/>
    <cellStyle name="Normal 18 2 7 2 2" xfId="22448"/>
    <cellStyle name="Normal 18 2 7 2 2 2" xfId="27681"/>
    <cellStyle name="Normal 18 2 7 2 3" xfId="25169"/>
    <cellStyle name="Normal 18 2 7 3" xfId="22447"/>
    <cellStyle name="Normal 18 2 7 3 2" xfId="27680"/>
    <cellStyle name="Normal 18 2 7 4" xfId="25168"/>
    <cellStyle name="Normal 18 2 8" xfId="6719"/>
    <cellStyle name="Normal 18 2 8 2" xfId="22449"/>
    <cellStyle name="Normal 18 2 8 2 2" xfId="27682"/>
    <cellStyle name="Normal 18 2 8 3" xfId="25170"/>
    <cellStyle name="Normal 18 2 9" xfId="22416"/>
    <cellStyle name="Normal 18 2 9 2" xfId="27649"/>
    <cellStyle name="Normal 18 2_DeltaViewer" xfId="6720"/>
    <cellStyle name="Normal 18 3" xfId="6721"/>
    <cellStyle name="Normal 18 3 10" xfId="25171"/>
    <cellStyle name="Normal 18 3 2" xfId="6722"/>
    <cellStyle name="Normal 18 3 2 2" xfId="6723"/>
    <cellStyle name="Normal 18 3 2 2 2" xfId="6724"/>
    <cellStyle name="Normal 18 3 2 2 2 2" xfId="6725"/>
    <cellStyle name="Normal 18 3 2 2 2 2 2" xfId="22454"/>
    <cellStyle name="Normal 18 3 2 2 2 2 2 2" xfId="27687"/>
    <cellStyle name="Normal 18 3 2 2 2 2 3" xfId="25175"/>
    <cellStyle name="Normal 18 3 2 2 2 3" xfId="22453"/>
    <cellStyle name="Normal 18 3 2 2 2 3 2" xfId="27686"/>
    <cellStyle name="Normal 18 3 2 2 2 4" xfId="25174"/>
    <cellStyle name="Normal 18 3 2 2 3" xfId="6726"/>
    <cellStyle name="Normal 18 3 2 2 3 2" xfId="22455"/>
    <cellStyle name="Normal 18 3 2 2 3 2 2" xfId="27688"/>
    <cellStyle name="Normal 18 3 2 2 3 3" xfId="25176"/>
    <cellStyle name="Normal 18 3 2 2 4" xfId="22452"/>
    <cellStyle name="Normal 18 3 2 2 4 2" xfId="27685"/>
    <cellStyle name="Normal 18 3 2 2 5" xfId="25173"/>
    <cellStyle name="Normal 18 3 2 2_DeltaViewer" xfId="6727"/>
    <cellStyle name="Normal 18 3 2 3" xfId="6728"/>
    <cellStyle name="Normal 18 3 2 3 2" xfId="6729"/>
    <cellStyle name="Normal 18 3 2 3 2 2" xfId="22457"/>
    <cellStyle name="Normal 18 3 2 3 2 2 2" xfId="27690"/>
    <cellStyle name="Normal 18 3 2 3 2 3" xfId="25178"/>
    <cellStyle name="Normal 18 3 2 3 3" xfId="22456"/>
    <cellStyle name="Normal 18 3 2 3 3 2" xfId="27689"/>
    <cellStyle name="Normal 18 3 2 3 4" xfId="25177"/>
    <cellStyle name="Normal 18 3 2 4" xfId="6730"/>
    <cellStyle name="Normal 18 3 2 4 2" xfId="22458"/>
    <cellStyle name="Normal 18 3 2 4 2 2" xfId="27691"/>
    <cellStyle name="Normal 18 3 2 4 3" xfId="25179"/>
    <cellStyle name="Normal 18 3 2 5" xfId="22451"/>
    <cellStyle name="Normal 18 3 2 5 2" xfId="27684"/>
    <cellStyle name="Normal 18 3 2 6" xfId="25172"/>
    <cellStyle name="Normal 18 3 2_DeltaViewer" xfId="6731"/>
    <cellStyle name="Normal 18 3 3" xfId="6732"/>
    <cellStyle name="Normal 18 3 3 2" xfId="6733"/>
    <cellStyle name="Normal 18 3 3 2 2" xfId="6734"/>
    <cellStyle name="Normal 18 3 3 2 2 2" xfId="6735"/>
    <cellStyle name="Normal 18 3 3 2 2 2 2" xfId="22462"/>
    <cellStyle name="Normal 18 3 3 2 2 2 2 2" xfId="27695"/>
    <cellStyle name="Normal 18 3 3 2 2 2 3" xfId="25183"/>
    <cellStyle name="Normal 18 3 3 2 2 3" xfId="22461"/>
    <cellStyle name="Normal 18 3 3 2 2 3 2" xfId="27694"/>
    <cellStyle name="Normal 18 3 3 2 2 4" xfId="25182"/>
    <cellStyle name="Normal 18 3 3 2 3" xfId="6736"/>
    <cellStyle name="Normal 18 3 3 2 3 2" xfId="22463"/>
    <cellStyle name="Normal 18 3 3 2 3 2 2" xfId="27696"/>
    <cellStyle name="Normal 18 3 3 2 3 3" xfId="25184"/>
    <cellStyle name="Normal 18 3 3 2 4" xfId="22460"/>
    <cellStyle name="Normal 18 3 3 2 4 2" xfId="27693"/>
    <cellStyle name="Normal 18 3 3 2 5" xfId="25181"/>
    <cellStyle name="Normal 18 3 3 2_DeltaViewer" xfId="6737"/>
    <cellStyle name="Normal 18 3 3 3" xfId="6738"/>
    <cellStyle name="Normal 18 3 3 3 2" xfId="6739"/>
    <cellStyle name="Normal 18 3 3 3 2 2" xfId="22465"/>
    <cellStyle name="Normal 18 3 3 3 2 2 2" xfId="27698"/>
    <cellStyle name="Normal 18 3 3 3 2 3" xfId="25186"/>
    <cellStyle name="Normal 18 3 3 3 3" xfId="22464"/>
    <cellStyle name="Normal 18 3 3 3 3 2" xfId="27697"/>
    <cellStyle name="Normal 18 3 3 3 4" xfId="25185"/>
    <cellStyle name="Normal 18 3 3 4" xfId="6740"/>
    <cellStyle name="Normal 18 3 3 4 2" xfId="22466"/>
    <cellStyle name="Normal 18 3 3 4 2 2" xfId="27699"/>
    <cellStyle name="Normal 18 3 3 4 3" xfId="25187"/>
    <cellStyle name="Normal 18 3 3 5" xfId="22459"/>
    <cellStyle name="Normal 18 3 3 5 2" xfId="27692"/>
    <cellStyle name="Normal 18 3 3 6" xfId="25180"/>
    <cellStyle name="Normal 18 3 3_DeltaViewer" xfId="6741"/>
    <cellStyle name="Normal 18 3 4" xfId="6742"/>
    <cellStyle name="Normal 18 3 4 2" xfId="6743"/>
    <cellStyle name="Normal 18 3 4 2 2" xfId="6744"/>
    <cellStyle name="Normal 18 3 4 2 2 2" xfId="6745"/>
    <cellStyle name="Normal 18 3 4 2 2 2 2" xfId="22470"/>
    <cellStyle name="Normal 18 3 4 2 2 2 2 2" xfId="27703"/>
    <cellStyle name="Normal 18 3 4 2 2 2 3" xfId="25191"/>
    <cellStyle name="Normal 18 3 4 2 2 3" xfId="22469"/>
    <cellStyle name="Normal 18 3 4 2 2 3 2" xfId="27702"/>
    <cellStyle name="Normal 18 3 4 2 2 4" xfId="25190"/>
    <cellStyle name="Normal 18 3 4 2 3" xfId="6746"/>
    <cellStyle name="Normal 18 3 4 2 3 2" xfId="22471"/>
    <cellStyle name="Normal 18 3 4 2 3 2 2" xfId="27704"/>
    <cellStyle name="Normal 18 3 4 2 3 3" xfId="25192"/>
    <cellStyle name="Normal 18 3 4 2 4" xfId="22468"/>
    <cellStyle name="Normal 18 3 4 2 4 2" xfId="27701"/>
    <cellStyle name="Normal 18 3 4 2 5" xfId="25189"/>
    <cellStyle name="Normal 18 3 4 2_DeltaViewer" xfId="6747"/>
    <cellStyle name="Normal 18 3 4 3" xfId="6748"/>
    <cellStyle name="Normal 18 3 4 3 2" xfId="6749"/>
    <cellStyle name="Normal 18 3 4 3 2 2" xfId="22473"/>
    <cellStyle name="Normal 18 3 4 3 2 2 2" xfId="27706"/>
    <cellStyle name="Normal 18 3 4 3 2 3" xfId="25194"/>
    <cellStyle name="Normal 18 3 4 3 3" xfId="22472"/>
    <cellStyle name="Normal 18 3 4 3 3 2" xfId="27705"/>
    <cellStyle name="Normal 18 3 4 3 4" xfId="25193"/>
    <cellStyle name="Normal 18 3 4 4" xfId="6750"/>
    <cellStyle name="Normal 18 3 4 4 2" xfId="22474"/>
    <cellStyle name="Normal 18 3 4 4 2 2" xfId="27707"/>
    <cellStyle name="Normal 18 3 4 4 3" xfId="25195"/>
    <cellStyle name="Normal 18 3 4 5" xfId="22467"/>
    <cellStyle name="Normal 18 3 4 5 2" xfId="27700"/>
    <cellStyle name="Normal 18 3 4 6" xfId="25188"/>
    <cellStyle name="Normal 18 3 4_DeltaViewer" xfId="6751"/>
    <cellStyle name="Normal 18 3 5" xfId="6752"/>
    <cellStyle name="Normal 18 3 5 2" xfId="6753"/>
    <cellStyle name="Normal 18 3 5 2 2" xfId="6754"/>
    <cellStyle name="Normal 18 3 5 2 2 2" xfId="22477"/>
    <cellStyle name="Normal 18 3 5 2 2 2 2" xfId="27710"/>
    <cellStyle name="Normal 18 3 5 2 2 3" xfId="25198"/>
    <cellStyle name="Normal 18 3 5 2 3" xfId="22476"/>
    <cellStyle name="Normal 18 3 5 2 3 2" xfId="27709"/>
    <cellStyle name="Normal 18 3 5 2 4" xfId="25197"/>
    <cellStyle name="Normal 18 3 5 3" xfId="6755"/>
    <cellStyle name="Normal 18 3 5 3 2" xfId="22478"/>
    <cellStyle name="Normal 18 3 5 3 2 2" xfId="27711"/>
    <cellStyle name="Normal 18 3 5 3 3" xfId="25199"/>
    <cellStyle name="Normal 18 3 5 4" xfId="22475"/>
    <cellStyle name="Normal 18 3 5 4 2" xfId="27708"/>
    <cellStyle name="Normal 18 3 5 5" xfId="25196"/>
    <cellStyle name="Normal 18 3 5_DeltaViewer" xfId="6756"/>
    <cellStyle name="Normal 18 3 6" xfId="6757"/>
    <cellStyle name="Normal 18 3 6 2" xfId="6758"/>
    <cellStyle name="Normal 18 3 6 2 2" xfId="22480"/>
    <cellStyle name="Normal 18 3 6 2 2 2" xfId="27713"/>
    <cellStyle name="Normal 18 3 6 2 3" xfId="25201"/>
    <cellStyle name="Normal 18 3 6 3" xfId="22479"/>
    <cellStyle name="Normal 18 3 6 3 2" xfId="27712"/>
    <cellStyle name="Normal 18 3 6 4" xfId="25200"/>
    <cellStyle name="Normal 18 3 7" xfId="6759"/>
    <cellStyle name="Normal 18 3 7 2" xfId="6760"/>
    <cellStyle name="Normal 18 3 7 2 2" xfId="22482"/>
    <cellStyle name="Normal 18 3 7 2 2 2" xfId="27715"/>
    <cellStyle name="Normal 18 3 7 2 3" xfId="25203"/>
    <cellStyle name="Normal 18 3 7 3" xfId="22481"/>
    <cellStyle name="Normal 18 3 7 3 2" xfId="27714"/>
    <cellStyle name="Normal 18 3 7 4" xfId="25202"/>
    <cellStyle name="Normal 18 3 8" xfId="6761"/>
    <cellStyle name="Normal 18 3 8 2" xfId="22483"/>
    <cellStyle name="Normal 18 3 8 2 2" xfId="27716"/>
    <cellStyle name="Normal 18 3 8 3" xfId="25204"/>
    <cellStyle name="Normal 18 3 9" xfId="22450"/>
    <cellStyle name="Normal 18 3 9 2" xfId="27683"/>
    <cellStyle name="Normal 18 3_DeltaViewer" xfId="6762"/>
    <cellStyle name="Normal 18 4" xfId="6763"/>
    <cellStyle name="Normal 18 4 2" xfId="6764"/>
    <cellStyle name="Normal 18 4 2 2" xfId="6765"/>
    <cellStyle name="Normal 18 4 2 2 2" xfId="6766"/>
    <cellStyle name="Normal 18 4 2 2 2 2" xfId="22487"/>
    <cellStyle name="Normal 18 4 2 2 2 2 2" xfId="27720"/>
    <cellStyle name="Normal 18 4 2 2 2 3" xfId="25208"/>
    <cellStyle name="Normal 18 4 2 2 3" xfId="22486"/>
    <cellStyle name="Normal 18 4 2 2 3 2" xfId="27719"/>
    <cellStyle name="Normal 18 4 2 2 4" xfId="25207"/>
    <cellStyle name="Normal 18 4 2 3" xfId="6767"/>
    <cellStyle name="Normal 18 4 2 3 2" xfId="22488"/>
    <cellStyle name="Normal 18 4 2 3 2 2" xfId="27721"/>
    <cellStyle name="Normal 18 4 2 3 3" xfId="25209"/>
    <cellStyle name="Normal 18 4 2 4" xfId="22485"/>
    <cellStyle name="Normal 18 4 2 4 2" xfId="27718"/>
    <cellStyle name="Normal 18 4 2 5" xfId="25206"/>
    <cellStyle name="Normal 18 4 2_DeltaViewer" xfId="6768"/>
    <cellStyle name="Normal 18 4 3" xfId="6769"/>
    <cellStyle name="Normal 18 4 3 2" xfId="6770"/>
    <cellStyle name="Normal 18 4 3 2 2" xfId="22490"/>
    <cellStyle name="Normal 18 4 3 2 2 2" xfId="27723"/>
    <cellStyle name="Normal 18 4 3 2 3" xfId="25211"/>
    <cellStyle name="Normal 18 4 3 3" xfId="22489"/>
    <cellStyle name="Normal 18 4 3 3 2" xfId="27722"/>
    <cellStyle name="Normal 18 4 3 4" xfId="25210"/>
    <cellStyle name="Normal 18 4 4" xfId="6771"/>
    <cellStyle name="Normal 18 4 4 2" xfId="22491"/>
    <cellStyle name="Normal 18 4 4 2 2" xfId="27724"/>
    <cellStyle name="Normal 18 4 4 3" xfId="25212"/>
    <cellStyle name="Normal 18 4 5" xfId="22484"/>
    <cellStyle name="Normal 18 4 5 2" xfId="27717"/>
    <cellStyle name="Normal 18 4 6" xfId="25205"/>
    <cellStyle name="Normal 18 4_DeltaViewer" xfId="6772"/>
    <cellStyle name="Normal 18 5" xfId="6773"/>
    <cellStyle name="Normal 18 5 2" xfId="6774"/>
    <cellStyle name="Normal 18 5 2 2" xfId="6775"/>
    <cellStyle name="Normal 18 5 2 2 2" xfId="6776"/>
    <cellStyle name="Normal 18 5 2 2 2 2" xfId="22495"/>
    <cellStyle name="Normal 18 5 2 2 2 2 2" xfId="27728"/>
    <cellStyle name="Normal 18 5 2 2 2 3" xfId="25216"/>
    <cellStyle name="Normal 18 5 2 2 3" xfId="22494"/>
    <cellStyle name="Normal 18 5 2 2 3 2" xfId="27727"/>
    <cellStyle name="Normal 18 5 2 2 4" xfId="25215"/>
    <cellStyle name="Normal 18 5 2 3" xfId="6777"/>
    <cellStyle name="Normal 18 5 2 3 2" xfId="22496"/>
    <cellStyle name="Normal 18 5 2 3 2 2" xfId="27729"/>
    <cellStyle name="Normal 18 5 2 3 3" xfId="25217"/>
    <cellStyle name="Normal 18 5 2 4" xfId="22493"/>
    <cellStyle name="Normal 18 5 2 4 2" xfId="27726"/>
    <cellStyle name="Normal 18 5 2 5" xfId="25214"/>
    <cellStyle name="Normal 18 5 2_DeltaViewer" xfId="6778"/>
    <cellStyle name="Normal 18 5 3" xfId="6779"/>
    <cellStyle name="Normal 18 5 3 2" xfId="6780"/>
    <cellStyle name="Normal 18 5 3 2 2" xfId="22498"/>
    <cellStyle name="Normal 18 5 3 2 2 2" xfId="27731"/>
    <cellStyle name="Normal 18 5 3 2 3" xfId="25219"/>
    <cellStyle name="Normal 18 5 3 3" xfId="22497"/>
    <cellStyle name="Normal 18 5 3 3 2" xfId="27730"/>
    <cellStyle name="Normal 18 5 3 4" xfId="25218"/>
    <cellStyle name="Normal 18 5 4" xfId="6781"/>
    <cellStyle name="Normal 18 5 4 2" xfId="22499"/>
    <cellStyle name="Normal 18 5 4 2 2" xfId="27732"/>
    <cellStyle name="Normal 18 5 4 3" xfId="25220"/>
    <cellStyle name="Normal 18 5 5" xfId="22492"/>
    <cellStyle name="Normal 18 5 5 2" xfId="27725"/>
    <cellStyle name="Normal 18 5 6" xfId="25213"/>
    <cellStyle name="Normal 18 5_DeltaViewer" xfId="6782"/>
    <cellStyle name="Normal 18 6" xfId="6783"/>
    <cellStyle name="Normal 18 6 2" xfId="6784"/>
    <cellStyle name="Normal 18 6 2 2" xfId="6785"/>
    <cellStyle name="Normal 18 6 2 2 2" xfId="6786"/>
    <cellStyle name="Normal 18 6 2 2 2 2" xfId="22503"/>
    <cellStyle name="Normal 18 6 2 2 2 2 2" xfId="27736"/>
    <cellStyle name="Normal 18 6 2 2 2 3" xfId="25224"/>
    <cellStyle name="Normal 18 6 2 2 3" xfId="22502"/>
    <cellStyle name="Normal 18 6 2 2 3 2" xfId="27735"/>
    <cellStyle name="Normal 18 6 2 2 4" xfId="25223"/>
    <cellStyle name="Normal 18 6 2 3" xfId="6787"/>
    <cellStyle name="Normal 18 6 2 3 2" xfId="22504"/>
    <cellStyle name="Normal 18 6 2 3 2 2" xfId="27737"/>
    <cellStyle name="Normal 18 6 2 3 3" xfId="25225"/>
    <cellStyle name="Normal 18 6 2 4" xfId="22501"/>
    <cellStyle name="Normal 18 6 2 4 2" xfId="27734"/>
    <cellStyle name="Normal 18 6 2 5" xfId="25222"/>
    <cellStyle name="Normal 18 6 2_DeltaViewer" xfId="6788"/>
    <cellStyle name="Normal 18 6 3" xfId="6789"/>
    <cellStyle name="Normal 18 6 3 2" xfId="6790"/>
    <cellStyle name="Normal 18 6 3 2 2" xfId="22506"/>
    <cellStyle name="Normal 18 6 3 2 2 2" xfId="27739"/>
    <cellStyle name="Normal 18 6 3 2 3" xfId="25227"/>
    <cellStyle name="Normal 18 6 3 3" xfId="22505"/>
    <cellStyle name="Normal 18 6 3 3 2" xfId="27738"/>
    <cellStyle name="Normal 18 6 3 4" xfId="25226"/>
    <cellStyle name="Normal 18 6 4" xfId="6791"/>
    <cellStyle name="Normal 18 6 4 2" xfId="22507"/>
    <cellStyle name="Normal 18 6 4 2 2" xfId="27740"/>
    <cellStyle name="Normal 18 6 4 3" xfId="25228"/>
    <cellStyle name="Normal 18 6 5" xfId="22500"/>
    <cellStyle name="Normal 18 6 5 2" xfId="27733"/>
    <cellStyle name="Normal 18 6 6" xfId="25221"/>
    <cellStyle name="Normal 18 6_DeltaViewer" xfId="6792"/>
    <cellStyle name="Normal 18 7" xfId="6793"/>
    <cellStyle name="Normal 18 7 2" xfId="6794"/>
    <cellStyle name="Normal 18 7 2 2" xfId="6795"/>
    <cellStyle name="Normal 18 7 2 2 2" xfId="22510"/>
    <cellStyle name="Normal 18 7 2 2 2 2" xfId="27743"/>
    <cellStyle name="Normal 18 7 2 2 3" xfId="25231"/>
    <cellStyle name="Normal 18 7 2 3" xfId="22509"/>
    <cellStyle name="Normal 18 7 2 3 2" xfId="27742"/>
    <cellStyle name="Normal 18 7 2 4" xfId="25230"/>
    <cellStyle name="Normal 18 7 3" xfId="6796"/>
    <cellStyle name="Normal 18 7 3 2" xfId="22511"/>
    <cellStyle name="Normal 18 7 3 2 2" xfId="27744"/>
    <cellStyle name="Normal 18 7 3 3" xfId="25232"/>
    <cellStyle name="Normal 18 7 4" xfId="22508"/>
    <cellStyle name="Normal 18 7 4 2" xfId="27741"/>
    <cellStyle name="Normal 18 7 5" xfId="25229"/>
    <cellStyle name="Normal 18 7_DeltaViewer" xfId="6797"/>
    <cellStyle name="Normal 18 8" xfId="6798"/>
    <cellStyle name="Normal 18 8 2" xfId="6799"/>
    <cellStyle name="Normal 18 8 2 2" xfId="22513"/>
    <cellStyle name="Normal 18 8 2 2 2" xfId="27746"/>
    <cellStyle name="Normal 18 8 2 3" xfId="25234"/>
    <cellStyle name="Normal 18 8 3" xfId="22512"/>
    <cellStyle name="Normal 18 8 3 2" xfId="27745"/>
    <cellStyle name="Normal 18 8 4" xfId="25233"/>
    <cellStyle name="Normal 18 9" xfId="6800"/>
    <cellStyle name="Normal 18 9 2" xfId="6801"/>
    <cellStyle name="Normal 18 9 2 2" xfId="22515"/>
    <cellStyle name="Normal 18 9 2 2 2" xfId="27748"/>
    <cellStyle name="Normal 18 9 2 3" xfId="25236"/>
    <cellStyle name="Normal 18 9 3" xfId="22514"/>
    <cellStyle name="Normal 18 9 3 2" xfId="27747"/>
    <cellStyle name="Normal 18 9 4" xfId="25235"/>
    <cellStyle name="Normal 18_DeltaViewer" xfId="6802"/>
    <cellStyle name="Normal 19" xfId="6803"/>
    <cellStyle name="Normal 19 10" xfId="6804"/>
    <cellStyle name="Normal 19 10 2" xfId="22517"/>
    <cellStyle name="Normal 19 10 2 2" xfId="27750"/>
    <cellStyle name="Normal 19 10 3" xfId="25238"/>
    <cellStyle name="Normal 19 11" xfId="22516"/>
    <cellStyle name="Normal 19 11 2" xfId="27749"/>
    <cellStyle name="Normal 19 12" xfId="25237"/>
    <cellStyle name="Normal 19 2" xfId="6805"/>
    <cellStyle name="Normal 19 2 10" xfId="25239"/>
    <cellStyle name="Normal 19 2 2" xfId="6806"/>
    <cellStyle name="Normal 19 2 2 2" xfId="6807"/>
    <cellStyle name="Normal 19 2 2 2 2" xfId="6808"/>
    <cellStyle name="Normal 19 2 2 2 2 2" xfId="6809"/>
    <cellStyle name="Normal 19 2 2 2 2 2 2" xfId="22522"/>
    <cellStyle name="Normal 19 2 2 2 2 2 2 2" xfId="27755"/>
    <cellStyle name="Normal 19 2 2 2 2 2 3" xfId="25243"/>
    <cellStyle name="Normal 19 2 2 2 2 3" xfId="22521"/>
    <cellStyle name="Normal 19 2 2 2 2 3 2" xfId="27754"/>
    <cellStyle name="Normal 19 2 2 2 2 4" xfId="25242"/>
    <cellStyle name="Normal 19 2 2 2 3" xfId="6810"/>
    <cellStyle name="Normal 19 2 2 2 3 2" xfId="22523"/>
    <cellStyle name="Normal 19 2 2 2 3 2 2" xfId="27756"/>
    <cellStyle name="Normal 19 2 2 2 3 3" xfId="25244"/>
    <cellStyle name="Normal 19 2 2 2 4" xfId="22520"/>
    <cellStyle name="Normal 19 2 2 2 4 2" xfId="27753"/>
    <cellStyle name="Normal 19 2 2 2 5" xfId="25241"/>
    <cellStyle name="Normal 19 2 2 2_DeltaViewer" xfId="6811"/>
    <cellStyle name="Normal 19 2 2 3" xfId="6812"/>
    <cellStyle name="Normal 19 2 2 3 2" xfId="6813"/>
    <cellStyle name="Normal 19 2 2 3 2 2" xfId="22525"/>
    <cellStyle name="Normal 19 2 2 3 2 2 2" xfId="27758"/>
    <cellStyle name="Normal 19 2 2 3 2 3" xfId="25246"/>
    <cellStyle name="Normal 19 2 2 3 3" xfId="22524"/>
    <cellStyle name="Normal 19 2 2 3 3 2" xfId="27757"/>
    <cellStyle name="Normal 19 2 2 3 4" xfId="25245"/>
    <cellStyle name="Normal 19 2 2 4" xfId="6814"/>
    <cellStyle name="Normal 19 2 2 4 2" xfId="22526"/>
    <cellStyle name="Normal 19 2 2 4 2 2" xfId="27759"/>
    <cellStyle name="Normal 19 2 2 4 3" xfId="25247"/>
    <cellStyle name="Normal 19 2 2 5" xfId="22519"/>
    <cellStyle name="Normal 19 2 2 5 2" xfId="27752"/>
    <cellStyle name="Normal 19 2 2 6" xfId="25240"/>
    <cellStyle name="Normal 19 2 2_DeltaViewer" xfId="6815"/>
    <cellStyle name="Normal 19 2 3" xfId="6816"/>
    <cellStyle name="Normal 19 2 3 2" xfId="6817"/>
    <cellStyle name="Normal 19 2 3 2 2" xfId="6818"/>
    <cellStyle name="Normal 19 2 3 2 2 2" xfId="6819"/>
    <cellStyle name="Normal 19 2 3 2 2 2 2" xfId="22530"/>
    <cellStyle name="Normal 19 2 3 2 2 2 2 2" xfId="27763"/>
    <cellStyle name="Normal 19 2 3 2 2 2 3" xfId="25251"/>
    <cellStyle name="Normal 19 2 3 2 2 3" xfId="22529"/>
    <cellStyle name="Normal 19 2 3 2 2 3 2" xfId="27762"/>
    <cellStyle name="Normal 19 2 3 2 2 4" xfId="25250"/>
    <cellStyle name="Normal 19 2 3 2 3" xfId="6820"/>
    <cellStyle name="Normal 19 2 3 2 3 2" xfId="22531"/>
    <cellStyle name="Normal 19 2 3 2 3 2 2" xfId="27764"/>
    <cellStyle name="Normal 19 2 3 2 3 3" xfId="25252"/>
    <cellStyle name="Normal 19 2 3 2 4" xfId="22528"/>
    <cellStyle name="Normal 19 2 3 2 4 2" xfId="27761"/>
    <cellStyle name="Normal 19 2 3 2 5" xfId="25249"/>
    <cellStyle name="Normal 19 2 3 2_DeltaViewer" xfId="6821"/>
    <cellStyle name="Normal 19 2 3 3" xfId="6822"/>
    <cellStyle name="Normal 19 2 3 3 2" xfId="6823"/>
    <cellStyle name="Normal 19 2 3 3 2 2" xfId="22533"/>
    <cellStyle name="Normal 19 2 3 3 2 2 2" xfId="27766"/>
    <cellStyle name="Normal 19 2 3 3 2 3" xfId="25254"/>
    <cellStyle name="Normal 19 2 3 3 3" xfId="22532"/>
    <cellStyle name="Normal 19 2 3 3 3 2" xfId="27765"/>
    <cellStyle name="Normal 19 2 3 3 4" xfId="25253"/>
    <cellStyle name="Normal 19 2 3 4" xfId="6824"/>
    <cellStyle name="Normal 19 2 3 4 2" xfId="22534"/>
    <cellStyle name="Normal 19 2 3 4 2 2" xfId="27767"/>
    <cellStyle name="Normal 19 2 3 4 3" xfId="25255"/>
    <cellStyle name="Normal 19 2 3 5" xfId="22527"/>
    <cellStyle name="Normal 19 2 3 5 2" xfId="27760"/>
    <cellStyle name="Normal 19 2 3 6" xfId="25248"/>
    <cellStyle name="Normal 19 2 3_DeltaViewer" xfId="6825"/>
    <cellStyle name="Normal 19 2 4" xfId="6826"/>
    <cellStyle name="Normal 19 2 4 2" xfId="6827"/>
    <cellStyle name="Normal 19 2 4 2 2" xfId="6828"/>
    <cellStyle name="Normal 19 2 4 2 2 2" xfId="6829"/>
    <cellStyle name="Normal 19 2 4 2 2 2 2" xfId="22538"/>
    <cellStyle name="Normal 19 2 4 2 2 2 2 2" xfId="27771"/>
    <cellStyle name="Normal 19 2 4 2 2 2 3" xfId="25259"/>
    <cellStyle name="Normal 19 2 4 2 2 3" xfId="22537"/>
    <cellStyle name="Normal 19 2 4 2 2 3 2" xfId="27770"/>
    <cellStyle name="Normal 19 2 4 2 2 4" xfId="25258"/>
    <cellStyle name="Normal 19 2 4 2 3" xfId="6830"/>
    <cellStyle name="Normal 19 2 4 2 3 2" xfId="22539"/>
    <cellStyle name="Normal 19 2 4 2 3 2 2" xfId="27772"/>
    <cellStyle name="Normal 19 2 4 2 3 3" xfId="25260"/>
    <cellStyle name="Normal 19 2 4 2 4" xfId="22536"/>
    <cellStyle name="Normal 19 2 4 2 4 2" xfId="27769"/>
    <cellStyle name="Normal 19 2 4 2 5" xfId="25257"/>
    <cellStyle name="Normal 19 2 4 2_DeltaViewer" xfId="6831"/>
    <cellStyle name="Normal 19 2 4 3" xfId="6832"/>
    <cellStyle name="Normal 19 2 4 3 2" xfId="6833"/>
    <cellStyle name="Normal 19 2 4 3 2 2" xfId="22541"/>
    <cellStyle name="Normal 19 2 4 3 2 2 2" xfId="27774"/>
    <cellStyle name="Normal 19 2 4 3 2 3" xfId="25262"/>
    <cellStyle name="Normal 19 2 4 3 3" xfId="22540"/>
    <cellStyle name="Normal 19 2 4 3 3 2" xfId="27773"/>
    <cellStyle name="Normal 19 2 4 3 4" xfId="25261"/>
    <cellStyle name="Normal 19 2 4 4" xfId="6834"/>
    <cellStyle name="Normal 19 2 4 4 2" xfId="22542"/>
    <cellStyle name="Normal 19 2 4 4 2 2" xfId="27775"/>
    <cellStyle name="Normal 19 2 4 4 3" xfId="25263"/>
    <cellStyle name="Normal 19 2 4 5" xfId="22535"/>
    <cellStyle name="Normal 19 2 4 5 2" xfId="27768"/>
    <cellStyle name="Normal 19 2 4 6" xfId="25256"/>
    <cellStyle name="Normal 19 2 4_DeltaViewer" xfId="6835"/>
    <cellStyle name="Normal 19 2 5" xfId="6836"/>
    <cellStyle name="Normal 19 2 5 2" xfId="6837"/>
    <cellStyle name="Normal 19 2 5 2 2" xfId="6838"/>
    <cellStyle name="Normal 19 2 5 2 2 2" xfId="22545"/>
    <cellStyle name="Normal 19 2 5 2 2 2 2" xfId="27778"/>
    <cellStyle name="Normal 19 2 5 2 2 3" xfId="25266"/>
    <cellStyle name="Normal 19 2 5 2 3" xfId="22544"/>
    <cellStyle name="Normal 19 2 5 2 3 2" xfId="27777"/>
    <cellStyle name="Normal 19 2 5 2 4" xfId="25265"/>
    <cellStyle name="Normal 19 2 5 3" xfId="6839"/>
    <cellStyle name="Normal 19 2 5 3 2" xfId="22546"/>
    <cellStyle name="Normal 19 2 5 3 2 2" xfId="27779"/>
    <cellStyle name="Normal 19 2 5 3 3" xfId="25267"/>
    <cellStyle name="Normal 19 2 5 4" xfId="22543"/>
    <cellStyle name="Normal 19 2 5 4 2" xfId="27776"/>
    <cellStyle name="Normal 19 2 5 5" xfId="25264"/>
    <cellStyle name="Normal 19 2 5_DeltaViewer" xfId="6840"/>
    <cellStyle name="Normal 19 2 6" xfId="6841"/>
    <cellStyle name="Normal 19 2 6 2" xfId="6842"/>
    <cellStyle name="Normal 19 2 6 2 2" xfId="22548"/>
    <cellStyle name="Normal 19 2 6 2 2 2" xfId="27781"/>
    <cellStyle name="Normal 19 2 6 2 3" xfId="25269"/>
    <cellStyle name="Normal 19 2 6 3" xfId="22547"/>
    <cellStyle name="Normal 19 2 6 3 2" xfId="27780"/>
    <cellStyle name="Normal 19 2 6 4" xfId="25268"/>
    <cellStyle name="Normal 19 2 7" xfId="6843"/>
    <cellStyle name="Normal 19 2 7 2" xfId="6844"/>
    <cellStyle name="Normal 19 2 7 2 2" xfId="22550"/>
    <cellStyle name="Normal 19 2 7 2 2 2" xfId="27783"/>
    <cellStyle name="Normal 19 2 7 2 3" xfId="25271"/>
    <cellStyle name="Normal 19 2 7 3" xfId="22549"/>
    <cellStyle name="Normal 19 2 7 3 2" xfId="27782"/>
    <cellStyle name="Normal 19 2 7 4" xfId="25270"/>
    <cellStyle name="Normal 19 2 8" xfId="6845"/>
    <cellStyle name="Normal 19 2 8 2" xfId="22551"/>
    <cellStyle name="Normal 19 2 8 2 2" xfId="27784"/>
    <cellStyle name="Normal 19 2 8 3" xfId="25272"/>
    <cellStyle name="Normal 19 2 9" xfId="22518"/>
    <cellStyle name="Normal 19 2 9 2" xfId="27751"/>
    <cellStyle name="Normal 19 2_DeltaViewer" xfId="6846"/>
    <cellStyle name="Normal 19 3" xfId="6847"/>
    <cellStyle name="Normal 19 3 10" xfId="25273"/>
    <cellStyle name="Normal 19 3 2" xfId="6848"/>
    <cellStyle name="Normal 19 3 2 2" xfId="6849"/>
    <cellStyle name="Normal 19 3 2 2 2" xfId="6850"/>
    <cellStyle name="Normal 19 3 2 2 2 2" xfId="6851"/>
    <cellStyle name="Normal 19 3 2 2 2 2 2" xfId="22556"/>
    <cellStyle name="Normal 19 3 2 2 2 2 2 2" xfId="27789"/>
    <cellStyle name="Normal 19 3 2 2 2 2 3" xfId="25277"/>
    <cellStyle name="Normal 19 3 2 2 2 3" xfId="22555"/>
    <cellStyle name="Normal 19 3 2 2 2 3 2" xfId="27788"/>
    <cellStyle name="Normal 19 3 2 2 2 4" xfId="25276"/>
    <cellStyle name="Normal 19 3 2 2 3" xfId="6852"/>
    <cellStyle name="Normal 19 3 2 2 3 2" xfId="22557"/>
    <cellStyle name="Normal 19 3 2 2 3 2 2" xfId="27790"/>
    <cellStyle name="Normal 19 3 2 2 3 3" xfId="25278"/>
    <cellStyle name="Normal 19 3 2 2 4" xfId="22554"/>
    <cellStyle name="Normal 19 3 2 2 4 2" xfId="27787"/>
    <cellStyle name="Normal 19 3 2 2 5" xfId="25275"/>
    <cellStyle name="Normal 19 3 2 2_DeltaViewer" xfId="6853"/>
    <cellStyle name="Normal 19 3 2 3" xfId="6854"/>
    <cellStyle name="Normal 19 3 2 3 2" xfId="6855"/>
    <cellStyle name="Normal 19 3 2 3 2 2" xfId="22559"/>
    <cellStyle name="Normal 19 3 2 3 2 2 2" xfId="27792"/>
    <cellStyle name="Normal 19 3 2 3 2 3" xfId="25280"/>
    <cellStyle name="Normal 19 3 2 3 3" xfId="22558"/>
    <cellStyle name="Normal 19 3 2 3 3 2" xfId="27791"/>
    <cellStyle name="Normal 19 3 2 3 4" xfId="25279"/>
    <cellStyle name="Normal 19 3 2 4" xfId="6856"/>
    <cellStyle name="Normal 19 3 2 4 2" xfId="22560"/>
    <cellStyle name="Normal 19 3 2 4 2 2" xfId="27793"/>
    <cellStyle name="Normal 19 3 2 4 3" xfId="25281"/>
    <cellStyle name="Normal 19 3 2 5" xfId="22553"/>
    <cellStyle name="Normal 19 3 2 5 2" xfId="27786"/>
    <cellStyle name="Normal 19 3 2 6" xfId="25274"/>
    <cellStyle name="Normal 19 3 2_DeltaViewer" xfId="6857"/>
    <cellStyle name="Normal 19 3 3" xfId="6858"/>
    <cellStyle name="Normal 19 3 3 2" xfId="6859"/>
    <cellStyle name="Normal 19 3 3 2 2" xfId="6860"/>
    <cellStyle name="Normal 19 3 3 2 2 2" xfId="6861"/>
    <cellStyle name="Normal 19 3 3 2 2 2 2" xfId="22564"/>
    <cellStyle name="Normal 19 3 3 2 2 2 2 2" xfId="27797"/>
    <cellStyle name="Normal 19 3 3 2 2 2 3" xfId="25285"/>
    <cellStyle name="Normal 19 3 3 2 2 3" xfId="22563"/>
    <cellStyle name="Normal 19 3 3 2 2 3 2" xfId="27796"/>
    <cellStyle name="Normal 19 3 3 2 2 4" xfId="25284"/>
    <cellStyle name="Normal 19 3 3 2 3" xfId="6862"/>
    <cellStyle name="Normal 19 3 3 2 3 2" xfId="22565"/>
    <cellStyle name="Normal 19 3 3 2 3 2 2" xfId="27798"/>
    <cellStyle name="Normal 19 3 3 2 3 3" xfId="25286"/>
    <cellStyle name="Normal 19 3 3 2 4" xfId="22562"/>
    <cellStyle name="Normal 19 3 3 2 4 2" xfId="27795"/>
    <cellStyle name="Normal 19 3 3 2 5" xfId="25283"/>
    <cellStyle name="Normal 19 3 3 2_DeltaViewer" xfId="6863"/>
    <cellStyle name="Normal 19 3 3 3" xfId="6864"/>
    <cellStyle name="Normal 19 3 3 3 2" xfId="6865"/>
    <cellStyle name="Normal 19 3 3 3 2 2" xfId="22567"/>
    <cellStyle name="Normal 19 3 3 3 2 2 2" xfId="27800"/>
    <cellStyle name="Normal 19 3 3 3 2 3" xfId="25288"/>
    <cellStyle name="Normal 19 3 3 3 3" xfId="22566"/>
    <cellStyle name="Normal 19 3 3 3 3 2" xfId="27799"/>
    <cellStyle name="Normal 19 3 3 3 4" xfId="25287"/>
    <cellStyle name="Normal 19 3 3 4" xfId="6866"/>
    <cellStyle name="Normal 19 3 3 4 2" xfId="22568"/>
    <cellStyle name="Normal 19 3 3 4 2 2" xfId="27801"/>
    <cellStyle name="Normal 19 3 3 4 3" xfId="25289"/>
    <cellStyle name="Normal 19 3 3 5" xfId="22561"/>
    <cellStyle name="Normal 19 3 3 5 2" xfId="27794"/>
    <cellStyle name="Normal 19 3 3 6" xfId="25282"/>
    <cellStyle name="Normal 19 3 3_DeltaViewer" xfId="6867"/>
    <cellStyle name="Normal 19 3 4" xfId="6868"/>
    <cellStyle name="Normal 19 3 4 2" xfId="6869"/>
    <cellStyle name="Normal 19 3 4 2 2" xfId="6870"/>
    <cellStyle name="Normal 19 3 4 2 2 2" xfId="6871"/>
    <cellStyle name="Normal 19 3 4 2 2 2 2" xfId="22572"/>
    <cellStyle name="Normal 19 3 4 2 2 2 2 2" xfId="27805"/>
    <cellStyle name="Normal 19 3 4 2 2 2 3" xfId="25293"/>
    <cellStyle name="Normal 19 3 4 2 2 3" xfId="22571"/>
    <cellStyle name="Normal 19 3 4 2 2 3 2" xfId="27804"/>
    <cellStyle name="Normal 19 3 4 2 2 4" xfId="25292"/>
    <cellStyle name="Normal 19 3 4 2 3" xfId="6872"/>
    <cellStyle name="Normal 19 3 4 2 3 2" xfId="22573"/>
    <cellStyle name="Normal 19 3 4 2 3 2 2" xfId="27806"/>
    <cellStyle name="Normal 19 3 4 2 3 3" xfId="25294"/>
    <cellStyle name="Normal 19 3 4 2 4" xfId="22570"/>
    <cellStyle name="Normal 19 3 4 2 4 2" xfId="27803"/>
    <cellStyle name="Normal 19 3 4 2 5" xfId="25291"/>
    <cellStyle name="Normal 19 3 4 2_DeltaViewer" xfId="6873"/>
    <cellStyle name="Normal 19 3 4 3" xfId="6874"/>
    <cellStyle name="Normal 19 3 4 3 2" xfId="6875"/>
    <cellStyle name="Normal 19 3 4 3 2 2" xfId="22575"/>
    <cellStyle name="Normal 19 3 4 3 2 2 2" xfId="27808"/>
    <cellStyle name="Normal 19 3 4 3 2 3" xfId="25296"/>
    <cellStyle name="Normal 19 3 4 3 3" xfId="22574"/>
    <cellStyle name="Normal 19 3 4 3 3 2" xfId="27807"/>
    <cellStyle name="Normal 19 3 4 3 4" xfId="25295"/>
    <cellStyle name="Normal 19 3 4 4" xfId="6876"/>
    <cellStyle name="Normal 19 3 4 4 2" xfId="22576"/>
    <cellStyle name="Normal 19 3 4 4 2 2" xfId="27809"/>
    <cellStyle name="Normal 19 3 4 4 3" xfId="25297"/>
    <cellStyle name="Normal 19 3 4 5" xfId="22569"/>
    <cellStyle name="Normal 19 3 4 5 2" xfId="27802"/>
    <cellStyle name="Normal 19 3 4 6" xfId="25290"/>
    <cellStyle name="Normal 19 3 4_DeltaViewer" xfId="6877"/>
    <cellStyle name="Normal 19 3 5" xfId="6878"/>
    <cellStyle name="Normal 19 3 5 2" xfId="6879"/>
    <cellStyle name="Normal 19 3 5 2 2" xfId="6880"/>
    <cellStyle name="Normal 19 3 5 2 2 2" xfId="22579"/>
    <cellStyle name="Normal 19 3 5 2 2 2 2" xfId="27812"/>
    <cellStyle name="Normal 19 3 5 2 2 3" xfId="25300"/>
    <cellStyle name="Normal 19 3 5 2 3" xfId="22578"/>
    <cellStyle name="Normal 19 3 5 2 3 2" xfId="27811"/>
    <cellStyle name="Normal 19 3 5 2 4" xfId="25299"/>
    <cellStyle name="Normal 19 3 5 3" xfId="6881"/>
    <cellStyle name="Normal 19 3 5 3 2" xfId="22580"/>
    <cellStyle name="Normal 19 3 5 3 2 2" xfId="27813"/>
    <cellStyle name="Normal 19 3 5 3 3" xfId="25301"/>
    <cellStyle name="Normal 19 3 5 4" xfId="22577"/>
    <cellStyle name="Normal 19 3 5 4 2" xfId="27810"/>
    <cellStyle name="Normal 19 3 5 5" xfId="25298"/>
    <cellStyle name="Normal 19 3 5_DeltaViewer" xfId="6882"/>
    <cellStyle name="Normal 19 3 6" xfId="6883"/>
    <cellStyle name="Normal 19 3 6 2" xfId="6884"/>
    <cellStyle name="Normal 19 3 6 2 2" xfId="22582"/>
    <cellStyle name="Normal 19 3 6 2 2 2" xfId="27815"/>
    <cellStyle name="Normal 19 3 6 2 3" xfId="25303"/>
    <cellStyle name="Normal 19 3 6 3" xfId="22581"/>
    <cellStyle name="Normal 19 3 6 3 2" xfId="27814"/>
    <cellStyle name="Normal 19 3 6 4" xfId="25302"/>
    <cellStyle name="Normal 19 3 7" xfId="6885"/>
    <cellStyle name="Normal 19 3 7 2" xfId="6886"/>
    <cellStyle name="Normal 19 3 7 2 2" xfId="22584"/>
    <cellStyle name="Normal 19 3 7 2 2 2" xfId="27817"/>
    <cellStyle name="Normal 19 3 7 2 3" xfId="25305"/>
    <cellStyle name="Normal 19 3 7 3" xfId="22583"/>
    <cellStyle name="Normal 19 3 7 3 2" xfId="27816"/>
    <cellStyle name="Normal 19 3 7 4" xfId="25304"/>
    <cellStyle name="Normal 19 3 8" xfId="6887"/>
    <cellStyle name="Normal 19 3 8 2" xfId="22585"/>
    <cellStyle name="Normal 19 3 8 2 2" xfId="27818"/>
    <cellStyle name="Normal 19 3 8 3" xfId="25306"/>
    <cellStyle name="Normal 19 3 9" xfId="22552"/>
    <cellStyle name="Normal 19 3 9 2" xfId="27785"/>
    <cellStyle name="Normal 19 3_DeltaViewer" xfId="6888"/>
    <cellStyle name="Normal 19 4" xfId="6889"/>
    <cellStyle name="Normal 19 4 2" xfId="6890"/>
    <cellStyle name="Normal 19 4 2 2" xfId="6891"/>
    <cellStyle name="Normal 19 4 2 2 2" xfId="6892"/>
    <cellStyle name="Normal 19 4 2 2 2 2" xfId="22589"/>
    <cellStyle name="Normal 19 4 2 2 2 2 2" xfId="27822"/>
    <cellStyle name="Normal 19 4 2 2 2 3" xfId="25310"/>
    <cellStyle name="Normal 19 4 2 2 3" xfId="22588"/>
    <cellStyle name="Normal 19 4 2 2 3 2" xfId="27821"/>
    <cellStyle name="Normal 19 4 2 2 4" xfId="25309"/>
    <cellStyle name="Normal 19 4 2 3" xfId="6893"/>
    <cellStyle name="Normal 19 4 2 3 2" xfId="22590"/>
    <cellStyle name="Normal 19 4 2 3 2 2" xfId="27823"/>
    <cellStyle name="Normal 19 4 2 3 3" xfId="25311"/>
    <cellStyle name="Normal 19 4 2 4" xfId="22587"/>
    <cellStyle name="Normal 19 4 2 4 2" xfId="27820"/>
    <cellStyle name="Normal 19 4 2 5" xfId="25308"/>
    <cellStyle name="Normal 19 4 2_DeltaViewer" xfId="6894"/>
    <cellStyle name="Normal 19 4 3" xfId="6895"/>
    <cellStyle name="Normal 19 4 3 2" xfId="6896"/>
    <cellStyle name="Normal 19 4 3 2 2" xfId="22592"/>
    <cellStyle name="Normal 19 4 3 2 2 2" xfId="27825"/>
    <cellStyle name="Normal 19 4 3 2 3" xfId="25313"/>
    <cellStyle name="Normal 19 4 3 3" xfId="22591"/>
    <cellStyle name="Normal 19 4 3 3 2" xfId="27824"/>
    <cellStyle name="Normal 19 4 3 4" xfId="25312"/>
    <cellStyle name="Normal 19 4 4" xfId="6897"/>
    <cellStyle name="Normal 19 4 4 2" xfId="22593"/>
    <cellStyle name="Normal 19 4 4 2 2" xfId="27826"/>
    <cellStyle name="Normal 19 4 4 3" xfId="25314"/>
    <cellStyle name="Normal 19 4 5" xfId="22586"/>
    <cellStyle name="Normal 19 4 5 2" xfId="27819"/>
    <cellStyle name="Normal 19 4 6" xfId="25307"/>
    <cellStyle name="Normal 19 4_DeltaViewer" xfId="6898"/>
    <cellStyle name="Normal 19 5" xfId="6899"/>
    <cellStyle name="Normal 19 5 2" xfId="6900"/>
    <cellStyle name="Normal 19 5 2 2" xfId="6901"/>
    <cellStyle name="Normal 19 5 2 2 2" xfId="6902"/>
    <cellStyle name="Normal 19 5 2 2 2 2" xfId="22597"/>
    <cellStyle name="Normal 19 5 2 2 2 2 2" xfId="27830"/>
    <cellStyle name="Normal 19 5 2 2 2 3" xfId="25318"/>
    <cellStyle name="Normal 19 5 2 2 3" xfId="22596"/>
    <cellStyle name="Normal 19 5 2 2 3 2" xfId="27829"/>
    <cellStyle name="Normal 19 5 2 2 4" xfId="25317"/>
    <cellStyle name="Normal 19 5 2 3" xfId="6903"/>
    <cellStyle name="Normal 19 5 2 3 2" xfId="22598"/>
    <cellStyle name="Normal 19 5 2 3 2 2" xfId="27831"/>
    <cellStyle name="Normal 19 5 2 3 3" xfId="25319"/>
    <cellStyle name="Normal 19 5 2 4" xfId="22595"/>
    <cellStyle name="Normal 19 5 2 4 2" xfId="27828"/>
    <cellStyle name="Normal 19 5 2 5" xfId="25316"/>
    <cellStyle name="Normal 19 5 2_DeltaViewer" xfId="6904"/>
    <cellStyle name="Normal 19 5 3" xfId="6905"/>
    <cellStyle name="Normal 19 5 3 2" xfId="6906"/>
    <cellStyle name="Normal 19 5 3 2 2" xfId="22600"/>
    <cellStyle name="Normal 19 5 3 2 2 2" xfId="27833"/>
    <cellStyle name="Normal 19 5 3 2 3" xfId="25321"/>
    <cellStyle name="Normal 19 5 3 3" xfId="22599"/>
    <cellStyle name="Normal 19 5 3 3 2" xfId="27832"/>
    <cellStyle name="Normal 19 5 3 4" xfId="25320"/>
    <cellStyle name="Normal 19 5 4" xfId="6907"/>
    <cellStyle name="Normal 19 5 4 2" xfId="22601"/>
    <cellStyle name="Normal 19 5 4 2 2" xfId="27834"/>
    <cellStyle name="Normal 19 5 4 3" xfId="25322"/>
    <cellStyle name="Normal 19 5 5" xfId="22594"/>
    <cellStyle name="Normal 19 5 5 2" xfId="27827"/>
    <cellStyle name="Normal 19 5 6" xfId="25315"/>
    <cellStyle name="Normal 19 5_DeltaViewer" xfId="6908"/>
    <cellStyle name="Normal 19 6" xfId="6909"/>
    <cellStyle name="Normal 19 6 2" xfId="6910"/>
    <cellStyle name="Normal 19 6 2 2" xfId="6911"/>
    <cellStyle name="Normal 19 6 2 2 2" xfId="6912"/>
    <cellStyle name="Normal 19 6 2 2 2 2" xfId="22605"/>
    <cellStyle name="Normal 19 6 2 2 2 2 2" xfId="27838"/>
    <cellStyle name="Normal 19 6 2 2 2 3" xfId="25326"/>
    <cellStyle name="Normal 19 6 2 2 3" xfId="22604"/>
    <cellStyle name="Normal 19 6 2 2 3 2" xfId="27837"/>
    <cellStyle name="Normal 19 6 2 2 4" xfId="25325"/>
    <cellStyle name="Normal 19 6 2 3" xfId="6913"/>
    <cellStyle name="Normal 19 6 2 3 2" xfId="22606"/>
    <cellStyle name="Normal 19 6 2 3 2 2" xfId="27839"/>
    <cellStyle name="Normal 19 6 2 3 3" xfId="25327"/>
    <cellStyle name="Normal 19 6 2 4" xfId="22603"/>
    <cellStyle name="Normal 19 6 2 4 2" xfId="27836"/>
    <cellStyle name="Normal 19 6 2 5" xfId="25324"/>
    <cellStyle name="Normal 19 6 2_DeltaViewer" xfId="6914"/>
    <cellStyle name="Normal 19 6 3" xfId="6915"/>
    <cellStyle name="Normal 19 6 3 2" xfId="6916"/>
    <cellStyle name="Normal 19 6 3 2 2" xfId="22608"/>
    <cellStyle name="Normal 19 6 3 2 2 2" xfId="27841"/>
    <cellStyle name="Normal 19 6 3 2 3" xfId="25329"/>
    <cellStyle name="Normal 19 6 3 3" xfId="22607"/>
    <cellStyle name="Normal 19 6 3 3 2" xfId="27840"/>
    <cellStyle name="Normal 19 6 3 4" xfId="25328"/>
    <cellStyle name="Normal 19 6 4" xfId="6917"/>
    <cellStyle name="Normal 19 6 4 2" xfId="22609"/>
    <cellStyle name="Normal 19 6 4 2 2" xfId="27842"/>
    <cellStyle name="Normal 19 6 4 3" xfId="25330"/>
    <cellStyle name="Normal 19 6 5" xfId="22602"/>
    <cellStyle name="Normal 19 6 5 2" xfId="27835"/>
    <cellStyle name="Normal 19 6 6" xfId="25323"/>
    <cellStyle name="Normal 19 6_DeltaViewer" xfId="6918"/>
    <cellStyle name="Normal 19 7" xfId="6919"/>
    <cellStyle name="Normal 19 7 2" xfId="6920"/>
    <cellStyle name="Normal 19 7 2 2" xfId="6921"/>
    <cellStyle name="Normal 19 7 2 2 2" xfId="22612"/>
    <cellStyle name="Normal 19 7 2 2 2 2" xfId="27845"/>
    <cellStyle name="Normal 19 7 2 2 3" xfId="25333"/>
    <cellStyle name="Normal 19 7 2 3" xfId="22611"/>
    <cellStyle name="Normal 19 7 2 3 2" xfId="27844"/>
    <cellStyle name="Normal 19 7 2 4" xfId="25332"/>
    <cellStyle name="Normal 19 7 3" xfId="6922"/>
    <cellStyle name="Normal 19 7 3 2" xfId="22613"/>
    <cellStyle name="Normal 19 7 3 2 2" xfId="27846"/>
    <cellStyle name="Normal 19 7 3 3" xfId="25334"/>
    <cellStyle name="Normal 19 7 4" xfId="22610"/>
    <cellStyle name="Normal 19 7 4 2" xfId="27843"/>
    <cellStyle name="Normal 19 7 5" xfId="25331"/>
    <cellStyle name="Normal 19 7_DeltaViewer" xfId="6923"/>
    <cellStyle name="Normal 19 8" xfId="6924"/>
    <cellStyle name="Normal 19 8 2" xfId="6925"/>
    <cellStyle name="Normal 19 8 2 2" xfId="22615"/>
    <cellStyle name="Normal 19 8 2 2 2" xfId="27848"/>
    <cellStyle name="Normal 19 8 2 3" xfId="25336"/>
    <cellStyle name="Normal 19 8 3" xfId="22614"/>
    <cellStyle name="Normal 19 8 3 2" xfId="27847"/>
    <cellStyle name="Normal 19 8 4" xfId="25335"/>
    <cellStyle name="Normal 19 9" xfId="6926"/>
    <cellStyle name="Normal 19 9 2" xfId="6927"/>
    <cellStyle name="Normal 19 9 2 2" xfId="22617"/>
    <cellStyle name="Normal 19 9 2 2 2" xfId="27850"/>
    <cellStyle name="Normal 19 9 2 3" xfId="25338"/>
    <cellStyle name="Normal 19 9 3" xfId="22616"/>
    <cellStyle name="Normal 19 9 3 2" xfId="27849"/>
    <cellStyle name="Normal 19 9 4" xfId="25337"/>
    <cellStyle name="Normal 19_DeltaViewer" xfId="6928"/>
    <cellStyle name="Normal 2" xfId="1"/>
    <cellStyle name="Normal 2 10" xfId="6929"/>
    <cellStyle name="Normal 2 10 2" xfId="6930"/>
    <cellStyle name="Normal 2 10 3" xfId="6931"/>
    <cellStyle name="Normal 2 10 4" xfId="6932"/>
    <cellStyle name="Normal 2 10 5" xfId="6933"/>
    <cellStyle name="Normal 2 10_DeltaViewer" xfId="6934"/>
    <cellStyle name="Normal 2 11" xfId="6935"/>
    <cellStyle name="Normal 2 12" xfId="6936"/>
    <cellStyle name="Normal 2 13" xfId="6937"/>
    <cellStyle name="Normal 2 14" xfId="6938"/>
    <cellStyle name="Normal 2 14 2" xfId="6939"/>
    <cellStyle name="Normal 2 14 2 2" xfId="6940"/>
    <cellStyle name="Normal 2 14 2 2 2" xfId="6941"/>
    <cellStyle name="Normal 2 14 2 2 2 2" xfId="22621"/>
    <cellStyle name="Normal 2 14 2 2 2 2 2" xfId="27854"/>
    <cellStyle name="Normal 2 14 2 2 2 3" xfId="25342"/>
    <cellStyle name="Normal 2 14 2 2 3" xfId="22620"/>
    <cellStyle name="Normal 2 14 2 2 3 2" xfId="27853"/>
    <cellStyle name="Normal 2 14 2 2 4" xfId="25341"/>
    <cellStyle name="Normal 2 14 2 3" xfId="6942"/>
    <cellStyle name="Normal 2 14 2 3 2" xfId="22622"/>
    <cellStyle name="Normal 2 14 2 3 2 2" xfId="27855"/>
    <cellStyle name="Normal 2 14 2 3 3" xfId="25343"/>
    <cellStyle name="Normal 2 14 2 4" xfId="22619"/>
    <cellStyle name="Normal 2 14 2 4 2" xfId="27852"/>
    <cellStyle name="Normal 2 14 2 5" xfId="25340"/>
    <cellStyle name="Normal 2 14 2_DeltaViewer" xfId="6943"/>
    <cellStyle name="Normal 2 14 3" xfId="6944"/>
    <cellStyle name="Normal 2 14 3 2" xfId="6945"/>
    <cellStyle name="Normal 2 14 3 2 2" xfId="22624"/>
    <cellStyle name="Normal 2 14 3 2 2 2" xfId="27857"/>
    <cellStyle name="Normal 2 14 3 2 3" xfId="25345"/>
    <cellStyle name="Normal 2 14 3 3" xfId="22623"/>
    <cellStyle name="Normal 2 14 3 3 2" xfId="27856"/>
    <cellStyle name="Normal 2 14 3 4" xfId="25344"/>
    <cellStyle name="Normal 2 14 4" xfId="6946"/>
    <cellStyle name="Normal 2 14 4 2" xfId="22625"/>
    <cellStyle name="Normal 2 14 4 2 2" xfId="27858"/>
    <cellStyle name="Normal 2 14 4 3" xfId="25346"/>
    <cellStyle name="Normal 2 14 5" xfId="22618"/>
    <cellStyle name="Normal 2 14 5 2" xfId="27851"/>
    <cellStyle name="Normal 2 14 6" xfId="25339"/>
    <cellStyle name="Normal 2 14_DeltaViewer" xfId="6947"/>
    <cellStyle name="Normal 2 15" xfId="6948"/>
    <cellStyle name="Normal 2 16" xfId="6949"/>
    <cellStyle name="Normal 2 2" xfId="6950"/>
    <cellStyle name="Normal 2 2 10" xfId="6951"/>
    <cellStyle name="Normal 2 2 2" xfId="6952"/>
    <cellStyle name="Normal 2 2 2 2" xfId="6953"/>
    <cellStyle name="Normal 2 2 2_DeltaViewer" xfId="6954"/>
    <cellStyle name="Normal 2 2 3" xfId="6955"/>
    <cellStyle name="Normal 2 2 3 2" xfId="6956"/>
    <cellStyle name="Normal 2 2 3 2 2" xfId="6957"/>
    <cellStyle name="Normal 2 2 3 2 2 2" xfId="6958"/>
    <cellStyle name="Normal 2 2 3 2 2 3" xfId="6959"/>
    <cellStyle name="Normal 2 2 3 2 2 4" xfId="6960"/>
    <cellStyle name="Normal 2 2 3 2 2 5" xfId="6961"/>
    <cellStyle name="Normal 2 2 3 2 2_DeltaViewer" xfId="6962"/>
    <cellStyle name="Normal 2 2 3 2 3" xfId="6963"/>
    <cellStyle name="Normal 2 2 3 2 4" xfId="6964"/>
    <cellStyle name="Normal 2 2 3 2 5" xfId="6965"/>
    <cellStyle name="Normal 2 2 3 2 6" xfId="6966"/>
    <cellStyle name="Normal 2 2 3 2_DeltaViewer" xfId="6967"/>
    <cellStyle name="Normal 2 2 3 3" xfId="6968"/>
    <cellStyle name="Normal 2 2 3 3 2" xfId="6969"/>
    <cellStyle name="Normal 2 2 3 3 2 2" xfId="6970"/>
    <cellStyle name="Normal 2 2 3 3 2 3" xfId="6971"/>
    <cellStyle name="Normal 2 2 3 3 2 4" xfId="6972"/>
    <cellStyle name="Normal 2 2 3 3 2 5" xfId="6973"/>
    <cellStyle name="Normal 2 2 3 3 2_DeltaViewer" xfId="6974"/>
    <cellStyle name="Normal 2 2 3 3 3" xfId="6975"/>
    <cellStyle name="Normal 2 2 3 3 4" xfId="6976"/>
    <cellStyle name="Normal 2 2 3 3 5" xfId="6977"/>
    <cellStyle name="Normal 2 2 3 3 6" xfId="6978"/>
    <cellStyle name="Normal 2 2 3 3_DeltaViewer" xfId="6979"/>
    <cellStyle name="Normal 2 2 3 4" xfId="6980"/>
    <cellStyle name="Normal 2 2 3 4 2" xfId="6981"/>
    <cellStyle name="Normal 2 2 3 4 2 2" xfId="6982"/>
    <cellStyle name="Normal 2 2 3 4 2 3" xfId="6983"/>
    <cellStyle name="Normal 2 2 3 4 2 4" xfId="6984"/>
    <cellStyle name="Normal 2 2 3 4 2 5" xfId="6985"/>
    <cellStyle name="Normal 2 2 3 4 2_DeltaViewer" xfId="6986"/>
    <cellStyle name="Normal 2 2 3 4 3" xfId="6987"/>
    <cellStyle name="Normal 2 2 3 4 4" xfId="6988"/>
    <cellStyle name="Normal 2 2 3 4 5" xfId="6989"/>
    <cellStyle name="Normal 2 2 3 4 6" xfId="6990"/>
    <cellStyle name="Normal 2 2 3 4_DeltaViewer" xfId="6991"/>
    <cellStyle name="Normal 2 2 3 5" xfId="6992"/>
    <cellStyle name="Normal 2 2 3 5 2" xfId="6993"/>
    <cellStyle name="Normal 2 2 3 5 3" xfId="6994"/>
    <cellStyle name="Normal 2 2 3 5 4" xfId="6995"/>
    <cellStyle name="Normal 2 2 3 5 5" xfId="6996"/>
    <cellStyle name="Normal 2 2 3 5_DeltaViewer" xfId="6997"/>
    <cellStyle name="Normal 2 2 3 6" xfId="6998"/>
    <cellStyle name="Normal 2 2 3 7" xfId="6999"/>
    <cellStyle name="Normal 2 2 3 8" xfId="7000"/>
    <cellStyle name="Normal 2 2 3 9" xfId="7001"/>
    <cellStyle name="Normal 2 2 3_DeltaViewer" xfId="7002"/>
    <cellStyle name="Normal 2 2 4" xfId="7003"/>
    <cellStyle name="Normal 2 2 4 2" xfId="7004"/>
    <cellStyle name="Normal 2 2 4 2 2" xfId="7005"/>
    <cellStyle name="Normal 2 2 4 2 3" xfId="7006"/>
    <cellStyle name="Normal 2 2 4 2 4" xfId="7007"/>
    <cellStyle name="Normal 2 2 4 2 5" xfId="7008"/>
    <cellStyle name="Normal 2 2 4 2_DeltaViewer" xfId="7009"/>
    <cellStyle name="Normal 2 2 4 3" xfId="7010"/>
    <cellStyle name="Normal 2 2 4 4" xfId="7011"/>
    <cellStyle name="Normal 2 2 4 5" xfId="7012"/>
    <cellStyle name="Normal 2 2 4 6" xfId="7013"/>
    <cellStyle name="Normal 2 2 4_DeltaViewer" xfId="7014"/>
    <cellStyle name="Normal 2 2 5" xfId="7015"/>
    <cellStyle name="Normal 2 2 5 2" xfId="7016"/>
    <cellStyle name="Normal 2 2 5 2 2" xfId="7017"/>
    <cellStyle name="Normal 2 2 5 2 3" xfId="7018"/>
    <cellStyle name="Normal 2 2 5 2 4" xfId="7019"/>
    <cellStyle name="Normal 2 2 5 2 5" xfId="7020"/>
    <cellStyle name="Normal 2 2 5 2_DeltaViewer" xfId="7021"/>
    <cellStyle name="Normal 2 2 5 3" xfId="7022"/>
    <cellStyle name="Normal 2 2 5 4" xfId="7023"/>
    <cellStyle name="Normal 2 2 5 5" xfId="7024"/>
    <cellStyle name="Normal 2 2 5 6" xfId="7025"/>
    <cellStyle name="Normal 2 2 5_DeltaViewer" xfId="7026"/>
    <cellStyle name="Normal 2 2 6" xfId="7027"/>
    <cellStyle name="Normal 2 2 6 2" xfId="7028"/>
    <cellStyle name="Normal 2 2 6 3" xfId="7029"/>
    <cellStyle name="Normal 2 2 6 4" xfId="7030"/>
    <cellStyle name="Normal 2 2 6 5" xfId="7031"/>
    <cellStyle name="Normal 2 2 6_DeltaViewer" xfId="7032"/>
    <cellStyle name="Normal 2 2 7" xfId="7033"/>
    <cellStyle name="Normal 2 2 8" xfId="7034"/>
    <cellStyle name="Normal 2 2 9" xfId="7035"/>
    <cellStyle name="Normal 2 2_12.05.29 AngloAmericaCCY ASW 7Y" xfId="7036"/>
    <cellStyle name="Normal 2 3" xfId="7037"/>
    <cellStyle name="Normal 2 3 2" xfId="7038"/>
    <cellStyle name="Normal 2 3 2 2" xfId="7039"/>
    <cellStyle name="Normal 2 3 2 2 2" xfId="7040"/>
    <cellStyle name="Normal 2 3 2 2 2 2" xfId="7041"/>
    <cellStyle name="Normal 2 3 2 2 2 2 2" xfId="22629"/>
    <cellStyle name="Normal 2 3 2 2 2 2 2 2" xfId="27862"/>
    <cellStyle name="Normal 2 3 2 2 2 2 3" xfId="25350"/>
    <cellStyle name="Normal 2 3 2 2 2 3" xfId="22628"/>
    <cellStyle name="Normal 2 3 2 2 2 3 2" xfId="27861"/>
    <cellStyle name="Normal 2 3 2 2 2 4" xfId="25349"/>
    <cellStyle name="Normal 2 3 2 2 3" xfId="7042"/>
    <cellStyle name="Normal 2 3 2 2 3 2" xfId="22630"/>
    <cellStyle name="Normal 2 3 2 2 3 2 2" xfId="27863"/>
    <cellStyle name="Normal 2 3 2 2 3 3" xfId="25351"/>
    <cellStyle name="Normal 2 3 2 2 4" xfId="22627"/>
    <cellStyle name="Normal 2 3 2 2 4 2" xfId="27860"/>
    <cellStyle name="Normal 2 3 2 2 5" xfId="25348"/>
    <cellStyle name="Normal 2 3 2 2_DeltaViewer" xfId="7043"/>
    <cellStyle name="Normal 2 3 2 3" xfId="7044"/>
    <cellStyle name="Normal 2 3 2 3 2" xfId="7045"/>
    <cellStyle name="Normal 2 3 2 3 2 2" xfId="22632"/>
    <cellStyle name="Normal 2 3 2 3 2 2 2" xfId="27865"/>
    <cellStyle name="Normal 2 3 2 3 2 3" xfId="25353"/>
    <cellStyle name="Normal 2 3 2 3 3" xfId="22631"/>
    <cellStyle name="Normal 2 3 2 3 3 2" xfId="27864"/>
    <cellStyle name="Normal 2 3 2 3 4" xfId="25352"/>
    <cellStyle name="Normal 2 3 2 4" xfId="7046"/>
    <cellStyle name="Normal 2 3 2 4 2" xfId="22633"/>
    <cellStyle name="Normal 2 3 2 4 2 2" xfId="27866"/>
    <cellStyle name="Normal 2 3 2 4 3" xfId="25354"/>
    <cellStyle name="Normal 2 3 2 5" xfId="22626"/>
    <cellStyle name="Normal 2 3 2 5 2" xfId="27859"/>
    <cellStyle name="Normal 2 3 2 6" xfId="25347"/>
    <cellStyle name="Normal 2 3 2_DeltaViewer" xfId="7047"/>
    <cellStyle name="Normal 2 3_DeltaViewer" xfId="7048"/>
    <cellStyle name="Normal 2 4" xfId="7049"/>
    <cellStyle name="Normal 2 4 2" xfId="7050"/>
    <cellStyle name="Normal 2 4 2 2" xfId="7051"/>
    <cellStyle name="Normal 2 4 2 2 2" xfId="7052"/>
    <cellStyle name="Normal 2 4 2 2 3" xfId="7053"/>
    <cellStyle name="Normal 2 4 2 2 4" xfId="7054"/>
    <cellStyle name="Normal 2 4 2 2 5" xfId="7055"/>
    <cellStyle name="Normal 2 4 2 2_DeltaViewer" xfId="7056"/>
    <cellStyle name="Normal 2 4 2 3" xfId="7057"/>
    <cellStyle name="Normal 2 4 2 4" xfId="7058"/>
    <cellStyle name="Normal 2 4 2 5" xfId="7059"/>
    <cellStyle name="Normal 2 4 2 6" xfId="7060"/>
    <cellStyle name="Normal 2 4 2_DeltaViewer" xfId="7061"/>
    <cellStyle name="Normal 2 4 3" xfId="7062"/>
    <cellStyle name="Normal 2 4 3 2" xfId="7063"/>
    <cellStyle name="Normal 2 4 3 2 2" xfId="7064"/>
    <cellStyle name="Normal 2 4 3 2 3" xfId="7065"/>
    <cellStyle name="Normal 2 4 3 2 4" xfId="7066"/>
    <cellStyle name="Normal 2 4 3 2 5" xfId="7067"/>
    <cellStyle name="Normal 2 4 3 2_DeltaViewer" xfId="7068"/>
    <cellStyle name="Normal 2 4 3 3" xfId="7069"/>
    <cellStyle name="Normal 2 4 3 4" xfId="7070"/>
    <cellStyle name="Normal 2 4 3 5" xfId="7071"/>
    <cellStyle name="Normal 2 4 3 6" xfId="7072"/>
    <cellStyle name="Normal 2 4 3_DeltaViewer" xfId="7073"/>
    <cellStyle name="Normal 2 4 4" xfId="7074"/>
    <cellStyle name="Normal 2 4 4 2" xfId="7075"/>
    <cellStyle name="Normal 2 4 4 2 2" xfId="7076"/>
    <cellStyle name="Normal 2 4 4 2 3" xfId="7077"/>
    <cellStyle name="Normal 2 4 4 2 4" xfId="7078"/>
    <cellStyle name="Normal 2 4 4 2 5" xfId="7079"/>
    <cellStyle name="Normal 2 4 4 2_DeltaViewer" xfId="7080"/>
    <cellStyle name="Normal 2 4 4 3" xfId="7081"/>
    <cellStyle name="Normal 2 4 4 4" xfId="7082"/>
    <cellStyle name="Normal 2 4 4 5" xfId="7083"/>
    <cellStyle name="Normal 2 4 4 6" xfId="7084"/>
    <cellStyle name="Normal 2 4 4_DeltaViewer" xfId="7085"/>
    <cellStyle name="Normal 2 4 5" xfId="7086"/>
    <cellStyle name="Normal 2 4 5 2" xfId="7087"/>
    <cellStyle name="Normal 2 4 5 3" xfId="7088"/>
    <cellStyle name="Normal 2 4 5 4" xfId="7089"/>
    <cellStyle name="Normal 2 4 5 5" xfId="7090"/>
    <cellStyle name="Normal 2 4 5_DeltaViewer" xfId="7091"/>
    <cellStyle name="Normal 2 4 6" xfId="7092"/>
    <cellStyle name="Normal 2 4 7" xfId="7093"/>
    <cellStyle name="Normal 2 4 8" xfId="7094"/>
    <cellStyle name="Normal 2 4 9" xfId="7095"/>
    <cellStyle name="Normal 2 4_DeltaViewer" xfId="7096"/>
    <cellStyle name="Normal 2 5" xfId="7097"/>
    <cellStyle name="Normal 2 5 2" xfId="7098"/>
    <cellStyle name="Normal 2 5 2 2" xfId="7099"/>
    <cellStyle name="Normal 2 5 2 3" xfId="7100"/>
    <cellStyle name="Normal 2 5 2 4" xfId="7101"/>
    <cellStyle name="Normal 2 5 2 5" xfId="7102"/>
    <cellStyle name="Normal 2 5 2_DeltaViewer" xfId="7103"/>
    <cellStyle name="Normal 2 5 3" xfId="7104"/>
    <cellStyle name="Normal 2 5 4" xfId="7105"/>
    <cellStyle name="Normal 2 5 5" xfId="7106"/>
    <cellStyle name="Normal 2 5 6" xfId="7107"/>
    <cellStyle name="Normal 2 5_DeltaViewer" xfId="7108"/>
    <cellStyle name="Normal 2 6" xfId="7109"/>
    <cellStyle name="Normal 2 6 2" xfId="7110"/>
    <cellStyle name="Normal 2 6 2 2" xfId="7111"/>
    <cellStyle name="Normal 2 6 2 3" xfId="7112"/>
    <cellStyle name="Normal 2 6 2 4" xfId="7113"/>
    <cellStyle name="Normal 2 6 2 5" xfId="7114"/>
    <cellStyle name="Normal 2 6 2_DeltaViewer" xfId="7115"/>
    <cellStyle name="Normal 2 6 3" xfId="7116"/>
    <cellStyle name="Normal 2 6 4" xfId="7117"/>
    <cellStyle name="Normal 2 6 5" xfId="7118"/>
    <cellStyle name="Normal 2 6 6" xfId="7119"/>
    <cellStyle name="Normal 2 6_DeltaViewer" xfId="7120"/>
    <cellStyle name="Normal 2 7" xfId="7121"/>
    <cellStyle name="Normal 2 7 2" xfId="7122"/>
    <cellStyle name="Normal 2 7 2 10" xfId="25355"/>
    <cellStyle name="Normal 2 7 2 2" xfId="7123"/>
    <cellStyle name="Normal 2 7 2 2 2" xfId="7124"/>
    <cellStyle name="Normal 2 7 2 2 2 2" xfId="7125"/>
    <cellStyle name="Normal 2 7 2 2 2 2 2" xfId="7126"/>
    <cellStyle name="Normal 2 7 2 2 2 2 2 2" xfId="22638"/>
    <cellStyle name="Normal 2 7 2 2 2 2 2 2 2" xfId="27871"/>
    <cellStyle name="Normal 2 7 2 2 2 2 2 3" xfId="25359"/>
    <cellStyle name="Normal 2 7 2 2 2 2 3" xfId="22637"/>
    <cellStyle name="Normal 2 7 2 2 2 2 3 2" xfId="27870"/>
    <cellStyle name="Normal 2 7 2 2 2 2 4" xfId="25358"/>
    <cellStyle name="Normal 2 7 2 2 2 3" xfId="7127"/>
    <cellStyle name="Normal 2 7 2 2 2 3 2" xfId="22639"/>
    <cellStyle name="Normal 2 7 2 2 2 3 2 2" xfId="27872"/>
    <cellStyle name="Normal 2 7 2 2 2 3 3" xfId="25360"/>
    <cellStyle name="Normal 2 7 2 2 2 4" xfId="22636"/>
    <cellStyle name="Normal 2 7 2 2 2 4 2" xfId="27869"/>
    <cellStyle name="Normal 2 7 2 2 2 5" xfId="25357"/>
    <cellStyle name="Normal 2 7 2 2 2_DeltaViewer" xfId="7128"/>
    <cellStyle name="Normal 2 7 2 2 3" xfId="7129"/>
    <cellStyle name="Normal 2 7 2 2 3 2" xfId="7130"/>
    <cellStyle name="Normal 2 7 2 2 3 2 2" xfId="22641"/>
    <cellStyle name="Normal 2 7 2 2 3 2 2 2" xfId="27874"/>
    <cellStyle name="Normal 2 7 2 2 3 2 3" xfId="25362"/>
    <cellStyle name="Normal 2 7 2 2 3 3" xfId="22640"/>
    <cellStyle name="Normal 2 7 2 2 3 3 2" xfId="27873"/>
    <cellStyle name="Normal 2 7 2 2 3 4" xfId="25361"/>
    <cellStyle name="Normal 2 7 2 2 4" xfId="7131"/>
    <cellStyle name="Normal 2 7 2 2 4 2" xfId="22642"/>
    <cellStyle name="Normal 2 7 2 2 4 2 2" xfId="27875"/>
    <cellStyle name="Normal 2 7 2 2 4 3" xfId="25363"/>
    <cellStyle name="Normal 2 7 2 2 5" xfId="22635"/>
    <cellStyle name="Normal 2 7 2 2 5 2" xfId="27868"/>
    <cellStyle name="Normal 2 7 2 2 6" xfId="25356"/>
    <cellStyle name="Normal 2 7 2 2_DeltaViewer" xfId="7132"/>
    <cellStyle name="Normal 2 7 2 3" xfId="7133"/>
    <cellStyle name="Normal 2 7 2 3 2" xfId="7134"/>
    <cellStyle name="Normal 2 7 2 3 2 2" xfId="7135"/>
    <cellStyle name="Normal 2 7 2 3 2 2 2" xfId="7136"/>
    <cellStyle name="Normal 2 7 2 3 2 2 2 2" xfId="22646"/>
    <cellStyle name="Normal 2 7 2 3 2 2 2 2 2" xfId="27879"/>
    <cellStyle name="Normal 2 7 2 3 2 2 2 3" xfId="25367"/>
    <cellStyle name="Normal 2 7 2 3 2 2 3" xfId="22645"/>
    <cellStyle name="Normal 2 7 2 3 2 2 3 2" xfId="27878"/>
    <cellStyle name="Normal 2 7 2 3 2 2 4" xfId="25366"/>
    <cellStyle name="Normal 2 7 2 3 2 3" xfId="7137"/>
    <cellStyle name="Normal 2 7 2 3 2 3 2" xfId="22647"/>
    <cellStyle name="Normal 2 7 2 3 2 3 2 2" xfId="27880"/>
    <cellStyle name="Normal 2 7 2 3 2 3 3" xfId="25368"/>
    <cellStyle name="Normal 2 7 2 3 2 4" xfId="22644"/>
    <cellStyle name="Normal 2 7 2 3 2 4 2" xfId="27877"/>
    <cellStyle name="Normal 2 7 2 3 2 5" xfId="25365"/>
    <cellStyle name="Normal 2 7 2 3 2_DeltaViewer" xfId="7138"/>
    <cellStyle name="Normal 2 7 2 3 3" xfId="7139"/>
    <cellStyle name="Normal 2 7 2 3 3 2" xfId="7140"/>
    <cellStyle name="Normal 2 7 2 3 3 2 2" xfId="22649"/>
    <cellStyle name="Normal 2 7 2 3 3 2 2 2" xfId="27882"/>
    <cellStyle name="Normal 2 7 2 3 3 2 3" xfId="25370"/>
    <cellStyle name="Normal 2 7 2 3 3 3" xfId="22648"/>
    <cellStyle name="Normal 2 7 2 3 3 3 2" xfId="27881"/>
    <cellStyle name="Normal 2 7 2 3 3 4" xfId="25369"/>
    <cellStyle name="Normal 2 7 2 3 4" xfId="7141"/>
    <cellStyle name="Normal 2 7 2 3 4 2" xfId="22650"/>
    <cellStyle name="Normal 2 7 2 3 4 2 2" xfId="27883"/>
    <cellStyle name="Normal 2 7 2 3 4 3" xfId="25371"/>
    <cellStyle name="Normal 2 7 2 3 5" xfId="22643"/>
    <cellStyle name="Normal 2 7 2 3 5 2" xfId="27876"/>
    <cellStyle name="Normal 2 7 2 3 6" xfId="25364"/>
    <cellStyle name="Normal 2 7 2 3_DeltaViewer" xfId="7142"/>
    <cellStyle name="Normal 2 7 2 4" xfId="7143"/>
    <cellStyle name="Normal 2 7 2 4 2" xfId="7144"/>
    <cellStyle name="Normal 2 7 2 4 2 2" xfId="7145"/>
    <cellStyle name="Normal 2 7 2 4 2 2 2" xfId="7146"/>
    <cellStyle name="Normal 2 7 2 4 2 2 2 2" xfId="22654"/>
    <cellStyle name="Normal 2 7 2 4 2 2 2 2 2" xfId="27887"/>
    <cellStyle name="Normal 2 7 2 4 2 2 2 3" xfId="25375"/>
    <cellStyle name="Normal 2 7 2 4 2 2 3" xfId="22653"/>
    <cellStyle name="Normal 2 7 2 4 2 2 3 2" xfId="27886"/>
    <cellStyle name="Normal 2 7 2 4 2 2 4" xfId="25374"/>
    <cellStyle name="Normal 2 7 2 4 2 3" xfId="7147"/>
    <cellStyle name="Normal 2 7 2 4 2 3 2" xfId="22655"/>
    <cellStyle name="Normal 2 7 2 4 2 3 2 2" xfId="27888"/>
    <cellStyle name="Normal 2 7 2 4 2 3 3" xfId="25376"/>
    <cellStyle name="Normal 2 7 2 4 2 4" xfId="22652"/>
    <cellStyle name="Normal 2 7 2 4 2 4 2" xfId="27885"/>
    <cellStyle name="Normal 2 7 2 4 2 5" xfId="25373"/>
    <cellStyle name="Normal 2 7 2 4 2_DeltaViewer" xfId="7148"/>
    <cellStyle name="Normal 2 7 2 4 3" xfId="7149"/>
    <cellStyle name="Normal 2 7 2 4 3 2" xfId="7150"/>
    <cellStyle name="Normal 2 7 2 4 3 2 2" xfId="22657"/>
    <cellStyle name="Normal 2 7 2 4 3 2 2 2" xfId="27890"/>
    <cellStyle name="Normal 2 7 2 4 3 2 3" xfId="25378"/>
    <cellStyle name="Normal 2 7 2 4 3 3" xfId="22656"/>
    <cellStyle name="Normal 2 7 2 4 3 3 2" xfId="27889"/>
    <cellStyle name="Normal 2 7 2 4 3 4" xfId="25377"/>
    <cellStyle name="Normal 2 7 2 4 4" xfId="7151"/>
    <cellStyle name="Normal 2 7 2 4 4 2" xfId="22658"/>
    <cellStyle name="Normal 2 7 2 4 4 2 2" xfId="27891"/>
    <cellStyle name="Normal 2 7 2 4 4 3" xfId="25379"/>
    <cellStyle name="Normal 2 7 2 4 5" xfId="22651"/>
    <cellStyle name="Normal 2 7 2 4 5 2" xfId="27884"/>
    <cellStyle name="Normal 2 7 2 4 6" xfId="25372"/>
    <cellStyle name="Normal 2 7 2 4_DeltaViewer" xfId="7152"/>
    <cellStyle name="Normal 2 7 2 5" xfId="7153"/>
    <cellStyle name="Normal 2 7 2 5 2" xfId="7154"/>
    <cellStyle name="Normal 2 7 2 5 2 2" xfId="7155"/>
    <cellStyle name="Normal 2 7 2 5 2 2 2" xfId="22661"/>
    <cellStyle name="Normal 2 7 2 5 2 2 2 2" xfId="27894"/>
    <cellStyle name="Normal 2 7 2 5 2 2 3" xfId="25382"/>
    <cellStyle name="Normal 2 7 2 5 2 3" xfId="22660"/>
    <cellStyle name="Normal 2 7 2 5 2 3 2" xfId="27893"/>
    <cellStyle name="Normal 2 7 2 5 2 4" xfId="25381"/>
    <cellStyle name="Normal 2 7 2 5 3" xfId="7156"/>
    <cellStyle name="Normal 2 7 2 5 3 2" xfId="22662"/>
    <cellStyle name="Normal 2 7 2 5 3 2 2" xfId="27895"/>
    <cellStyle name="Normal 2 7 2 5 3 3" xfId="25383"/>
    <cellStyle name="Normal 2 7 2 5 4" xfId="22659"/>
    <cellStyle name="Normal 2 7 2 5 4 2" xfId="27892"/>
    <cellStyle name="Normal 2 7 2 5 5" xfId="25380"/>
    <cellStyle name="Normal 2 7 2 5_DeltaViewer" xfId="7157"/>
    <cellStyle name="Normal 2 7 2 6" xfId="7158"/>
    <cellStyle name="Normal 2 7 2 6 2" xfId="7159"/>
    <cellStyle name="Normal 2 7 2 6 2 2" xfId="22664"/>
    <cellStyle name="Normal 2 7 2 6 2 2 2" xfId="27897"/>
    <cellStyle name="Normal 2 7 2 6 2 3" xfId="25385"/>
    <cellStyle name="Normal 2 7 2 6 3" xfId="22663"/>
    <cellStyle name="Normal 2 7 2 6 3 2" xfId="27896"/>
    <cellStyle name="Normal 2 7 2 6 4" xfId="25384"/>
    <cellStyle name="Normal 2 7 2 7" xfId="7160"/>
    <cellStyle name="Normal 2 7 2 7 2" xfId="7161"/>
    <cellStyle name="Normal 2 7 2 7 2 2" xfId="22666"/>
    <cellStyle name="Normal 2 7 2 7 2 2 2" xfId="27899"/>
    <cellStyle name="Normal 2 7 2 7 2 3" xfId="25387"/>
    <cellStyle name="Normal 2 7 2 7 3" xfId="22665"/>
    <cellStyle name="Normal 2 7 2 7 3 2" xfId="27898"/>
    <cellStyle name="Normal 2 7 2 7 4" xfId="25386"/>
    <cellStyle name="Normal 2 7 2 8" xfId="7162"/>
    <cellStyle name="Normal 2 7 2 8 2" xfId="22667"/>
    <cellStyle name="Normal 2 7 2 8 2 2" xfId="27900"/>
    <cellStyle name="Normal 2 7 2 8 3" xfId="25388"/>
    <cellStyle name="Normal 2 7 2 9" xfId="22634"/>
    <cellStyle name="Normal 2 7 2 9 2" xfId="27867"/>
    <cellStyle name="Normal 2 7 2_DeltaViewer" xfId="7163"/>
    <cellStyle name="Normal 2 7 3" xfId="7164"/>
    <cellStyle name="Normal 2 7 4" xfId="7165"/>
    <cellStyle name="Normal 2 7 5" xfId="7166"/>
    <cellStyle name="Normal 2 7 6" xfId="7167"/>
    <cellStyle name="Normal 2 7_DeltaViewer" xfId="7168"/>
    <cellStyle name="Normal 2 8" xfId="7169"/>
    <cellStyle name="Normal 2 8 10" xfId="25389"/>
    <cellStyle name="Normal 2 8 2" xfId="7170"/>
    <cellStyle name="Normal 2 8 2 2" xfId="7171"/>
    <cellStyle name="Normal 2 8 2 2 2" xfId="7172"/>
    <cellStyle name="Normal 2 8 2 2 2 2" xfId="7173"/>
    <cellStyle name="Normal 2 8 2 2 2 2 2" xfId="22672"/>
    <cellStyle name="Normal 2 8 2 2 2 2 2 2" xfId="27905"/>
    <cellStyle name="Normal 2 8 2 2 2 2 3" xfId="25393"/>
    <cellStyle name="Normal 2 8 2 2 2 3" xfId="22671"/>
    <cellStyle name="Normal 2 8 2 2 2 3 2" xfId="27904"/>
    <cellStyle name="Normal 2 8 2 2 2 4" xfId="25392"/>
    <cellStyle name="Normal 2 8 2 2 3" xfId="7174"/>
    <cellStyle name="Normal 2 8 2 2 3 2" xfId="22673"/>
    <cellStyle name="Normal 2 8 2 2 3 2 2" xfId="27906"/>
    <cellStyle name="Normal 2 8 2 2 3 3" xfId="25394"/>
    <cellStyle name="Normal 2 8 2 2 4" xfId="22670"/>
    <cellStyle name="Normal 2 8 2 2 4 2" xfId="27903"/>
    <cellStyle name="Normal 2 8 2 2 5" xfId="25391"/>
    <cellStyle name="Normal 2 8 2 2_DeltaViewer" xfId="7175"/>
    <cellStyle name="Normal 2 8 2 3" xfId="7176"/>
    <cellStyle name="Normal 2 8 2 3 2" xfId="7177"/>
    <cellStyle name="Normal 2 8 2 3 2 2" xfId="22675"/>
    <cellStyle name="Normal 2 8 2 3 2 2 2" xfId="27908"/>
    <cellStyle name="Normal 2 8 2 3 2 3" xfId="25396"/>
    <cellStyle name="Normal 2 8 2 3 3" xfId="22674"/>
    <cellStyle name="Normal 2 8 2 3 3 2" xfId="27907"/>
    <cellStyle name="Normal 2 8 2 3 4" xfId="25395"/>
    <cellStyle name="Normal 2 8 2 4" xfId="7178"/>
    <cellStyle name="Normal 2 8 2 4 2" xfId="22676"/>
    <cellStyle name="Normal 2 8 2 4 2 2" xfId="27909"/>
    <cellStyle name="Normal 2 8 2 4 3" xfId="25397"/>
    <cellStyle name="Normal 2 8 2 5" xfId="22669"/>
    <cellStyle name="Normal 2 8 2 5 2" xfId="27902"/>
    <cellStyle name="Normal 2 8 2 6" xfId="25390"/>
    <cellStyle name="Normal 2 8 2_DeltaViewer" xfId="7179"/>
    <cellStyle name="Normal 2 8 3" xfId="7180"/>
    <cellStyle name="Normal 2 8 3 2" xfId="7181"/>
    <cellStyle name="Normal 2 8 3 2 2" xfId="7182"/>
    <cellStyle name="Normal 2 8 3 2 2 2" xfId="7183"/>
    <cellStyle name="Normal 2 8 3 2 2 2 2" xfId="22680"/>
    <cellStyle name="Normal 2 8 3 2 2 2 2 2" xfId="27913"/>
    <cellStyle name="Normal 2 8 3 2 2 2 3" xfId="25401"/>
    <cellStyle name="Normal 2 8 3 2 2 3" xfId="22679"/>
    <cellStyle name="Normal 2 8 3 2 2 3 2" xfId="27912"/>
    <cellStyle name="Normal 2 8 3 2 2 4" xfId="25400"/>
    <cellStyle name="Normal 2 8 3 2 3" xfId="7184"/>
    <cellStyle name="Normal 2 8 3 2 3 2" xfId="22681"/>
    <cellStyle name="Normal 2 8 3 2 3 2 2" xfId="27914"/>
    <cellStyle name="Normal 2 8 3 2 3 3" xfId="25402"/>
    <cellStyle name="Normal 2 8 3 2 4" xfId="22678"/>
    <cellStyle name="Normal 2 8 3 2 4 2" xfId="27911"/>
    <cellStyle name="Normal 2 8 3 2 5" xfId="25399"/>
    <cellStyle name="Normal 2 8 3 2_DeltaViewer" xfId="7185"/>
    <cellStyle name="Normal 2 8 3 3" xfId="7186"/>
    <cellStyle name="Normal 2 8 3 3 2" xfId="7187"/>
    <cellStyle name="Normal 2 8 3 3 2 2" xfId="22683"/>
    <cellStyle name="Normal 2 8 3 3 2 2 2" xfId="27916"/>
    <cellStyle name="Normal 2 8 3 3 2 3" xfId="25404"/>
    <cellStyle name="Normal 2 8 3 3 3" xfId="22682"/>
    <cellStyle name="Normal 2 8 3 3 3 2" xfId="27915"/>
    <cellStyle name="Normal 2 8 3 3 4" xfId="25403"/>
    <cellStyle name="Normal 2 8 3 4" xfId="7188"/>
    <cellStyle name="Normal 2 8 3 4 2" xfId="22684"/>
    <cellStyle name="Normal 2 8 3 4 2 2" xfId="27917"/>
    <cellStyle name="Normal 2 8 3 4 3" xfId="25405"/>
    <cellStyle name="Normal 2 8 3 5" xfId="22677"/>
    <cellStyle name="Normal 2 8 3 5 2" xfId="27910"/>
    <cellStyle name="Normal 2 8 3 6" xfId="25398"/>
    <cellStyle name="Normal 2 8 3_DeltaViewer" xfId="7189"/>
    <cellStyle name="Normal 2 8 4" xfId="7190"/>
    <cellStyle name="Normal 2 8 4 2" xfId="7191"/>
    <cellStyle name="Normal 2 8 4 2 2" xfId="7192"/>
    <cellStyle name="Normal 2 8 4 2 2 2" xfId="7193"/>
    <cellStyle name="Normal 2 8 4 2 2 2 2" xfId="22688"/>
    <cellStyle name="Normal 2 8 4 2 2 2 2 2" xfId="27921"/>
    <cellStyle name="Normal 2 8 4 2 2 2 3" xfId="25409"/>
    <cellStyle name="Normal 2 8 4 2 2 3" xfId="22687"/>
    <cellStyle name="Normal 2 8 4 2 2 3 2" xfId="27920"/>
    <cellStyle name="Normal 2 8 4 2 2 4" xfId="25408"/>
    <cellStyle name="Normal 2 8 4 2 3" xfId="7194"/>
    <cellStyle name="Normal 2 8 4 2 3 2" xfId="22689"/>
    <cellStyle name="Normal 2 8 4 2 3 2 2" xfId="27922"/>
    <cellStyle name="Normal 2 8 4 2 3 3" xfId="25410"/>
    <cellStyle name="Normal 2 8 4 2 4" xfId="22686"/>
    <cellStyle name="Normal 2 8 4 2 4 2" xfId="27919"/>
    <cellStyle name="Normal 2 8 4 2 5" xfId="25407"/>
    <cellStyle name="Normal 2 8 4 2_DeltaViewer" xfId="7195"/>
    <cellStyle name="Normal 2 8 4 3" xfId="7196"/>
    <cellStyle name="Normal 2 8 4 3 2" xfId="7197"/>
    <cellStyle name="Normal 2 8 4 3 2 2" xfId="22691"/>
    <cellStyle name="Normal 2 8 4 3 2 2 2" xfId="27924"/>
    <cellStyle name="Normal 2 8 4 3 2 3" xfId="25412"/>
    <cellStyle name="Normal 2 8 4 3 3" xfId="22690"/>
    <cellStyle name="Normal 2 8 4 3 3 2" xfId="27923"/>
    <cellStyle name="Normal 2 8 4 3 4" xfId="25411"/>
    <cellStyle name="Normal 2 8 4 4" xfId="7198"/>
    <cellStyle name="Normal 2 8 4 4 2" xfId="22692"/>
    <cellStyle name="Normal 2 8 4 4 2 2" xfId="27925"/>
    <cellStyle name="Normal 2 8 4 4 3" xfId="25413"/>
    <cellStyle name="Normal 2 8 4 5" xfId="22685"/>
    <cellStyle name="Normal 2 8 4 5 2" xfId="27918"/>
    <cellStyle name="Normal 2 8 4 6" xfId="25406"/>
    <cellStyle name="Normal 2 8 4_DeltaViewer" xfId="7199"/>
    <cellStyle name="Normal 2 8 5" xfId="7200"/>
    <cellStyle name="Normal 2 8 5 2" xfId="7201"/>
    <cellStyle name="Normal 2 8 5 2 2" xfId="7202"/>
    <cellStyle name="Normal 2 8 5 2 2 2" xfId="22695"/>
    <cellStyle name="Normal 2 8 5 2 2 2 2" xfId="27928"/>
    <cellStyle name="Normal 2 8 5 2 2 3" xfId="25416"/>
    <cellStyle name="Normal 2 8 5 2 3" xfId="22694"/>
    <cellStyle name="Normal 2 8 5 2 3 2" xfId="27927"/>
    <cellStyle name="Normal 2 8 5 2 4" xfId="25415"/>
    <cellStyle name="Normal 2 8 5 3" xfId="7203"/>
    <cellStyle name="Normal 2 8 5 3 2" xfId="22696"/>
    <cellStyle name="Normal 2 8 5 3 2 2" xfId="27929"/>
    <cellStyle name="Normal 2 8 5 3 3" xfId="25417"/>
    <cellStyle name="Normal 2 8 5 4" xfId="22693"/>
    <cellStyle name="Normal 2 8 5 4 2" xfId="27926"/>
    <cellStyle name="Normal 2 8 5 5" xfId="25414"/>
    <cellStyle name="Normal 2 8 5_DeltaViewer" xfId="7204"/>
    <cellStyle name="Normal 2 8 6" xfId="7205"/>
    <cellStyle name="Normal 2 8 6 2" xfId="7206"/>
    <cellStyle name="Normal 2 8 6 2 2" xfId="22698"/>
    <cellStyle name="Normal 2 8 6 2 2 2" xfId="27931"/>
    <cellStyle name="Normal 2 8 6 2 3" xfId="25419"/>
    <cellStyle name="Normal 2 8 6 3" xfId="22697"/>
    <cellStyle name="Normal 2 8 6 3 2" xfId="27930"/>
    <cellStyle name="Normal 2 8 6 4" xfId="25418"/>
    <cellStyle name="Normal 2 8 7" xfId="7207"/>
    <cellStyle name="Normal 2 8 7 2" xfId="7208"/>
    <cellStyle name="Normal 2 8 7 2 2" xfId="22700"/>
    <cellStyle name="Normal 2 8 7 2 2 2" xfId="27933"/>
    <cellStyle name="Normal 2 8 7 2 3" xfId="25421"/>
    <cellStyle name="Normal 2 8 7 3" xfId="22699"/>
    <cellStyle name="Normal 2 8 7 3 2" xfId="27932"/>
    <cellStyle name="Normal 2 8 7 4" xfId="25420"/>
    <cellStyle name="Normal 2 8 8" xfId="7209"/>
    <cellStyle name="Normal 2 8 8 2" xfId="22701"/>
    <cellStyle name="Normal 2 8 8 2 2" xfId="27934"/>
    <cellStyle name="Normal 2 8 8 3" xfId="25422"/>
    <cellStyle name="Normal 2 8 9" xfId="22668"/>
    <cellStyle name="Normal 2 8 9 2" xfId="27901"/>
    <cellStyle name="Normal 2 8_DeltaViewer" xfId="7210"/>
    <cellStyle name="Normal 2 9" xfId="7211"/>
    <cellStyle name="Normal 2 9 10" xfId="25423"/>
    <cellStyle name="Normal 2 9 2" xfId="7212"/>
    <cellStyle name="Normal 2 9 2 2" xfId="7213"/>
    <cellStyle name="Normal 2 9 2 2 2" xfId="7214"/>
    <cellStyle name="Normal 2 9 2 2 2 2" xfId="7215"/>
    <cellStyle name="Normal 2 9 2 2 2 2 2" xfId="22706"/>
    <cellStyle name="Normal 2 9 2 2 2 2 2 2" xfId="27939"/>
    <cellStyle name="Normal 2 9 2 2 2 2 3" xfId="25427"/>
    <cellStyle name="Normal 2 9 2 2 2 3" xfId="22705"/>
    <cellStyle name="Normal 2 9 2 2 2 3 2" xfId="27938"/>
    <cellStyle name="Normal 2 9 2 2 2 4" xfId="25426"/>
    <cellStyle name="Normal 2 9 2 2 3" xfId="7216"/>
    <cellStyle name="Normal 2 9 2 2 3 2" xfId="22707"/>
    <cellStyle name="Normal 2 9 2 2 3 2 2" xfId="27940"/>
    <cellStyle name="Normal 2 9 2 2 3 3" xfId="25428"/>
    <cellStyle name="Normal 2 9 2 2 4" xfId="22704"/>
    <cellStyle name="Normal 2 9 2 2 4 2" xfId="27937"/>
    <cellStyle name="Normal 2 9 2 2 5" xfId="25425"/>
    <cellStyle name="Normal 2 9 2 2_DeltaViewer" xfId="7217"/>
    <cellStyle name="Normal 2 9 2 3" xfId="7218"/>
    <cellStyle name="Normal 2 9 2 3 2" xfId="7219"/>
    <cellStyle name="Normal 2 9 2 3 2 2" xfId="22709"/>
    <cellStyle name="Normal 2 9 2 3 2 2 2" xfId="27942"/>
    <cellStyle name="Normal 2 9 2 3 2 3" xfId="25430"/>
    <cellStyle name="Normal 2 9 2 3 3" xfId="22708"/>
    <cellStyle name="Normal 2 9 2 3 3 2" xfId="27941"/>
    <cellStyle name="Normal 2 9 2 3 4" xfId="25429"/>
    <cellStyle name="Normal 2 9 2 4" xfId="7220"/>
    <cellStyle name="Normal 2 9 2 4 2" xfId="22710"/>
    <cellStyle name="Normal 2 9 2 4 2 2" xfId="27943"/>
    <cellStyle name="Normal 2 9 2 4 3" xfId="25431"/>
    <cellStyle name="Normal 2 9 2 5" xfId="22703"/>
    <cellStyle name="Normal 2 9 2 5 2" xfId="27936"/>
    <cellStyle name="Normal 2 9 2 6" xfId="25424"/>
    <cellStyle name="Normal 2 9 2_DeltaViewer" xfId="7221"/>
    <cellStyle name="Normal 2 9 3" xfId="7222"/>
    <cellStyle name="Normal 2 9 3 2" xfId="7223"/>
    <cellStyle name="Normal 2 9 3 2 2" xfId="7224"/>
    <cellStyle name="Normal 2 9 3 2 2 2" xfId="7225"/>
    <cellStyle name="Normal 2 9 3 2 2 2 2" xfId="22714"/>
    <cellStyle name="Normal 2 9 3 2 2 2 2 2" xfId="27947"/>
    <cellStyle name="Normal 2 9 3 2 2 2 3" xfId="25435"/>
    <cellStyle name="Normal 2 9 3 2 2 3" xfId="22713"/>
    <cellStyle name="Normal 2 9 3 2 2 3 2" xfId="27946"/>
    <cellStyle name="Normal 2 9 3 2 2 4" xfId="25434"/>
    <cellStyle name="Normal 2 9 3 2 3" xfId="7226"/>
    <cellStyle name="Normal 2 9 3 2 3 2" xfId="22715"/>
    <cellStyle name="Normal 2 9 3 2 3 2 2" xfId="27948"/>
    <cellStyle name="Normal 2 9 3 2 3 3" xfId="25436"/>
    <cellStyle name="Normal 2 9 3 2 4" xfId="22712"/>
    <cellStyle name="Normal 2 9 3 2 4 2" xfId="27945"/>
    <cellStyle name="Normal 2 9 3 2 5" xfId="25433"/>
    <cellStyle name="Normal 2 9 3 2_DeltaViewer" xfId="7227"/>
    <cellStyle name="Normal 2 9 3 3" xfId="7228"/>
    <cellStyle name="Normal 2 9 3 3 2" xfId="7229"/>
    <cellStyle name="Normal 2 9 3 3 2 2" xfId="22717"/>
    <cellStyle name="Normal 2 9 3 3 2 2 2" xfId="27950"/>
    <cellStyle name="Normal 2 9 3 3 2 3" xfId="25438"/>
    <cellStyle name="Normal 2 9 3 3 3" xfId="22716"/>
    <cellStyle name="Normal 2 9 3 3 3 2" xfId="27949"/>
    <cellStyle name="Normal 2 9 3 3 4" xfId="25437"/>
    <cellStyle name="Normal 2 9 3 4" xfId="7230"/>
    <cellStyle name="Normal 2 9 3 4 2" xfId="22718"/>
    <cellStyle name="Normal 2 9 3 4 2 2" xfId="27951"/>
    <cellStyle name="Normal 2 9 3 4 3" xfId="25439"/>
    <cellStyle name="Normal 2 9 3 5" xfId="22711"/>
    <cellStyle name="Normal 2 9 3 5 2" xfId="27944"/>
    <cellStyle name="Normal 2 9 3 6" xfId="25432"/>
    <cellStyle name="Normal 2 9 3_DeltaViewer" xfId="7231"/>
    <cellStyle name="Normal 2 9 4" xfId="7232"/>
    <cellStyle name="Normal 2 9 4 2" xfId="7233"/>
    <cellStyle name="Normal 2 9 4 2 2" xfId="7234"/>
    <cellStyle name="Normal 2 9 4 2 2 2" xfId="7235"/>
    <cellStyle name="Normal 2 9 4 2 2 2 2" xfId="22722"/>
    <cellStyle name="Normal 2 9 4 2 2 2 2 2" xfId="27955"/>
    <cellStyle name="Normal 2 9 4 2 2 2 3" xfId="25443"/>
    <cellStyle name="Normal 2 9 4 2 2 3" xfId="22721"/>
    <cellStyle name="Normal 2 9 4 2 2 3 2" xfId="27954"/>
    <cellStyle name="Normal 2 9 4 2 2 4" xfId="25442"/>
    <cellStyle name="Normal 2 9 4 2 3" xfId="7236"/>
    <cellStyle name="Normal 2 9 4 2 3 2" xfId="22723"/>
    <cellStyle name="Normal 2 9 4 2 3 2 2" xfId="27956"/>
    <cellStyle name="Normal 2 9 4 2 3 3" xfId="25444"/>
    <cellStyle name="Normal 2 9 4 2 4" xfId="22720"/>
    <cellStyle name="Normal 2 9 4 2 4 2" xfId="27953"/>
    <cellStyle name="Normal 2 9 4 2 5" xfId="25441"/>
    <cellStyle name="Normal 2 9 4 2_DeltaViewer" xfId="7237"/>
    <cellStyle name="Normal 2 9 4 3" xfId="7238"/>
    <cellStyle name="Normal 2 9 4 3 2" xfId="7239"/>
    <cellStyle name="Normal 2 9 4 3 2 2" xfId="22725"/>
    <cellStyle name="Normal 2 9 4 3 2 2 2" xfId="27958"/>
    <cellStyle name="Normal 2 9 4 3 2 3" xfId="25446"/>
    <cellStyle name="Normal 2 9 4 3 3" xfId="22724"/>
    <cellStyle name="Normal 2 9 4 3 3 2" xfId="27957"/>
    <cellStyle name="Normal 2 9 4 3 4" xfId="25445"/>
    <cellStyle name="Normal 2 9 4 4" xfId="7240"/>
    <cellStyle name="Normal 2 9 4 4 2" xfId="22726"/>
    <cellStyle name="Normal 2 9 4 4 2 2" xfId="27959"/>
    <cellStyle name="Normal 2 9 4 4 3" xfId="25447"/>
    <cellStyle name="Normal 2 9 4 5" xfId="22719"/>
    <cellStyle name="Normal 2 9 4 5 2" xfId="27952"/>
    <cellStyle name="Normal 2 9 4 6" xfId="25440"/>
    <cellStyle name="Normal 2 9 4_DeltaViewer" xfId="7241"/>
    <cellStyle name="Normal 2 9 5" xfId="7242"/>
    <cellStyle name="Normal 2 9 5 2" xfId="7243"/>
    <cellStyle name="Normal 2 9 5 2 2" xfId="7244"/>
    <cellStyle name="Normal 2 9 5 2 2 2" xfId="22729"/>
    <cellStyle name="Normal 2 9 5 2 2 2 2" xfId="27962"/>
    <cellStyle name="Normal 2 9 5 2 2 3" xfId="25450"/>
    <cellStyle name="Normal 2 9 5 2 3" xfId="22728"/>
    <cellStyle name="Normal 2 9 5 2 3 2" xfId="27961"/>
    <cellStyle name="Normal 2 9 5 2 4" xfId="25449"/>
    <cellStyle name="Normal 2 9 5 3" xfId="7245"/>
    <cellStyle name="Normal 2 9 5 3 2" xfId="22730"/>
    <cellStyle name="Normal 2 9 5 3 2 2" xfId="27963"/>
    <cellStyle name="Normal 2 9 5 3 3" xfId="25451"/>
    <cellStyle name="Normal 2 9 5 4" xfId="22727"/>
    <cellStyle name="Normal 2 9 5 4 2" xfId="27960"/>
    <cellStyle name="Normal 2 9 5 5" xfId="25448"/>
    <cellStyle name="Normal 2 9 5_DeltaViewer" xfId="7246"/>
    <cellStyle name="Normal 2 9 6" xfId="7247"/>
    <cellStyle name="Normal 2 9 6 2" xfId="7248"/>
    <cellStyle name="Normal 2 9 6 2 2" xfId="22732"/>
    <cellStyle name="Normal 2 9 6 2 2 2" xfId="27965"/>
    <cellStyle name="Normal 2 9 6 2 3" xfId="25453"/>
    <cellStyle name="Normal 2 9 6 3" xfId="22731"/>
    <cellStyle name="Normal 2 9 6 3 2" xfId="27964"/>
    <cellStyle name="Normal 2 9 6 4" xfId="25452"/>
    <cellStyle name="Normal 2 9 7" xfId="7249"/>
    <cellStyle name="Normal 2 9 7 2" xfId="7250"/>
    <cellStyle name="Normal 2 9 7 2 2" xfId="22734"/>
    <cellStyle name="Normal 2 9 7 2 2 2" xfId="27967"/>
    <cellStyle name="Normal 2 9 7 2 3" xfId="25455"/>
    <cellStyle name="Normal 2 9 7 3" xfId="22733"/>
    <cellStyle name="Normal 2 9 7 3 2" xfId="27966"/>
    <cellStyle name="Normal 2 9 7 4" xfId="25454"/>
    <cellStyle name="Normal 2 9 8" xfId="7251"/>
    <cellStyle name="Normal 2 9 8 2" xfId="22735"/>
    <cellStyle name="Normal 2 9 8 2 2" xfId="27968"/>
    <cellStyle name="Normal 2 9 8 3" xfId="25456"/>
    <cellStyle name="Normal 2 9 9" xfId="22702"/>
    <cellStyle name="Normal 2 9 9 2" xfId="27935"/>
    <cellStyle name="Normal 2 9_DeltaViewer" xfId="7252"/>
    <cellStyle name="Normal 2_12.05.29 AngloAmericaCCY ASW 7Y" xfId="7253"/>
    <cellStyle name="Normal 20" xfId="7254"/>
    <cellStyle name="Normal 20 10" xfId="7255"/>
    <cellStyle name="Normal 20 10 2" xfId="22737"/>
    <cellStyle name="Normal 20 10 2 2" xfId="27970"/>
    <cellStyle name="Normal 20 10 3" xfId="25458"/>
    <cellStyle name="Normal 20 11" xfId="22736"/>
    <cellStyle name="Normal 20 11 2" xfId="27969"/>
    <cellStyle name="Normal 20 12" xfId="25457"/>
    <cellStyle name="Normal 20 2" xfId="7256"/>
    <cellStyle name="Normal 20 2 10" xfId="25459"/>
    <cellStyle name="Normal 20 2 2" xfId="7257"/>
    <cellStyle name="Normal 20 2 2 2" xfId="7258"/>
    <cellStyle name="Normal 20 2 2 2 2" xfId="7259"/>
    <cellStyle name="Normal 20 2 2 2 2 2" xfId="7260"/>
    <cellStyle name="Normal 20 2 2 2 2 2 2" xfId="22742"/>
    <cellStyle name="Normal 20 2 2 2 2 2 2 2" xfId="27975"/>
    <cellStyle name="Normal 20 2 2 2 2 2 3" xfId="25463"/>
    <cellStyle name="Normal 20 2 2 2 2 3" xfId="22741"/>
    <cellStyle name="Normal 20 2 2 2 2 3 2" xfId="27974"/>
    <cellStyle name="Normal 20 2 2 2 2 4" xfId="25462"/>
    <cellStyle name="Normal 20 2 2 2 3" xfId="7261"/>
    <cellStyle name="Normal 20 2 2 2 3 2" xfId="22743"/>
    <cellStyle name="Normal 20 2 2 2 3 2 2" xfId="27976"/>
    <cellStyle name="Normal 20 2 2 2 3 3" xfId="25464"/>
    <cellStyle name="Normal 20 2 2 2 4" xfId="22740"/>
    <cellStyle name="Normal 20 2 2 2 4 2" xfId="27973"/>
    <cellStyle name="Normal 20 2 2 2 5" xfId="25461"/>
    <cellStyle name="Normal 20 2 2 2_DeltaViewer" xfId="7262"/>
    <cellStyle name="Normal 20 2 2 3" xfId="7263"/>
    <cellStyle name="Normal 20 2 2 3 2" xfId="7264"/>
    <cellStyle name="Normal 20 2 2 3 2 2" xfId="22745"/>
    <cellStyle name="Normal 20 2 2 3 2 2 2" xfId="27978"/>
    <cellStyle name="Normal 20 2 2 3 2 3" xfId="25466"/>
    <cellStyle name="Normal 20 2 2 3 3" xfId="22744"/>
    <cellStyle name="Normal 20 2 2 3 3 2" xfId="27977"/>
    <cellStyle name="Normal 20 2 2 3 4" xfId="25465"/>
    <cellStyle name="Normal 20 2 2 4" xfId="7265"/>
    <cellStyle name="Normal 20 2 2 4 2" xfId="22746"/>
    <cellStyle name="Normal 20 2 2 4 2 2" xfId="27979"/>
    <cellStyle name="Normal 20 2 2 4 3" xfId="25467"/>
    <cellStyle name="Normal 20 2 2 5" xfId="22739"/>
    <cellStyle name="Normal 20 2 2 5 2" xfId="27972"/>
    <cellStyle name="Normal 20 2 2 6" xfId="25460"/>
    <cellStyle name="Normal 20 2 2_DeltaViewer" xfId="7266"/>
    <cellStyle name="Normal 20 2 3" xfId="7267"/>
    <cellStyle name="Normal 20 2 3 2" xfId="7268"/>
    <cellStyle name="Normal 20 2 3 2 2" xfId="7269"/>
    <cellStyle name="Normal 20 2 3 2 2 2" xfId="7270"/>
    <cellStyle name="Normal 20 2 3 2 2 2 2" xfId="22750"/>
    <cellStyle name="Normal 20 2 3 2 2 2 2 2" xfId="27983"/>
    <cellStyle name="Normal 20 2 3 2 2 2 3" xfId="25471"/>
    <cellStyle name="Normal 20 2 3 2 2 3" xfId="22749"/>
    <cellStyle name="Normal 20 2 3 2 2 3 2" xfId="27982"/>
    <cellStyle name="Normal 20 2 3 2 2 4" xfId="25470"/>
    <cellStyle name="Normal 20 2 3 2 3" xfId="7271"/>
    <cellStyle name="Normal 20 2 3 2 3 2" xfId="22751"/>
    <cellStyle name="Normal 20 2 3 2 3 2 2" xfId="27984"/>
    <cellStyle name="Normal 20 2 3 2 3 3" xfId="25472"/>
    <cellStyle name="Normal 20 2 3 2 4" xfId="22748"/>
    <cellStyle name="Normal 20 2 3 2 4 2" xfId="27981"/>
    <cellStyle name="Normal 20 2 3 2 5" xfId="25469"/>
    <cellStyle name="Normal 20 2 3 2_DeltaViewer" xfId="7272"/>
    <cellStyle name="Normal 20 2 3 3" xfId="7273"/>
    <cellStyle name="Normal 20 2 3 3 2" xfId="7274"/>
    <cellStyle name="Normal 20 2 3 3 2 2" xfId="22753"/>
    <cellStyle name="Normal 20 2 3 3 2 2 2" xfId="27986"/>
    <cellStyle name="Normal 20 2 3 3 2 3" xfId="25474"/>
    <cellStyle name="Normal 20 2 3 3 3" xfId="22752"/>
    <cellStyle name="Normal 20 2 3 3 3 2" xfId="27985"/>
    <cellStyle name="Normal 20 2 3 3 4" xfId="25473"/>
    <cellStyle name="Normal 20 2 3 4" xfId="7275"/>
    <cellStyle name="Normal 20 2 3 4 2" xfId="22754"/>
    <cellStyle name="Normal 20 2 3 4 2 2" xfId="27987"/>
    <cellStyle name="Normal 20 2 3 4 3" xfId="25475"/>
    <cellStyle name="Normal 20 2 3 5" xfId="22747"/>
    <cellStyle name="Normal 20 2 3 5 2" xfId="27980"/>
    <cellStyle name="Normal 20 2 3 6" xfId="25468"/>
    <cellStyle name="Normal 20 2 3_DeltaViewer" xfId="7276"/>
    <cellStyle name="Normal 20 2 4" xfId="7277"/>
    <cellStyle name="Normal 20 2 4 2" xfId="7278"/>
    <cellStyle name="Normal 20 2 4 2 2" xfId="7279"/>
    <cellStyle name="Normal 20 2 4 2 2 2" xfId="7280"/>
    <cellStyle name="Normal 20 2 4 2 2 2 2" xfId="22758"/>
    <cellStyle name="Normal 20 2 4 2 2 2 2 2" xfId="27991"/>
    <cellStyle name="Normal 20 2 4 2 2 2 3" xfId="25479"/>
    <cellStyle name="Normal 20 2 4 2 2 3" xfId="22757"/>
    <cellStyle name="Normal 20 2 4 2 2 3 2" xfId="27990"/>
    <cellStyle name="Normal 20 2 4 2 2 4" xfId="25478"/>
    <cellStyle name="Normal 20 2 4 2 3" xfId="7281"/>
    <cellStyle name="Normal 20 2 4 2 3 2" xfId="22759"/>
    <cellStyle name="Normal 20 2 4 2 3 2 2" xfId="27992"/>
    <cellStyle name="Normal 20 2 4 2 3 3" xfId="25480"/>
    <cellStyle name="Normal 20 2 4 2 4" xfId="22756"/>
    <cellStyle name="Normal 20 2 4 2 4 2" xfId="27989"/>
    <cellStyle name="Normal 20 2 4 2 5" xfId="25477"/>
    <cellStyle name="Normal 20 2 4 2_DeltaViewer" xfId="7282"/>
    <cellStyle name="Normal 20 2 4 3" xfId="7283"/>
    <cellStyle name="Normal 20 2 4 3 2" xfId="7284"/>
    <cellStyle name="Normal 20 2 4 3 2 2" xfId="22761"/>
    <cellStyle name="Normal 20 2 4 3 2 2 2" xfId="27994"/>
    <cellStyle name="Normal 20 2 4 3 2 3" xfId="25482"/>
    <cellStyle name="Normal 20 2 4 3 3" xfId="22760"/>
    <cellStyle name="Normal 20 2 4 3 3 2" xfId="27993"/>
    <cellStyle name="Normal 20 2 4 3 4" xfId="25481"/>
    <cellStyle name="Normal 20 2 4 4" xfId="7285"/>
    <cellStyle name="Normal 20 2 4 4 2" xfId="22762"/>
    <cellStyle name="Normal 20 2 4 4 2 2" xfId="27995"/>
    <cellStyle name="Normal 20 2 4 4 3" xfId="25483"/>
    <cellStyle name="Normal 20 2 4 5" xfId="22755"/>
    <cellStyle name="Normal 20 2 4 5 2" xfId="27988"/>
    <cellStyle name="Normal 20 2 4 6" xfId="25476"/>
    <cellStyle name="Normal 20 2 4_DeltaViewer" xfId="7286"/>
    <cellStyle name="Normal 20 2 5" xfId="7287"/>
    <cellStyle name="Normal 20 2 5 2" xfId="7288"/>
    <cellStyle name="Normal 20 2 5 2 2" xfId="7289"/>
    <cellStyle name="Normal 20 2 5 2 2 2" xfId="22765"/>
    <cellStyle name="Normal 20 2 5 2 2 2 2" xfId="27998"/>
    <cellStyle name="Normal 20 2 5 2 2 3" xfId="25486"/>
    <cellStyle name="Normal 20 2 5 2 3" xfId="22764"/>
    <cellStyle name="Normal 20 2 5 2 3 2" xfId="27997"/>
    <cellStyle name="Normal 20 2 5 2 4" xfId="25485"/>
    <cellStyle name="Normal 20 2 5 3" xfId="7290"/>
    <cellStyle name="Normal 20 2 5 3 2" xfId="22766"/>
    <cellStyle name="Normal 20 2 5 3 2 2" xfId="27999"/>
    <cellStyle name="Normal 20 2 5 3 3" xfId="25487"/>
    <cellStyle name="Normal 20 2 5 4" xfId="22763"/>
    <cellStyle name="Normal 20 2 5 4 2" xfId="27996"/>
    <cellStyle name="Normal 20 2 5 5" xfId="25484"/>
    <cellStyle name="Normal 20 2 5_DeltaViewer" xfId="7291"/>
    <cellStyle name="Normal 20 2 6" xfId="7292"/>
    <cellStyle name="Normal 20 2 6 2" xfId="7293"/>
    <cellStyle name="Normal 20 2 6 2 2" xfId="22768"/>
    <cellStyle name="Normal 20 2 6 2 2 2" xfId="28001"/>
    <cellStyle name="Normal 20 2 6 2 3" xfId="25489"/>
    <cellStyle name="Normal 20 2 6 3" xfId="22767"/>
    <cellStyle name="Normal 20 2 6 3 2" xfId="28000"/>
    <cellStyle name="Normal 20 2 6 4" xfId="25488"/>
    <cellStyle name="Normal 20 2 7" xfId="7294"/>
    <cellStyle name="Normal 20 2 7 2" xfId="7295"/>
    <cellStyle name="Normal 20 2 7 2 2" xfId="22770"/>
    <cellStyle name="Normal 20 2 7 2 2 2" xfId="28003"/>
    <cellStyle name="Normal 20 2 7 2 3" xfId="25491"/>
    <cellStyle name="Normal 20 2 7 3" xfId="22769"/>
    <cellStyle name="Normal 20 2 7 3 2" xfId="28002"/>
    <cellStyle name="Normal 20 2 7 4" xfId="25490"/>
    <cellStyle name="Normal 20 2 8" xfId="7296"/>
    <cellStyle name="Normal 20 2 8 2" xfId="22771"/>
    <cellStyle name="Normal 20 2 8 2 2" xfId="28004"/>
    <cellStyle name="Normal 20 2 8 3" xfId="25492"/>
    <cellStyle name="Normal 20 2 9" xfId="22738"/>
    <cellStyle name="Normal 20 2 9 2" xfId="27971"/>
    <cellStyle name="Normal 20 2_DeltaViewer" xfId="7297"/>
    <cellStyle name="Normal 20 3" xfId="7298"/>
    <cellStyle name="Normal 20 3 10" xfId="25493"/>
    <cellStyle name="Normal 20 3 2" xfId="7299"/>
    <cellStyle name="Normal 20 3 2 2" xfId="7300"/>
    <cellStyle name="Normal 20 3 2 2 2" xfId="7301"/>
    <cellStyle name="Normal 20 3 2 2 2 2" xfId="7302"/>
    <cellStyle name="Normal 20 3 2 2 2 2 2" xfId="22776"/>
    <cellStyle name="Normal 20 3 2 2 2 2 2 2" xfId="28009"/>
    <cellStyle name="Normal 20 3 2 2 2 2 3" xfId="25497"/>
    <cellStyle name="Normal 20 3 2 2 2 3" xfId="22775"/>
    <cellStyle name="Normal 20 3 2 2 2 3 2" xfId="28008"/>
    <cellStyle name="Normal 20 3 2 2 2 4" xfId="25496"/>
    <cellStyle name="Normal 20 3 2 2 3" xfId="7303"/>
    <cellStyle name="Normal 20 3 2 2 3 2" xfId="22777"/>
    <cellStyle name="Normal 20 3 2 2 3 2 2" xfId="28010"/>
    <cellStyle name="Normal 20 3 2 2 3 3" xfId="25498"/>
    <cellStyle name="Normal 20 3 2 2 4" xfId="22774"/>
    <cellStyle name="Normal 20 3 2 2 4 2" xfId="28007"/>
    <cellStyle name="Normal 20 3 2 2 5" xfId="25495"/>
    <cellStyle name="Normal 20 3 2 2_DeltaViewer" xfId="7304"/>
    <cellStyle name="Normal 20 3 2 3" xfId="7305"/>
    <cellStyle name="Normal 20 3 2 3 2" xfId="7306"/>
    <cellStyle name="Normal 20 3 2 3 2 2" xfId="22779"/>
    <cellStyle name="Normal 20 3 2 3 2 2 2" xfId="28012"/>
    <cellStyle name="Normal 20 3 2 3 2 3" xfId="25500"/>
    <cellStyle name="Normal 20 3 2 3 3" xfId="22778"/>
    <cellStyle name="Normal 20 3 2 3 3 2" xfId="28011"/>
    <cellStyle name="Normal 20 3 2 3 4" xfId="25499"/>
    <cellStyle name="Normal 20 3 2 4" xfId="7307"/>
    <cellStyle name="Normal 20 3 2 4 2" xfId="22780"/>
    <cellStyle name="Normal 20 3 2 4 2 2" xfId="28013"/>
    <cellStyle name="Normal 20 3 2 4 3" xfId="25501"/>
    <cellStyle name="Normal 20 3 2 5" xfId="22773"/>
    <cellStyle name="Normal 20 3 2 5 2" xfId="28006"/>
    <cellStyle name="Normal 20 3 2 6" xfId="25494"/>
    <cellStyle name="Normal 20 3 2_DeltaViewer" xfId="7308"/>
    <cellStyle name="Normal 20 3 3" xfId="7309"/>
    <cellStyle name="Normal 20 3 3 2" xfId="7310"/>
    <cellStyle name="Normal 20 3 3 2 2" xfId="7311"/>
    <cellStyle name="Normal 20 3 3 2 2 2" xfId="7312"/>
    <cellStyle name="Normal 20 3 3 2 2 2 2" xfId="22784"/>
    <cellStyle name="Normal 20 3 3 2 2 2 2 2" xfId="28017"/>
    <cellStyle name="Normal 20 3 3 2 2 2 3" xfId="25505"/>
    <cellStyle name="Normal 20 3 3 2 2 3" xfId="22783"/>
    <cellStyle name="Normal 20 3 3 2 2 3 2" xfId="28016"/>
    <cellStyle name="Normal 20 3 3 2 2 4" xfId="25504"/>
    <cellStyle name="Normal 20 3 3 2 3" xfId="7313"/>
    <cellStyle name="Normal 20 3 3 2 3 2" xfId="22785"/>
    <cellStyle name="Normal 20 3 3 2 3 2 2" xfId="28018"/>
    <cellStyle name="Normal 20 3 3 2 3 3" xfId="25506"/>
    <cellStyle name="Normal 20 3 3 2 4" xfId="22782"/>
    <cellStyle name="Normal 20 3 3 2 4 2" xfId="28015"/>
    <cellStyle name="Normal 20 3 3 2 5" xfId="25503"/>
    <cellStyle name="Normal 20 3 3 2_DeltaViewer" xfId="7314"/>
    <cellStyle name="Normal 20 3 3 3" xfId="7315"/>
    <cellStyle name="Normal 20 3 3 3 2" xfId="7316"/>
    <cellStyle name="Normal 20 3 3 3 2 2" xfId="22787"/>
    <cellStyle name="Normal 20 3 3 3 2 2 2" xfId="28020"/>
    <cellStyle name="Normal 20 3 3 3 2 3" xfId="25508"/>
    <cellStyle name="Normal 20 3 3 3 3" xfId="22786"/>
    <cellStyle name="Normal 20 3 3 3 3 2" xfId="28019"/>
    <cellStyle name="Normal 20 3 3 3 4" xfId="25507"/>
    <cellStyle name="Normal 20 3 3 4" xfId="7317"/>
    <cellStyle name="Normal 20 3 3 4 2" xfId="22788"/>
    <cellStyle name="Normal 20 3 3 4 2 2" xfId="28021"/>
    <cellStyle name="Normal 20 3 3 4 3" xfId="25509"/>
    <cellStyle name="Normal 20 3 3 5" xfId="22781"/>
    <cellStyle name="Normal 20 3 3 5 2" xfId="28014"/>
    <cellStyle name="Normal 20 3 3 6" xfId="25502"/>
    <cellStyle name="Normal 20 3 3_DeltaViewer" xfId="7318"/>
    <cellStyle name="Normal 20 3 4" xfId="7319"/>
    <cellStyle name="Normal 20 3 4 2" xfId="7320"/>
    <cellStyle name="Normal 20 3 4 2 2" xfId="7321"/>
    <cellStyle name="Normal 20 3 4 2 2 2" xfId="7322"/>
    <cellStyle name="Normal 20 3 4 2 2 2 2" xfId="22792"/>
    <cellStyle name="Normal 20 3 4 2 2 2 2 2" xfId="28025"/>
    <cellStyle name="Normal 20 3 4 2 2 2 3" xfId="25513"/>
    <cellStyle name="Normal 20 3 4 2 2 3" xfId="22791"/>
    <cellStyle name="Normal 20 3 4 2 2 3 2" xfId="28024"/>
    <cellStyle name="Normal 20 3 4 2 2 4" xfId="25512"/>
    <cellStyle name="Normal 20 3 4 2 3" xfId="7323"/>
    <cellStyle name="Normal 20 3 4 2 3 2" xfId="22793"/>
    <cellStyle name="Normal 20 3 4 2 3 2 2" xfId="28026"/>
    <cellStyle name="Normal 20 3 4 2 3 3" xfId="25514"/>
    <cellStyle name="Normal 20 3 4 2 4" xfId="22790"/>
    <cellStyle name="Normal 20 3 4 2 4 2" xfId="28023"/>
    <cellStyle name="Normal 20 3 4 2 5" xfId="25511"/>
    <cellStyle name="Normal 20 3 4 2_DeltaViewer" xfId="7324"/>
    <cellStyle name="Normal 20 3 4 3" xfId="7325"/>
    <cellStyle name="Normal 20 3 4 3 2" xfId="7326"/>
    <cellStyle name="Normal 20 3 4 3 2 2" xfId="22795"/>
    <cellStyle name="Normal 20 3 4 3 2 2 2" xfId="28028"/>
    <cellStyle name="Normal 20 3 4 3 2 3" xfId="25516"/>
    <cellStyle name="Normal 20 3 4 3 3" xfId="22794"/>
    <cellStyle name="Normal 20 3 4 3 3 2" xfId="28027"/>
    <cellStyle name="Normal 20 3 4 3 4" xfId="25515"/>
    <cellStyle name="Normal 20 3 4 4" xfId="7327"/>
    <cellStyle name="Normal 20 3 4 4 2" xfId="22796"/>
    <cellStyle name="Normal 20 3 4 4 2 2" xfId="28029"/>
    <cellStyle name="Normal 20 3 4 4 3" xfId="25517"/>
    <cellStyle name="Normal 20 3 4 5" xfId="22789"/>
    <cellStyle name="Normal 20 3 4 5 2" xfId="28022"/>
    <cellStyle name="Normal 20 3 4 6" xfId="25510"/>
    <cellStyle name="Normal 20 3 4_DeltaViewer" xfId="7328"/>
    <cellStyle name="Normal 20 3 5" xfId="7329"/>
    <cellStyle name="Normal 20 3 5 2" xfId="7330"/>
    <cellStyle name="Normal 20 3 5 2 2" xfId="7331"/>
    <cellStyle name="Normal 20 3 5 2 2 2" xfId="22799"/>
    <cellStyle name="Normal 20 3 5 2 2 2 2" xfId="28032"/>
    <cellStyle name="Normal 20 3 5 2 2 3" xfId="25520"/>
    <cellStyle name="Normal 20 3 5 2 3" xfId="22798"/>
    <cellStyle name="Normal 20 3 5 2 3 2" xfId="28031"/>
    <cellStyle name="Normal 20 3 5 2 4" xfId="25519"/>
    <cellStyle name="Normal 20 3 5 3" xfId="7332"/>
    <cellStyle name="Normal 20 3 5 3 2" xfId="22800"/>
    <cellStyle name="Normal 20 3 5 3 2 2" xfId="28033"/>
    <cellStyle name="Normal 20 3 5 3 3" xfId="25521"/>
    <cellStyle name="Normal 20 3 5 4" xfId="22797"/>
    <cellStyle name="Normal 20 3 5 4 2" xfId="28030"/>
    <cellStyle name="Normal 20 3 5 5" xfId="25518"/>
    <cellStyle name="Normal 20 3 5_DeltaViewer" xfId="7333"/>
    <cellStyle name="Normal 20 3 6" xfId="7334"/>
    <cellStyle name="Normal 20 3 6 2" xfId="7335"/>
    <cellStyle name="Normal 20 3 6 2 2" xfId="22802"/>
    <cellStyle name="Normal 20 3 6 2 2 2" xfId="28035"/>
    <cellStyle name="Normal 20 3 6 2 3" xfId="25523"/>
    <cellStyle name="Normal 20 3 6 3" xfId="22801"/>
    <cellStyle name="Normal 20 3 6 3 2" xfId="28034"/>
    <cellStyle name="Normal 20 3 6 4" xfId="25522"/>
    <cellStyle name="Normal 20 3 7" xfId="7336"/>
    <cellStyle name="Normal 20 3 7 2" xfId="7337"/>
    <cellStyle name="Normal 20 3 7 2 2" xfId="22804"/>
    <cellStyle name="Normal 20 3 7 2 2 2" xfId="28037"/>
    <cellStyle name="Normal 20 3 7 2 3" xfId="25525"/>
    <cellStyle name="Normal 20 3 7 3" xfId="22803"/>
    <cellStyle name="Normal 20 3 7 3 2" xfId="28036"/>
    <cellStyle name="Normal 20 3 7 4" xfId="25524"/>
    <cellStyle name="Normal 20 3 8" xfId="7338"/>
    <cellStyle name="Normal 20 3 8 2" xfId="22805"/>
    <cellStyle name="Normal 20 3 8 2 2" xfId="28038"/>
    <cellStyle name="Normal 20 3 8 3" xfId="25526"/>
    <cellStyle name="Normal 20 3 9" xfId="22772"/>
    <cellStyle name="Normal 20 3 9 2" xfId="28005"/>
    <cellStyle name="Normal 20 3_DeltaViewer" xfId="7339"/>
    <cellStyle name="Normal 20 4" xfId="7340"/>
    <cellStyle name="Normal 20 4 2" xfId="7341"/>
    <cellStyle name="Normal 20 4 2 2" xfId="7342"/>
    <cellStyle name="Normal 20 4 2 2 2" xfId="7343"/>
    <cellStyle name="Normal 20 4 2 2 2 2" xfId="22809"/>
    <cellStyle name="Normal 20 4 2 2 2 2 2" xfId="28042"/>
    <cellStyle name="Normal 20 4 2 2 2 3" xfId="25530"/>
    <cellStyle name="Normal 20 4 2 2 3" xfId="22808"/>
    <cellStyle name="Normal 20 4 2 2 3 2" xfId="28041"/>
    <cellStyle name="Normal 20 4 2 2 4" xfId="25529"/>
    <cellStyle name="Normal 20 4 2 3" xfId="7344"/>
    <cellStyle name="Normal 20 4 2 3 2" xfId="22810"/>
    <cellStyle name="Normal 20 4 2 3 2 2" xfId="28043"/>
    <cellStyle name="Normal 20 4 2 3 3" xfId="25531"/>
    <cellStyle name="Normal 20 4 2 4" xfId="22807"/>
    <cellStyle name="Normal 20 4 2 4 2" xfId="28040"/>
    <cellStyle name="Normal 20 4 2 5" xfId="25528"/>
    <cellStyle name="Normal 20 4 2_DeltaViewer" xfId="7345"/>
    <cellStyle name="Normal 20 4 3" xfId="7346"/>
    <cellStyle name="Normal 20 4 3 2" xfId="7347"/>
    <cellStyle name="Normal 20 4 3 2 2" xfId="22812"/>
    <cellStyle name="Normal 20 4 3 2 2 2" xfId="28045"/>
    <cellStyle name="Normal 20 4 3 2 3" xfId="25533"/>
    <cellStyle name="Normal 20 4 3 3" xfId="22811"/>
    <cellStyle name="Normal 20 4 3 3 2" xfId="28044"/>
    <cellStyle name="Normal 20 4 3 4" xfId="25532"/>
    <cellStyle name="Normal 20 4 4" xfId="7348"/>
    <cellStyle name="Normal 20 4 4 2" xfId="22813"/>
    <cellStyle name="Normal 20 4 4 2 2" xfId="28046"/>
    <cellStyle name="Normal 20 4 4 3" xfId="25534"/>
    <cellStyle name="Normal 20 4 5" xfId="22806"/>
    <cellStyle name="Normal 20 4 5 2" xfId="28039"/>
    <cellStyle name="Normal 20 4 6" xfId="25527"/>
    <cellStyle name="Normal 20 4_DeltaViewer" xfId="7349"/>
    <cellStyle name="Normal 20 5" xfId="7350"/>
    <cellStyle name="Normal 20 5 2" xfId="7351"/>
    <cellStyle name="Normal 20 5 2 2" xfId="7352"/>
    <cellStyle name="Normal 20 5 2 2 2" xfId="7353"/>
    <cellStyle name="Normal 20 5 2 2 2 2" xfId="22817"/>
    <cellStyle name="Normal 20 5 2 2 2 2 2" xfId="28050"/>
    <cellStyle name="Normal 20 5 2 2 2 3" xfId="25538"/>
    <cellStyle name="Normal 20 5 2 2 3" xfId="22816"/>
    <cellStyle name="Normal 20 5 2 2 3 2" xfId="28049"/>
    <cellStyle name="Normal 20 5 2 2 4" xfId="25537"/>
    <cellStyle name="Normal 20 5 2 3" xfId="7354"/>
    <cellStyle name="Normal 20 5 2 3 2" xfId="22818"/>
    <cellStyle name="Normal 20 5 2 3 2 2" xfId="28051"/>
    <cellStyle name="Normal 20 5 2 3 3" xfId="25539"/>
    <cellStyle name="Normal 20 5 2 4" xfId="22815"/>
    <cellStyle name="Normal 20 5 2 4 2" xfId="28048"/>
    <cellStyle name="Normal 20 5 2 5" xfId="25536"/>
    <cellStyle name="Normal 20 5 2_DeltaViewer" xfId="7355"/>
    <cellStyle name="Normal 20 5 3" xfId="7356"/>
    <cellStyle name="Normal 20 5 3 2" xfId="7357"/>
    <cellStyle name="Normal 20 5 3 2 2" xfId="22820"/>
    <cellStyle name="Normal 20 5 3 2 2 2" xfId="28053"/>
    <cellStyle name="Normal 20 5 3 2 3" xfId="25541"/>
    <cellStyle name="Normal 20 5 3 3" xfId="22819"/>
    <cellStyle name="Normal 20 5 3 3 2" xfId="28052"/>
    <cellStyle name="Normal 20 5 3 4" xfId="25540"/>
    <cellStyle name="Normal 20 5 4" xfId="7358"/>
    <cellStyle name="Normal 20 5 4 2" xfId="22821"/>
    <cellStyle name="Normal 20 5 4 2 2" xfId="28054"/>
    <cellStyle name="Normal 20 5 4 3" xfId="25542"/>
    <cellStyle name="Normal 20 5 5" xfId="22814"/>
    <cellStyle name="Normal 20 5 5 2" xfId="28047"/>
    <cellStyle name="Normal 20 5 6" xfId="25535"/>
    <cellStyle name="Normal 20 5_DeltaViewer" xfId="7359"/>
    <cellStyle name="Normal 20 6" xfId="7360"/>
    <cellStyle name="Normal 20 6 2" xfId="7361"/>
    <cellStyle name="Normal 20 6 2 2" xfId="7362"/>
    <cellStyle name="Normal 20 6 2 2 2" xfId="7363"/>
    <cellStyle name="Normal 20 6 2 2 2 2" xfId="22825"/>
    <cellStyle name="Normal 20 6 2 2 2 2 2" xfId="28058"/>
    <cellStyle name="Normal 20 6 2 2 2 3" xfId="25546"/>
    <cellStyle name="Normal 20 6 2 2 3" xfId="22824"/>
    <cellStyle name="Normal 20 6 2 2 3 2" xfId="28057"/>
    <cellStyle name="Normal 20 6 2 2 4" xfId="25545"/>
    <cellStyle name="Normal 20 6 2 3" xfId="7364"/>
    <cellStyle name="Normal 20 6 2 3 2" xfId="22826"/>
    <cellStyle name="Normal 20 6 2 3 2 2" xfId="28059"/>
    <cellStyle name="Normal 20 6 2 3 3" xfId="25547"/>
    <cellStyle name="Normal 20 6 2 4" xfId="22823"/>
    <cellStyle name="Normal 20 6 2 4 2" xfId="28056"/>
    <cellStyle name="Normal 20 6 2 5" xfId="25544"/>
    <cellStyle name="Normal 20 6 2_DeltaViewer" xfId="7365"/>
    <cellStyle name="Normal 20 6 3" xfId="7366"/>
    <cellStyle name="Normal 20 6 3 2" xfId="7367"/>
    <cellStyle name="Normal 20 6 3 2 2" xfId="22828"/>
    <cellStyle name="Normal 20 6 3 2 2 2" xfId="28061"/>
    <cellStyle name="Normal 20 6 3 2 3" xfId="25549"/>
    <cellStyle name="Normal 20 6 3 3" xfId="22827"/>
    <cellStyle name="Normal 20 6 3 3 2" xfId="28060"/>
    <cellStyle name="Normal 20 6 3 4" xfId="25548"/>
    <cellStyle name="Normal 20 6 4" xfId="7368"/>
    <cellStyle name="Normal 20 6 4 2" xfId="22829"/>
    <cellStyle name="Normal 20 6 4 2 2" xfId="28062"/>
    <cellStyle name="Normal 20 6 4 3" xfId="25550"/>
    <cellStyle name="Normal 20 6 5" xfId="22822"/>
    <cellStyle name="Normal 20 6 5 2" xfId="28055"/>
    <cellStyle name="Normal 20 6 6" xfId="25543"/>
    <cellStyle name="Normal 20 6_DeltaViewer" xfId="7369"/>
    <cellStyle name="Normal 20 7" xfId="7370"/>
    <cellStyle name="Normal 20 7 2" xfId="7371"/>
    <cellStyle name="Normal 20 7 2 2" xfId="7372"/>
    <cellStyle name="Normal 20 7 2 2 2" xfId="22832"/>
    <cellStyle name="Normal 20 7 2 2 2 2" xfId="28065"/>
    <cellStyle name="Normal 20 7 2 2 3" xfId="25553"/>
    <cellStyle name="Normal 20 7 2 3" xfId="22831"/>
    <cellStyle name="Normal 20 7 2 3 2" xfId="28064"/>
    <cellStyle name="Normal 20 7 2 4" xfId="25552"/>
    <cellStyle name="Normal 20 7 3" xfId="7373"/>
    <cellStyle name="Normal 20 7 3 2" xfId="22833"/>
    <cellStyle name="Normal 20 7 3 2 2" xfId="28066"/>
    <cellStyle name="Normal 20 7 3 3" xfId="25554"/>
    <cellStyle name="Normal 20 7 4" xfId="22830"/>
    <cellStyle name="Normal 20 7 4 2" xfId="28063"/>
    <cellStyle name="Normal 20 7 5" xfId="25551"/>
    <cellStyle name="Normal 20 7_DeltaViewer" xfId="7374"/>
    <cellStyle name="Normal 20 8" xfId="7375"/>
    <cellStyle name="Normal 20 8 2" xfId="7376"/>
    <cellStyle name="Normal 20 8 2 2" xfId="22835"/>
    <cellStyle name="Normal 20 8 2 2 2" xfId="28068"/>
    <cellStyle name="Normal 20 8 2 3" xfId="25556"/>
    <cellStyle name="Normal 20 8 3" xfId="22834"/>
    <cellStyle name="Normal 20 8 3 2" xfId="28067"/>
    <cellStyle name="Normal 20 8 4" xfId="25555"/>
    <cellStyle name="Normal 20 9" xfId="7377"/>
    <cellStyle name="Normal 20 9 2" xfId="7378"/>
    <cellStyle name="Normal 20 9 2 2" xfId="22837"/>
    <cellStyle name="Normal 20 9 2 2 2" xfId="28070"/>
    <cellStyle name="Normal 20 9 2 3" xfId="25558"/>
    <cellStyle name="Normal 20 9 3" xfId="22836"/>
    <cellStyle name="Normal 20 9 3 2" xfId="28069"/>
    <cellStyle name="Normal 20 9 4" xfId="25557"/>
    <cellStyle name="Normal 20_DeltaViewer" xfId="7379"/>
    <cellStyle name="Normal 21" xfId="7380"/>
    <cellStyle name="Normal 21 10" xfId="7381"/>
    <cellStyle name="Normal 21 10 2" xfId="22839"/>
    <cellStyle name="Normal 21 10 2 2" xfId="28072"/>
    <cellStyle name="Normal 21 10 3" xfId="25560"/>
    <cellStyle name="Normal 21 11" xfId="22838"/>
    <cellStyle name="Normal 21 11 2" xfId="28071"/>
    <cellStyle name="Normal 21 12" xfId="25559"/>
    <cellStyle name="Normal 21 2" xfId="7382"/>
    <cellStyle name="Normal 21 2 10" xfId="25561"/>
    <cellStyle name="Normal 21 2 2" xfId="7383"/>
    <cellStyle name="Normal 21 2 2 2" xfId="7384"/>
    <cellStyle name="Normal 21 2 2 2 2" xfId="7385"/>
    <cellStyle name="Normal 21 2 2 2 2 2" xfId="7386"/>
    <cellStyle name="Normal 21 2 2 2 2 2 2" xfId="22844"/>
    <cellStyle name="Normal 21 2 2 2 2 2 2 2" xfId="28077"/>
    <cellStyle name="Normal 21 2 2 2 2 2 3" xfId="25565"/>
    <cellStyle name="Normal 21 2 2 2 2 3" xfId="22843"/>
    <cellStyle name="Normal 21 2 2 2 2 3 2" xfId="28076"/>
    <cellStyle name="Normal 21 2 2 2 2 4" xfId="25564"/>
    <cellStyle name="Normal 21 2 2 2 3" xfId="7387"/>
    <cellStyle name="Normal 21 2 2 2 3 2" xfId="22845"/>
    <cellStyle name="Normal 21 2 2 2 3 2 2" xfId="28078"/>
    <cellStyle name="Normal 21 2 2 2 3 3" xfId="25566"/>
    <cellStyle name="Normal 21 2 2 2 4" xfId="22842"/>
    <cellStyle name="Normal 21 2 2 2 4 2" xfId="28075"/>
    <cellStyle name="Normal 21 2 2 2 5" xfId="25563"/>
    <cellStyle name="Normal 21 2 2 2_DeltaViewer" xfId="7388"/>
    <cellStyle name="Normal 21 2 2 3" xfId="7389"/>
    <cellStyle name="Normal 21 2 2 3 2" xfId="7390"/>
    <cellStyle name="Normal 21 2 2 3 2 2" xfId="22847"/>
    <cellStyle name="Normal 21 2 2 3 2 2 2" xfId="28080"/>
    <cellStyle name="Normal 21 2 2 3 2 3" xfId="25568"/>
    <cellStyle name="Normal 21 2 2 3 3" xfId="22846"/>
    <cellStyle name="Normal 21 2 2 3 3 2" xfId="28079"/>
    <cellStyle name="Normal 21 2 2 3 4" xfId="25567"/>
    <cellStyle name="Normal 21 2 2 4" xfId="7391"/>
    <cellStyle name="Normal 21 2 2 4 2" xfId="22848"/>
    <cellStyle name="Normal 21 2 2 4 2 2" xfId="28081"/>
    <cellStyle name="Normal 21 2 2 4 3" xfId="25569"/>
    <cellStyle name="Normal 21 2 2 5" xfId="22841"/>
    <cellStyle name="Normal 21 2 2 5 2" xfId="28074"/>
    <cellStyle name="Normal 21 2 2 6" xfId="25562"/>
    <cellStyle name="Normal 21 2 2_DeltaViewer" xfId="7392"/>
    <cellStyle name="Normal 21 2 3" xfId="7393"/>
    <cellStyle name="Normal 21 2 3 2" xfId="7394"/>
    <cellStyle name="Normal 21 2 3 2 2" xfId="7395"/>
    <cellStyle name="Normal 21 2 3 2 2 2" xfId="7396"/>
    <cellStyle name="Normal 21 2 3 2 2 2 2" xfId="22852"/>
    <cellStyle name="Normal 21 2 3 2 2 2 2 2" xfId="28085"/>
    <cellStyle name="Normal 21 2 3 2 2 2 3" xfId="25573"/>
    <cellStyle name="Normal 21 2 3 2 2 3" xfId="22851"/>
    <cellStyle name="Normal 21 2 3 2 2 3 2" xfId="28084"/>
    <cellStyle name="Normal 21 2 3 2 2 4" xfId="25572"/>
    <cellStyle name="Normal 21 2 3 2 3" xfId="7397"/>
    <cellStyle name="Normal 21 2 3 2 3 2" xfId="22853"/>
    <cellStyle name="Normal 21 2 3 2 3 2 2" xfId="28086"/>
    <cellStyle name="Normal 21 2 3 2 3 3" xfId="25574"/>
    <cellStyle name="Normal 21 2 3 2 4" xfId="22850"/>
    <cellStyle name="Normal 21 2 3 2 4 2" xfId="28083"/>
    <cellStyle name="Normal 21 2 3 2 5" xfId="25571"/>
    <cellStyle name="Normal 21 2 3 2_DeltaViewer" xfId="7398"/>
    <cellStyle name="Normal 21 2 3 3" xfId="7399"/>
    <cellStyle name="Normal 21 2 3 3 2" xfId="7400"/>
    <cellStyle name="Normal 21 2 3 3 2 2" xfId="22855"/>
    <cellStyle name="Normal 21 2 3 3 2 2 2" xfId="28088"/>
    <cellStyle name="Normal 21 2 3 3 2 3" xfId="25576"/>
    <cellStyle name="Normal 21 2 3 3 3" xfId="22854"/>
    <cellStyle name="Normal 21 2 3 3 3 2" xfId="28087"/>
    <cellStyle name="Normal 21 2 3 3 4" xfId="25575"/>
    <cellStyle name="Normal 21 2 3 4" xfId="7401"/>
    <cellStyle name="Normal 21 2 3 4 2" xfId="22856"/>
    <cellStyle name="Normal 21 2 3 4 2 2" xfId="28089"/>
    <cellStyle name="Normal 21 2 3 4 3" xfId="25577"/>
    <cellStyle name="Normal 21 2 3 5" xfId="22849"/>
    <cellStyle name="Normal 21 2 3 5 2" xfId="28082"/>
    <cellStyle name="Normal 21 2 3 6" xfId="25570"/>
    <cellStyle name="Normal 21 2 3_DeltaViewer" xfId="7402"/>
    <cellStyle name="Normal 21 2 4" xfId="7403"/>
    <cellStyle name="Normal 21 2 4 2" xfId="7404"/>
    <cellStyle name="Normal 21 2 4 2 2" xfId="7405"/>
    <cellStyle name="Normal 21 2 4 2 2 2" xfId="7406"/>
    <cellStyle name="Normal 21 2 4 2 2 2 2" xfId="22860"/>
    <cellStyle name="Normal 21 2 4 2 2 2 2 2" xfId="28093"/>
    <cellStyle name="Normal 21 2 4 2 2 2 3" xfId="25581"/>
    <cellStyle name="Normal 21 2 4 2 2 3" xfId="22859"/>
    <cellStyle name="Normal 21 2 4 2 2 3 2" xfId="28092"/>
    <cellStyle name="Normal 21 2 4 2 2 4" xfId="25580"/>
    <cellStyle name="Normal 21 2 4 2 3" xfId="7407"/>
    <cellStyle name="Normal 21 2 4 2 3 2" xfId="22861"/>
    <cellStyle name="Normal 21 2 4 2 3 2 2" xfId="28094"/>
    <cellStyle name="Normal 21 2 4 2 3 3" xfId="25582"/>
    <cellStyle name="Normal 21 2 4 2 4" xfId="22858"/>
    <cellStyle name="Normal 21 2 4 2 4 2" xfId="28091"/>
    <cellStyle name="Normal 21 2 4 2 5" xfId="25579"/>
    <cellStyle name="Normal 21 2 4 2_DeltaViewer" xfId="7408"/>
    <cellStyle name="Normal 21 2 4 3" xfId="7409"/>
    <cellStyle name="Normal 21 2 4 3 2" xfId="7410"/>
    <cellStyle name="Normal 21 2 4 3 2 2" xfId="22863"/>
    <cellStyle name="Normal 21 2 4 3 2 2 2" xfId="28096"/>
    <cellStyle name="Normal 21 2 4 3 2 3" xfId="25584"/>
    <cellStyle name="Normal 21 2 4 3 3" xfId="22862"/>
    <cellStyle name="Normal 21 2 4 3 3 2" xfId="28095"/>
    <cellStyle name="Normal 21 2 4 3 4" xfId="25583"/>
    <cellStyle name="Normal 21 2 4 4" xfId="7411"/>
    <cellStyle name="Normal 21 2 4 4 2" xfId="22864"/>
    <cellStyle name="Normal 21 2 4 4 2 2" xfId="28097"/>
    <cellStyle name="Normal 21 2 4 4 3" xfId="25585"/>
    <cellStyle name="Normal 21 2 4 5" xfId="22857"/>
    <cellStyle name="Normal 21 2 4 5 2" xfId="28090"/>
    <cellStyle name="Normal 21 2 4 6" xfId="25578"/>
    <cellStyle name="Normal 21 2 4_DeltaViewer" xfId="7412"/>
    <cellStyle name="Normal 21 2 5" xfId="7413"/>
    <cellStyle name="Normal 21 2 5 2" xfId="7414"/>
    <cellStyle name="Normal 21 2 5 2 2" xfId="7415"/>
    <cellStyle name="Normal 21 2 5 2 2 2" xfId="22867"/>
    <cellStyle name="Normal 21 2 5 2 2 2 2" xfId="28100"/>
    <cellStyle name="Normal 21 2 5 2 2 3" xfId="25588"/>
    <cellStyle name="Normal 21 2 5 2 3" xfId="22866"/>
    <cellStyle name="Normal 21 2 5 2 3 2" xfId="28099"/>
    <cellStyle name="Normal 21 2 5 2 4" xfId="25587"/>
    <cellStyle name="Normal 21 2 5 3" xfId="7416"/>
    <cellStyle name="Normal 21 2 5 3 2" xfId="22868"/>
    <cellStyle name="Normal 21 2 5 3 2 2" xfId="28101"/>
    <cellStyle name="Normal 21 2 5 3 3" xfId="25589"/>
    <cellStyle name="Normal 21 2 5 4" xfId="22865"/>
    <cellStyle name="Normal 21 2 5 4 2" xfId="28098"/>
    <cellStyle name="Normal 21 2 5 5" xfId="25586"/>
    <cellStyle name="Normal 21 2 5_DeltaViewer" xfId="7417"/>
    <cellStyle name="Normal 21 2 6" xfId="7418"/>
    <cellStyle name="Normal 21 2 6 2" xfId="7419"/>
    <cellStyle name="Normal 21 2 6 2 2" xfId="22870"/>
    <cellStyle name="Normal 21 2 6 2 2 2" xfId="28103"/>
    <cellStyle name="Normal 21 2 6 2 3" xfId="25591"/>
    <cellStyle name="Normal 21 2 6 3" xfId="22869"/>
    <cellStyle name="Normal 21 2 6 3 2" xfId="28102"/>
    <cellStyle name="Normal 21 2 6 4" xfId="25590"/>
    <cellStyle name="Normal 21 2 7" xfId="7420"/>
    <cellStyle name="Normal 21 2 7 2" xfId="7421"/>
    <cellStyle name="Normal 21 2 7 2 2" xfId="22872"/>
    <cellStyle name="Normal 21 2 7 2 2 2" xfId="28105"/>
    <cellStyle name="Normal 21 2 7 2 3" xfId="25593"/>
    <cellStyle name="Normal 21 2 7 3" xfId="22871"/>
    <cellStyle name="Normal 21 2 7 3 2" xfId="28104"/>
    <cellStyle name="Normal 21 2 7 4" xfId="25592"/>
    <cellStyle name="Normal 21 2 8" xfId="7422"/>
    <cellStyle name="Normal 21 2 8 2" xfId="22873"/>
    <cellStyle name="Normal 21 2 8 2 2" xfId="28106"/>
    <cellStyle name="Normal 21 2 8 3" xfId="25594"/>
    <cellStyle name="Normal 21 2 9" xfId="22840"/>
    <cellStyle name="Normal 21 2 9 2" xfId="28073"/>
    <cellStyle name="Normal 21 2_DeltaViewer" xfId="7423"/>
    <cellStyle name="Normal 21 3" xfId="7424"/>
    <cellStyle name="Normal 21 3 10" xfId="25595"/>
    <cellStyle name="Normal 21 3 2" xfId="7425"/>
    <cellStyle name="Normal 21 3 2 2" xfId="7426"/>
    <cellStyle name="Normal 21 3 2 2 2" xfId="7427"/>
    <cellStyle name="Normal 21 3 2 2 2 2" xfId="7428"/>
    <cellStyle name="Normal 21 3 2 2 2 2 2" xfId="22878"/>
    <cellStyle name="Normal 21 3 2 2 2 2 2 2" xfId="28111"/>
    <cellStyle name="Normal 21 3 2 2 2 2 3" xfId="25599"/>
    <cellStyle name="Normal 21 3 2 2 2 3" xfId="22877"/>
    <cellStyle name="Normal 21 3 2 2 2 3 2" xfId="28110"/>
    <cellStyle name="Normal 21 3 2 2 2 4" xfId="25598"/>
    <cellStyle name="Normal 21 3 2 2 3" xfId="7429"/>
    <cellStyle name="Normal 21 3 2 2 3 2" xfId="22879"/>
    <cellStyle name="Normal 21 3 2 2 3 2 2" xfId="28112"/>
    <cellStyle name="Normal 21 3 2 2 3 3" xfId="25600"/>
    <cellStyle name="Normal 21 3 2 2 4" xfId="22876"/>
    <cellStyle name="Normal 21 3 2 2 4 2" xfId="28109"/>
    <cellStyle name="Normal 21 3 2 2 5" xfId="25597"/>
    <cellStyle name="Normal 21 3 2 2_DeltaViewer" xfId="7430"/>
    <cellStyle name="Normal 21 3 2 3" xfId="7431"/>
    <cellStyle name="Normal 21 3 2 3 2" xfId="7432"/>
    <cellStyle name="Normal 21 3 2 3 2 2" xfId="22881"/>
    <cellStyle name="Normal 21 3 2 3 2 2 2" xfId="28114"/>
    <cellStyle name="Normal 21 3 2 3 2 3" xfId="25602"/>
    <cellStyle name="Normal 21 3 2 3 3" xfId="22880"/>
    <cellStyle name="Normal 21 3 2 3 3 2" xfId="28113"/>
    <cellStyle name="Normal 21 3 2 3 4" xfId="25601"/>
    <cellStyle name="Normal 21 3 2 4" xfId="7433"/>
    <cellStyle name="Normal 21 3 2 4 2" xfId="22882"/>
    <cellStyle name="Normal 21 3 2 4 2 2" xfId="28115"/>
    <cellStyle name="Normal 21 3 2 4 3" xfId="25603"/>
    <cellStyle name="Normal 21 3 2 5" xfId="22875"/>
    <cellStyle name="Normal 21 3 2 5 2" xfId="28108"/>
    <cellStyle name="Normal 21 3 2 6" xfId="25596"/>
    <cellStyle name="Normal 21 3 2_DeltaViewer" xfId="7434"/>
    <cellStyle name="Normal 21 3 3" xfId="7435"/>
    <cellStyle name="Normal 21 3 3 2" xfId="7436"/>
    <cellStyle name="Normal 21 3 3 2 2" xfId="7437"/>
    <cellStyle name="Normal 21 3 3 2 2 2" xfId="7438"/>
    <cellStyle name="Normal 21 3 3 2 2 2 2" xfId="22886"/>
    <cellStyle name="Normal 21 3 3 2 2 2 2 2" xfId="28119"/>
    <cellStyle name="Normal 21 3 3 2 2 2 3" xfId="25607"/>
    <cellStyle name="Normal 21 3 3 2 2 3" xfId="22885"/>
    <cellStyle name="Normal 21 3 3 2 2 3 2" xfId="28118"/>
    <cellStyle name="Normal 21 3 3 2 2 4" xfId="25606"/>
    <cellStyle name="Normal 21 3 3 2 3" xfId="7439"/>
    <cellStyle name="Normal 21 3 3 2 3 2" xfId="22887"/>
    <cellStyle name="Normal 21 3 3 2 3 2 2" xfId="28120"/>
    <cellStyle name="Normal 21 3 3 2 3 3" xfId="25608"/>
    <cellStyle name="Normal 21 3 3 2 4" xfId="22884"/>
    <cellStyle name="Normal 21 3 3 2 4 2" xfId="28117"/>
    <cellStyle name="Normal 21 3 3 2 5" xfId="25605"/>
    <cellStyle name="Normal 21 3 3 2_DeltaViewer" xfId="7440"/>
    <cellStyle name="Normal 21 3 3 3" xfId="7441"/>
    <cellStyle name="Normal 21 3 3 3 2" xfId="7442"/>
    <cellStyle name="Normal 21 3 3 3 2 2" xfId="22889"/>
    <cellStyle name="Normal 21 3 3 3 2 2 2" xfId="28122"/>
    <cellStyle name="Normal 21 3 3 3 2 3" xfId="25610"/>
    <cellStyle name="Normal 21 3 3 3 3" xfId="22888"/>
    <cellStyle name="Normal 21 3 3 3 3 2" xfId="28121"/>
    <cellStyle name="Normal 21 3 3 3 4" xfId="25609"/>
    <cellStyle name="Normal 21 3 3 4" xfId="7443"/>
    <cellStyle name="Normal 21 3 3 4 2" xfId="22890"/>
    <cellStyle name="Normal 21 3 3 4 2 2" xfId="28123"/>
    <cellStyle name="Normal 21 3 3 4 3" xfId="25611"/>
    <cellStyle name="Normal 21 3 3 5" xfId="22883"/>
    <cellStyle name="Normal 21 3 3 5 2" xfId="28116"/>
    <cellStyle name="Normal 21 3 3 6" xfId="25604"/>
    <cellStyle name="Normal 21 3 3_DeltaViewer" xfId="7444"/>
    <cellStyle name="Normal 21 3 4" xfId="7445"/>
    <cellStyle name="Normal 21 3 4 2" xfId="7446"/>
    <cellStyle name="Normal 21 3 4 2 2" xfId="7447"/>
    <cellStyle name="Normal 21 3 4 2 2 2" xfId="7448"/>
    <cellStyle name="Normal 21 3 4 2 2 2 2" xfId="22894"/>
    <cellStyle name="Normal 21 3 4 2 2 2 2 2" xfId="28127"/>
    <cellStyle name="Normal 21 3 4 2 2 2 3" xfId="25615"/>
    <cellStyle name="Normal 21 3 4 2 2 3" xfId="22893"/>
    <cellStyle name="Normal 21 3 4 2 2 3 2" xfId="28126"/>
    <cellStyle name="Normal 21 3 4 2 2 4" xfId="25614"/>
    <cellStyle name="Normal 21 3 4 2 3" xfId="7449"/>
    <cellStyle name="Normal 21 3 4 2 3 2" xfId="22895"/>
    <cellStyle name="Normal 21 3 4 2 3 2 2" xfId="28128"/>
    <cellStyle name="Normal 21 3 4 2 3 3" xfId="25616"/>
    <cellStyle name="Normal 21 3 4 2 4" xfId="22892"/>
    <cellStyle name="Normal 21 3 4 2 4 2" xfId="28125"/>
    <cellStyle name="Normal 21 3 4 2 5" xfId="25613"/>
    <cellStyle name="Normal 21 3 4 2_DeltaViewer" xfId="7450"/>
    <cellStyle name="Normal 21 3 4 3" xfId="7451"/>
    <cellStyle name="Normal 21 3 4 3 2" xfId="7452"/>
    <cellStyle name="Normal 21 3 4 3 2 2" xfId="22897"/>
    <cellStyle name="Normal 21 3 4 3 2 2 2" xfId="28130"/>
    <cellStyle name="Normal 21 3 4 3 2 3" xfId="25618"/>
    <cellStyle name="Normal 21 3 4 3 3" xfId="22896"/>
    <cellStyle name="Normal 21 3 4 3 3 2" xfId="28129"/>
    <cellStyle name="Normal 21 3 4 3 4" xfId="25617"/>
    <cellStyle name="Normal 21 3 4 4" xfId="7453"/>
    <cellStyle name="Normal 21 3 4 4 2" xfId="22898"/>
    <cellStyle name="Normal 21 3 4 4 2 2" xfId="28131"/>
    <cellStyle name="Normal 21 3 4 4 3" xfId="25619"/>
    <cellStyle name="Normal 21 3 4 5" xfId="22891"/>
    <cellStyle name="Normal 21 3 4 5 2" xfId="28124"/>
    <cellStyle name="Normal 21 3 4 6" xfId="25612"/>
    <cellStyle name="Normal 21 3 4_DeltaViewer" xfId="7454"/>
    <cellStyle name="Normal 21 3 5" xfId="7455"/>
    <cellStyle name="Normal 21 3 5 2" xfId="7456"/>
    <cellStyle name="Normal 21 3 5 2 2" xfId="7457"/>
    <cellStyle name="Normal 21 3 5 2 2 2" xfId="22901"/>
    <cellStyle name="Normal 21 3 5 2 2 2 2" xfId="28134"/>
    <cellStyle name="Normal 21 3 5 2 2 3" xfId="25622"/>
    <cellStyle name="Normal 21 3 5 2 3" xfId="22900"/>
    <cellStyle name="Normal 21 3 5 2 3 2" xfId="28133"/>
    <cellStyle name="Normal 21 3 5 2 4" xfId="25621"/>
    <cellStyle name="Normal 21 3 5 3" xfId="7458"/>
    <cellStyle name="Normal 21 3 5 3 2" xfId="22902"/>
    <cellStyle name="Normal 21 3 5 3 2 2" xfId="28135"/>
    <cellStyle name="Normal 21 3 5 3 3" xfId="25623"/>
    <cellStyle name="Normal 21 3 5 4" xfId="22899"/>
    <cellStyle name="Normal 21 3 5 4 2" xfId="28132"/>
    <cellStyle name="Normal 21 3 5 5" xfId="25620"/>
    <cellStyle name="Normal 21 3 5_DeltaViewer" xfId="7459"/>
    <cellStyle name="Normal 21 3 6" xfId="7460"/>
    <cellStyle name="Normal 21 3 6 2" xfId="7461"/>
    <cellStyle name="Normal 21 3 6 2 2" xfId="22904"/>
    <cellStyle name="Normal 21 3 6 2 2 2" xfId="28137"/>
    <cellStyle name="Normal 21 3 6 2 3" xfId="25625"/>
    <cellStyle name="Normal 21 3 6 3" xfId="22903"/>
    <cellStyle name="Normal 21 3 6 3 2" xfId="28136"/>
    <cellStyle name="Normal 21 3 6 4" xfId="25624"/>
    <cellStyle name="Normal 21 3 7" xfId="7462"/>
    <cellStyle name="Normal 21 3 7 2" xfId="7463"/>
    <cellStyle name="Normal 21 3 7 2 2" xfId="22906"/>
    <cellStyle name="Normal 21 3 7 2 2 2" xfId="28139"/>
    <cellStyle name="Normal 21 3 7 2 3" xfId="25627"/>
    <cellStyle name="Normal 21 3 7 3" xfId="22905"/>
    <cellStyle name="Normal 21 3 7 3 2" xfId="28138"/>
    <cellStyle name="Normal 21 3 7 4" xfId="25626"/>
    <cellStyle name="Normal 21 3 8" xfId="7464"/>
    <cellStyle name="Normal 21 3 8 2" xfId="22907"/>
    <cellStyle name="Normal 21 3 8 2 2" xfId="28140"/>
    <cellStyle name="Normal 21 3 8 3" xfId="25628"/>
    <cellStyle name="Normal 21 3 9" xfId="22874"/>
    <cellStyle name="Normal 21 3 9 2" xfId="28107"/>
    <cellStyle name="Normal 21 3_DeltaViewer" xfId="7465"/>
    <cellStyle name="Normal 21 4" xfId="7466"/>
    <cellStyle name="Normal 21 4 2" xfId="7467"/>
    <cellStyle name="Normal 21 4 2 2" xfId="7468"/>
    <cellStyle name="Normal 21 4 2 2 2" xfId="7469"/>
    <cellStyle name="Normal 21 4 2 2 2 2" xfId="22911"/>
    <cellStyle name="Normal 21 4 2 2 2 2 2" xfId="28144"/>
    <cellStyle name="Normal 21 4 2 2 2 3" xfId="25632"/>
    <cellStyle name="Normal 21 4 2 2 3" xfId="22910"/>
    <cellStyle name="Normal 21 4 2 2 3 2" xfId="28143"/>
    <cellStyle name="Normal 21 4 2 2 4" xfId="25631"/>
    <cellStyle name="Normal 21 4 2 3" xfId="7470"/>
    <cellStyle name="Normal 21 4 2 3 2" xfId="22912"/>
    <cellStyle name="Normal 21 4 2 3 2 2" xfId="28145"/>
    <cellStyle name="Normal 21 4 2 3 3" xfId="25633"/>
    <cellStyle name="Normal 21 4 2 4" xfId="22909"/>
    <cellStyle name="Normal 21 4 2 4 2" xfId="28142"/>
    <cellStyle name="Normal 21 4 2 5" xfId="25630"/>
    <cellStyle name="Normal 21 4 2_DeltaViewer" xfId="7471"/>
    <cellStyle name="Normal 21 4 3" xfId="7472"/>
    <cellStyle name="Normal 21 4 3 2" xfId="7473"/>
    <cellStyle name="Normal 21 4 3 2 2" xfId="22914"/>
    <cellStyle name="Normal 21 4 3 2 2 2" xfId="28147"/>
    <cellStyle name="Normal 21 4 3 2 3" xfId="25635"/>
    <cellStyle name="Normal 21 4 3 3" xfId="22913"/>
    <cellStyle name="Normal 21 4 3 3 2" xfId="28146"/>
    <cellStyle name="Normal 21 4 3 4" xfId="25634"/>
    <cellStyle name="Normal 21 4 4" xfId="7474"/>
    <cellStyle name="Normal 21 4 4 2" xfId="22915"/>
    <cellStyle name="Normal 21 4 4 2 2" xfId="28148"/>
    <cellStyle name="Normal 21 4 4 3" xfId="25636"/>
    <cellStyle name="Normal 21 4 5" xfId="22908"/>
    <cellStyle name="Normal 21 4 5 2" xfId="28141"/>
    <cellStyle name="Normal 21 4 6" xfId="25629"/>
    <cellStyle name="Normal 21 4_DeltaViewer" xfId="7475"/>
    <cellStyle name="Normal 21 5" xfId="7476"/>
    <cellStyle name="Normal 21 5 2" xfId="7477"/>
    <cellStyle name="Normal 21 5 2 2" xfId="7478"/>
    <cellStyle name="Normal 21 5 2 2 2" xfId="7479"/>
    <cellStyle name="Normal 21 5 2 2 2 2" xfId="22919"/>
    <cellStyle name="Normal 21 5 2 2 2 2 2" xfId="28152"/>
    <cellStyle name="Normal 21 5 2 2 2 3" xfId="25640"/>
    <cellStyle name="Normal 21 5 2 2 3" xfId="22918"/>
    <cellStyle name="Normal 21 5 2 2 3 2" xfId="28151"/>
    <cellStyle name="Normal 21 5 2 2 4" xfId="25639"/>
    <cellStyle name="Normal 21 5 2 3" xfId="7480"/>
    <cellStyle name="Normal 21 5 2 3 2" xfId="22920"/>
    <cellStyle name="Normal 21 5 2 3 2 2" xfId="28153"/>
    <cellStyle name="Normal 21 5 2 3 3" xfId="25641"/>
    <cellStyle name="Normal 21 5 2 4" xfId="22917"/>
    <cellStyle name="Normal 21 5 2 4 2" xfId="28150"/>
    <cellStyle name="Normal 21 5 2 5" xfId="25638"/>
    <cellStyle name="Normal 21 5 2_DeltaViewer" xfId="7481"/>
    <cellStyle name="Normal 21 5 3" xfId="7482"/>
    <cellStyle name="Normal 21 5 3 2" xfId="7483"/>
    <cellStyle name="Normal 21 5 3 2 2" xfId="22922"/>
    <cellStyle name="Normal 21 5 3 2 2 2" xfId="28155"/>
    <cellStyle name="Normal 21 5 3 2 3" xfId="25643"/>
    <cellStyle name="Normal 21 5 3 3" xfId="22921"/>
    <cellStyle name="Normal 21 5 3 3 2" xfId="28154"/>
    <cellStyle name="Normal 21 5 3 4" xfId="25642"/>
    <cellStyle name="Normal 21 5 4" xfId="7484"/>
    <cellStyle name="Normal 21 5 4 2" xfId="22923"/>
    <cellStyle name="Normal 21 5 4 2 2" xfId="28156"/>
    <cellStyle name="Normal 21 5 4 3" xfId="25644"/>
    <cellStyle name="Normal 21 5 5" xfId="22916"/>
    <cellStyle name="Normal 21 5 5 2" xfId="28149"/>
    <cellStyle name="Normal 21 5 6" xfId="25637"/>
    <cellStyle name="Normal 21 5_DeltaViewer" xfId="7485"/>
    <cellStyle name="Normal 21 6" xfId="7486"/>
    <cellStyle name="Normal 21 6 2" xfId="7487"/>
    <cellStyle name="Normal 21 6 2 2" xfId="7488"/>
    <cellStyle name="Normal 21 6 2 2 2" xfId="7489"/>
    <cellStyle name="Normal 21 6 2 2 2 2" xfId="22927"/>
    <cellStyle name="Normal 21 6 2 2 2 2 2" xfId="28160"/>
    <cellStyle name="Normal 21 6 2 2 2 3" xfId="25648"/>
    <cellStyle name="Normal 21 6 2 2 3" xfId="22926"/>
    <cellStyle name="Normal 21 6 2 2 3 2" xfId="28159"/>
    <cellStyle name="Normal 21 6 2 2 4" xfId="25647"/>
    <cellStyle name="Normal 21 6 2 3" xfId="7490"/>
    <cellStyle name="Normal 21 6 2 3 2" xfId="22928"/>
    <cellStyle name="Normal 21 6 2 3 2 2" xfId="28161"/>
    <cellStyle name="Normal 21 6 2 3 3" xfId="25649"/>
    <cellStyle name="Normal 21 6 2 4" xfId="22925"/>
    <cellStyle name="Normal 21 6 2 4 2" xfId="28158"/>
    <cellStyle name="Normal 21 6 2 5" xfId="25646"/>
    <cellStyle name="Normal 21 6 2_DeltaViewer" xfId="7491"/>
    <cellStyle name="Normal 21 6 3" xfId="7492"/>
    <cellStyle name="Normal 21 6 3 2" xfId="7493"/>
    <cellStyle name="Normal 21 6 3 2 2" xfId="22930"/>
    <cellStyle name="Normal 21 6 3 2 2 2" xfId="28163"/>
    <cellStyle name="Normal 21 6 3 2 3" xfId="25651"/>
    <cellStyle name="Normal 21 6 3 3" xfId="22929"/>
    <cellStyle name="Normal 21 6 3 3 2" xfId="28162"/>
    <cellStyle name="Normal 21 6 3 4" xfId="25650"/>
    <cellStyle name="Normal 21 6 4" xfId="7494"/>
    <cellStyle name="Normal 21 6 4 2" xfId="22931"/>
    <cellStyle name="Normal 21 6 4 2 2" xfId="28164"/>
    <cellStyle name="Normal 21 6 4 3" xfId="25652"/>
    <cellStyle name="Normal 21 6 5" xfId="22924"/>
    <cellStyle name="Normal 21 6 5 2" xfId="28157"/>
    <cellStyle name="Normal 21 6 6" xfId="25645"/>
    <cellStyle name="Normal 21 6_DeltaViewer" xfId="7495"/>
    <cellStyle name="Normal 21 7" xfId="7496"/>
    <cellStyle name="Normal 21 7 2" xfId="7497"/>
    <cellStyle name="Normal 21 7 2 2" xfId="7498"/>
    <cellStyle name="Normal 21 7 2 2 2" xfId="22934"/>
    <cellStyle name="Normal 21 7 2 2 2 2" xfId="28167"/>
    <cellStyle name="Normal 21 7 2 2 3" xfId="25655"/>
    <cellStyle name="Normal 21 7 2 3" xfId="22933"/>
    <cellStyle name="Normal 21 7 2 3 2" xfId="28166"/>
    <cellStyle name="Normal 21 7 2 4" xfId="25654"/>
    <cellStyle name="Normal 21 7 3" xfId="7499"/>
    <cellStyle name="Normal 21 7 3 2" xfId="22935"/>
    <cellStyle name="Normal 21 7 3 2 2" xfId="28168"/>
    <cellStyle name="Normal 21 7 3 3" xfId="25656"/>
    <cellStyle name="Normal 21 7 4" xfId="22932"/>
    <cellStyle name="Normal 21 7 4 2" xfId="28165"/>
    <cellStyle name="Normal 21 7 5" xfId="25653"/>
    <cellStyle name="Normal 21 7_DeltaViewer" xfId="7500"/>
    <cellStyle name="Normal 21 8" xfId="7501"/>
    <cellStyle name="Normal 21 8 2" xfId="7502"/>
    <cellStyle name="Normal 21 8 2 2" xfId="22937"/>
    <cellStyle name="Normal 21 8 2 2 2" xfId="28170"/>
    <cellStyle name="Normal 21 8 2 3" xfId="25658"/>
    <cellStyle name="Normal 21 8 3" xfId="22936"/>
    <cellStyle name="Normal 21 8 3 2" xfId="28169"/>
    <cellStyle name="Normal 21 8 4" xfId="25657"/>
    <cellStyle name="Normal 21 9" xfId="7503"/>
    <cellStyle name="Normal 21 9 2" xfId="7504"/>
    <cellStyle name="Normal 21 9 2 2" xfId="22939"/>
    <cellStyle name="Normal 21 9 2 2 2" xfId="28172"/>
    <cellStyle name="Normal 21 9 2 3" xfId="25660"/>
    <cellStyle name="Normal 21 9 3" xfId="22938"/>
    <cellStyle name="Normal 21 9 3 2" xfId="28171"/>
    <cellStyle name="Normal 21 9 4" xfId="25659"/>
    <cellStyle name="Normal 21_DeltaViewer" xfId="7505"/>
    <cellStyle name="Normal 22" xfId="7506"/>
    <cellStyle name="Normal 22 10" xfId="7507"/>
    <cellStyle name="Normal 22 10 2" xfId="22941"/>
    <cellStyle name="Normal 22 10 2 2" xfId="28174"/>
    <cellStyle name="Normal 22 10 3" xfId="25662"/>
    <cellStyle name="Normal 22 11" xfId="22940"/>
    <cellStyle name="Normal 22 11 2" xfId="28173"/>
    <cellStyle name="Normal 22 12" xfId="25661"/>
    <cellStyle name="Normal 22 2" xfId="7508"/>
    <cellStyle name="Normal 22 2 10" xfId="25663"/>
    <cellStyle name="Normal 22 2 2" xfId="7509"/>
    <cellStyle name="Normal 22 2 2 2" xfId="7510"/>
    <cellStyle name="Normal 22 2 2 2 2" xfId="7511"/>
    <cellStyle name="Normal 22 2 2 2 2 2" xfId="7512"/>
    <cellStyle name="Normal 22 2 2 2 2 2 2" xfId="22946"/>
    <cellStyle name="Normal 22 2 2 2 2 2 2 2" xfId="28179"/>
    <cellStyle name="Normal 22 2 2 2 2 2 3" xfId="25667"/>
    <cellStyle name="Normal 22 2 2 2 2 3" xfId="22945"/>
    <cellStyle name="Normal 22 2 2 2 2 3 2" xfId="28178"/>
    <cellStyle name="Normal 22 2 2 2 2 4" xfId="25666"/>
    <cellStyle name="Normal 22 2 2 2 3" xfId="7513"/>
    <cellStyle name="Normal 22 2 2 2 3 2" xfId="22947"/>
    <cellStyle name="Normal 22 2 2 2 3 2 2" xfId="28180"/>
    <cellStyle name="Normal 22 2 2 2 3 3" xfId="25668"/>
    <cellStyle name="Normal 22 2 2 2 4" xfId="22944"/>
    <cellStyle name="Normal 22 2 2 2 4 2" xfId="28177"/>
    <cellStyle name="Normal 22 2 2 2 5" xfId="25665"/>
    <cellStyle name="Normal 22 2 2 2_DeltaViewer" xfId="7514"/>
    <cellStyle name="Normal 22 2 2 3" xfId="7515"/>
    <cellStyle name="Normal 22 2 2 3 2" xfId="7516"/>
    <cellStyle name="Normal 22 2 2 3 2 2" xfId="22949"/>
    <cellStyle name="Normal 22 2 2 3 2 2 2" xfId="28182"/>
    <cellStyle name="Normal 22 2 2 3 2 3" xfId="25670"/>
    <cellStyle name="Normal 22 2 2 3 3" xfId="22948"/>
    <cellStyle name="Normal 22 2 2 3 3 2" xfId="28181"/>
    <cellStyle name="Normal 22 2 2 3 4" xfId="25669"/>
    <cellStyle name="Normal 22 2 2 4" xfId="7517"/>
    <cellStyle name="Normal 22 2 2 4 2" xfId="22950"/>
    <cellStyle name="Normal 22 2 2 4 2 2" xfId="28183"/>
    <cellStyle name="Normal 22 2 2 4 3" xfId="25671"/>
    <cellStyle name="Normal 22 2 2 5" xfId="22943"/>
    <cellStyle name="Normal 22 2 2 5 2" xfId="28176"/>
    <cellStyle name="Normal 22 2 2 6" xfId="25664"/>
    <cellStyle name="Normal 22 2 2_DeltaViewer" xfId="7518"/>
    <cellStyle name="Normal 22 2 3" xfId="7519"/>
    <cellStyle name="Normal 22 2 3 2" xfId="7520"/>
    <cellStyle name="Normal 22 2 3 2 2" xfId="7521"/>
    <cellStyle name="Normal 22 2 3 2 2 2" xfId="7522"/>
    <cellStyle name="Normal 22 2 3 2 2 2 2" xfId="22954"/>
    <cellStyle name="Normal 22 2 3 2 2 2 2 2" xfId="28187"/>
    <cellStyle name="Normal 22 2 3 2 2 2 3" xfId="25675"/>
    <cellStyle name="Normal 22 2 3 2 2 3" xfId="22953"/>
    <cellStyle name="Normal 22 2 3 2 2 3 2" xfId="28186"/>
    <cellStyle name="Normal 22 2 3 2 2 4" xfId="25674"/>
    <cellStyle name="Normal 22 2 3 2 3" xfId="7523"/>
    <cellStyle name="Normal 22 2 3 2 3 2" xfId="22955"/>
    <cellStyle name="Normal 22 2 3 2 3 2 2" xfId="28188"/>
    <cellStyle name="Normal 22 2 3 2 3 3" xfId="25676"/>
    <cellStyle name="Normal 22 2 3 2 4" xfId="22952"/>
    <cellStyle name="Normal 22 2 3 2 4 2" xfId="28185"/>
    <cellStyle name="Normal 22 2 3 2 5" xfId="25673"/>
    <cellStyle name="Normal 22 2 3 2_DeltaViewer" xfId="7524"/>
    <cellStyle name="Normal 22 2 3 3" xfId="7525"/>
    <cellStyle name="Normal 22 2 3 3 2" xfId="7526"/>
    <cellStyle name="Normal 22 2 3 3 2 2" xfId="22957"/>
    <cellStyle name="Normal 22 2 3 3 2 2 2" xfId="28190"/>
    <cellStyle name="Normal 22 2 3 3 2 3" xfId="25678"/>
    <cellStyle name="Normal 22 2 3 3 3" xfId="22956"/>
    <cellStyle name="Normal 22 2 3 3 3 2" xfId="28189"/>
    <cellStyle name="Normal 22 2 3 3 4" xfId="25677"/>
    <cellStyle name="Normal 22 2 3 4" xfId="7527"/>
    <cellStyle name="Normal 22 2 3 4 2" xfId="22958"/>
    <cellStyle name="Normal 22 2 3 4 2 2" xfId="28191"/>
    <cellStyle name="Normal 22 2 3 4 3" xfId="25679"/>
    <cellStyle name="Normal 22 2 3 5" xfId="22951"/>
    <cellStyle name="Normal 22 2 3 5 2" xfId="28184"/>
    <cellStyle name="Normal 22 2 3 6" xfId="25672"/>
    <cellStyle name="Normal 22 2 3_DeltaViewer" xfId="7528"/>
    <cellStyle name="Normal 22 2 4" xfId="7529"/>
    <cellStyle name="Normal 22 2 4 2" xfId="7530"/>
    <cellStyle name="Normal 22 2 4 2 2" xfId="7531"/>
    <cellStyle name="Normal 22 2 4 2 2 2" xfId="7532"/>
    <cellStyle name="Normal 22 2 4 2 2 2 2" xfId="22962"/>
    <cellStyle name="Normal 22 2 4 2 2 2 2 2" xfId="28195"/>
    <cellStyle name="Normal 22 2 4 2 2 2 3" xfId="25683"/>
    <cellStyle name="Normal 22 2 4 2 2 3" xfId="22961"/>
    <cellStyle name="Normal 22 2 4 2 2 3 2" xfId="28194"/>
    <cellStyle name="Normal 22 2 4 2 2 4" xfId="25682"/>
    <cellStyle name="Normal 22 2 4 2 3" xfId="7533"/>
    <cellStyle name="Normal 22 2 4 2 3 2" xfId="22963"/>
    <cellStyle name="Normal 22 2 4 2 3 2 2" xfId="28196"/>
    <cellStyle name="Normal 22 2 4 2 3 3" xfId="25684"/>
    <cellStyle name="Normal 22 2 4 2 4" xfId="22960"/>
    <cellStyle name="Normal 22 2 4 2 4 2" xfId="28193"/>
    <cellStyle name="Normal 22 2 4 2 5" xfId="25681"/>
    <cellStyle name="Normal 22 2 4 2_DeltaViewer" xfId="7534"/>
    <cellStyle name="Normal 22 2 4 3" xfId="7535"/>
    <cellStyle name="Normal 22 2 4 3 2" xfId="7536"/>
    <cellStyle name="Normal 22 2 4 3 2 2" xfId="22965"/>
    <cellStyle name="Normal 22 2 4 3 2 2 2" xfId="28198"/>
    <cellStyle name="Normal 22 2 4 3 2 3" xfId="25686"/>
    <cellStyle name="Normal 22 2 4 3 3" xfId="22964"/>
    <cellStyle name="Normal 22 2 4 3 3 2" xfId="28197"/>
    <cellStyle name="Normal 22 2 4 3 4" xfId="25685"/>
    <cellStyle name="Normal 22 2 4 4" xfId="7537"/>
    <cellStyle name="Normal 22 2 4 4 2" xfId="22966"/>
    <cellStyle name="Normal 22 2 4 4 2 2" xfId="28199"/>
    <cellStyle name="Normal 22 2 4 4 3" xfId="25687"/>
    <cellStyle name="Normal 22 2 4 5" xfId="22959"/>
    <cellStyle name="Normal 22 2 4 5 2" xfId="28192"/>
    <cellStyle name="Normal 22 2 4 6" xfId="25680"/>
    <cellStyle name="Normal 22 2 4_DeltaViewer" xfId="7538"/>
    <cellStyle name="Normal 22 2 5" xfId="7539"/>
    <cellStyle name="Normal 22 2 5 2" xfId="7540"/>
    <cellStyle name="Normal 22 2 5 2 2" xfId="7541"/>
    <cellStyle name="Normal 22 2 5 2 2 2" xfId="22969"/>
    <cellStyle name="Normal 22 2 5 2 2 2 2" xfId="28202"/>
    <cellStyle name="Normal 22 2 5 2 2 3" xfId="25690"/>
    <cellStyle name="Normal 22 2 5 2 3" xfId="22968"/>
    <cellStyle name="Normal 22 2 5 2 3 2" xfId="28201"/>
    <cellStyle name="Normal 22 2 5 2 4" xfId="25689"/>
    <cellStyle name="Normal 22 2 5 3" xfId="7542"/>
    <cellStyle name="Normal 22 2 5 3 2" xfId="22970"/>
    <cellStyle name="Normal 22 2 5 3 2 2" xfId="28203"/>
    <cellStyle name="Normal 22 2 5 3 3" xfId="25691"/>
    <cellStyle name="Normal 22 2 5 4" xfId="22967"/>
    <cellStyle name="Normal 22 2 5 4 2" xfId="28200"/>
    <cellStyle name="Normal 22 2 5 5" xfId="25688"/>
    <cellStyle name="Normal 22 2 5_DeltaViewer" xfId="7543"/>
    <cellStyle name="Normal 22 2 6" xfId="7544"/>
    <cellStyle name="Normal 22 2 6 2" xfId="7545"/>
    <cellStyle name="Normal 22 2 6 2 2" xfId="22972"/>
    <cellStyle name="Normal 22 2 6 2 2 2" xfId="28205"/>
    <cellStyle name="Normal 22 2 6 2 3" xfId="25693"/>
    <cellStyle name="Normal 22 2 6 3" xfId="22971"/>
    <cellStyle name="Normal 22 2 6 3 2" xfId="28204"/>
    <cellStyle name="Normal 22 2 6 4" xfId="25692"/>
    <cellStyle name="Normal 22 2 7" xfId="7546"/>
    <cellStyle name="Normal 22 2 7 2" xfId="7547"/>
    <cellStyle name="Normal 22 2 7 2 2" xfId="22974"/>
    <cellStyle name="Normal 22 2 7 2 2 2" xfId="28207"/>
    <cellStyle name="Normal 22 2 7 2 3" xfId="25695"/>
    <cellStyle name="Normal 22 2 7 3" xfId="22973"/>
    <cellStyle name="Normal 22 2 7 3 2" xfId="28206"/>
    <cellStyle name="Normal 22 2 7 4" xfId="25694"/>
    <cellStyle name="Normal 22 2 8" xfId="7548"/>
    <cellStyle name="Normal 22 2 8 2" xfId="22975"/>
    <cellStyle name="Normal 22 2 8 2 2" xfId="28208"/>
    <cellStyle name="Normal 22 2 8 3" xfId="25696"/>
    <cellStyle name="Normal 22 2 9" xfId="22942"/>
    <cellStyle name="Normal 22 2 9 2" xfId="28175"/>
    <cellStyle name="Normal 22 2_DeltaViewer" xfId="7549"/>
    <cellStyle name="Normal 22 3" xfId="7550"/>
    <cellStyle name="Normal 22 3 10" xfId="25697"/>
    <cellStyle name="Normal 22 3 2" xfId="7551"/>
    <cellStyle name="Normal 22 3 2 2" xfId="7552"/>
    <cellStyle name="Normal 22 3 2 2 2" xfId="7553"/>
    <cellStyle name="Normal 22 3 2 2 2 2" xfId="7554"/>
    <cellStyle name="Normal 22 3 2 2 2 2 2" xfId="22980"/>
    <cellStyle name="Normal 22 3 2 2 2 2 2 2" xfId="28213"/>
    <cellStyle name="Normal 22 3 2 2 2 2 3" xfId="25701"/>
    <cellStyle name="Normal 22 3 2 2 2 3" xfId="22979"/>
    <cellStyle name="Normal 22 3 2 2 2 3 2" xfId="28212"/>
    <cellStyle name="Normal 22 3 2 2 2 4" xfId="25700"/>
    <cellStyle name="Normal 22 3 2 2 3" xfId="7555"/>
    <cellStyle name="Normal 22 3 2 2 3 2" xfId="22981"/>
    <cellStyle name="Normal 22 3 2 2 3 2 2" xfId="28214"/>
    <cellStyle name="Normal 22 3 2 2 3 3" xfId="25702"/>
    <cellStyle name="Normal 22 3 2 2 4" xfId="22978"/>
    <cellStyle name="Normal 22 3 2 2 4 2" xfId="28211"/>
    <cellStyle name="Normal 22 3 2 2 5" xfId="25699"/>
    <cellStyle name="Normal 22 3 2 2_DeltaViewer" xfId="7556"/>
    <cellStyle name="Normal 22 3 2 3" xfId="7557"/>
    <cellStyle name="Normal 22 3 2 3 2" xfId="7558"/>
    <cellStyle name="Normal 22 3 2 3 2 2" xfId="22983"/>
    <cellStyle name="Normal 22 3 2 3 2 2 2" xfId="28216"/>
    <cellStyle name="Normal 22 3 2 3 2 3" xfId="25704"/>
    <cellStyle name="Normal 22 3 2 3 3" xfId="22982"/>
    <cellStyle name="Normal 22 3 2 3 3 2" xfId="28215"/>
    <cellStyle name="Normal 22 3 2 3 4" xfId="25703"/>
    <cellStyle name="Normal 22 3 2 4" xfId="7559"/>
    <cellStyle name="Normal 22 3 2 4 2" xfId="22984"/>
    <cellStyle name="Normal 22 3 2 4 2 2" xfId="28217"/>
    <cellStyle name="Normal 22 3 2 4 3" xfId="25705"/>
    <cellStyle name="Normal 22 3 2 5" xfId="22977"/>
    <cellStyle name="Normal 22 3 2 5 2" xfId="28210"/>
    <cellStyle name="Normal 22 3 2 6" xfId="25698"/>
    <cellStyle name="Normal 22 3 2_DeltaViewer" xfId="7560"/>
    <cellStyle name="Normal 22 3 3" xfId="7561"/>
    <cellStyle name="Normal 22 3 3 2" xfId="7562"/>
    <cellStyle name="Normal 22 3 3 2 2" xfId="7563"/>
    <cellStyle name="Normal 22 3 3 2 2 2" xfId="7564"/>
    <cellStyle name="Normal 22 3 3 2 2 2 2" xfId="22988"/>
    <cellStyle name="Normal 22 3 3 2 2 2 2 2" xfId="28221"/>
    <cellStyle name="Normal 22 3 3 2 2 2 3" xfId="25709"/>
    <cellStyle name="Normal 22 3 3 2 2 3" xfId="22987"/>
    <cellStyle name="Normal 22 3 3 2 2 3 2" xfId="28220"/>
    <cellStyle name="Normal 22 3 3 2 2 4" xfId="25708"/>
    <cellStyle name="Normal 22 3 3 2 3" xfId="7565"/>
    <cellStyle name="Normal 22 3 3 2 3 2" xfId="22989"/>
    <cellStyle name="Normal 22 3 3 2 3 2 2" xfId="28222"/>
    <cellStyle name="Normal 22 3 3 2 3 3" xfId="25710"/>
    <cellStyle name="Normal 22 3 3 2 4" xfId="22986"/>
    <cellStyle name="Normal 22 3 3 2 4 2" xfId="28219"/>
    <cellStyle name="Normal 22 3 3 2 5" xfId="25707"/>
    <cellStyle name="Normal 22 3 3 2_DeltaViewer" xfId="7566"/>
    <cellStyle name="Normal 22 3 3 3" xfId="7567"/>
    <cellStyle name="Normal 22 3 3 3 2" xfId="7568"/>
    <cellStyle name="Normal 22 3 3 3 2 2" xfId="22991"/>
    <cellStyle name="Normal 22 3 3 3 2 2 2" xfId="28224"/>
    <cellStyle name="Normal 22 3 3 3 2 3" xfId="25712"/>
    <cellStyle name="Normal 22 3 3 3 3" xfId="22990"/>
    <cellStyle name="Normal 22 3 3 3 3 2" xfId="28223"/>
    <cellStyle name="Normal 22 3 3 3 4" xfId="25711"/>
    <cellStyle name="Normal 22 3 3 4" xfId="7569"/>
    <cellStyle name="Normal 22 3 3 4 2" xfId="22992"/>
    <cellStyle name="Normal 22 3 3 4 2 2" xfId="28225"/>
    <cellStyle name="Normal 22 3 3 4 3" xfId="25713"/>
    <cellStyle name="Normal 22 3 3 5" xfId="22985"/>
    <cellStyle name="Normal 22 3 3 5 2" xfId="28218"/>
    <cellStyle name="Normal 22 3 3 6" xfId="25706"/>
    <cellStyle name="Normal 22 3 3_DeltaViewer" xfId="7570"/>
    <cellStyle name="Normal 22 3 4" xfId="7571"/>
    <cellStyle name="Normal 22 3 4 2" xfId="7572"/>
    <cellStyle name="Normal 22 3 4 2 2" xfId="7573"/>
    <cellStyle name="Normal 22 3 4 2 2 2" xfId="7574"/>
    <cellStyle name="Normal 22 3 4 2 2 2 2" xfId="22996"/>
    <cellStyle name="Normal 22 3 4 2 2 2 2 2" xfId="28229"/>
    <cellStyle name="Normal 22 3 4 2 2 2 3" xfId="25717"/>
    <cellStyle name="Normal 22 3 4 2 2 3" xfId="22995"/>
    <cellStyle name="Normal 22 3 4 2 2 3 2" xfId="28228"/>
    <cellStyle name="Normal 22 3 4 2 2 4" xfId="25716"/>
    <cellStyle name="Normal 22 3 4 2 3" xfId="7575"/>
    <cellStyle name="Normal 22 3 4 2 3 2" xfId="22997"/>
    <cellStyle name="Normal 22 3 4 2 3 2 2" xfId="28230"/>
    <cellStyle name="Normal 22 3 4 2 3 3" xfId="25718"/>
    <cellStyle name="Normal 22 3 4 2 4" xfId="22994"/>
    <cellStyle name="Normal 22 3 4 2 4 2" xfId="28227"/>
    <cellStyle name="Normal 22 3 4 2 5" xfId="25715"/>
    <cellStyle name="Normal 22 3 4 2_DeltaViewer" xfId="7576"/>
    <cellStyle name="Normal 22 3 4 3" xfId="7577"/>
    <cellStyle name="Normal 22 3 4 3 2" xfId="7578"/>
    <cellStyle name="Normal 22 3 4 3 2 2" xfId="22999"/>
    <cellStyle name="Normal 22 3 4 3 2 2 2" xfId="28232"/>
    <cellStyle name="Normal 22 3 4 3 2 3" xfId="25720"/>
    <cellStyle name="Normal 22 3 4 3 3" xfId="22998"/>
    <cellStyle name="Normal 22 3 4 3 3 2" xfId="28231"/>
    <cellStyle name="Normal 22 3 4 3 4" xfId="25719"/>
    <cellStyle name="Normal 22 3 4 4" xfId="7579"/>
    <cellStyle name="Normal 22 3 4 4 2" xfId="23000"/>
    <cellStyle name="Normal 22 3 4 4 2 2" xfId="28233"/>
    <cellStyle name="Normal 22 3 4 4 3" xfId="25721"/>
    <cellStyle name="Normal 22 3 4 5" xfId="22993"/>
    <cellStyle name="Normal 22 3 4 5 2" xfId="28226"/>
    <cellStyle name="Normal 22 3 4 6" xfId="25714"/>
    <cellStyle name="Normal 22 3 4_DeltaViewer" xfId="7580"/>
    <cellStyle name="Normal 22 3 5" xfId="7581"/>
    <cellStyle name="Normal 22 3 5 2" xfId="7582"/>
    <cellStyle name="Normal 22 3 5 2 2" xfId="7583"/>
    <cellStyle name="Normal 22 3 5 2 2 2" xfId="23003"/>
    <cellStyle name="Normal 22 3 5 2 2 2 2" xfId="28236"/>
    <cellStyle name="Normal 22 3 5 2 2 3" xfId="25724"/>
    <cellStyle name="Normal 22 3 5 2 3" xfId="23002"/>
    <cellStyle name="Normal 22 3 5 2 3 2" xfId="28235"/>
    <cellStyle name="Normal 22 3 5 2 4" xfId="25723"/>
    <cellStyle name="Normal 22 3 5 3" xfId="7584"/>
    <cellStyle name="Normal 22 3 5 3 2" xfId="23004"/>
    <cellStyle name="Normal 22 3 5 3 2 2" xfId="28237"/>
    <cellStyle name="Normal 22 3 5 3 3" xfId="25725"/>
    <cellStyle name="Normal 22 3 5 4" xfId="23001"/>
    <cellStyle name="Normal 22 3 5 4 2" xfId="28234"/>
    <cellStyle name="Normal 22 3 5 5" xfId="25722"/>
    <cellStyle name="Normal 22 3 5_DeltaViewer" xfId="7585"/>
    <cellStyle name="Normal 22 3 6" xfId="7586"/>
    <cellStyle name="Normal 22 3 6 2" xfId="7587"/>
    <cellStyle name="Normal 22 3 6 2 2" xfId="23006"/>
    <cellStyle name="Normal 22 3 6 2 2 2" xfId="28239"/>
    <cellStyle name="Normal 22 3 6 2 3" xfId="25727"/>
    <cellStyle name="Normal 22 3 6 3" xfId="23005"/>
    <cellStyle name="Normal 22 3 6 3 2" xfId="28238"/>
    <cellStyle name="Normal 22 3 6 4" xfId="25726"/>
    <cellStyle name="Normal 22 3 7" xfId="7588"/>
    <cellStyle name="Normal 22 3 7 2" xfId="7589"/>
    <cellStyle name="Normal 22 3 7 2 2" xfId="23008"/>
    <cellStyle name="Normal 22 3 7 2 2 2" xfId="28241"/>
    <cellStyle name="Normal 22 3 7 2 3" xfId="25729"/>
    <cellStyle name="Normal 22 3 7 3" xfId="23007"/>
    <cellStyle name="Normal 22 3 7 3 2" xfId="28240"/>
    <cellStyle name="Normal 22 3 7 4" xfId="25728"/>
    <cellStyle name="Normal 22 3 8" xfId="7590"/>
    <cellStyle name="Normal 22 3 8 2" xfId="23009"/>
    <cellStyle name="Normal 22 3 8 2 2" xfId="28242"/>
    <cellStyle name="Normal 22 3 8 3" xfId="25730"/>
    <cellStyle name="Normal 22 3 9" xfId="22976"/>
    <cellStyle name="Normal 22 3 9 2" xfId="28209"/>
    <cellStyle name="Normal 22 3_DeltaViewer" xfId="7591"/>
    <cellStyle name="Normal 22 4" xfId="7592"/>
    <cellStyle name="Normal 22 4 2" xfId="7593"/>
    <cellStyle name="Normal 22 4 2 2" xfId="7594"/>
    <cellStyle name="Normal 22 4 2 2 2" xfId="7595"/>
    <cellStyle name="Normal 22 4 2 2 2 2" xfId="23013"/>
    <cellStyle name="Normal 22 4 2 2 2 2 2" xfId="28246"/>
    <cellStyle name="Normal 22 4 2 2 2 3" xfId="25734"/>
    <cellStyle name="Normal 22 4 2 2 3" xfId="23012"/>
    <cellStyle name="Normal 22 4 2 2 3 2" xfId="28245"/>
    <cellStyle name="Normal 22 4 2 2 4" xfId="25733"/>
    <cellStyle name="Normal 22 4 2 3" xfId="7596"/>
    <cellStyle name="Normal 22 4 2 3 2" xfId="23014"/>
    <cellStyle name="Normal 22 4 2 3 2 2" xfId="28247"/>
    <cellStyle name="Normal 22 4 2 3 3" xfId="25735"/>
    <cellStyle name="Normal 22 4 2 4" xfId="23011"/>
    <cellStyle name="Normal 22 4 2 4 2" xfId="28244"/>
    <cellStyle name="Normal 22 4 2 5" xfId="25732"/>
    <cellStyle name="Normal 22 4 2_DeltaViewer" xfId="7597"/>
    <cellStyle name="Normal 22 4 3" xfId="7598"/>
    <cellStyle name="Normal 22 4 3 2" xfId="7599"/>
    <cellStyle name="Normal 22 4 3 2 2" xfId="23016"/>
    <cellStyle name="Normal 22 4 3 2 2 2" xfId="28249"/>
    <cellStyle name="Normal 22 4 3 2 3" xfId="25737"/>
    <cellStyle name="Normal 22 4 3 3" xfId="23015"/>
    <cellStyle name="Normal 22 4 3 3 2" xfId="28248"/>
    <cellStyle name="Normal 22 4 3 4" xfId="25736"/>
    <cellStyle name="Normal 22 4 4" xfId="7600"/>
    <cellStyle name="Normal 22 4 4 2" xfId="23017"/>
    <cellStyle name="Normal 22 4 4 2 2" xfId="28250"/>
    <cellStyle name="Normal 22 4 4 3" xfId="25738"/>
    <cellStyle name="Normal 22 4 5" xfId="23010"/>
    <cellStyle name="Normal 22 4 5 2" xfId="28243"/>
    <cellStyle name="Normal 22 4 6" xfId="25731"/>
    <cellStyle name="Normal 22 4_DeltaViewer" xfId="7601"/>
    <cellStyle name="Normal 22 5" xfId="7602"/>
    <cellStyle name="Normal 22 5 2" xfId="7603"/>
    <cellStyle name="Normal 22 5 2 2" xfId="7604"/>
    <cellStyle name="Normal 22 5 2 2 2" xfId="7605"/>
    <cellStyle name="Normal 22 5 2 2 2 2" xfId="23021"/>
    <cellStyle name="Normal 22 5 2 2 2 2 2" xfId="28254"/>
    <cellStyle name="Normal 22 5 2 2 2 3" xfId="25742"/>
    <cellStyle name="Normal 22 5 2 2 3" xfId="23020"/>
    <cellStyle name="Normal 22 5 2 2 3 2" xfId="28253"/>
    <cellStyle name="Normal 22 5 2 2 4" xfId="25741"/>
    <cellStyle name="Normal 22 5 2 3" xfId="7606"/>
    <cellStyle name="Normal 22 5 2 3 2" xfId="23022"/>
    <cellStyle name="Normal 22 5 2 3 2 2" xfId="28255"/>
    <cellStyle name="Normal 22 5 2 3 3" xfId="25743"/>
    <cellStyle name="Normal 22 5 2 4" xfId="23019"/>
    <cellStyle name="Normal 22 5 2 4 2" xfId="28252"/>
    <cellStyle name="Normal 22 5 2 5" xfId="25740"/>
    <cellStyle name="Normal 22 5 2_DeltaViewer" xfId="7607"/>
    <cellStyle name="Normal 22 5 3" xfId="7608"/>
    <cellStyle name="Normal 22 5 3 2" xfId="7609"/>
    <cellStyle name="Normal 22 5 3 2 2" xfId="23024"/>
    <cellStyle name="Normal 22 5 3 2 2 2" xfId="28257"/>
    <cellStyle name="Normal 22 5 3 2 3" xfId="25745"/>
    <cellStyle name="Normal 22 5 3 3" xfId="23023"/>
    <cellStyle name="Normal 22 5 3 3 2" xfId="28256"/>
    <cellStyle name="Normal 22 5 3 4" xfId="25744"/>
    <cellStyle name="Normal 22 5 4" xfId="7610"/>
    <cellStyle name="Normal 22 5 4 2" xfId="23025"/>
    <cellStyle name="Normal 22 5 4 2 2" xfId="28258"/>
    <cellStyle name="Normal 22 5 4 3" xfId="25746"/>
    <cellStyle name="Normal 22 5 5" xfId="23018"/>
    <cellStyle name="Normal 22 5 5 2" xfId="28251"/>
    <cellStyle name="Normal 22 5 6" xfId="25739"/>
    <cellStyle name="Normal 22 5_DeltaViewer" xfId="7611"/>
    <cellStyle name="Normal 22 6" xfId="7612"/>
    <cellStyle name="Normal 22 6 2" xfId="7613"/>
    <cellStyle name="Normal 22 6 2 2" xfId="7614"/>
    <cellStyle name="Normal 22 6 2 2 2" xfId="7615"/>
    <cellStyle name="Normal 22 6 2 2 2 2" xfId="23029"/>
    <cellStyle name="Normal 22 6 2 2 2 2 2" xfId="28262"/>
    <cellStyle name="Normal 22 6 2 2 2 3" xfId="25750"/>
    <cellStyle name="Normal 22 6 2 2 3" xfId="23028"/>
    <cellStyle name="Normal 22 6 2 2 3 2" xfId="28261"/>
    <cellStyle name="Normal 22 6 2 2 4" xfId="25749"/>
    <cellStyle name="Normal 22 6 2 3" xfId="7616"/>
    <cellStyle name="Normal 22 6 2 3 2" xfId="23030"/>
    <cellStyle name="Normal 22 6 2 3 2 2" xfId="28263"/>
    <cellStyle name="Normal 22 6 2 3 3" xfId="25751"/>
    <cellStyle name="Normal 22 6 2 4" xfId="23027"/>
    <cellStyle name="Normal 22 6 2 4 2" xfId="28260"/>
    <cellStyle name="Normal 22 6 2 5" xfId="25748"/>
    <cellStyle name="Normal 22 6 2_DeltaViewer" xfId="7617"/>
    <cellStyle name="Normal 22 6 3" xfId="7618"/>
    <cellStyle name="Normal 22 6 3 2" xfId="7619"/>
    <cellStyle name="Normal 22 6 3 2 2" xfId="23032"/>
    <cellStyle name="Normal 22 6 3 2 2 2" xfId="28265"/>
    <cellStyle name="Normal 22 6 3 2 3" xfId="25753"/>
    <cellStyle name="Normal 22 6 3 3" xfId="23031"/>
    <cellStyle name="Normal 22 6 3 3 2" xfId="28264"/>
    <cellStyle name="Normal 22 6 3 4" xfId="25752"/>
    <cellStyle name="Normal 22 6 4" xfId="7620"/>
    <cellStyle name="Normal 22 6 4 2" xfId="23033"/>
    <cellStyle name="Normal 22 6 4 2 2" xfId="28266"/>
    <cellStyle name="Normal 22 6 4 3" xfId="25754"/>
    <cellStyle name="Normal 22 6 5" xfId="23026"/>
    <cellStyle name="Normal 22 6 5 2" xfId="28259"/>
    <cellStyle name="Normal 22 6 6" xfId="25747"/>
    <cellStyle name="Normal 22 6_DeltaViewer" xfId="7621"/>
    <cellStyle name="Normal 22 7" xfId="7622"/>
    <cellStyle name="Normal 22 7 2" xfId="7623"/>
    <cellStyle name="Normal 22 7 2 2" xfId="7624"/>
    <cellStyle name="Normal 22 7 2 2 2" xfId="23036"/>
    <cellStyle name="Normal 22 7 2 2 2 2" xfId="28269"/>
    <cellStyle name="Normal 22 7 2 2 3" xfId="25757"/>
    <cellStyle name="Normal 22 7 2 3" xfId="23035"/>
    <cellStyle name="Normal 22 7 2 3 2" xfId="28268"/>
    <cellStyle name="Normal 22 7 2 4" xfId="25756"/>
    <cellStyle name="Normal 22 7 3" xfId="7625"/>
    <cellStyle name="Normal 22 7 3 2" xfId="23037"/>
    <cellStyle name="Normal 22 7 3 2 2" xfId="28270"/>
    <cellStyle name="Normal 22 7 3 3" xfId="25758"/>
    <cellStyle name="Normal 22 7 4" xfId="23034"/>
    <cellStyle name="Normal 22 7 4 2" xfId="28267"/>
    <cellStyle name="Normal 22 7 5" xfId="25755"/>
    <cellStyle name="Normal 22 7_DeltaViewer" xfId="7626"/>
    <cellStyle name="Normal 22 8" xfId="7627"/>
    <cellStyle name="Normal 22 8 2" xfId="7628"/>
    <cellStyle name="Normal 22 8 2 2" xfId="23039"/>
    <cellStyle name="Normal 22 8 2 2 2" xfId="28272"/>
    <cellStyle name="Normal 22 8 2 3" xfId="25760"/>
    <cellStyle name="Normal 22 8 3" xfId="23038"/>
    <cellStyle name="Normal 22 8 3 2" xfId="28271"/>
    <cellStyle name="Normal 22 8 4" xfId="25759"/>
    <cellStyle name="Normal 22 9" xfId="7629"/>
    <cellStyle name="Normal 22 9 2" xfId="7630"/>
    <cellStyle name="Normal 22 9 2 2" xfId="23041"/>
    <cellStyle name="Normal 22 9 2 2 2" xfId="28274"/>
    <cellStyle name="Normal 22 9 2 3" xfId="25762"/>
    <cellStyle name="Normal 22 9 3" xfId="23040"/>
    <cellStyle name="Normal 22 9 3 2" xfId="28273"/>
    <cellStyle name="Normal 22 9 4" xfId="25761"/>
    <cellStyle name="Normal 22_DeltaViewer" xfId="7631"/>
    <cellStyle name="Normal 23" xfId="7632"/>
    <cellStyle name="Normal 23 10" xfId="7633"/>
    <cellStyle name="Normal 23 10 2" xfId="23043"/>
    <cellStyle name="Normal 23 10 2 2" xfId="28276"/>
    <cellStyle name="Normal 23 10 3" xfId="25764"/>
    <cellStyle name="Normal 23 11" xfId="23042"/>
    <cellStyle name="Normal 23 11 2" xfId="28275"/>
    <cellStyle name="Normal 23 12" xfId="25763"/>
    <cellStyle name="Normal 23 2" xfId="7634"/>
    <cellStyle name="Normal 23 2 10" xfId="25765"/>
    <cellStyle name="Normal 23 2 2" xfId="7635"/>
    <cellStyle name="Normal 23 2 2 2" xfId="7636"/>
    <cellStyle name="Normal 23 2 2 2 2" xfId="7637"/>
    <cellStyle name="Normal 23 2 2 2 2 2" xfId="7638"/>
    <cellStyle name="Normal 23 2 2 2 2 2 2" xfId="23048"/>
    <cellStyle name="Normal 23 2 2 2 2 2 2 2" xfId="28281"/>
    <cellStyle name="Normal 23 2 2 2 2 2 3" xfId="25769"/>
    <cellStyle name="Normal 23 2 2 2 2 3" xfId="23047"/>
    <cellStyle name="Normal 23 2 2 2 2 3 2" xfId="28280"/>
    <cellStyle name="Normal 23 2 2 2 2 4" xfId="25768"/>
    <cellStyle name="Normal 23 2 2 2 3" xfId="7639"/>
    <cellStyle name="Normal 23 2 2 2 3 2" xfId="23049"/>
    <cellStyle name="Normal 23 2 2 2 3 2 2" xfId="28282"/>
    <cellStyle name="Normal 23 2 2 2 3 3" xfId="25770"/>
    <cellStyle name="Normal 23 2 2 2 4" xfId="23046"/>
    <cellStyle name="Normal 23 2 2 2 4 2" xfId="28279"/>
    <cellStyle name="Normal 23 2 2 2 5" xfId="25767"/>
    <cellStyle name="Normal 23 2 2 2_DeltaViewer" xfId="7640"/>
    <cellStyle name="Normal 23 2 2 3" xfId="7641"/>
    <cellStyle name="Normal 23 2 2 3 2" xfId="7642"/>
    <cellStyle name="Normal 23 2 2 3 2 2" xfId="23051"/>
    <cellStyle name="Normal 23 2 2 3 2 2 2" xfId="28284"/>
    <cellStyle name="Normal 23 2 2 3 2 3" xfId="25772"/>
    <cellStyle name="Normal 23 2 2 3 3" xfId="23050"/>
    <cellStyle name="Normal 23 2 2 3 3 2" xfId="28283"/>
    <cellStyle name="Normal 23 2 2 3 4" xfId="25771"/>
    <cellStyle name="Normal 23 2 2 4" xfId="7643"/>
    <cellStyle name="Normal 23 2 2 4 2" xfId="23052"/>
    <cellStyle name="Normal 23 2 2 4 2 2" xfId="28285"/>
    <cellStyle name="Normal 23 2 2 4 3" xfId="25773"/>
    <cellStyle name="Normal 23 2 2 5" xfId="23045"/>
    <cellStyle name="Normal 23 2 2 5 2" xfId="28278"/>
    <cellStyle name="Normal 23 2 2 6" xfId="25766"/>
    <cellStyle name="Normal 23 2 2_DeltaViewer" xfId="7644"/>
    <cellStyle name="Normal 23 2 3" xfId="7645"/>
    <cellStyle name="Normal 23 2 3 2" xfId="7646"/>
    <cellStyle name="Normal 23 2 3 2 2" xfId="7647"/>
    <cellStyle name="Normal 23 2 3 2 2 2" xfId="7648"/>
    <cellStyle name="Normal 23 2 3 2 2 2 2" xfId="23056"/>
    <cellStyle name="Normal 23 2 3 2 2 2 2 2" xfId="28289"/>
    <cellStyle name="Normal 23 2 3 2 2 2 3" xfId="25777"/>
    <cellStyle name="Normal 23 2 3 2 2 3" xfId="23055"/>
    <cellStyle name="Normal 23 2 3 2 2 3 2" xfId="28288"/>
    <cellStyle name="Normal 23 2 3 2 2 4" xfId="25776"/>
    <cellStyle name="Normal 23 2 3 2 3" xfId="7649"/>
    <cellStyle name="Normal 23 2 3 2 3 2" xfId="23057"/>
    <cellStyle name="Normal 23 2 3 2 3 2 2" xfId="28290"/>
    <cellStyle name="Normal 23 2 3 2 3 3" xfId="25778"/>
    <cellStyle name="Normal 23 2 3 2 4" xfId="23054"/>
    <cellStyle name="Normal 23 2 3 2 4 2" xfId="28287"/>
    <cellStyle name="Normal 23 2 3 2 5" xfId="25775"/>
    <cellStyle name="Normal 23 2 3 2_DeltaViewer" xfId="7650"/>
    <cellStyle name="Normal 23 2 3 3" xfId="7651"/>
    <cellStyle name="Normal 23 2 3 3 2" xfId="7652"/>
    <cellStyle name="Normal 23 2 3 3 2 2" xfId="23059"/>
    <cellStyle name="Normal 23 2 3 3 2 2 2" xfId="28292"/>
    <cellStyle name="Normal 23 2 3 3 2 3" xfId="25780"/>
    <cellStyle name="Normal 23 2 3 3 3" xfId="23058"/>
    <cellStyle name="Normal 23 2 3 3 3 2" xfId="28291"/>
    <cellStyle name="Normal 23 2 3 3 4" xfId="25779"/>
    <cellStyle name="Normal 23 2 3 4" xfId="7653"/>
    <cellStyle name="Normal 23 2 3 4 2" xfId="23060"/>
    <cellStyle name="Normal 23 2 3 4 2 2" xfId="28293"/>
    <cellStyle name="Normal 23 2 3 4 3" xfId="25781"/>
    <cellStyle name="Normal 23 2 3 5" xfId="23053"/>
    <cellStyle name="Normal 23 2 3 5 2" xfId="28286"/>
    <cellStyle name="Normal 23 2 3 6" xfId="25774"/>
    <cellStyle name="Normal 23 2 3_DeltaViewer" xfId="7654"/>
    <cellStyle name="Normal 23 2 4" xfId="7655"/>
    <cellStyle name="Normal 23 2 4 2" xfId="7656"/>
    <cellStyle name="Normal 23 2 4 2 2" xfId="7657"/>
    <cellStyle name="Normal 23 2 4 2 2 2" xfId="7658"/>
    <cellStyle name="Normal 23 2 4 2 2 2 2" xfId="23064"/>
    <cellStyle name="Normal 23 2 4 2 2 2 2 2" xfId="28297"/>
    <cellStyle name="Normal 23 2 4 2 2 2 3" xfId="25785"/>
    <cellStyle name="Normal 23 2 4 2 2 3" xfId="23063"/>
    <cellStyle name="Normal 23 2 4 2 2 3 2" xfId="28296"/>
    <cellStyle name="Normal 23 2 4 2 2 4" xfId="25784"/>
    <cellStyle name="Normal 23 2 4 2 3" xfId="7659"/>
    <cellStyle name="Normal 23 2 4 2 3 2" xfId="23065"/>
    <cellStyle name="Normal 23 2 4 2 3 2 2" xfId="28298"/>
    <cellStyle name="Normal 23 2 4 2 3 3" xfId="25786"/>
    <cellStyle name="Normal 23 2 4 2 4" xfId="23062"/>
    <cellStyle name="Normal 23 2 4 2 4 2" xfId="28295"/>
    <cellStyle name="Normal 23 2 4 2 5" xfId="25783"/>
    <cellStyle name="Normal 23 2 4 2_DeltaViewer" xfId="7660"/>
    <cellStyle name="Normal 23 2 4 3" xfId="7661"/>
    <cellStyle name="Normal 23 2 4 3 2" xfId="7662"/>
    <cellStyle name="Normal 23 2 4 3 2 2" xfId="23067"/>
    <cellStyle name="Normal 23 2 4 3 2 2 2" xfId="28300"/>
    <cellStyle name="Normal 23 2 4 3 2 3" xfId="25788"/>
    <cellStyle name="Normal 23 2 4 3 3" xfId="23066"/>
    <cellStyle name="Normal 23 2 4 3 3 2" xfId="28299"/>
    <cellStyle name="Normal 23 2 4 3 4" xfId="25787"/>
    <cellStyle name="Normal 23 2 4 4" xfId="7663"/>
    <cellStyle name="Normal 23 2 4 4 2" xfId="23068"/>
    <cellStyle name="Normal 23 2 4 4 2 2" xfId="28301"/>
    <cellStyle name="Normal 23 2 4 4 3" xfId="25789"/>
    <cellStyle name="Normal 23 2 4 5" xfId="23061"/>
    <cellStyle name="Normal 23 2 4 5 2" xfId="28294"/>
    <cellStyle name="Normal 23 2 4 6" xfId="25782"/>
    <cellStyle name="Normal 23 2 4_DeltaViewer" xfId="7664"/>
    <cellStyle name="Normal 23 2 5" xfId="7665"/>
    <cellStyle name="Normal 23 2 5 2" xfId="7666"/>
    <cellStyle name="Normal 23 2 5 2 2" xfId="7667"/>
    <cellStyle name="Normal 23 2 5 2 2 2" xfId="23071"/>
    <cellStyle name="Normal 23 2 5 2 2 2 2" xfId="28304"/>
    <cellStyle name="Normal 23 2 5 2 2 3" xfId="25792"/>
    <cellStyle name="Normal 23 2 5 2 3" xfId="23070"/>
    <cellStyle name="Normal 23 2 5 2 3 2" xfId="28303"/>
    <cellStyle name="Normal 23 2 5 2 4" xfId="25791"/>
    <cellStyle name="Normal 23 2 5 3" xfId="7668"/>
    <cellStyle name="Normal 23 2 5 3 2" xfId="23072"/>
    <cellStyle name="Normal 23 2 5 3 2 2" xfId="28305"/>
    <cellStyle name="Normal 23 2 5 3 3" xfId="25793"/>
    <cellStyle name="Normal 23 2 5 4" xfId="23069"/>
    <cellStyle name="Normal 23 2 5 4 2" xfId="28302"/>
    <cellStyle name="Normal 23 2 5 5" xfId="25790"/>
    <cellStyle name="Normal 23 2 5_DeltaViewer" xfId="7669"/>
    <cellStyle name="Normal 23 2 6" xfId="7670"/>
    <cellStyle name="Normal 23 2 6 2" xfId="7671"/>
    <cellStyle name="Normal 23 2 6 2 2" xfId="23074"/>
    <cellStyle name="Normal 23 2 6 2 2 2" xfId="28307"/>
    <cellStyle name="Normal 23 2 6 2 3" xfId="25795"/>
    <cellStyle name="Normal 23 2 6 3" xfId="23073"/>
    <cellStyle name="Normal 23 2 6 3 2" xfId="28306"/>
    <cellStyle name="Normal 23 2 6 4" xfId="25794"/>
    <cellStyle name="Normal 23 2 7" xfId="7672"/>
    <cellStyle name="Normal 23 2 7 2" xfId="7673"/>
    <cellStyle name="Normal 23 2 7 2 2" xfId="23076"/>
    <cellStyle name="Normal 23 2 7 2 2 2" xfId="28309"/>
    <cellStyle name="Normal 23 2 7 2 3" xfId="25797"/>
    <cellStyle name="Normal 23 2 7 3" xfId="23075"/>
    <cellStyle name="Normal 23 2 7 3 2" xfId="28308"/>
    <cellStyle name="Normal 23 2 7 4" xfId="25796"/>
    <cellStyle name="Normal 23 2 8" xfId="7674"/>
    <cellStyle name="Normal 23 2 8 2" xfId="23077"/>
    <cellStyle name="Normal 23 2 8 2 2" xfId="28310"/>
    <cellStyle name="Normal 23 2 8 3" xfId="25798"/>
    <cellStyle name="Normal 23 2 9" xfId="23044"/>
    <cellStyle name="Normal 23 2 9 2" xfId="28277"/>
    <cellStyle name="Normal 23 2_DeltaViewer" xfId="7675"/>
    <cellStyle name="Normal 23 3" xfId="7676"/>
    <cellStyle name="Normal 23 3 10" xfId="25799"/>
    <cellStyle name="Normal 23 3 2" xfId="7677"/>
    <cellStyle name="Normal 23 3 2 2" xfId="7678"/>
    <cellStyle name="Normal 23 3 2 2 2" xfId="7679"/>
    <cellStyle name="Normal 23 3 2 2 2 2" xfId="7680"/>
    <cellStyle name="Normal 23 3 2 2 2 2 2" xfId="23082"/>
    <cellStyle name="Normal 23 3 2 2 2 2 2 2" xfId="28315"/>
    <cellStyle name="Normal 23 3 2 2 2 2 3" xfId="25803"/>
    <cellStyle name="Normal 23 3 2 2 2 3" xfId="23081"/>
    <cellStyle name="Normal 23 3 2 2 2 3 2" xfId="28314"/>
    <cellStyle name="Normal 23 3 2 2 2 4" xfId="25802"/>
    <cellStyle name="Normal 23 3 2 2 3" xfId="7681"/>
    <cellStyle name="Normal 23 3 2 2 3 2" xfId="23083"/>
    <cellStyle name="Normal 23 3 2 2 3 2 2" xfId="28316"/>
    <cellStyle name="Normal 23 3 2 2 3 3" xfId="25804"/>
    <cellStyle name="Normal 23 3 2 2 4" xfId="23080"/>
    <cellStyle name="Normal 23 3 2 2 4 2" xfId="28313"/>
    <cellStyle name="Normal 23 3 2 2 5" xfId="25801"/>
    <cellStyle name="Normal 23 3 2 2_DeltaViewer" xfId="7682"/>
    <cellStyle name="Normal 23 3 2 3" xfId="7683"/>
    <cellStyle name="Normal 23 3 2 3 2" xfId="7684"/>
    <cellStyle name="Normal 23 3 2 3 2 2" xfId="23085"/>
    <cellStyle name="Normal 23 3 2 3 2 2 2" xfId="28318"/>
    <cellStyle name="Normal 23 3 2 3 2 3" xfId="25806"/>
    <cellStyle name="Normal 23 3 2 3 3" xfId="23084"/>
    <cellStyle name="Normal 23 3 2 3 3 2" xfId="28317"/>
    <cellStyle name="Normal 23 3 2 3 4" xfId="25805"/>
    <cellStyle name="Normal 23 3 2 4" xfId="7685"/>
    <cellStyle name="Normal 23 3 2 4 2" xfId="23086"/>
    <cellStyle name="Normal 23 3 2 4 2 2" xfId="28319"/>
    <cellStyle name="Normal 23 3 2 4 3" xfId="25807"/>
    <cellStyle name="Normal 23 3 2 5" xfId="23079"/>
    <cellStyle name="Normal 23 3 2 5 2" xfId="28312"/>
    <cellStyle name="Normal 23 3 2 6" xfId="25800"/>
    <cellStyle name="Normal 23 3 2_DeltaViewer" xfId="7686"/>
    <cellStyle name="Normal 23 3 3" xfId="7687"/>
    <cellStyle name="Normal 23 3 3 2" xfId="7688"/>
    <cellStyle name="Normal 23 3 3 2 2" xfId="7689"/>
    <cellStyle name="Normal 23 3 3 2 2 2" xfId="7690"/>
    <cellStyle name="Normal 23 3 3 2 2 2 2" xfId="23090"/>
    <cellStyle name="Normal 23 3 3 2 2 2 2 2" xfId="28323"/>
    <cellStyle name="Normal 23 3 3 2 2 2 3" xfId="25811"/>
    <cellStyle name="Normal 23 3 3 2 2 3" xfId="23089"/>
    <cellStyle name="Normal 23 3 3 2 2 3 2" xfId="28322"/>
    <cellStyle name="Normal 23 3 3 2 2 4" xfId="25810"/>
    <cellStyle name="Normal 23 3 3 2 3" xfId="7691"/>
    <cellStyle name="Normal 23 3 3 2 3 2" xfId="23091"/>
    <cellStyle name="Normal 23 3 3 2 3 2 2" xfId="28324"/>
    <cellStyle name="Normal 23 3 3 2 3 3" xfId="25812"/>
    <cellStyle name="Normal 23 3 3 2 4" xfId="23088"/>
    <cellStyle name="Normal 23 3 3 2 4 2" xfId="28321"/>
    <cellStyle name="Normal 23 3 3 2 5" xfId="25809"/>
    <cellStyle name="Normal 23 3 3 2_DeltaViewer" xfId="7692"/>
    <cellStyle name="Normal 23 3 3 3" xfId="7693"/>
    <cellStyle name="Normal 23 3 3 3 2" xfId="7694"/>
    <cellStyle name="Normal 23 3 3 3 2 2" xfId="23093"/>
    <cellStyle name="Normal 23 3 3 3 2 2 2" xfId="28326"/>
    <cellStyle name="Normal 23 3 3 3 2 3" xfId="25814"/>
    <cellStyle name="Normal 23 3 3 3 3" xfId="23092"/>
    <cellStyle name="Normal 23 3 3 3 3 2" xfId="28325"/>
    <cellStyle name="Normal 23 3 3 3 4" xfId="25813"/>
    <cellStyle name="Normal 23 3 3 4" xfId="7695"/>
    <cellStyle name="Normal 23 3 3 4 2" xfId="23094"/>
    <cellStyle name="Normal 23 3 3 4 2 2" xfId="28327"/>
    <cellStyle name="Normal 23 3 3 4 3" xfId="25815"/>
    <cellStyle name="Normal 23 3 3 5" xfId="23087"/>
    <cellStyle name="Normal 23 3 3 5 2" xfId="28320"/>
    <cellStyle name="Normal 23 3 3 6" xfId="25808"/>
    <cellStyle name="Normal 23 3 3_DeltaViewer" xfId="7696"/>
    <cellStyle name="Normal 23 3 4" xfId="7697"/>
    <cellStyle name="Normal 23 3 4 2" xfId="7698"/>
    <cellStyle name="Normal 23 3 4 2 2" xfId="7699"/>
    <cellStyle name="Normal 23 3 4 2 2 2" xfId="7700"/>
    <cellStyle name="Normal 23 3 4 2 2 2 2" xfId="23098"/>
    <cellStyle name="Normal 23 3 4 2 2 2 2 2" xfId="28331"/>
    <cellStyle name="Normal 23 3 4 2 2 2 3" xfId="25819"/>
    <cellStyle name="Normal 23 3 4 2 2 3" xfId="23097"/>
    <cellStyle name="Normal 23 3 4 2 2 3 2" xfId="28330"/>
    <cellStyle name="Normal 23 3 4 2 2 4" xfId="25818"/>
    <cellStyle name="Normal 23 3 4 2 3" xfId="7701"/>
    <cellStyle name="Normal 23 3 4 2 3 2" xfId="23099"/>
    <cellStyle name="Normal 23 3 4 2 3 2 2" xfId="28332"/>
    <cellStyle name="Normal 23 3 4 2 3 3" xfId="25820"/>
    <cellStyle name="Normal 23 3 4 2 4" xfId="23096"/>
    <cellStyle name="Normal 23 3 4 2 4 2" xfId="28329"/>
    <cellStyle name="Normal 23 3 4 2 5" xfId="25817"/>
    <cellStyle name="Normal 23 3 4 2_DeltaViewer" xfId="7702"/>
    <cellStyle name="Normal 23 3 4 3" xfId="7703"/>
    <cellStyle name="Normal 23 3 4 3 2" xfId="7704"/>
    <cellStyle name="Normal 23 3 4 3 2 2" xfId="23101"/>
    <cellStyle name="Normal 23 3 4 3 2 2 2" xfId="28334"/>
    <cellStyle name="Normal 23 3 4 3 2 3" xfId="25822"/>
    <cellStyle name="Normal 23 3 4 3 3" xfId="23100"/>
    <cellStyle name="Normal 23 3 4 3 3 2" xfId="28333"/>
    <cellStyle name="Normal 23 3 4 3 4" xfId="25821"/>
    <cellStyle name="Normal 23 3 4 4" xfId="7705"/>
    <cellStyle name="Normal 23 3 4 4 2" xfId="23102"/>
    <cellStyle name="Normal 23 3 4 4 2 2" xfId="28335"/>
    <cellStyle name="Normal 23 3 4 4 3" xfId="25823"/>
    <cellStyle name="Normal 23 3 4 5" xfId="23095"/>
    <cellStyle name="Normal 23 3 4 5 2" xfId="28328"/>
    <cellStyle name="Normal 23 3 4 6" xfId="25816"/>
    <cellStyle name="Normal 23 3 4_DeltaViewer" xfId="7706"/>
    <cellStyle name="Normal 23 3 5" xfId="7707"/>
    <cellStyle name="Normal 23 3 5 2" xfId="7708"/>
    <cellStyle name="Normal 23 3 5 2 2" xfId="7709"/>
    <cellStyle name="Normal 23 3 5 2 2 2" xfId="23105"/>
    <cellStyle name="Normal 23 3 5 2 2 2 2" xfId="28338"/>
    <cellStyle name="Normal 23 3 5 2 2 3" xfId="25826"/>
    <cellStyle name="Normal 23 3 5 2 3" xfId="23104"/>
    <cellStyle name="Normal 23 3 5 2 3 2" xfId="28337"/>
    <cellStyle name="Normal 23 3 5 2 4" xfId="25825"/>
    <cellStyle name="Normal 23 3 5 3" xfId="7710"/>
    <cellStyle name="Normal 23 3 5 3 2" xfId="23106"/>
    <cellStyle name="Normal 23 3 5 3 2 2" xfId="28339"/>
    <cellStyle name="Normal 23 3 5 3 3" xfId="25827"/>
    <cellStyle name="Normal 23 3 5 4" xfId="23103"/>
    <cellStyle name="Normal 23 3 5 4 2" xfId="28336"/>
    <cellStyle name="Normal 23 3 5 5" xfId="25824"/>
    <cellStyle name="Normal 23 3 5_DeltaViewer" xfId="7711"/>
    <cellStyle name="Normal 23 3 6" xfId="7712"/>
    <cellStyle name="Normal 23 3 6 2" xfId="7713"/>
    <cellStyle name="Normal 23 3 6 2 2" xfId="23108"/>
    <cellStyle name="Normal 23 3 6 2 2 2" xfId="28341"/>
    <cellStyle name="Normal 23 3 6 2 3" xfId="25829"/>
    <cellStyle name="Normal 23 3 6 3" xfId="23107"/>
    <cellStyle name="Normal 23 3 6 3 2" xfId="28340"/>
    <cellStyle name="Normal 23 3 6 4" xfId="25828"/>
    <cellStyle name="Normal 23 3 7" xfId="7714"/>
    <cellStyle name="Normal 23 3 7 2" xfId="7715"/>
    <cellStyle name="Normal 23 3 7 2 2" xfId="23110"/>
    <cellStyle name="Normal 23 3 7 2 2 2" xfId="28343"/>
    <cellStyle name="Normal 23 3 7 2 3" xfId="25831"/>
    <cellStyle name="Normal 23 3 7 3" xfId="23109"/>
    <cellStyle name="Normal 23 3 7 3 2" xfId="28342"/>
    <cellStyle name="Normal 23 3 7 4" xfId="25830"/>
    <cellStyle name="Normal 23 3 8" xfId="7716"/>
    <cellStyle name="Normal 23 3 8 2" xfId="23111"/>
    <cellStyle name="Normal 23 3 8 2 2" xfId="28344"/>
    <cellStyle name="Normal 23 3 8 3" xfId="25832"/>
    <cellStyle name="Normal 23 3 9" xfId="23078"/>
    <cellStyle name="Normal 23 3 9 2" xfId="28311"/>
    <cellStyle name="Normal 23 3_DeltaViewer" xfId="7717"/>
    <cellStyle name="Normal 23 4" xfId="7718"/>
    <cellStyle name="Normal 23 4 2" xfId="7719"/>
    <cellStyle name="Normal 23 4 2 2" xfId="7720"/>
    <cellStyle name="Normal 23 4 2 2 2" xfId="7721"/>
    <cellStyle name="Normal 23 4 2 2 2 2" xfId="23115"/>
    <cellStyle name="Normal 23 4 2 2 2 2 2" xfId="28348"/>
    <cellStyle name="Normal 23 4 2 2 2 3" xfId="25836"/>
    <cellStyle name="Normal 23 4 2 2 3" xfId="23114"/>
    <cellStyle name="Normal 23 4 2 2 3 2" xfId="28347"/>
    <cellStyle name="Normal 23 4 2 2 4" xfId="25835"/>
    <cellStyle name="Normal 23 4 2 3" xfId="7722"/>
    <cellStyle name="Normal 23 4 2 3 2" xfId="23116"/>
    <cellStyle name="Normal 23 4 2 3 2 2" xfId="28349"/>
    <cellStyle name="Normal 23 4 2 3 3" xfId="25837"/>
    <cellStyle name="Normal 23 4 2 4" xfId="23113"/>
    <cellStyle name="Normal 23 4 2 4 2" xfId="28346"/>
    <cellStyle name="Normal 23 4 2 5" xfId="25834"/>
    <cellStyle name="Normal 23 4 2_DeltaViewer" xfId="7723"/>
    <cellStyle name="Normal 23 4 3" xfId="7724"/>
    <cellStyle name="Normal 23 4 3 2" xfId="7725"/>
    <cellStyle name="Normal 23 4 3 2 2" xfId="23118"/>
    <cellStyle name="Normal 23 4 3 2 2 2" xfId="28351"/>
    <cellStyle name="Normal 23 4 3 2 3" xfId="25839"/>
    <cellStyle name="Normal 23 4 3 3" xfId="23117"/>
    <cellStyle name="Normal 23 4 3 3 2" xfId="28350"/>
    <cellStyle name="Normal 23 4 3 4" xfId="25838"/>
    <cellStyle name="Normal 23 4 4" xfId="7726"/>
    <cellStyle name="Normal 23 4 4 2" xfId="23119"/>
    <cellStyle name="Normal 23 4 4 2 2" xfId="28352"/>
    <cellStyle name="Normal 23 4 4 3" xfId="25840"/>
    <cellStyle name="Normal 23 4 5" xfId="23112"/>
    <cellStyle name="Normal 23 4 5 2" xfId="28345"/>
    <cellStyle name="Normal 23 4 6" xfId="25833"/>
    <cellStyle name="Normal 23 4_DeltaViewer" xfId="7727"/>
    <cellStyle name="Normal 23 5" xfId="7728"/>
    <cellStyle name="Normal 23 5 2" xfId="7729"/>
    <cellStyle name="Normal 23 5 2 2" xfId="7730"/>
    <cellStyle name="Normal 23 5 2 2 2" xfId="7731"/>
    <cellStyle name="Normal 23 5 2 2 2 2" xfId="23123"/>
    <cellStyle name="Normal 23 5 2 2 2 2 2" xfId="28356"/>
    <cellStyle name="Normal 23 5 2 2 2 3" xfId="25844"/>
    <cellStyle name="Normal 23 5 2 2 3" xfId="23122"/>
    <cellStyle name="Normal 23 5 2 2 3 2" xfId="28355"/>
    <cellStyle name="Normal 23 5 2 2 4" xfId="25843"/>
    <cellStyle name="Normal 23 5 2 3" xfId="7732"/>
    <cellStyle name="Normal 23 5 2 3 2" xfId="23124"/>
    <cellStyle name="Normal 23 5 2 3 2 2" xfId="28357"/>
    <cellStyle name="Normal 23 5 2 3 3" xfId="25845"/>
    <cellStyle name="Normal 23 5 2 4" xfId="23121"/>
    <cellStyle name="Normal 23 5 2 4 2" xfId="28354"/>
    <cellStyle name="Normal 23 5 2 5" xfId="25842"/>
    <cellStyle name="Normal 23 5 2_DeltaViewer" xfId="7733"/>
    <cellStyle name="Normal 23 5 3" xfId="7734"/>
    <cellStyle name="Normal 23 5 3 2" xfId="7735"/>
    <cellStyle name="Normal 23 5 3 2 2" xfId="23126"/>
    <cellStyle name="Normal 23 5 3 2 2 2" xfId="28359"/>
    <cellStyle name="Normal 23 5 3 2 3" xfId="25847"/>
    <cellStyle name="Normal 23 5 3 3" xfId="23125"/>
    <cellStyle name="Normal 23 5 3 3 2" xfId="28358"/>
    <cellStyle name="Normal 23 5 3 4" xfId="25846"/>
    <cellStyle name="Normal 23 5 4" xfId="7736"/>
    <cellStyle name="Normal 23 5 4 2" xfId="23127"/>
    <cellStyle name="Normal 23 5 4 2 2" xfId="28360"/>
    <cellStyle name="Normal 23 5 4 3" xfId="25848"/>
    <cellStyle name="Normal 23 5 5" xfId="23120"/>
    <cellStyle name="Normal 23 5 5 2" xfId="28353"/>
    <cellStyle name="Normal 23 5 6" xfId="25841"/>
    <cellStyle name="Normal 23 5_DeltaViewer" xfId="7737"/>
    <cellStyle name="Normal 23 6" xfId="7738"/>
    <cellStyle name="Normal 23 6 2" xfId="7739"/>
    <cellStyle name="Normal 23 6 2 2" xfId="7740"/>
    <cellStyle name="Normal 23 6 2 2 2" xfId="7741"/>
    <cellStyle name="Normal 23 6 2 2 2 2" xfId="23131"/>
    <cellStyle name="Normal 23 6 2 2 2 2 2" xfId="28364"/>
    <cellStyle name="Normal 23 6 2 2 2 3" xfId="25852"/>
    <cellStyle name="Normal 23 6 2 2 3" xfId="23130"/>
    <cellStyle name="Normal 23 6 2 2 3 2" xfId="28363"/>
    <cellStyle name="Normal 23 6 2 2 4" xfId="25851"/>
    <cellStyle name="Normal 23 6 2 3" xfId="7742"/>
    <cellStyle name="Normal 23 6 2 3 2" xfId="23132"/>
    <cellStyle name="Normal 23 6 2 3 2 2" xfId="28365"/>
    <cellStyle name="Normal 23 6 2 3 3" xfId="25853"/>
    <cellStyle name="Normal 23 6 2 4" xfId="23129"/>
    <cellStyle name="Normal 23 6 2 4 2" xfId="28362"/>
    <cellStyle name="Normal 23 6 2 5" xfId="25850"/>
    <cellStyle name="Normal 23 6 2_DeltaViewer" xfId="7743"/>
    <cellStyle name="Normal 23 6 3" xfId="7744"/>
    <cellStyle name="Normal 23 6 3 2" xfId="7745"/>
    <cellStyle name="Normal 23 6 3 2 2" xfId="23134"/>
    <cellStyle name="Normal 23 6 3 2 2 2" xfId="28367"/>
    <cellStyle name="Normal 23 6 3 2 3" xfId="25855"/>
    <cellStyle name="Normal 23 6 3 3" xfId="23133"/>
    <cellStyle name="Normal 23 6 3 3 2" xfId="28366"/>
    <cellStyle name="Normal 23 6 3 4" xfId="25854"/>
    <cellStyle name="Normal 23 6 4" xfId="7746"/>
    <cellStyle name="Normal 23 6 4 2" xfId="23135"/>
    <cellStyle name="Normal 23 6 4 2 2" xfId="28368"/>
    <cellStyle name="Normal 23 6 4 3" xfId="25856"/>
    <cellStyle name="Normal 23 6 5" xfId="23128"/>
    <cellStyle name="Normal 23 6 5 2" xfId="28361"/>
    <cellStyle name="Normal 23 6 6" xfId="25849"/>
    <cellStyle name="Normal 23 6_DeltaViewer" xfId="7747"/>
    <cellStyle name="Normal 23 7" xfId="7748"/>
    <cellStyle name="Normal 23 7 2" xfId="7749"/>
    <cellStyle name="Normal 23 7 2 2" xfId="7750"/>
    <cellStyle name="Normal 23 7 2 2 2" xfId="23138"/>
    <cellStyle name="Normal 23 7 2 2 2 2" xfId="28371"/>
    <cellStyle name="Normal 23 7 2 2 3" xfId="25859"/>
    <cellStyle name="Normal 23 7 2 3" xfId="23137"/>
    <cellStyle name="Normal 23 7 2 3 2" xfId="28370"/>
    <cellStyle name="Normal 23 7 2 4" xfId="25858"/>
    <cellStyle name="Normal 23 7 3" xfId="7751"/>
    <cellStyle name="Normal 23 7 3 2" xfId="23139"/>
    <cellStyle name="Normal 23 7 3 2 2" xfId="28372"/>
    <cellStyle name="Normal 23 7 3 3" xfId="25860"/>
    <cellStyle name="Normal 23 7 4" xfId="23136"/>
    <cellStyle name="Normal 23 7 4 2" xfId="28369"/>
    <cellStyle name="Normal 23 7 5" xfId="25857"/>
    <cellStyle name="Normal 23 7_DeltaViewer" xfId="7752"/>
    <cellStyle name="Normal 23 8" xfId="7753"/>
    <cellStyle name="Normal 23 8 2" xfId="7754"/>
    <cellStyle name="Normal 23 8 2 2" xfId="23141"/>
    <cellStyle name="Normal 23 8 2 2 2" xfId="28374"/>
    <cellStyle name="Normal 23 8 2 3" xfId="25862"/>
    <cellStyle name="Normal 23 8 3" xfId="23140"/>
    <cellStyle name="Normal 23 8 3 2" xfId="28373"/>
    <cellStyle name="Normal 23 8 4" xfId="25861"/>
    <cellStyle name="Normal 23 9" xfId="7755"/>
    <cellStyle name="Normal 23 9 2" xfId="7756"/>
    <cellStyle name="Normal 23 9 2 2" xfId="23143"/>
    <cellStyle name="Normal 23 9 2 2 2" xfId="28376"/>
    <cellStyle name="Normal 23 9 2 3" xfId="25864"/>
    <cellStyle name="Normal 23 9 3" xfId="23142"/>
    <cellStyle name="Normal 23 9 3 2" xfId="28375"/>
    <cellStyle name="Normal 23 9 4" xfId="25863"/>
    <cellStyle name="Normal 23_DeltaViewer" xfId="7757"/>
    <cellStyle name="Normal 24" xfId="7758"/>
    <cellStyle name="Normal 24 2" xfId="7759"/>
    <cellStyle name="Normal 24 2 2" xfId="7760"/>
    <cellStyle name="Normal 24 2 3" xfId="7761"/>
    <cellStyle name="Normal 24 2 4" xfId="7762"/>
    <cellStyle name="Normal 24 2 5" xfId="7763"/>
    <cellStyle name="Normal 24 2_DeltaViewer" xfId="7764"/>
    <cellStyle name="Normal 24 3" xfId="7765"/>
    <cellStyle name="Normal 24 4" xfId="7766"/>
    <cellStyle name="Normal 24 5" xfId="7767"/>
    <cellStyle name="Normal 24 6" xfId="7768"/>
    <cellStyle name="Normal 24_DeltaViewer" xfId="7769"/>
    <cellStyle name="Normal 25" xfId="7770"/>
    <cellStyle name="Normal 25 10" xfId="7771"/>
    <cellStyle name="Normal 25 10 2" xfId="23145"/>
    <cellStyle name="Normal 25 10 2 2" xfId="28378"/>
    <cellStyle name="Normal 25 10 3" xfId="25866"/>
    <cellStyle name="Normal 25 11" xfId="23144"/>
    <cellStyle name="Normal 25 11 2" xfId="28377"/>
    <cellStyle name="Normal 25 12" xfId="25865"/>
    <cellStyle name="Normal 25 2" xfId="7772"/>
    <cellStyle name="Normal 25 2 10" xfId="25867"/>
    <cellStyle name="Normal 25 2 2" xfId="7773"/>
    <cellStyle name="Normal 25 2 2 2" xfId="7774"/>
    <cellStyle name="Normal 25 2 2 2 2" xfId="7775"/>
    <cellStyle name="Normal 25 2 2 2 2 2" xfId="7776"/>
    <cellStyle name="Normal 25 2 2 2 2 2 2" xfId="23150"/>
    <cellStyle name="Normal 25 2 2 2 2 2 2 2" xfId="28383"/>
    <cellStyle name="Normal 25 2 2 2 2 2 3" xfId="25871"/>
    <cellStyle name="Normal 25 2 2 2 2 3" xfId="23149"/>
    <cellStyle name="Normal 25 2 2 2 2 3 2" xfId="28382"/>
    <cellStyle name="Normal 25 2 2 2 2 4" xfId="25870"/>
    <cellStyle name="Normal 25 2 2 2 3" xfId="7777"/>
    <cellStyle name="Normal 25 2 2 2 3 2" xfId="23151"/>
    <cellStyle name="Normal 25 2 2 2 3 2 2" xfId="28384"/>
    <cellStyle name="Normal 25 2 2 2 3 3" xfId="25872"/>
    <cellStyle name="Normal 25 2 2 2 4" xfId="23148"/>
    <cellStyle name="Normal 25 2 2 2 4 2" xfId="28381"/>
    <cellStyle name="Normal 25 2 2 2 5" xfId="25869"/>
    <cellStyle name="Normal 25 2 2 2_DeltaViewer" xfId="7778"/>
    <cellStyle name="Normal 25 2 2 3" xfId="7779"/>
    <cellStyle name="Normal 25 2 2 3 2" xfId="7780"/>
    <cellStyle name="Normal 25 2 2 3 2 2" xfId="23153"/>
    <cellStyle name="Normal 25 2 2 3 2 2 2" xfId="28386"/>
    <cellStyle name="Normal 25 2 2 3 2 3" xfId="25874"/>
    <cellStyle name="Normal 25 2 2 3 3" xfId="23152"/>
    <cellStyle name="Normal 25 2 2 3 3 2" xfId="28385"/>
    <cellStyle name="Normal 25 2 2 3 4" xfId="25873"/>
    <cellStyle name="Normal 25 2 2 4" xfId="7781"/>
    <cellStyle name="Normal 25 2 2 4 2" xfId="23154"/>
    <cellStyle name="Normal 25 2 2 4 2 2" xfId="28387"/>
    <cellStyle name="Normal 25 2 2 4 3" xfId="25875"/>
    <cellStyle name="Normal 25 2 2 5" xfId="23147"/>
    <cellStyle name="Normal 25 2 2 5 2" xfId="28380"/>
    <cellStyle name="Normal 25 2 2 6" xfId="25868"/>
    <cellStyle name="Normal 25 2 2_DeltaViewer" xfId="7782"/>
    <cellStyle name="Normal 25 2 3" xfId="7783"/>
    <cellStyle name="Normal 25 2 3 2" xfId="7784"/>
    <cellStyle name="Normal 25 2 3 2 2" xfId="7785"/>
    <cellStyle name="Normal 25 2 3 2 2 2" xfId="7786"/>
    <cellStyle name="Normal 25 2 3 2 2 2 2" xfId="23158"/>
    <cellStyle name="Normal 25 2 3 2 2 2 2 2" xfId="28391"/>
    <cellStyle name="Normal 25 2 3 2 2 2 3" xfId="25879"/>
    <cellStyle name="Normal 25 2 3 2 2 3" xfId="23157"/>
    <cellStyle name="Normal 25 2 3 2 2 3 2" xfId="28390"/>
    <cellStyle name="Normal 25 2 3 2 2 4" xfId="25878"/>
    <cellStyle name="Normal 25 2 3 2 3" xfId="7787"/>
    <cellStyle name="Normal 25 2 3 2 3 2" xfId="23159"/>
    <cellStyle name="Normal 25 2 3 2 3 2 2" xfId="28392"/>
    <cellStyle name="Normal 25 2 3 2 3 3" xfId="25880"/>
    <cellStyle name="Normal 25 2 3 2 4" xfId="23156"/>
    <cellStyle name="Normal 25 2 3 2 4 2" xfId="28389"/>
    <cellStyle name="Normal 25 2 3 2 5" xfId="25877"/>
    <cellStyle name="Normal 25 2 3 2_DeltaViewer" xfId="7788"/>
    <cellStyle name="Normal 25 2 3 3" xfId="7789"/>
    <cellStyle name="Normal 25 2 3 3 2" xfId="7790"/>
    <cellStyle name="Normal 25 2 3 3 2 2" xfId="23161"/>
    <cellStyle name="Normal 25 2 3 3 2 2 2" xfId="28394"/>
    <cellStyle name="Normal 25 2 3 3 2 3" xfId="25882"/>
    <cellStyle name="Normal 25 2 3 3 3" xfId="23160"/>
    <cellStyle name="Normal 25 2 3 3 3 2" xfId="28393"/>
    <cellStyle name="Normal 25 2 3 3 4" xfId="25881"/>
    <cellStyle name="Normal 25 2 3 4" xfId="7791"/>
    <cellStyle name="Normal 25 2 3 4 2" xfId="23162"/>
    <cellStyle name="Normal 25 2 3 4 2 2" xfId="28395"/>
    <cellStyle name="Normal 25 2 3 4 3" xfId="25883"/>
    <cellStyle name="Normal 25 2 3 5" xfId="23155"/>
    <cellStyle name="Normal 25 2 3 5 2" xfId="28388"/>
    <cellStyle name="Normal 25 2 3 6" xfId="25876"/>
    <cellStyle name="Normal 25 2 3_DeltaViewer" xfId="7792"/>
    <cellStyle name="Normal 25 2 4" xfId="7793"/>
    <cellStyle name="Normal 25 2 4 2" xfId="7794"/>
    <cellStyle name="Normal 25 2 4 2 2" xfId="7795"/>
    <cellStyle name="Normal 25 2 4 2 2 2" xfId="7796"/>
    <cellStyle name="Normal 25 2 4 2 2 2 2" xfId="23166"/>
    <cellStyle name="Normal 25 2 4 2 2 2 2 2" xfId="28399"/>
    <cellStyle name="Normal 25 2 4 2 2 2 3" xfId="25887"/>
    <cellStyle name="Normal 25 2 4 2 2 3" xfId="23165"/>
    <cellStyle name="Normal 25 2 4 2 2 3 2" xfId="28398"/>
    <cellStyle name="Normal 25 2 4 2 2 4" xfId="25886"/>
    <cellStyle name="Normal 25 2 4 2 3" xfId="7797"/>
    <cellStyle name="Normal 25 2 4 2 3 2" xfId="23167"/>
    <cellStyle name="Normal 25 2 4 2 3 2 2" xfId="28400"/>
    <cellStyle name="Normal 25 2 4 2 3 3" xfId="25888"/>
    <cellStyle name="Normal 25 2 4 2 4" xfId="23164"/>
    <cellStyle name="Normal 25 2 4 2 4 2" xfId="28397"/>
    <cellStyle name="Normal 25 2 4 2 5" xfId="25885"/>
    <cellStyle name="Normal 25 2 4 2_DeltaViewer" xfId="7798"/>
    <cellStyle name="Normal 25 2 4 3" xfId="7799"/>
    <cellStyle name="Normal 25 2 4 3 2" xfId="7800"/>
    <cellStyle name="Normal 25 2 4 3 2 2" xfId="23169"/>
    <cellStyle name="Normal 25 2 4 3 2 2 2" xfId="28402"/>
    <cellStyle name="Normal 25 2 4 3 2 3" xfId="25890"/>
    <cellStyle name="Normal 25 2 4 3 3" xfId="23168"/>
    <cellStyle name="Normal 25 2 4 3 3 2" xfId="28401"/>
    <cellStyle name="Normal 25 2 4 3 4" xfId="25889"/>
    <cellStyle name="Normal 25 2 4 4" xfId="7801"/>
    <cellStyle name="Normal 25 2 4 4 2" xfId="23170"/>
    <cellStyle name="Normal 25 2 4 4 2 2" xfId="28403"/>
    <cellStyle name="Normal 25 2 4 4 3" xfId="25891"/>
    <cellStyle name="Normal 25 2 4 5" xfId="23163"/>
    <cellStyle name="Normal 25 2 4 5 2" xfId="28396"/>
    <cellStyle name="Normal 25 2 4 6" xfId="25884"/>
    <cellStyle name="Normal 25 2 4_DeltaViewer" xfId="7802"/>
    <cellStyle name="Normal 25 2 5" xfId="7803"/>
    <cellStyle name="Normal 25 2 5 2" xfId="7804"/>
    <cellStyle name="Normal 25 2 5 2 2" xfId="7805"/>
    <cellStyle name="Normal 25 2 5 2 2 2" xfId="23173"/>
    <cellStyle name="Normal 25 2 5 2 2 2 2" xfId="28406"/>
    <cellStyle name="Normal 25 2 5 2 2 3" xfId="25894"/>
    <cellStyle name="Normal 25 2 5 2 3" xfId="23172"/>
    <cellStyle name="Normal 25 2 5 2 3 2" xfId="28405"/>
    <cellStyle name="Normal 25 2 5 2 4" xfId="25893"/>
    <cellStyle name="Normal 25 2 5 3" xfId="7806"/>
    <cellStyle name="Normal 25 2 5 3 2" xfId="23174"/>
    <cellStyle name="Normal 25 2 5 3 2 2" xfId="28407"/>
    <cellStyle name="Normal 25 2 5 3 3" xfId="25895"/>
    <cellStyle name="Normal 25 2 5 4" xfId="23171"/>
    <cellStyle name="Normal 25 2 5 4 2" xfId="28404"/>
    <cellStyle name="Normal 25 2 5 5" xfId="25892"/>
    <cellStyle name="Normal 25 2 5_DeltaViewer" xfId="7807"/>
    <cellStyle name="Normal 25 2 6" xfId="7808"/>
    <cellStyle name="Normal 25 2 6 2" xfId="7809"/>
    <cellStyle name="Normal 25 2 6 2 2" xfId="23176"/>
    <cellStyle name="Normal 25 2 6 2 2 2" xfId="28409"/>
    <cellStyle name="Normal 25 2 6 2 3" xfId="25897"/>
    <cellStyle name="Normal 25 2 6 3" xfId="23175"/>
    <cellStyle name="Normal 25 2 6 3 2" xfId="28408"/>
    <cellStyle name="Normal 25 2 6 4" xfId="25896"/>
    <cellStyle name="Normal 25 2 7" xfId="7810"/>
    <cellStyle name="Normal 25 2 7 2" xfId="7811"/>
    <cellStyle name="Normal 25 2 7 2 2" xfId="23178"/>
    <cellStyle name="Normal 25 2 7 2 2 2" xfId="28411"/>
    <cellStyle name="Normal 25 2 7 2 3" xfId="25899"/>
    <cellStyle name="Normal 25 2 7 3" xfId="23177"/>
    <cellStyle name="Normal 25 2 7 3 2" xfId="28410"/>
    <cellStyle name="Normal 25 2 7 4" xfId="25898"/>
    <cellStyle name="Normal 25 2 8" xfId="7812"/>
    <cellStyle name="Normal 25 2 8 2" xfId="23179"/>
    <cellStyle name="Normal 25 2 8 2 2" xfId="28412"/>
    <cellStyle name="Normal 25 2 8 3" xfId="25900"/>
    <cellStyle name="Normal 25 2 9" xfId="23146"/>
    <cellStyle name="Normal 25 2 9 2" xfId="28379"/>
    <cellStyle name="Normal 25 2_DeltaViewer" xfId="7813"/>
    <cellStyle name="Normal 25 3" xfId="7814"/>
    <cellStyle name="Normal 25 3 10" xfId="25901"/>
    <cellStyle name="Normal 25 3 2" xfId="7815"/>
    <cellStyle name="Normal 25 3 2 2" xfId="7816"/>
    <cellStyle name="Normal 25 3 2 2 2" xfId="7817"/>
    <cellStyle name="Normal 25 3 2 2 2 2" xfId="7818"/>
    <cellStyle name="Normal 25 3 2 2 2 2 2" xfId="23184"/>
    <cellStyle name="Normal 25 3 2 2 2 2 2 2" xfId="28417"/>
    <cellStyle name="Normal 25 3 2 2 2 2 3" xfId="25905"/>
    <cellStyle name="Normal 25 3 2 2 2 3" xfId="23183"/>
    <cellStyle name="Normal 25 3 2 2 2 3 2" xfId="28416"/>
    <cellStyle name="Normal 25 3 2 2 2 4" xfId="25904"/>
    <cellStyle name="Normal 25 3 2 2 3" xfId="7819"/>
    <cellStyle name="Normal 25 3 2 2 3 2" xfId="23185"/>
    <cellStyle name="Normal 25 3 2 2 3 2 2" xfId="28418"/>
    <cellStyle name="Normal 25 3 2 2 3 3" xfId="25906"/>
    <cellStyle name="Normal 25 3 2 2 4" xfId="23182"/>
    <cellStyle name="Normal 25 3 2 2 4 2" xfId="28415"/>
    <cellStyle name="Normal 25 3 2 2 5" xfId="25903"/>
    <cellStyle name="Normal 25 3 2 2_DeltaViewer" xfId="7820"/>
    <cellStyle name="Normal 25 3 2 3" xfId="7821"/>
    <cellStyle name="Normal 25 3 2 3 2" xfId="7822"/>
    <cellStyle name="Normal 25 3 2 3 2 2" xfId="23187"/>
    <cellStyle name="Normal 25 3 2 3 2 2 2" xfId="28420"/>
    <cellStyle name="Normal 25 3 2 3 2 3" xfId="25908"/>
    <cellStyle name="Normal 25 3 2 3 3" xfId="23186"/>
    <cellStyle name="Normal 25 3 2 3 3 2" xfId="28419"/>
    <cellStyle name="Normal 25 3 2 3 4" xfId="25907"/>
    <cellStyle name="Normal 25 3 2 4" xfId="7823"/>
    <cellStyle name="Normal 25 3 2 4 2" xfId="23188"/>
    <cellStyle name="Normal 25 3 2 4 2 2" xfId="28421"/>
    <cellStyle name="Normal 25 3 2 4 3" xfId="25909"/>
    <cellStyle name="Normal 25 3 2 5" xfId="23181"/>
    <cellStyle name="Normal 25 3 2 5 2" xfId="28414"/>
    <cellStyle name="Normal 25 3 2 6" xfId="25902"/>
    <cellStyle name="Normal 25 3 2_DeltaViewer" xfId="7824"/>
    <cellStyle name="Normal 25 3 3" xfId="7825"/>
    <cellStyle name="Normal 25 3 3 2" xfId="7826"/>
    <cellStyle name="Normal 25 3 3 2 2" xfId="7827"/>
    <cellStyle name="Normal 25 3 3 2 2 2" xfId="7828"/>
    <cellStyle name="Normal 25 3 3 2 2 2 2" xfId="23192"/>
    <cellStyle name="Normal 25 3 3 2 2 2 2 2" xfId="28425"/>
    <cellStyle name="Normal 25 3 3 2 2 2 3" xfId="25913"/>
    <cellStyle name="Normal 25 3 3 2 2 3" xfId="23191"/>
    <cellStyle name="Normal 25 3 3 2 2 3 2" xfId="28424"/>
    <cellStyle name="Normal 25 3 3 2 2 4" xfId="25912"/>
    <cellStyle name="Normal 25 3 3 2 3" xfId="7829"/>
    <cellStyle name="Normal 25 3 3 2 3 2" xfId="23193"/>
    <cellStyle name="Normal 25 3 3 2 3 2 2" xfId="28426"/>
    <cellStyle name="Normal 25 3 3 2 3 3" xfId="25914"/>
    <cellStyle name="Normal 25 3 3 2 4" xfId="23190"/>
    <cellStyle name="Normal 25 3 3 2 4 2" xfId="28423"/>
    <cellStyle name="Normal 25 3 3 2 5" xfId="25911"/>
    <cellStyle name="Normal 25 3 3 2_DeltaViewer" xfId="7830"/>
    <cellStyle name="Normal 25 3 3 3" xfId="7831"/>
    <cellStyle name="Normal 25 3 3 3 2" xfId="7832"/>
    <cellStyle name="Normal 25 3 3 3 2 2" xfId="23195"/>
    <cellStyle name="Normal 25 3 3 3 2 2 2" xfId="28428"/>
    <cellStyle name="Normal 25 3 3 3 2 3" xfId="25916"/>
    <cellStyle name="Normal 25 3 3 3 3" xfId="23194"/>
    <cellStyle name="Normal 25 3 3 3 3 2" xfId="28427"/>
    <cellStyle name="Normal 25 3 3 3 4" xfId="25915"/>
    <cellStyle name="Normal 25 3 3 4" xfId="7833"/>
    <cellStyle name="Normal 25 3 3 4 2" xfId="23196"/>
    <cellStyle name="Normal 25 3 3 4 2 2" xfId="28429"/>
    <cellStyle name="Normal 25 3 3 4 3" xfId="25917"/>
    <cellStyle name="Normal 25 3 3 5" xfId="23189"/>
    <cellStyle name="Normal 25 3 3 5 2" xfId="28422"/>
    <cellStyle name="Normal 25 3 3 6" xfId="25910"/>
    <cellStyle name="Normal 25 3 3_DeltaViewer" xfId="7834"/>
    <cellStyle name="Normal 25 3 4" xfId="7835"/>
    <cellStyle name="Normal 25 3 4 2" xfId="7836"/>
    <cellStyle name="Normal 25 3 4 2 2" xfId="7837"/>
    <cellStyle name="Normal 25 3 4 2 2 2" xfId="7838"/>
    <cellStyle name="Normal 25 3 4 2 2 2 2" xfId="23200"/>
    <cellStyle name="Normal 25 3 4 2 2 2 2 2" xfId="28433"/>
    <cellStyle name="Normal 25 3 4 2 2 2 3" xfId="25921"/>
    <cellStyle name="Normal 25 3 4 2 2 3" xfId="23199"/>
    <cellStyle name="Normal 25 3 4 2 2 3 2" xfId="28432"/>
    <cellStyle name="Normal 25 3 4 2 2 4" xfId="25920"/>
    <cellStyle name="Normal 25 3 4 2 3" xfId="7839"/>
    <cellStyle name="Normal 25 3 4 2 3 2" xfId="23201"/>
    <cellStyle name="Normal 25 3 4 2 3 2 2" xfId="28434"/>
    <cellStyle name="Normal 25 3 4 2 3 3" xfId="25922"/>
    <cellStyle name="Normal 25 3 4 2 4" xfId="23198"/>
    <cellStyle name="Normal 25 3 4 2 4 2" xfId="28431"/>
    <cellStyle name="Normal 25 3 4 2 5" xfId="25919"/>
    <cellStyle name="Normal 25 3 4 2_DeltaViewer" xfId="7840"/>
    <cellStyle name="Normal 25 3 4 3" xfId="7841"/>
    <cellStyle name="Normal 25 3 4 3 2" xfId="7842"/>
    <cellStyle name="Normal 25 3 4 3 2 2" xfId="23203"/>
    <cellStyle name="Normal 25 3 4 3 2 2 2" xfId="28436"/>
    <cellStyle name="Normal 25 3 4 3 2 3" xfId="25924"/>
    <cellStyle name="Normal 25 3 4 3 3" xfId="23202"/>
    <cellStyle name="Normal 25 3 4 3 3 2" xfId="28435"/>
    <cellStyle name="Normal 25 3 4 3 4" xfId="25923"/>
    <cellStyle name="Normal 25 3 4 4" xfId="7843"/>
    <cellStyle name="Normal 25 3 4 4 2" xfId="23204"/>
    <cellStyle name="Normal 25 3 4 4 2 2" xfId="28437"/>
    <cellStyle name="Normal 25 3 4 4 3" xfId="25925"/>
    <cellStyle name="Normal 25 3 4 5" xfId="23197"/>
    <cellStyle name="Normal 25 3 4 5 2" xfId="28430"/>
    <cellStyle name="Normal 25 3 4 6" xfId="25918"/>
    <cellStyle name="Normal 25 3 4_DeltaViewer" xfId="7844"/>
    <cellStyle name="Normal 25 3 5" xfId="7845"/>
    <cellStyle name="Normal 25 3 5 2" xfId="7846"/>
    <cellStyle name="Normal 25 3 5 2 2" xfId="7847"/>
    <cellStyle name="Normal 25 3 5 2 2 2" xfId="23207"/>
    <cellStyle name="Normal 25 3 5 2 2 2 2" xfId="28440"/>
    <cellStyle name="Normal 25 3 5 2 2 3" xfId="25928"/>
    <cellStyle name="Normal 25 3 5 2 3" xfId="23206"/>
    <cellStyle name="Normal 25 3 5 2 3 2" xfId="28439"/>
    <cellStyle name="Normal 25 3 5 2 4" xfId="25927"/>
    <cellStyle name="Normal 25 3 5 3" xfId="7848"/>
    <cellStyle name="Normal 25 3 5 3 2" xfId="23208"/>
    <cellStyle name="Normal 25 3 5 3 2 2" xfId="28441"/>
    <cellStyle name="Normal 25 3 5 3 3" xfId="25929"/>
    <cellStyle name="Normal 25 3 5 4" xfId="23205"/>
    <cellStyle name="Normal 25 3 5 4 2" xfId="28438"/>
    <cellStyle name="Normal 25 3 5 5" xfId="25926"/>
    <cellStyle name="Normal 25 3 5_DeltaViewer" xfId="7849"/>
    <cellStyle name="Normal 25 3 6" xfId="7850"/>
    <cellStyle name="Normal 25 3 6 2" xfId="7851"/>
    <cellStyle name="Normal 25 3 6 2 2" xfId="23210"/>
    <cellStyle name="Normal 25 3 6 2 2 2" xfId="28443"/>
    <cellStyle name="Normal 25 3 6 2 3" xfId="25931"/>
    <cellStyle name="Normal 25 3 6 3" xfId="23209"/>
    <cellStyle name="Normal 25 3 6 3 2" xfId="28442"/>
    <cellStyle name="Normal 25 3 6 4" xfId="25930"/>
    <cellStyle name="Normal 25 3 7" xfId="7852"/>
    <cellStyle name="Normal 25 3 7 2" xfId="7853"/>
    <cellStyle name="Normal 25 3 7 2 2" xfId="23212"/>
    <cellStyle name="Normal 25 3 7 2 2 2" xfId="28445"/>
    <cellStyle name="Normal 25 3 7 2 3" xfId="25933"/>
    <cellStyle name="Normal 25 3 7 3" xfId="23211"/>
    <cellStyle name="Normal 25 3 7 3 2" xfId="28444"/>
    <cellStyle name="Normal 25 3 7 4" xfId="25932"/>
    <cellStyle name="Normal 25 3 8" xfId="7854"/>
    <cellStyle name="Normal 25 3 8 2" xfId="23213"/>
    <cellStyle name="Normal 25 3 8 2 2" xfId="28446"/>
    <cellStyle name="Normal 25 3 8 3" xfId="25934"/>
    <cellStyle name="Normal 25 3 9" xfId="23180"/>
    <cellStyle name="Normal 25 3 9 2" xfId="28413"/>
    <cellStyle name="Normal 25 3_DeltaViewer" xfId="7855"/>
    <cellStyle name="Normal 25 4" xfId="7856"/>
    <cellStyle name="Normal 25 4 2" xfId="7857"/>
    <cellStyle name="Normal 25 4 2 2" xfId="7858"/>
    <cellStyle name="Normal 25 4 2 2 2" xfId="7859"/>
    <cellStyle name="Normal 25 4 2 2 2 2" xfId="23217"/>
    <cellStyle name="Normal 25 4 2 2 2 2 2" xfId="28450"/>
    <cellStyle name="Normal 25 4 2 2 2 3" xfId="25938"/>
    <cellStyle name="Normal 25 4 2 2 3" xfId="23216"/>
    <cellStyle name="Normal 25 4 2 2 3 2" xfId="28449"/>
    <cellStyle name="Normal 25 4 2 2 4" xfId="25937"/>
    <cellStyle name="Normal 25 4 2 3" xfId="7860"/>
    <cellStyle name="Normal 25 4 2 3 2" xfId="23218"/>
    <cellStyle name="Normal 25 4 2 3 2 2" xfId="28451"/>
    <cellStyle name="Normal 25 4 2 3 3" xfId="25939"/>
    <cellStyle name="Normal 25 4 2 4" xfId="23215"/>
    <cellStyle name="Normal 25 4 2 4 2" xfId="28448"/>
    <cellStyle name="Normal 25 4 2 5" xfId="25936"/>
    <cellStyle name="Normal 25 4 2_DeltaViewer" xfId="7861"/>
    <cellStyle name="Normal 25 4 3" xfId="7862"/>
    <cellStyle name="Normal 25 4 3 2" xfId="7863"/>
    <cellStyle name="Normal 25 4 3 2 2" xfId="23220"/>
    <cellStyle name="Normal 25 4 3 2 2 2" xfId="28453"/>
    <cellStyle name="Normal 25 4 3 2 3" xfId="25941"/>
    <cellStyle name="Normal 25 4 3 3" xfId="23219"/>
    <cellStyle name="Normal 25 4 3 3 2" xfId="28452"/>
    <cellStyle name="Normal 25 4 3 4" xfId="25940"/>
    <cellStyle name="Normal 25 4 4" xfId="7864"/>
    <cellStyle name="Normal 25 4 4 2" xfId="23221"/>
    <cellStyle name="Normal 25 4 4 2 2" xfId="28454"/>
    <cellStyle name="Normal 25 4 4 3" xfId="25942"/>
    <cellStyle name="Normal 25 4 5" xfId="23214"/>
    <cellStyle name="Normal 25 4 5 2" xfId="28447"/>
    <cellStyle name="Normal 25 4 6" xfId="25935"/>
    <cellStyle name="Normal 25 4_DeltaViewer" xfId="7865"/>
    <cellStyle name="Normal 25 5" xfId="7866"/>
    <cellStyle name="Normal 25 5 2" xfId="7867"/>
    <cellStyle name="Normal 25 5 2 2" xfId="7868"/>
    <cellStyle name="Normal 25 5 2 2 2" xfId="7869"/>
    <cellStyle name="Normal 25 5 2 2 2 2" xfId="23225"/>
    <cellStyle name="Normal 25 5 2 2 2 2 2" xfId="28458"/>
    <cellStyle name="Normal 25 5 2 2 2 3" xfId="25946"/>
    <cellStyle name="Normal 25 5 2 2 3" xfId="23224"/>
    <cellStyle name="Normal 25 5 2 2 3 2" xfId="28457"/>
    <cellStyle name="Normal 25 5 2 2 4" xfId="25945"/>
    <cellStyle name="Normal 25 5 2 3" xfId="7870"/>
    <cellStyle name="Normal 25 5 2 3 2" xfId="23226"/>
    <cellStyle name="Normal 25 5 2 3 2 2" xfId="28459"/>
    <cellStyle name="Normal 25 5 2 3 3" xfId="25947"/>
    <cellStyle name="Normal 25 5 2 4" xfId="23223"/>
    <cellStyle name="Normal 25 5 2 4 2" xfId="28456"/>
    <cellStyle name="Normal 25 5 2 5" xfId="25944"/>
    <cellStyle name="Normal 25 5 2_DeltaViewer" xfId="7871"/>
    <cellStyle name="Normal 25 5 3" xfId="7872"/>
    <cellStyle name="Normal 25 5 3 2" xfId="7873"/>
    <cellStyle name="Normal 25 5 3 2 2" xfId="23228"/>
    <cellStyle name="Normal 25 5 3 2 2 2" xfId="28461"/>
    <cellStyle name="Normal 25 5 3 2 3" xfId="25949"/>
    <cellStyle name="Normal 25 5 3 3" xfId="23227"/>
    <cellStyle name="Normal 25 5 3 3 2" xfId="28460"/>
    <cellStyle name="Normal 25 5 3 4" xfId="25948"/>
    <cellStyle name="Normal 25 5 4" xfId="7874"/>
    <cellStyle name="Normal 25 5 4 2" xfId="23229"/>
    <cellStyle name="Normal 25 5 4 2 2" xfId="28462"/>
    <cellStyle name="Normal 25 5 4 3" xfId="25950"/>
    <cellStyle name="Normal 25 5 5" xfId="23222"/>
    <cellStyle name="Normal 25 5 5 2" xfId="28455"/>
    <cellStyle name="Normal 25 5 6" xfId="25943"/>
    <cellStyle name="Normal 25 5_DeltaViewer" xfId="7875"/>
    <cellStyle name="Normal 25 6" xfId="7876"/>
    <cellStyle name="Normal 25 6 2" xfId="7877"/>
    <cellStyle name="Normal 25 6 2 2" xfId="7878"/>
    <cellStyle name="Normal 25 6 2 2 2" xfId="7879"/>
    <cellStyle name="Normal 25 6 2 2 2 2" xfId="23233"/>
    <cellStyle name="Normal 25 6 2 2 2 2 2" xfId="28466"/>
    <cellStyle name="Normal 25 6 2 2 2 3" xfId="25954"/>
    <cellStyle name="Normal 25 6 2 2 3" xfId="23232"/>
    <cellStyle name="Normal 25 6 2 2 3 2" xfId="28465"/>
    <cellStyle name="Normal 25 6 2 2 4" xfId="25953"/>
    <cellStyle name="Normal 25 6 2 3" xfId="7880"/>
    <cellStyle name="Normal 25 6 2 3 2" xfId="23234"/>
    <cellStyle name="Normal 25 6 2 3 2 2" xfId="28467"/>
    <cellStyle name="Normal 25 6 2 3 3" xfId="25955"/>
    <cellStyle name="Normal 25 6 2 4" xfId="23231"/>
    <cellStyle name="Normal 25 6 2 4 2" xfId="28464"/>
    <cellStyle name="Normal 25 6 2 5" xfId="25952"/>
    <cellStyle name="Normal 25 6 2_DeltaViewer" xfId="7881"/>
    <cellStyle name="Normal 25 6 3" xfId="7882"/>
    <cellStyle name="Normal 25 6 3 2" xfId="7883"/>
    <cellStyle name="Normal 25 6 3 2 2" xfId="23236"/>
    <cellStyle name="Normal 25 6 3 2 2 2" xfId="28469"/>
    <cellStyle name="Normal 25 6 3 2 3" xfId="25957"/>
    <cellStyle name="Normal 25 6 3 3" xfId="23235"/>
    <cellStyle name="Normal 25 6 3 3 2" xfId="28468"/>
    <cellStyle name="Normal 25 6 3 4" xfId="25956"/>
    <cellStyle name="Normal 25 6 4" xfId="7884"/>
    <cellStyle name="Normal 25 6 4 2" xfId="23237"/>
    <cellStyle name="Normal 25 6 4 2 2" xfId="28470"/>
    <cellStyle name="Normal 25 6 4 3" xfId="25958"/>
    <cellStyle name="Normal 25 6 5" xfId="23230"/>
    <cellStyle name="Normal 25 6 5 2" xfId="28463"/>
    <cellStyle name="Normal 25 6 6" xfId="25951"/>
    <cellStyle name="Normal 25 6_DeltaViewer" xfId="7885"/>
    <cellStyle name="Normal 25 7" xfId="7886"/>
    <cellStyle name="Normal 25 7 2" xfId="7887"/>
    <cellStyle name="Normal 25 7 2 2" xfId="7888"/>
    <cellStyle name="Normal 25 7 2 2 2" xfId="23240"/>
    <cellStyle name="Normal 25 7 2 2 2 2" xfId="28473"/>
    <cellStyle name="Normal 25 7 2 2 3" xfId="25961"/>
    <cellStyle name="Normal 25 7 2 3" xfId="23239"/>
    <cellStyle name="Normal 25 7 2 3 2" xfId="28472"/>
    <cellStyle name="Normal 25 7 2 4" xfId="25960"/>
    <cellStyle name="Normal 25 7 3" xfId="7889"/>
    <cellStyle name="Normal 25 7 3 2" xfId="23241"/>
    <cellStyle name="Normal 25 7 3 2 2" xfId="28474"/>
    <cellStyle name="Normal 25 7 3 3" xfId="25962"/>
    <cellStyle name="Normal 25 7 4" xfId="23238"/>
    <cellStyle name="Normal 25 7 4 2" xfId="28471"/>
    <cellStyle name="Normal 25 7 5" xfId="25959"/>
    <cellStyle name="Normal 25 7_DeltaViewer" xfId="7890"/>
    <cellStyle name="Normal 25 8" xfId="7891"/>
    <cellStyle name="Normal 25 8 2" xfId="7892"/>
    <cellStyle name="Normal 25 8 2 2" xfId="23243"/>
    <cellStyle name="Normal 25 8 2 2 2" xfId="28476"/>
    <cellStyle name="Normal 25 8 2 3" xfId="25964"/>
    <cellStyle name="Normal 25 8 3" xfId="23242"/>
    <cellStyle name="Normal 25 8 3 2" xfId="28475"/>
    <cellStyle name="Normal 25 8 4" xfId="25963"/>
    <cellStyle name="Normal 25 9" xfId="7893"/>
    <cellStyle name="Normal 25 9 2" xfId="7894"/>
    <cellStyle name="Normal 25 9 2 2" xfId="23245"/>
    <cellStyle name="Normal 25 9 2 2 2" xfId="28478"/>
    <cellStyle name="Normal 25 9 2 3" xfId="25966"/>
    <cellStyle name="Normal 25 9 3" xfId="23244"/>
    <cellStyle name="Normal 25 9 3 2" xfId="28477"/>
    <cellStyle name="Normal 25 9 4" xfId="25965"/>
    <cellStyle name="Normal 25_DeltaViewer" xfId="7895"/>
    <cellStyle name="Normal 26" xfId="7896"/>
    <cellStyle name="Normal 26 10" xfId="7897"/>
    <cellStyle name="Normal 26 10 2" xfId="23247"/>
    <cellStyle name="Normal 26 10 2 2" xfId="28480"/>
    <cellStyle name="Normal 26 10 3" xfId="25968"/>
    <cellStyle name="Normal 26 11" xfId="23246"/>
    <cellStyle name="Normal 26 11 2" xfId="28479"/>
    <cellStyle name="Normal 26 12" xfId="25967"/>
    <cellStyle name="Normal 26 2" xfId="7898"/>
    <cellStyle name="Normal 26 2 10" xfId="25969"/>
    <cellStyle name="Normal 26 2 2" xfId="7899"/>
    <cellStyle name="Normal 26 2 2 2" xfId="7900"/>
    <cellStyle name="Normal 26 2 2 2 2" xfId="7901"/>
    <cellStyle name="Normal 26 2 2 2 2 2" xfId="7902"/>
    <cellStyle name="Normal 26 2 2 2 2 2 2" xfId="23252"/>
    <cellStyle name="Normal 26 2 2 2 2 2 2 2" xfId="28485"/>
    <cellStyle name="Normal 26 2 2 2 2 2 3" xfId="25973"/>
    <cellStyle name="Normal 26 2 2 2 2 3" xfId="23251"/>
    <cellStyle name="Normal 26 2 2 2 2 3 2" xfId="28484"/>
    <cellStyle name="Normal 26 2 2 2 2 4" xfId="25972"/>
    <cellStyle name="Normal 26 2 2 2 3" xfId="7903"/>
    <cellStyle name="Normal 26 2 2 2 3 2" xfId="23253"/>
    <cellStyle name="Normal 26 2 2 2 3 2 2" xfId="28486"/>
    <cellStyle name="Normal 26 2 2 2 3 3" xfId="25974"/>
    <cellStyle name="Normal 26 2 2 2 4" xfId="23250"/>
    <cellStyle name="Normal 26 2 2 2 4 2" xfId="28483"/>
    <cellStyle name="Normal 26 2 2 2 5" xfId="25971"/>
    <cellStyle name="Normal 26 2 2 2_DeltaViewer" xfId="7904"/>
    <cellStyle name="Normal 26 2 2 3" xfId="7905"/>
    <cellStyle name="Normal 26 2 2 3 2" xfId="7906"/>
    <cellStyle name="Normal 26 2 2 3 2 2" xfId="23255"/>
    <cellStyle name="Normal 26 2 2 3 2 2 2" xfId="28488"/>
    <cellStyle name="Normal 26 2 2 3 2 3" xfId="25976"/>
    <cellStyle name="Normal 26 2 2 3 3" xfId="23254"/>
    <cellStyle name="Normal 26 2 2 3 3 2" xfId="28487"/>
    <cellStyle name="Normal 26 2 2 3 4" xfId="25975"/>
    <cellStyle name="Normal 26 2 2 4" xfId="7907"/>
    <cellStyle name="Normal 26 2 2 4 2" xfId="23256"/>
    <cellStyle name="Normal 26 2 2 4 2 2" xfId="28489"/>
    <cellStyle name="Normal 26 2 2 4 3" xfId="25977"/>
    <cellStyle name="Normal 26 2 2 5" xfId="23249"/>
    <cellStyle name="Normal 26 2 2 5 2" xfId="28482"/>
    <cellStyle name="Normal 26 2 2 6" xfId="25970"/>
    <cellStyle name="Normal 26 2 2_DeltaViewer" xfId="7908"/>
    <cellStyle name="Normal 26 2 3" xfId="7909"/>
    <cellStyle name="Normal 26 2 3 2" xfId="7910"/>
    <cellStyle name="Normal 26 2 3 2 2" xfId="7911"/>
    <cellStyle name="Normal 26 2 3 2 2 2" xfId="7912"/>
    <cellStyle name="Normal 26 2 3 2 2 2 2" xfId="23260"/>
    <cellStyle name="Normal 26 2 3 2 2 2 2 2" xfId="28493"/>
    <cellStyle name="Normal 26 2 3 2 2 2 3" xfId="25981"/>
    <cellStyle name="Normal 26 2 3 2 2 3" xfId="23259"/>
    <cellStyle name="Normal 26 2 3 2 2 3 2" xfId="28492"/>
    <cellStyle name="Normal 26 2 3 2 2 4" xfId="25980"/>
    <cellStyle name="Normal 26 2 3 2 3" xfId="7913"/>
    <cellStyle name="Normal 26 2 3 2 3 2" xfId="23261"/>
    <cellStyle name="Normal 26 2 3 2 3 2 2" xfId="28494"/>
    <cellStyle name="Normal 26 2 3 2 3 3" xfId="25982"/>
    <cellStyle name="Normal 26 2 3 2 4" xfId="23258"/>
    <cellStyle name="Normal 26 2 3 2 4 2" xfId="28491"/>
    <cellStyle name="Normal 26 2 3 2 5" xfId="25979"/>
    <cellStyle name="Normal 26 2 3 2_DeltaViewer" xfId="7914"/>
    <cellStyle name="Normal 26 2 3 3" xfId="7915"/>
    <cellStyle name="Normal 26 2 3 3 2" xfId="7916"/>
    <cellStyle name="Normal 26 2 3 3 2 2" xfId="23263"/>
    <cellStyle name="Normal 26 2 3 3 2 2 2" xfId="28496"/>
    <cellStyle name="Normal 26 2 3 3 2 3" xfId="25984"/>
    <cellStyle name="Normal 26 2 3 3 3" xfId="23262"/>
    <cellStyle name="Normal 26 2 3 3 3 2" xfId="28495"/>
    <cellStyle name="Normal 26 2 3 3 4" xfId="25983"/>
    <cellStyle name="Normal 26 2 3 4" xfId="7917"/>
    <cellStyle name="Normal 26 2 3 4 2" xfId="23264"/>
    <cellStyle name="Normal 26 2 3 4 2 2" xfId="28497"/>
    <cellStyle name="Normal 26 2 3 4 3" xfId="25985"/>
    <cellStyle name="Normal 26 2 3 5" xfId="23257"/>
    <cellStyle name="Normal 26 2 3 5 2" xfId="28490"/>
    <cellStyle name="Normal 26 2 3 6" xfId="25978"/>
    <cellStyle name="Normal 26 2 3_DeltaViewer" xfId="7918"/>
    <cellStyle name="Normal 26 2 4" xfId="7919"/>
    <cellStyle name="Normal 26 2 4 2" xfId="7920"/>
    <cellStyle name="Normal 26 2 4 2 2" xfId="7921"/>
    <cellStyle name="Normal 26 2 4 2 2 2" xfId="7922"/>
    <cellStyle name="Normal 26 2 4 2 2 2 2" xfId="23268"/>
    <cellStyle name="Normal 26 2 4 2 2 2 2 2" xfId="28501"/>
    <cellStyle name="Normal 26 2 4 2 2 2 3" xfId="25989"/>
    <cellStyle name="Normal 26 2 4 2 2 3" xfId="23267"/>
    <cellStyle name="Normal 26 2 4 2 2 3 2" xfId="28500"/>
    <cellStyle name="Normal 26 2 4 2 2 4" xfId="25988"/>
    <cellStyle name="Normal 26 2 4 2 3" xfId="7923"/>
    <cellStyle name="Normal 26 2 4 2 3 2" xfId="23269"/>
    <cellStyle name="Normal 26 2 4 2 3 2 2" xfId="28502"/>
    <cellStyle name="Normal 26 2 4 2 3 3" xfId="25990"/>
    <cellStyle name="Normal 26 2 4 2 4" xfId="23266"/>
    <cellStyle name="Normal 26 2 4 2 4 2" xfId="28499"/>
    <cellStyle name="Normal 26 2 4 2 5" xfId="25987"/>
    <cellStyle name="Normal 26 2 4 2_DeltaViewer" xfId="7924"/>
    <cellStyle name="Normal 26 2 4 3" xfId="7925"/>
    <cellStyle name="Normal 26 2 4 3 2" xfId="7926"/>
    <cellStyle name="Normal 26 2 4 3 2 2" xfId="23271"/>
    <cellStyle name="Normal 26 2 4 3 2 2 2" xfId="28504"/>
    <cellStyle name="Normal 26 2 4 3 2 3" xfId="25992"/>
    <cellStyle name="Normal 26 2 4 3 3" xfId="23270"/>
    <cellStyle name="Normal 26 2 4 3 3 2" xfId="28503"/>
    <cellStyle name="Normal 26 2 4 3 4" xfId="25991"/>
    <cellStyle name="Normal 26 2 4 4" xfId="7927"/>
    <cellStyle name="Normal 26 2 4 4 2" xfId="23272"/>
    <cellStyle name="Normal 26 2 4 4 2 2" xfId="28505"/>
    <cellStyle name="Normal 26 2 4 4 3" xfId="25993"/>
    <cellStyle name="Normal 26 2 4 5" xfId="23265"/>
    <cellStyle name="Normal 26 2 4 5 2" xfId="28498"/>
    <cellStyle name="Normal 26 2 4 6" xfId="25986"/>
    <cellStyle name="Normal 26 2 4_DeltaViewer" xfId="7928"/>
    <cellStyle name="Normal 26 2 5" xfId="7929"/>
    <cellStyle name="Normal 26 2 5 2" xfId="7930"/>
    <cellStyle name="Normal 26 2 5 2 2" xfId="7931"/>
    <cellStyle name="Normal 26 2 5 2 2 2" xfId="23275"/>
    <cellStyle name="Normal 26 2 5 2 2 2 2" xfId="28508"/>
    <cellStyle name="Normal 26 2 5 2 2 3" xfId="25996"/>
    <cellStyle name="Normal 26 2 5 2 3" xfId="23274"/>
    <cellStyle name="Normal 26 2 5 2 3 2" xfId="28507"/>
    <cellStyle name="Normal 26 2 5 2 4" xfId="25995"/>
    <cellStyle name="Normal 26 2 5 3" xfId="7932"/>
    <cellStyle name="Normal 26 2 5 3 2" xfId="23276"/>
    <cellStyle name="Normal 26 2 5 3 2 2" xfId="28509"/>
    <cellStyle name="Normal 26 2 5 3 3" xfId="25997"/>
    <cellStyle name="Normal 26 2 5 4" xfId="23273"/>
    <cellStyle name="Normal 26 2 5 4 2" xfId="28506"/>
    <cellStyle name="Normal 26 2 5 5" xfId="25994"/>
    <cellStyle name="Normal 26 2 5_DeltaViewer" xfId="7933"/>
    <cellStyle name="Normal 26 2 6" xfId="7934"/>
    <cellStyle name="Normal 26 2 6 2" xfId="7935"/>
    <cellStyle name="Normal 26 2 6 2 2" xfId="23278"/>
    <cellStyle name="Normal 26 2 6 2 2 2" xfId="28511"/>
    <cellStyle name="Normal 26 2 6 2 3" xfId="25999"/>
    <cellStyle name="Normal 26 2 6 3" xfId="23277"/>
    <cellStyle name="Normal 26 2 6 3 2" xfId="28510"/>
    <cellStyle name="Normal 26 2 6 4" xfId="25998"/>
    <cellStyle name="Normal 26 2 7" xfId="7936"/>
    <cellStyle name="Normal 26 2 7 2" xfId="7937"/>
    <cellStyle name="Normal 26 2 7 2 2" xfId="23280"/>
    <cellStyle name="Normal 26 2 7 2 2 2" xfId="28513"/>
    <cellStyle name="Normal 26 2 7 2 3" xfId="26001"/>
    <cellStyle name="Normal 26 2 7 3" xfId="23279"/>
    <cellStyle name="Normal 26 2 7 3 2" xfId="28512"/>
    <cellStyle name="Normal 26 2 7 4" xfId="26000"/>
    <cellStyle name="Normal 26 2 8" xfId="7938"/>
    <cellStyle name="Normal 26 2 8 2" xfId="23281"/>
    <cellStyle name="Normal 26 2 8 2 2" xfId="28514"/>
    <cellStyle name="Normal 26 2 8 3" xfId="26002"/>
    <cellStyle name="Normal 26 2 9" xfId="23248"/>
    <cellStyle name="Normal 26 2 9 2" xfId="28481"/>
    <cellStyle name="Normal 26 2_DeltaViewer" xfId="7939"/>
    <cellStyle name="Normal 26 3" xfId="7940"/>
    <cellStyle name="Normal 26 3 10" xfId="26003"/>
    <cellStyle name="Normal 26 3 2" xfId="7941"/>
    <cellStyle name="Normal 26 3 2 2" xfId="7942"/>
    <cellStyle name="Normal 26 3 2 2 2" xfId="7943"/>
    <cellStyle name="Normal 26 3 2 2 2 2" xfId="7944"/>
    <cellStyle name="Normal 26 3 2 2 2 2 2" xfId="23286"/>
    <cellStyle name="Normal 26 3 2 2 2 2 2 2" xfId="28519"/>
    <cellStyle name="Normal 26 3 2 2 2 2 3" xfId="26007"/>
    <cellStyle name="Normal 26 3 2 2 2 3" xfId="23285"/>
    <cellStyle name="Normal 26 3 2 2 2 3 2" xfId="28518"/>
    <cellStyle name="Normal 26 3 2 2 2 4" xfId="26006"/>
    <cellStyle name="Normal 26 3 2 2 3" xfId="7945"/>
    <cellStyle name="Normal 26 3 2 2 3 2" xfId="23287"/>
    <cellStyle name="Normal 26 3 2 2 3 2 2" xfId="28520"/>
    <cellStyle name="Normal 26 3 2 2 3 3" xfId="26008"/>
    <cellStyle name="Normal 26 3 2 2 4" xfId="23284"/>
    <cellStyle name="Normal 26 3 2 2 4 2" xfId="28517"/>
    <cellStyle name="Normal 26 3 2 2 5" xfId="26005"/>
    <cellStyle name="Normal 26 3 2 2_DeltaViewer" xfId="7946"/>
    <cellStyle name="Normal 26 3 2 3" xfId="7947"/>
    <cellStyle name="Normal 26 3 2 3 2" xfId="7948"/>
    <cellStyle name="Normal 26 3 2 3 2 2" xfId="23289"/>
    <cellStyle name="Normal 26 3 2 3 2 2 2" xfId="28522"/>
    <cellStyle name="Normal 26 3 2 3 2 3" xfId="26010"/>
    <cellStyle name="Normal 26 3 2 3 3" xfId="23288"/>
    <cellStyle name="Normal 26 3 2 3 3 2" xfId="28521"/>
    <cellStyle name="Normal 26 3 2 3 4" xfId="26009"/>
    <cellStyle name="Normal 26 3 2 4" xfId="7949"/>
    <cellStyle name="Normal 26 3 2 4 2" xfId="23290"/>
    <cellStyle name="Normal 26 3 2 4 2 2" xfId="28523"/>
    <cellStyle name="Normal 26 3 2 4 3" xfId="26011"/>
    <cellStyle name="Normal 26 3 2 5" xfId="23283"/>
    <cellStyle name="Normal 26 3 2 5 2" xfId="28516"/>
    <cellStyle name="Normal 26 3 2 6" xfId="26004"/>
    <cellStyle name="Normal 26 3 2_DeltaViewer" xfId="7950"/>
    <cellStyle name="Normal 26 3 3" xfId="7951"/>
    <cellStyle name="Normal 26 3 3 2" xfId="7952"/>
    <cellStyle name="Normal 26 3 3 2 2" xfId="7953"/>
    <cellStyle name="Normal 26 3 3 2 2 2" xfId="7954"/>
    <cellStyle name="Normal 26 3 3 2 2 2 2" xfId="23294"/>
    <cellStyle name="Normal 26 3 3 2 2 2 2 2" xfId="28527"/>
    <cellStyle name="Normal 26 3 3 2 2 2 3" xfId="26015"/>
    <cellStyle name="Normal 26 3 3 2 2 3" xfId="23293"/>
    <cellStyle name="Normal 26 3 3 2 2 3 2" xfId="28526"/>
    <cellStyle name="Normal 26 3 3 2 2 4" xfId="26014"/>
    <cellStyle name="Normal 26 3 3 2 3" xfId="7955"/>
    <cellStyle name="Normal 26 3 3 2 3 2" xfId="23295"/>
    <cellStyle name="Normal 26 3 3 2 3 2 2" xfId="28528"/>
    <cellStyle name="Normal 26 3 3 2 3 3" xfId="26016"/>
    <cellStyle name="Normal 26 3 3 2 4" xfId="23292"/>
    <cellStyle name="Normal 26 3 3 2 4 2" xfId="28525"/>
    <cellStyle name="Normal 26 3 3 2 5" xfId="26013"/>
    <cellStyle name="Normal 26 3 3 2_DeltaViewer" xfId="7956"/>
    <cellStyle name="Normal 26 3 3 3" xfId="7957"/>
    <cellStyle name="Normal 26 3 3 3 2" xfId="7958"/>
    <cellStyle name="Normal 26 3 3 3 2 2" xfId="23297"/>
    <cellStyle name="Normal 26 3 3 3 2 2 2" xfId="28530"/>
    <cellStyle name="Normal 26 3 3 3 2 3" xfId="26018"/>
    <cellStyle name="Normal 26 3 3 3 3" xfId="23296"/>
    <cellStyle name="Normal 26 3 3 3 3 2" xfId="28529"/>
    <cellStyle name="Normal 26 3 3 3 4" xfId="26017"/>
    <cellStyle name="Normal 26 3 3 4" xfId="7959"/>
    <cellStyle name="Normal 26 3 3 4 2" xfId="23298"/>
    <cellStyle name="Normal 26 3 3 4 2 2" xfId="28531"/>
    <cellStyle name="Normal 26 3 3 4 3" xfId="26019"/>
    <cellStyle name="Normal 26 3 3 5" xfId="23291"/>
    <cellStyle name="Normal 26 3 3 5 2" xfId="28524"/>
    <cellStyle name="Normal 26 3 3 6" xfId="26012"/>
    <cellStyle name="Normal 26 3 3_DeltaViewer" xfId="7960"/>
    <cellStyle name="Normal 26 3 4" xfId="7961"/>
    <cellStyle name="Normal 26 3 4 2" xfId="7962"/>
    <cellStyle name="Normal 26 3 4 2 2" xfId="7963"/>
    <cellStyle name="Normal 26 3 4 2 2 2" xfId="7964"/>
    <cellStyle name="Normal 26 3 4 2 2 2 2" xfId="23302"/>
    <cellStyle name="Normal 26 3 4 2 2 2 2 2" xfId="28535"/>
    <cellStyle name="Normal 26 3 4 2 2 2 3" xfId="26023"/>
    <cellStyle name="Normal 26 3 4 2 2 3" xfId="23301"/>
    <cellStyle name="Normal 26 3 4 2 2 3 2" xfId="28534"/>
    <cellStyle name="Normal 26 3 4 2 2 4" xfId="26022"/>
    <cellStyle name="Normal 26 3 4 2 3" xfId="7965"/>
    <cellStyle name="Normal 26 3 4 2 3 2" xfId="23303"/>
    <cellStyle name="Normal 26 3 4 2 3 2 2" xfId="28536"/>
    <cellStyle name="Normal 26 3 4 2 3 3" xfId="26024"/>
    <cellStyle name="Normal 26 3 4 2 4" xfId="23300"/>
    <cellStyle name="Normal 26 3 4 2 4 2" xfId="28533"/>
    <cellStyle name="Normal 26 3 4 2 5" xfId="26021"/>
    <cellStyle name="Normal 26 3 4 2_DeltaViewer" xfId="7966"/>
    <cellStyle name="Normal 26 3 4 3" xfId="7967"/>
    <cellStyle name="Normal 26 3 4 3 2" xfId="7968"/>
    <cellStyle name="Normal 26 3 4 3 2 2" xfId="23305"/>
    <cellStyle name="Normal 26 3 4 3 2 2 2" xfId="28538"/>
    <cellStyle name="Normal 26 3 4 3 2 3" xfId="26026"/>
    <cellStyle name="Normal 26 3 4 3 3" xfId="23304"/>
    <cellStyle name="Normal 26 3 4 3 3 2" xfId="28537"/>
    <cellStyle name="Normal 26 3 4 3 4" xfId="26025"/>
    <cellStyle name="Normal 26 3 4 4" xfId="7969"/>
    <cellStyle name="Normal 26 3 4 4 2" xfId="23306"/>
    <cellStyle name="Normal 26 3 4 4 2 2" xfId="28539"/>
    <cellStyle name="Normal 26 3 4 4 3" xfId="26027"/>
    <cellStyle name="Normal 26 3 4 5" xfId="23299"/>
    <cellStyle name="Normal 26 3 4 5 2" xfId="28532"/>
    <cellStyle name="Normal 26 3 4 6" xfId="26020"/>
    <cellStyle name="Normal 26 3 4_DeltaViewer" xfId="7970"/>
    <cellStyle name="Normal 26 3 5" xfId="7971"/>
    <cellStyle name="Normal 26 3 5 2" xfId="7972"/>
    <cellStyle name="Normal 26 3 5 2 2" xfId="7973"/>
    <cellStyle name="Normal 26 3 5 2 2 2" xfId="23309"/>
    <cellStyle name="Normal 26 3 5 2 2 2 2" xfId="28542"/>
    <cellStyle name="Normal 26 3 5 2 2 3" xfId="26030"/>
    <cellStyle name="Normal 26 3 5 2 3" xfId="23308"/>
    <cellStyle name="Normal 26 3 5 2 3 2" xfId="28541"/>
    <cellStyle name="Normal 26 3 5 2 4" xfId="26029"/>
    <cellStyle name="Normal 26 3 5 3" xfId="7974"/>
    <cellStyle name="Normal 26 3 5 3 2" xfId="23310"/>
    <cellStyle name="Normal 26 3 5 3 2 2" xfId="28543"/>
    <cellStyle name="Normal 26 3 5 3 3" xfId="26031"/>
    <cellStyle name="Normal 26 3 5 4" xfId="23307"/>
    <cellStyle name="Normal 26 3 5 4 2" xfId="28540"/>
    <cellStyle name="Normal 26 3 5 5" xfId="26028"/>
    <cellStyle name="Normal 26 3 5_DeltaViewer" xfId="7975"/>
    <cellStyle name="Normal 26 3 6" xfId="7976"/>
    <cellStyle name="Normal 26 3 6 2" xfId="7977"/>
    <cellStyle name="Normal 26 3 6 2 2" xfId="23312"/>
    <cellStyle name="Normal 26 3 6 2 2 2" xfId="28545"/>
    <cellStyle name="Normal 26 3 6 2 3" xfId="26033"/>
    <cellStyle name="Normal 26 3 6 3" xfId="23311"/>
    <cellStyle name="Normal 26 3 6 3 2" xfId="28544"/>
    <cellStyle name="Normal 26 3 6 4" xfId="26032"/>
    <cellStyle name="Normal 26 3 7" xfId="7978"/>
    <cellStyle name="Normal 26 3 7 2" xfId="7979"/>
    <cellStyle name="Normal 26 3 7 2 2" xfId="23314"/>
    <cellStyle name="Normal 26 3 7 2 2 2" xfId="28547"/>
    <cellStyle name="Normal 26 3 7 2 3" xfId="26035"/>
    <cellStyle name="Normal 26 3 7 3" xfId="23313"/>
    <cellStyle name="Normal 26 3 7 3 2" xfId="28546"/>
    <cellStyle name="Normal 26 3 7 4" xfId="26034"/>
    <cellStyle name="Normal 26 3 8" xfId="7980"/>
    <cellStyle name="Normal 26 3 8 2" xfId="23315"/>
    <cellStyle name="Normal 26 3 8 2 2" xfId="28548"/>
    <cellStyle name="Normal 26 3 8 3" xfId="26036"/>
    <cellStyle name="Normal 26 3 9" xfId="23282"/>
    <cellStyle name="Normal 26 3 9 2" xfId="28515"/>
    <cellStyle name="Normal 26 3_DeltaViewer" xfId="7981"/>
    <cellStyle name="Normal 26 4" xfId="7982"/>
    <cellStyle name="Normal 26 4 2" xfId="7983"/>
    <cellStyle name="Normal 26 4 2 2" xfId="7984"/>
    <cellStyle name="Normal 26 4 2 2 2" xfId="7985"/>
    <cellStyle name="Normal 26 4 2 2 2 2" xfId="23319"/>
    <cellStyle name="Normal 26 4 2 2 2 2 2" xfId="28552"/>
    <cellStyle name="Normal 26 4 2 2 2 3" xfId="26040"/>
    <cellStyle name="Normal 26 4 2 2 3" xfId="23318"/>
    <cellStyle name="Normal 26 4 2 2 3 2" xfId="28551"/>
    <cellStyle name="Normal 26 4 2 2 4" xfId="26039"/>
    <cellStyle name="Normal 26 4 2 3" xfId="7986"/>
    <cellStyle name="Normal 26 4 2 3 2" xfId="23320"/>
    <cellStyle name="Normal 26 4 2 3 2 2" xfId="28553"/>
    <cellStyle name="Normal 26 4 2 3 3" xfId="26041"/>
    <cellStyle name="Normal 26 4 2 4" xfId="23317"/>
    <cellStyle name="Normal 26 4 2 4 2" xfId="28550"/>
    <cellStyle name="Normal 26 4 2 5" xfId="26038"/>
    <cellStyle name="Normal 26 4 2_DeltaViewer" xfId="7987"/>
    <cellStyle name="Normal 26 4 3" xfId="7988"/>
    <cellStyle name="Normal 26 4 3 2" xfId="7989"/>
    <cellStyle name="Normal 26 4 3 2 2" xfId="23322"/>
    <cellStyle name="Normal 26 4 3 2 2 2" xfId="28555"/>
    <cellStyle name="Normal 26 4 3 2 3" xfId="26043"/>
    <cellStyle name="Normal 26 4 3 3" xfId="23321"/>
    <cellStyle name="Normal 26 4 3 3 2" xfId="28554"/>
    <cellStyle name="Normal 26 4 3 4" xfId="26042"/>
    <cellStyle name="Normal 26 4 4" xfId="7990"/>
    <cellStyle name="Normal 26 4 4 2" xfId="23323"/>
    <cellStyle name="Normal 26 4 4 2 2" xfId="28556"/>
    <cellStyle name="Normal 26 4 4 3" xfId="26044"/>
    <cellStyle name="Normal 26 4 5" xfId="23316"/>
    <cellStyle name="Normal 26 4 5 2" xfId="28549"/>
    <cellStyle name="Normal 26 4 6" xfId="26037"/>
    <cellStyle name="Normal 26 4_DeltaViewer" xfId="7991"/>
    <cellStyle name="Normal 26 5" xfId="7992"/>
    <cellStyle name="Normal 26 5 2" xfId="7993"/>
    <cellStyle name="Normal 26 5 2 2" xfId="7994"/>
    <cellStyle name="Normal 26 5 2 2 2" xfId="7995"/>
    <cellStyle name="Normal 26 5 2 2 2 2" xfId="23327"/>
    <cellStyle name="Normal 26 5 2 2 2 2 2" xfId="28560"/>
    <cellStyle name="Normal 26 5 2 2 2 3" xfId="26048"/>
    <cellStyle name="Normal 26 5 2 2 3" xfId="23326"/>
    <cellStyle name="Normal 26 5 2 2 3 2" xfId="28559"/>
    <cellStyle name="Normal 26 5 2 2 4" xfId="26047"/>
    <cellStyle name="Normal 26 5 2 3" xfId="7996"/>
    <cellStyle name="Normal 26 5 2 3 2" xfId="23328"/>
    <cellStyle name="Normal 26 5 2 3 2 2" xfId="28561"/>
    <cellStyle name="Normal 26 5 2 3 3" xfId="26049"/>
    <cellStyle name="Normal 26 5 2 4" xfId="23325"/>
    <cellStyle name="Normal 26 5 2 4 2" xfId="28558"/>
    <cellStyle name="Normal 26 5 2 5" xfId="26046"/>
    <cellStyle name="Normal 26 5 2_DeltaViewer" xfId="7997"/>
    <cellStyle name="Normal 26 5 3" xfId="7998"/>
    <cellStyle name="Normal 26 5 3 2" xfId="7999"/>
    <cellStyle name="Normal 26 5 3 2 2" xfId="23330"/>
    <cellStyle name="Normal 26 5 3 2 2 2" xfId="28563"/>
    <cellStyle name="Normal 26 5 3 2 3" xfId="26051"/>
    <cellStyle name="Normal 26 5 3 3" xfId="23329"/>
    <cellStyle name="Normal 26 5 3 3 2" xfId="28562"/>
    <cellStyle name="Normal 26 5 3 4" xfId="26050"/>
    <cellStyle name="Normal 26 5 4" xfId="8000"/>
    <cellStyle name="Normal 26 5 4 2" xfId="23331"/>
    <cellStyle name="Normal 26 5 4 2 2" xfId="28564"/>
    <cellStyle name="Normal 26 5 4 3" xfId="26052"/>
    <cellStyle name="Normal 26 5 5" xfId="23324"/>
    <cellStyle name="Normal 26 5 5 2" xfId="28557"/>
    <cellStyle name="Normal 26 5 6" xfId="26045"/>
    <cellStyle name="Normal 26 5_DeltaViewer" xfId="8001"/>
    <cellStyle name="Normal 26 6" xfId="8002"/>
    <cellStyle name="Normal 26 6 2" xfId="8003"/>
    <cellStyle name="Normal 26 6 2 2" xfId="8004"/>
    <cellStyle name="Normal 26 6 2 2 2" xfId="8005"/>
    <cellStyle name="Normal 26 6 2 2 2 2" xfId="23335"/>
    <cellStyle name="Normal 26 6 2 2 2 2 2" xfId="28568"/>
    <cellStyle name="Normal 26 6 2 2 2 3" xfId="26056"/>
    <cellStyle name="Normal 26 6 2 2 3" xfId="23334"/>
    <cellStyle name="Normal 26 6 2 2 3 2" xfId="28567"/>
    <cellStyle name="Normal 26 6 2 2 4" xfId="26055"/>
    <cellStyle name="Normal 26 6 2 3" xfId="8006"/>
    <cellStyle name="Normal 26 6 2 3 2" xfId="23336"/>
    <cellStyle name="Normal 26 6 2 3 2 2" xfId="28569"/>
    <cellStyle name="Normal 26 6 2 3 3" xfId="26057"/>
    <cellStyle name="Normal 26 6 2 4" xfId="23333"/>
    <cellStyle name="Normal 26 6 2 4 2" xfId="28566"/>
    <cellStyle name="Normal 26 6 2 5" xfId="26054"/>
    <cellStyle name="Normal 26 6 2_DeltaViewer" xfId="8007"/>
    <cellStyle name="Normal 26 6 3" xfId="8008"/>
    <cellStyle name="Normal 26 6 3 2" xfId="8009"/>
    <cellStyle name="Normal 26 6 3 2 2" xfId="23338"/>
    <cellStyle name="Normal 26 6 3 2 2 2" xfId="28571"/>
    <cellStyle name="Normal 26 6 3 2 3" xfId="26059"/>
    <cellStyle name="Normal 26 6 3 3" xfId="23337"/>
    <cellStyle name="Normal 26 6 3 3 2" xfId="28570"/>
    <cellStyle name="Normal 26 6 3 4" xfId="26058"/>
    <cellStyle name="Normal 26 6 4" xfId="8010"/>
    <cellStyle name="Normal 26 6 4 2" xfId="23339"/>
    <cellStyle name="Normal 26 6 4 2 2" xfId="28572"/>
    <cellStyle name="Normal 26 6 4 3" xfId="26060"/>
    <cellStyle name="Normal 26 6 5" xfId="23332"/>
    <cellStyle name="Normal 26 6 5 2" xfId="28565"/>
    <cellStyle name="Normal 26 6 6" xfId="26053"/>
    <cellStyle name="Normal 26 6_DeltaViewer" xfId="8011"/>
    <cellStyle name="Normal 26 7" xfId="8012"/>
    <cellStyle name="Normal 26 7 2" xfId="8013"/>
    <cellStyle name="Normal 26 7 2 2" xfId="8014"/>
    <cellStyle name="Normal 26 7 2 2 2" xfId="23342"/>
    <cellStyle name="Normal 26 7 2 2 2 2" xfId="28575"/>
    <cellStyle name="Normal 26 7 2 2 3" xfId="26063"/>
    <cellStyle name="Normal 26 7 2 3" xfId="23341"/>
    <cellStyle name="Normal 26 7 2 3 2" xfId="28574"/>
    <cellStyle name="Normal 26 7 2 4" xfId="26062"/>
    <cellStyle name="Normal 26 7 3" xfId="8015"/>
    <cellStyle name="Normal 26 7 3 2" xfId="23343"/>
    <cellStyle name="Normal 26 7 3 2 2" xfId="28576"/>
    <cellStyle name="Normal 26 7 3 3" xfId="26064"/>
    <cellStyle name="Normal 26 7 4" xfId="23340"/>
    <cellStyle name="Normal 26 7 4 2" xfId="28573"/>
    <cellStyle name="Normal 26 7 5" xfId="26061"/>
    <cellStyle name="Normal 26 7_DeltaViewer" xfId="8016"/>
    <cellStyle name="Normal 26 8" xfId="8017"/>
    <cellStyle name="Normal 26 8 2" xfId="8018"/>
    <cellStyle name="Normal 26 8 2 2" xfId="23345"/>
    <cellStyle name="Normal 26 8 2 2 2" xfId="28578"/>
    <cellStyle name="Normal 26 8 2 3" xfId="26066"/>
    <cellStyle name="Normal 26 8 3" xfId="23344"/>
    <cellStyle name="Normal 26 8 3 2" xfId="28577"/>
    <cellStyle name="Normal 26 8 4" xfId="26065"/>
    <cellStyle name="Normal 26 9" xfId="8019"/>
    <cellStyle name="Normal 26 9 2" xfId="8020"/>
    <cellStyle name="Normal 26 9 2 2" xfId="23347"/>
    <cellStyle name="Normal 26 9 2 2 2" xfId="28580"/>
    <cellStyle name="Normal 26 9 2 3" xfId="26068"/>
    <cellStyle name="Normal 26 9 3" xfId="23346"/>
    <cellStyle name="Normal 26 9 3 2" xfId="28579"/>
    <cellStyle name="Normal 26 9 4" xfId="26067"/>
    <cellStyle name="Normal 26_DeltaViewer" xfId="8021"/>
    <cellStyle name="Normal 27" xfId="8022"/>
    <cellStyle name="Normal 27 10" xfId="8023"/>
    <cellStyle name="Normal 27 10 2" xfId="23349"/>
    <cellStyle name="Normal 27 10 2 2" xfId="28582"/>
    <cellStyle name="Normal 27 10 3" xfId="26070"/>
    <cellStyle name="Normal 27 11" xfId="23348"/>
    <cellStyle name="Normal 27 11 2" xfId="28581"/>
    <cellStyle name="Normal 27 12" xfId="26069"/>
    <cellStyle name="Normal 27 2" xfId="8024"/>
    <cellStyle name="Normal 27 2 10" xfId="26071"/>
    <cellStyle name="Normal 27 2 2" xfId="8025"/>
    <cellStyle name="Normal 27 2 2 2" xfId="8026"/>
    <cellStyle name="Normal 27 2 2 2 2" xfId="8027"/>
    <cellStyle name="Normal 27 2 2 2 2 2" xfId="8028"/>
    <cellStyle name="Normal 27 2 2 2 2 2 2" xfId="23354"/>
    <cellStyle name="Normal 27 2 2 2 2 2 2 2" xfId="28587"/>
    <cellStyle name="Normal 27 2 2 2 2 2 3" xfId="26075"/>
    <cellStyle name="Normal 27 2 2 2 2 3" xfId="23353"/>
    <cellStyle name="Normal 27 2 2 2 2 3 2" xfId="28586"/>
    <cellStyle name="Normal 27 2 2 2 2 4" xfId="26074"/>
    <cellStyle name="Normal 27 2 2 2 3" xfId="8029"/>
    <cellStyle name="Normal 27 2 2 2 3 2" xfId="23355"/>
    <cellStyle name="Normal 27 2 2 2 3 2 2" xfId="28588"/>
    <cellStyle name="Normal 27 2 2 2 3 3" xfId="26076"/>
    <cellStyle name="Normal 27 2 2 2 4" xfId="23352"/>
    <cellStyle name="Normal 27 2 2 2 4 2" xfId="28585"/>
    <cellStyle name="Normal 27 2 2 2 5" xfId="26073"/>
    <cellStyle name="Normal 27 2 2 2_DeltaViewer" xfId="8030"/>
    <cellStyle name="Normal 27 2 2 3" xfId="8031"/>
    <cellStyle name="Normal 27 2 2 3 2" xfId="8032"/>
    <cellStyle name="Normal 27 2 2 3 2 2" xfId="23357"/>
    <cellStyle name="Normal 27 2 2 3 2 2 2" xfId="28590"/>
    <cellStyle name="Normal 27 2 2 3 2 3" xfId="26078"/>
    <cellStyle name="Normal 27 2 2 3 3" xfId="23356"/>
    <cellStyle name="Normal 27 2 2 3 3 2" xfId="28589"/>
    <cellStyle name="Normal 27 2 2 3 4" xfId="26077"/>
    <cellStyle name="Normal 27 2 2 4" xfId="8033"/>
    <cellStyle name="Normal 27 2 2 4 2" xfId="23358"/>
    <cellStyle name="Normal 27 2 2 4 2 2" xfId="28591"/>
    <cellStyle name="Normal 27 2 2 4 3" xfId="26079"/>
    <cellStyle name="Normal 27 2 2 5" xfId="23351"/>
    <cellStyle name="Normal 27 2 2 5 2" xfId="28584"/>
    <cellStyle name="Normal 27 2 2 6" xfId="26072"/>
    <cellStyle name="Normal 27 2 2_DeltaViewer" xfId="8034"/>
    <cellStyle name="Normal 27 2 3" xfId="8035"/>
    <cellStyle name="Normal 27 2 3 2" xfId="8036"/>
    <cellStyle name="Normal 27 2 3 2 2" xfId="8037"/>
    <cellStyle name="Normal 27 2 3 2 2 2" xfId="8038"/>
    <cellStyle name="Normal 27 2 3 2 2 2 2" xfId="23362"/>
    <cellStyle name="Normal 27 2 3 2 2 2 2 2" xfId="28595"/>
    <cellStyle name="Normal 27 2 3 2 2 2 3" xfId="26083"/>
    <cellStyle name="Normal 27 2 3 2 2 3" xfId="23361"/>
    <cellStyle name="Normal 27 2 3 2 2 3 2" xfId="28594"/>
    <cellStyle name="Normal 27 2 3 2 2 4" xfId="26082"/>
    <cellStyle name="Normal 27 2 3 2 3" xfId="8039"/>
    <cellStyle name="Normal 27 2 3 2 3 2" xfId="23363"/>
    <cellStyle name="Normal 27 2 3 2 3 2 2" xfId="28596"/>
    <cellStyle name="Normal 27 2 3 2 3 3" xfId="26084"/>
    <cellStyle name="Normal 27 2 3 2 4" xfId="23360"/>
    <cellStyle name="Normal 27 2 3 2 4 2" xfId="28593"/>
    <cellStyle name="Normal 27 2 3 2 5" xfId="26081"/>
    <cellStyle name="Normal 27 2 3 2_DeltaViewer" xfId="8040"/>
    <cellStyle name="Normal 27 2 3 3" xfId="8041"/>
    <cellStyle name="Normal 27 2 3 3 2" xfId="8042"/>
    <cellStyle name="Normal 27 2 3 3 2 2" xfId="23365"/>
    <cellStyle name="Normal 27 2 3 3 2 2 2" xfId="28598"/>
    <cellStyle name="Normal 27 2 3 3 2 3" xfId="26086"/>
    <cellStyle name="Normal 27 2 3 3 3" xfId="23364"/>
    <cellStyle name="Normal 27 2 3 3 3 2" xfId="28597"/>
    <cellStyle name="Normal 27 2 3 3 4" xfId="26085"/>
    <cellStyle name="Normal 27 2 3 4" xfId="8043"/>
    <cellStyle name="Normal 27 2 3 4 2" xfId="23366"/>
    <cellStyle name="Normal 27 2 3 4 2 2" xfId="28599"/>
    <cellStyle name="Normal 27 2 3 4 3" xfId="26087"/>
    <cellStyle name="Normal 27 2 3 5" xfId="23359"/>
    <cellStyle name="Normal 27 2 3 5 2" xfId="28592"/>
    <cellStyle name="Normal 27 2 3 6" xfId="26080"/>
    <cellStyle name="Normal 27 2 3_DeltaViewer" xfId="8044"/>
    <cellStyle name="Normal 27 2 4" xfId="8045"/>
    <cellStyle name="Normal 27 2 4 2" xfId="8046"/>
    <cellStyle name="Normal 27 2 4 2 2" xfId="8047"/>
    <cellStyle name="Normal 27 2 4 2 2 2" xfId="8048"/>
    <cellStyle name="Normal 27 2 4 2 2 2 2" xfId="23370"/>
    <cellStyle name="Normal 27 2 4 2 2 2 2 2" xfId="28603"/>
    <cellStyle name="Normal 27 2 4 2 2 2 3" xfId="26091"/>
    <cellStyle name="Normal 27 2 4 2 2 3" xfId="23369"/>
    <cellStyle name="Normal 27 2 4 2 2 3 2" xfId="28602"/>
    <cellStyle name="Normal 27 2 4 2 2 4" xfId="26090"/>
    <cellStyle name="Normal 27 2 4 2 3" xfId="8049"/>
    <cellStyle name="Normal 27 2 4 2 3 2" xfId="23371"/>
    <cellStyle name="Normal 27 2 4 2 3 2 2" xfId="28604"/>
    <cellStyle name="Normal 27 2 4 2 3 3" xfId="26092"/>
    <cellStyle name="Normal 27 2 4 2 4" xfId="23368"/>
    <cellStyle name="Normal 27 2 4 2 4 2" xfId="28601"/>
    <cellStyle name="Normal 27 2 4 2 5" xfId="26089"/>
    <cellStyle name="Normal 27 2 4 2_DeltaViewer" xfId="8050"/>
    <cellStyle name="Normal 27 2 4 3" xfId="8051"/>
    <cellStyle name="Normal 27 2 4 3 2" xfId="8052"/>
    <cellStyle name="Normal 27 2 4 3 2 2" xfId="23373"/>
    <cellStyle name="Normal 27 2 4 3 2 2 2" xfId="28606"/>
    <cellStyle name="Normal 27 2 4 3 2 3" xfId="26094"/>
    <cellStyle name="Normal 27 2 4 3 3" xfId="23372"/>
    <cellStyle name="Normal 27 2 4 3 3 2" xfId="28605"/>
    <cellStyle name="Normal 27 2 4 3 4" xfId="26093"/>
    <cellStyle name="Normal 27 2 4 4" xfId="8053"/>
    <cellStyle name="Normal 27 2 4 4 2" xfId="23374"/>
    <cellStyle name="Normal 27 2 4 4 2 2" xfId="28607"/>
    <cellStyle name="Normal 27 2 4 4 3" xfId="26095"/>
    <cellStyle name="Normal 27 2 4 5" xfId="23367"/>
    <cellStyle name="Normal 27 2 4 5 2" xfId="28600"/>
    <cellStyle name="Normal 27 2 4 6" xfId="26088"/>
    <cellStyle name="Normal 27 2 4_DeltaViewer" xfId="8054"/>
    <cellStyle name="Normal 27 2 5" xfId="8055"/>
    <cellStyle name="Normal 27 2 5 2" xfId="8056"/>
    <cellStyle name="Normal 27 2 5 2 2" xfId="8057"/>
    <cellStyle name="Normal 27 2 5 2 2 2" xfId="23377"/>
    <cellStyle name="Normal 27 2 5 2 2 2 2" xfId="28610"/>
    <cellStyle name="Normal 27 2 5 2 2 3" xfId="26098"/>
    <cellStyle name="Normal 27 2 5 2 3" xfId="23376"/>
    <cellStyle name="Normal 27 2 5 2 3 2" xfId="28609"/>
    <cellStyle name="Normal 27 2 5 2 4" xfId="26097"/>
    <cellStyle name="Normal 27 2 5 3" xfId="8058"/>
    <cellStyle name="Normal 27 2 5 3 2" xfId="23378"/>
    <cellStyle name="Normal 27 2 5 3 2 2" xfId="28611"/>
    <cellStyle name="Normal 27 2 5 3 3" xfId="26099"/>
    <cellStyle name="Normal 27 2 5 4" xfId="23375"/>
    <cellStyle name="Normal 27 2 5 4 2" xfId="28608"/>
    <cellStyle name="Normal 27 2 5 5" xfId="26096"/>
    <cellStyle name="Normal 27 2 5_DeltaViewer" xfId="8059"/>
    <cellStyle name="Normal 27 2 6" xfId="8060"/>
    <cellStyle name="Normal 27 2 6 2" xfId="8061"/>
    <cellStyle name="Normal 27 2 6 2 2" xfId="23380"/>
    <cellStyle name="Normal 27 2 6 2 2 2" xfId="28613"/>
    <cellStyle name="Normal 27 2 6 2 3" xfId="26101"/>
    <cellStyle name="Normal 27 2 6 3" xfId="23379"/>
    <cellStyle name="Normal 27 2 6 3 2" xfId="28612"/>
    <cellStyle name="Normal 27 2 6 4" xfId="26100"/>
    <cellStyle name="Normal 27 2 7" xfId="8062"/>
    <cellStyle name="Normal 27 2 7 2" xfId="8063"/>
    <cellStyle name="Normal 27 2 7 2 2" xfId="23382"/>
    <cellStyle name="Normal 27 2 7 2 2 2" xfId="28615"/>
    <cellStyle name="Normal 27 2 7 2 3" xfId="26103"/>
    <cellStyle name="Normal 27 2 7 3" xfId="23381"/>
    <cellStyle name="Normal 27 2 7 3 2" xfId="28614"/>
    <cellStyle name="Normal 27 2 7 4" xfId="26102"/>
    <cellStyle name="Normal 27 2 8" xfId="8064"/>
    <cellStyle name="Normal 27 2 8 2" xfId="23383"/>
    <cellStyle name="Normal 27 2 8 2 2" xfId="28616"/>
    <cellStyle name="Normal 27 2 8 3" xfId="26104"/>
    <cellStyle name="Normal 27 2 9" xfId="23350"/>
    <cellStyle name="Normal 27 2 9 2" xfId="28583"/>
    <cellStyle name="Normal 27 2_DeltaViewer" xfId="8065"/>
    <cellStyle name="Normal 27 3" xfId="8066"/>
    <cellStyle name="Normal 27 3 10" xfId="26105"/>
    <cellStyle name="Normal 27 3 2" xfId="8067"/>
    <cellStyle name="Normal 27 3 2 2" xfId="8068"/>
    <cellStyle name="Normal 27 3 2 2 2" xfId="8069"/>
    <cellStyle name="Normal 27 3 2 2 2 2" xfId="8070"/>
    <cellStyle name="Normal 27 3 2 2 2 2 2" xfId="23388"/>
    <cellStyle name="Normal 27 3 2 2 2 2 2 2" xfId="28621"/>
    <cellStyle name="Normal 27 3 2 2 2 2 3" xfId="26109"/>
    <cellStyle name="Normal 27 3 2 2 2 3" xfId="23387"/>
    <cellStyle name="Normal 27 3 2 2 2 3 2" xfId="28620"/>
    <cellStyle name="Normal 27 3 2 2 2 4" xfId="26108"/>
    <cellStyle name="Normal 27 3 2 2 3" xfId="8071"/>
    <cellStyle name="Normal 27 3 2 2 3 2" xfId="23389"/>
    <cellStyle name="Normal 27 3 2 2 3 2 2" xfId="28622"/>
    <cellStyle name="Normal 27 3 2 2 3 3" xfId="26110"/>
    <cellStyle name="Normal 27 3 2 2 4" xfId="23386"/>
    <cellStyle name="Normal 27 3 2 2 4 2" xfId="28619"/>
    <cellStyle name="Normal 27 3 2 2 5" xfId="26107"/>
    <cellStyle name="Normal 27 3 2 2_DeltaViewer" xfId="8072"/>
    <cellStyle name="Normal 27 3 2 3" xfId="8073"/>
    <cellStyle name="Normal 27 3 2 3 2" xfId="8074"/>
    <cellStyle name="Normal 27 3 2 3 2 2" xfId="23391"/>
    <cellStyle name="Normal 27 3 2 3 2 2 2" xfId="28624"/>
    <cellStyle name="Normal 27 3 2 3 2 3" xfId="26112"/>
    <cellStyle name="Normal 27 3 2 3 3" xfId="23390"/>
    <cellStyle name="Normal 27 3 2 3 3 2" xfId="28623"/>
    <cellStyle name="Normal 27 3 2 3 4" xfId="26111"/>
    <cellStyle name="Normal 27 3 2 4" xfId="8075"/>
    <cellStyle name="Normal 27 3 2 4 2" xfId="23392"/>
    <cellStyle name="Normal 27 3 2 4 2 2" xfId="28625"/>
    <cellStyle name="Normal 27 3 2 4 3" xfId="26113"/>
    <cellStyle name="Normal 27 3 2 5" xfId="23385"/>
    <cellStyle name="Normal 27 3 2 5 2" xfId="28618"/>
    <cellStyle name="Normal 27 3 2 6" xfId="26106"/>
    <cellStyle name="Normal 27 3 2_DeltaViewer" xfId="8076"/>
    <cellStyle name="Normal 27 3 3" xfId="8077"/>
    <cellStyle name="Normal 27 3 3 2" xfId="8078"/>
    <cellStyle name="Normal 27 3 3 2 2" xfId="8079"/>
    <cellStyle name="Normal 27 3 3 2 2 2" xfId="8080"/>
    <cellStyle name="Normal 27 3 3 2 2 2 2" xfId="23396"/>
    <cellStyle name="Normal 27 3 3 2 2 2 2 2" xfId="28629"/>
    <cellStyle name="Normal 27 3 3 2 2 2 3" xfId="26117"/>
    <cellStyle name="Normal 27 3 3 2 2 3" xfId="23395"/>
    <cellStyle name="Normal 27 3 3 2 2 3 2" xfId="28628"/>
    <cellStyle name="Normal 27 3 3 2 2 4" xfId="26116"/>
    <cellStyle name="Normal 27 3 3 2 3" xfId="8081"/>
    <cellStyle name="Normal 27 3 3 2 3 2" xfId="23397"/>
    <cellStyle name="Normal 27 3 3 2 3 2 2" xfId="28630"/>
    <cellStyle name="Normal 27 3 3 2 3 3" xfId="26118"/>
    <cellStyle name="Normal 27 3 3 2 4" xfId="23394"/>
    <cellStyle name="Normal 27 3 3 2 4 2" xfId="28627"/>
    <cellStyle name="Normal 27 3 3 2 5" xfId="26115"/>
    <cellStyle name="Normal 27 3 3 2_DeltaViewer" xfId="8082"/>
    <cellStyle name="Normal 27 3 3 3" xfId="8083"/>
    <cellStyle name="Normal 27 3 3 3 2" xfId="8084"/>
    <cellStyle name="Normal 27 3 3 3 2 2" xfId="23399"/>
    <cellStyle name="Normal 27 3 3 3 2 2 2" xfId="28632"/>
    <cellStyle name="Normal 27 3 3 3 2 3" xfId="26120"/>
    <cellStyle name="Normal 27 3 3 3 3" xfId="23398"/>
    <cellStyle name="Normal 27 3 3 3 3 2" xfId="28631"/>
    <cellStyle name="Normal 27 3 3 3 4" xfId="26119"/>
    <cellStyle name="Normal 27 3 3 4" xfId="8085"/>
    <cellStyle name="Normal 27 3 3 4 2" xfId="23400"/>
    <cellStyle name="Normal 27 3 3 4 2 2" xfId="28633"/>
    <cellStyle name="Normal 27 3 3 4 3" xfId="26121"/>
    <cellStyle name="Normal 27 3 3 5" xfId="23393"/>
    <cellStyle name="Normal 27 3 3 5 2" xfId="28626"/>
    <cellStyle name="Normal 27 3 3 6" xfId="26114"/>
    <cellStyle name="Normal 27 3 3_DeltaViewer" xfId="8086"/>
    <cellStyle name="Normal 27 3 4" xfId="8087"/>
    <cellStyle name="Normal 27 3 4 2" xfId="8088"/>
    <cellStyle name="Normal 27 3 4 2 2" xfId="8089"/>
    <cellStyle name="Normal 27 3 4 2 2 2" xfId="8090"/>
    <cellStyle name="Normal 27 3 4 2 2 2 2" xfId="23404"/>
    <cellStyle name="Normal 27 3 4 2 2 2 2 2" xfId="28637"/>
    <cellStyle name="Normal 27 3 4 2 2 2 3" xfId="26125"/>
    <cellStyle name="Normal 27 3 4 2 2 3" xfId="23403"/>
    <cellStyle name="Normal 27 3 4 2 2 3 2" xfId="28636"/>
    <cellStyle name="Normal 27 3 4 2 2 4" xfId="26124"/>
    <cellStyle name="Normal 27 3 4 2 3" xfId="8091"/>
    <cellStyle name="Normal 27 3 4 2 3 2" xfId="23405"/>
    <cellStyle name="Normal 27 3 4 2 3 2 2" xfId="28638"/>
    <cellStyle name="Normal 27 3 4 2 3 3" xfId="26126"/>
    <cellStyle name="Normal 27 3 4 2 4" xfId="23402"/>
    <cellStyle name="Normal 27 3 4 2 4 2" xfId="28635"/>
    <cellStyle name="Normal 27 3 4 2 5" xfId="26123"/>
    <cellStyle name="Normal 27 3 4 2_DeltaViewer" xfId="8092"/>
    <cellStyle name="Normal 27 3 4 3" xfId="8093"/>
    <cellStyle name="Normal 27 3 4 3 2" xfId="8094"/>
    <cellStyle name="Normal 27 3 4 3 2 2" xfId="23407"/>
    <cellStyle name="Normal 27 3 4 3 2 2 2" xfId="28640"/>
    <cellStyle name="Normal 27 3 4 3 2 3" xfId="26128"/>
    <cellStyle name="Normal 27 3 4 3 3" xfId="23406"/>
    <cellStyle name="Normal 27 3 4 3 3 2" xfId="28639"/>
    <cellStyle name="Normal 27 3 4 3 4" xfId="26127"/>
    <cellStyle name="Normal 27 3 4 4" xfId="8095"/>
    <cellStyle name="Normal 27 3 4 4 2" xfId="23408"/>
    <cellStyle name="Normal 27 3 4 4 2 2" xfId="28641"/>
    <cellStyle name="Normal 27 3 4 4 3" xfId="26129"/>
    <cellStyle name="Normal 27 3 4 5" xfId="23401"/>
    <cellStyle name="Normal 27 3 4 5 2" xfId="28634"/>
    <cellStyle name="Normal 27 3 4 6" xfId="26122"/>
    <cellStyle name="Normal 27 3 4_DeltaViewer" xfId="8096"/>
    <cellStyle name="Normal 27 3 5" xfId="8097"/>
    <cellStyle name="Normal 27 3 5 2" xfId="8098"/>
    <cellStyle name="Normal 27 3 5 2 2" xfId="8099"/>
    <cellStyle name="Normal 27 3 5 2 2 2" xfId="23411"/>
    <cellStyle name="Normal 27 3 5 2 2 2 2" xfId="28644"/>
    <cellStyle name="Normal 27 3 5 2 2 3" xfId="26132"/>
    <cellStyle name="Normal 27 3 5 2 3" xfId="23410"/>
    <cellStyle name="Normal 27 3 5 2 3 2" xfId="28643"/>
    <cellStyle name="Normal 27 3 5 2 4" xfId="26131"/>
    <cellStyle name="Normal 27 3 5 3" xfId="8100"/>
    <cellStyle name="Normal 27 3 5 3 2" xfId="23412"/>
    <cellStyle name="Normal 27 3 5 3 2 2" xfId="28645"/>
    <cellStyle name="Normal 27 3 5 3 3" xfId="26133"/>
    <cellStyle name="Normal 27 3 5 4" xfId="23409"/>
    <cellStyle name="Normal 27 3 5 4 2" xfId="28642"/>
    <cellStyle name="Normal 27 3 5 5" xfId="26130"/>
    <cellStyle name="Normal 27 3 5_DeltaViewer" xfId="8101"/>
    <cellStyle name="Normal 27 3 6" xfId="8102"/>
    <cellStyle name="Normal 27 3 6 2" xfId="8103"/>
    <cellStyle name="Normal 27 3 6 2 2" xfId="23414"/>
    <cellStyle name="Normal 27 3 6 2 2 2" xfId="28647"/>
    <cellStyle name="Normal 27 3 6 2 3" xfId="26135"/>
    <cellStyle name="Normal 27 3 6 3" xfId="23413"/>
    <cellStyle name="Normal 27 3 6 3 2" xfId="28646"/>
    <cellStyle name="Normal 27 3 6 4" xfId="26134"/>
    <cellStyle name="Normal 27 3 7" xfId="8104"/>
    <cellStyle name="Normal 27 3 7 2" xfId="8105"/>
    <cellStyle name="Normal 27 3 7 2 2" xfId="23416"/>
    <cellStyle name="Normal 27 3 7 2 2 2" xfId="28649"/>
    <cellStyle name="Normal 27 3 7 2 3" xfId="26137"/>
    <cellStyle name="Normal 27 3 7 3" xfId="23415"/>
    <cellStyle name="Normal 27 3 7 3 2" xfId="28648"/>
    <cellStyle name="Normal 27 3 7 4" xfId="26136"/>
    <cellStyle name="Normal 27 3 8" xfId="8106"/>
    <cellStyle name="Normal 27 3 8 2" xfId="23417"/>
    <cellStyle name="Normal 27 3 8 2 2" xfId="28650"/>
    <cellStyle name="Normal 27 3 8 3" xfId="26138"/>
    <cellStyle name="Normal 27 3 9" xfId="23384"/>
    <cellStyle name="Normal 27 3 9 2" xfId="28617"/>
    <cellStyle name="Normal 27 3_DeltaViewer" xfId="8107"/>
    <cellStyle name="Normal 27 4" xfId="8108"/>
    <cellStyle name="Normal 27 4 2" xfId="8109"/>
    <cellStyle name="Normal 27 4 2 2" xfId="8110"/>
    <cellStyle name="Normal 27 4 2 2 2" xfId="8111"/>
    <cellStyle name="Normal 27 4 2 2 2 2" xfId="23421"/>
    <cellStyle name="Normal 27 4 2 2 2 2 2" xfId="28654"/>
    <cellStyle name="Normal 27 4 2 2 2 3" xfId="26142"/>
    <cellStyle name="Normal 27 4 2 2 3" xfId="23420"/>
    <cellStyle name="Normal 27 4 2 2 3 2" xfId="28653"/>
    <cellStyle name="Normal 27 4 2 2 4" xfId="26141"/>
    <cellStyle name="Normal 27 4 2 3" xfId="8112"/>
    <cellStyle name="Normal 27 4 2 3 2" xfId="23422"/>
    <cellStyle name="Normal 27 4 2 3 2 2" xfId="28655"/>
    <cellStyle name="Normal 27 4 2 3 3" xfId="26143"/>
    <cellStyle name="Normal 27 4 2 4" xfId="23419"/>
    <cellStyle name="Normal 27 4 2 4 2" xfId="28652"/>
    <cellStyle name="Normal 27 4 2 5" xfId="26140"/>
    <cellStyle name="Normal 27 4 2_DeltaViewer" xfId="8113"/>
    <cellStyle name="Normal 27 4 3" xfId="8114"/>
    <cellStyle name="Normal 27 4 3 2" xfId="8115"/>
    <cellStyle name="Normal 27 4 3 2 2" xfId="23424"/>
    <cellStyle name="Normal 27 4 3 2 2 2" xfId="28657"/>
    <cellStyle name="Normal 27 4 3 2 3" xfId="26145"/>
    <cellStyle name="Normal 27 4 3 3" xfId="23423"/>
    <cellStyle name="Normal 27 4 3 3 2" xfId="28656"/>
    <cellStyle name="Normal 27 4 3 4" xfId="26144"/>
    <cellStyle name="Normal 27 4 4" xfId="8116"/>
    <cellStyle name="Normal 27 4 4 2" xfId="23425"/>
    <cellStyle name="Normal 27 4 4 2 2" xfId="28658"/>
    <cellStyle name="Normal 27 4 4 3" xfId="26146"/>
    <cellStyle name="Normal 27 4 5" xfId="23418"/>
    <cellStyle name="Normal 27 4 5 2" xfId="28651"/>
    <cellStyle name="Normal 27 4 6" xfId="26139"/>
    <cellStyle name="Normal 27 4_DeltaViewer" xfId="8117"/>
    <cellStyle name="Normal 27 5" xfId="8118"/>
    <cellStyle name="Normal 27 5 2" xfId="8119"/>
    <cellStyle name="Normal 27 5 2 2" xfId="8120"/>
    <cellStyle name="Normal 27 5 2 2 2" xfId="8121"/>
    <cellStyle name="Normal 27 5 2 2 2 2" xfId="23429"/>
    <cellStyle name="Normal 27 5 2 2 2 2 2" xfId="28662"/>
    <cellStyle name="Normal 27 5 2 2 2 3" xfId="26150"/>
    <cellStyle name="Normal 27 5 2 2 3" xfId="23428"/>
    <cellStyle name="Normal 27 5 2 2 3 2" xfId="28661"/>
    <cellStyle name="Normal 27 5 2 2 4" xfId="26149"/>
    <cellStyle name="Normal 27 5 2 3" xfId="8122"/>
    <cellStyle name="Normal 27 5 2 3 2" xfId="23430"/>
    <cellStyle name="Normal 27 5 2 3 2 2" xfId="28663"/>
    <cellStyle name="Normal 27 5 2 3 3" xfId="26151"/>
    <cellStyle name="Normal 27 5 2 4" xfId="23427"/>
    <cellStyle name="Normal 27 5 2 4 2" xfId="28660"/>
    <cellStyle name="Normal 27 5 2 5" xfId="26148"/>
    <cellStyle name="Normal 27 5 2_DeltaViewer" xfId="8123"/>
    <cellStyle name="Normal 27 5 3" xfId="8124"/>
    <cellStyle name="Normal 27 5 3 2" xfId="8125"/>
    <cellStyle name="Normal 27 5 3 2 2" xfId="23432"/>
    <cellStyle name="Normal 27 5 3 2 2 2" xfId="28665"/>
    <cellStyle name="Normal 27 5 3 2 3" xfId="26153"/>
    <cellStyle name="Normal 27 5 3 3" xfId="23431"/>
    <cellStyle name="Normal 27 5 3 3 2" xfId="28664"/>
    <cellStyle name="Normal 27 5 3 4" xfId="26152"/>
    <cellStyle name="Normal 27 5 4" xfId="8126"/>
    <cellStyle name="Normal 27 5 4 2" xfId="23433"/>
    <cellStyle name="Normal 27 5 4 2 2" xfId="28666"/>
    <cellStyle name="Normal 27 5 4 3" xfId="26154"/>
    <cellStyle name="Normal 27 5 5" xfId="23426"/>
    <cellStyle name="Normal 27 5 5 2" xfId="28659"/>
    <cellStyle name="Normal 27 5 6" xfId="26147"/>
    <cellStyle name="Normal 27 5_DeltaViewer" xfId="8127"/>
    <cellStyle name="Normal 27 6" xfId="8128"/>
    <cellStyle name="Normal 27 6 2" xfId="8129"/>
    <cellStyle name="Normal 27 6 2 2" xfId="8130"/>
    <cellStyle name="Normal 27 6 2 2 2" xfId="8131"/>
    <cellStyle name="Normal 27 6 2 2 2 2" xfId="23437"/>
    <cellStyle name="Normal 27 6 2 2 2 2 2" xfId="28670"/>
    <cellStyle name="Normal 27 6 2 2 2 3" xfId="26158"/>
    <cellStyle name="Normal 27 6 2 2 3" xfId="23436"/>
    <cellStyle name="Normal 27 6 2 2 3 2" xfId="28669"/>
    <cellStyle name="Normal 27 6 2 2 4" xfId="26157"/>
    <cellStyle name="Normal 27 6 2 3" xfId="8132"/>
    <cellStyle name="Normal 27 6 2 3 2" xfId="23438"/>
    <cellStyle name="Normal 27 6 2 3 2 2" xfId="28671"/>
    <cellStyle name="Normal 27 6 2 3 3" xfId="26159"/>
    <cellStyle name="Normal 27 6 2 4" xfId="23435"/>
    <cellStyle name="Normal 27 6 2 4 2" xfId="28668"/>
    <cellStyle name="Normal 27 6 2 5" xfId="26156"/>
    <cellStyle name="Normal 27 6 2_DeltaViewer" xfId="8133"/>
    <cellStyle name="Normal 27 6 3" xfId="8134"/>
    <cellStyle name="Normal 27 6 3 2" xfId="8135"/>
    <cellStyle name="Normal 27 6 3 2 2" xfId="23440"/>
    <cellStyle name="Normal 27 6 3 2 2 2" xfId="28673"/>
    <cellStyle name="Normal 27 6 3 2 3" xfId="26161"/>
    <cellStyle name="Normal 27 6 3 3" xfId="23439"/>
    <cellStyle name="Normal 27 6 3 3 2" xfId="28672"/>
    <cellStyle name="Normal 27 6 3 4" xfId="26160"/>
    <cellStyle name="Normal 27 6 4" xfId="8136"/>
    <cellStyle name="Normal 27 6 4 2" xfId="23441"/>
    <cellStyle name="Normal 27 6 4 2 2" xfId="28674"/>
    <cellStyle name="Normal 27 6 4 3" xfId="26162"/>
    <cellStyle name="Normal 27 6 5" xfId="23434"/>
    <cellStyle name="Normal 27 6 5 2" xfId="28667"/>
    <cellStyle name="Normal 27 6 6" xfId="26155"/>
    <cellStyle name="Normal 27 6_DeltaViewer" xfId="8137"/>
    <cellStyle name="Normal 27 7" xfId="8138"/>
    <cellStyle name="Normal 27 7 2" xfId="8139"/>
    <cellStyle name="Normal 27 7 2 2" xfId="8140"/>
    <cellStyle name="Normal 27 7 2 2 2" xfId="23444"/>
    <cellStyle name="Normal 27 7 2 2 2 2" xfId="28677"/>
    <cellStyle name="Normal 27 7 2 2 3" xfId="26165"/>
    <cellStyle name="Normal 27 7 2 3" xfId="23443"/>
    <cellStyle name="Normal 27 7 2 3 2" xfId="28676"/>
    <cellStyle name="Normal 27 7 2 4" xfId="26164"/>
    <cellStyle name="Normal 27 7 3" xfId="8141"/>
    <cellStyle name="Normal 27 7 3 2" xfId="23445"/>
    <cellStyle name="Normal 27 7 3 2 2" xfId="28678"/>
    <cellStyle name="Normal 27 7 3 3" xfId="26166"/>
    <cellStyle name="Normal 27 7 4" xfId="23442"/>
    <cellStyle name="Normal 27 7 4 2" xfId="28675"/>
    <cellStyle name="Normal 27 7 5" xfId="26163"/>
    <cellStyle name="Normal 27 7_DeltaViewer" xfId="8142"/>
    <cellStyle name="Normal 27 8" xfId="8143"/>
    <cellStyle name="Normal 27 8 2" xfId="8144"/>
    <cellStyle name="Normal 27 8 2 2" xfId="23447"/>
    <cellStyle name="Normal 27 8 2 2 2" xfId="28680"/>
    <cellStyle name="Normal 27 8 2 3" xfId="26168"/>
    <cellStyle name="Normal 27 8 3" xfId="23446"/>
    <cellStyle name="Normal 27 8 3 2" xfId="28679"/>
    <cellStyle name="Normal 27 8 4" xfId="26167"/>
    <cellStyle name="Normal 27 9" xfId="8145"/>
    <cellStyle name="Normal 27 9 2" xfId="8146"/>
    <cellStyle name="Normal 27 9 2 2" xfId="23449"/>
    <cellStyle name="Normal 27 9 2 2 2" xfId="28682"/>
    <cellStyle name="Normal 27 9 2 3" xfId="26170"/>
    <cellStyle name="Normal 27 9 3" xfId="23448"/>
    <cellStyle name="Normal 27 9 3 2" xfId="28681"/>
    <cellStyle name="Normal 27 9 4" xfId="26169"/>
    <cellStyle name="Normal 27_DeltaViewer" xfId="8147"/>
    <cellStyle name="Normal 28" xfId="8148"/>
    <cellStyle name="Normal 28 10" xfId="8149"/>
    <cellStyle name="Normal 28 10 2" xfId="23451"/>
    <cellStyle name="Normal 28 10 2 2" xfId="28684"/>
    <cellStyle name="Normal 28 10 3" xfId="26172"/>
    <cellStyle name="Normal 28 11" xfId="23450"/>
    <cellStyle name="Normal 28 11 2" xfId="28683"/>
    <cellStyle name="Normal 28 12" xfId="26171"/>
    <cellStyle name="Normal 28 2" xfId="8150"/>
    <cellStyle name="Normal 28 2 10" xfId="26173"/>
    <cellStyle name="Normal 28 2 2" xfId="8151"/>
    <cellStyle name="Normal 28 2 2 2" xfId="8152"/>
    <cellStyle name="Normal 28 2 2 2 2" xfId="8153"/>
    <cellStyle name="Normal 28 2 2 2 2 2" xfId="8154"/>
    <cellStyle name="Normal 28 2 2 2 2 2 2" xfId="23456"/>
    <cellStyle name="Normal 28 2 2 2 2 2 2 2" xfId="28689"/>
    <cellStyle name="Normal 28 2 2 2 2 2 3" xfId="26177"/>
    <cellStyle name="Normal 28 2 2 2 2 3" xfId="23455"/>
    <cellStyle name="Normal 28 2 2 2 2 3 2" xfId="28688"/>
    <cellStyle name="Normal 28 2 2 2 2 4" xfId="26176"/>
    <cellStyle name="Normal 28 2 2 2 3" xfId="8155"/>
    <cellStyle name="Normal 28 2 2 2 3 2" xfId="23457"/>
    <cellStyle name="Normal 28 2 2 2 3 2 2" xfId="28690"/>
    <cellStyle name="Normal 28 2 2 2 3 3" xfId="26178"/>
    <cellStyle name="Normal 28 2 2 2 4" xfId="23454"/>
    <cellStyle name="Normal 28 2 2 2 4 2" xfId="28687"/>
    <cellStyle name="Normal 28 2 2 2 5" xfId="26175"/>
    <cellStyle name="Normal 28 2 2 2_DeltaViewer" xfId="8156"/>
    <cellStyle name="Normal 28 2 2 3" xfId="8157"/>
    <cellStyle name="Normal 28 2 2 3 2" xfId="8158"/>
    <cellStyle name="Normal 28 2 2 3 2 2" xfId="23459"/>
    <cellStyle name="Normal 28 2 2 3 2 2 2" xfId="28692"/>
    <cellStyle name="Normal 28 2 2 3 2 3" xfId="26180"/>
    <cellStyle name="Normal 28 2 2 3 3" xfId="23458"/>
    <cellStyle name="Normal 28 2 2 3 3 2" xfId="28691"/>
    <cellStyle name="Normal 28 2 2 3 4" xfId="26179"/>
    <cellStyle name="Normal 28 2 2 4" xfId="8159"/>
    <cellStyle name="Normal 28 2 2 4 2" xfId="23460"/>
    <cellStyle name="Normal 28 2 2 4 2 2" xfId="28693"/>
    <cellStyle name="Normal 28 2 2 4 3" xfId="26181"/>
    <cellStyle name="Normal 28 2 2 5" xfId="23453"/>
    <cellStyle name="Normal 28 2 2 5 2" xfId="28686"/>
    <cellStyle name="Normal 28 2 2 6" xfId="26174"/>
    <cellStyle name="Normal 28 2 2_DeltaViewer" xfId="8160"/>
    <cellStyle name="Normal 28 2 3" xfId="8161"/>
    <cellStyle name="Normal 28 2 3 2" xfId="8162"/>
    <cellStyle name="Normal 28 2 3 2 2" xfId="8163"/>
    <cellStyle name="Normal 28 2 3 2 2 2" xfId="8164"/>
    <cellStyle name="Normal 28 2 3 2 2 2 2" xfId="23464"/>
    <cellStyle name="Normal 28 2 3 2 2 2 2 2" xfId="28697"/>
    <cellStyle name="Normal 28 2 3 2 2 2 3" xfId="26185"/>
    <cellStyle name="Normal 28 2 3 2 2 3" xfId="23463"/>
    <cellStyle name="Normal 28 2 3 2 2 3 2" xfId="28696"/>
    <cellStyle name="Normal 28 2 3 2 2 4" xfId="26184"/>
    <cellStyle name="Normal 28 2 3 2 3" xfId="8165"/>
    <cellStyle name="Normal 28 2 3 2 3 2" xfId="23465"/>
    <cellStyle name="Normal 28 2 3 2 3 2 2" xfId="28698"/>
    <cellStyle name="Normal 28 2 3 2 3 3" xfId="26186"/>
    <cellStyle name="Normal 28 2 3 2 4" xfId="23462"/>
    <cellStyle name="Normal 28 2 3 2 4 2" xfId="28695"/>
    <cellStyle name="Normal 28 2 3 2 5" xfId="26183"/>
    <cellStyle name="Normal 28 2 3 2_DeltaViewer" xfId="8166"/>
    <cellStyle name="Normal 28 2 3 3" xfId="8167"/>
    <cellStyle name="Normal 28 2 3 3 2" xfId="8168"/>
    <cellStyle name="Normal 28 2 3 3 2 2" xfId="23467"/>
    <cellStyle name="Normal 28 2 3 3 2 2 2" xfId="28700"/>
    <cellStyle name="Normal 28 2 3 3 2 3" xfId="26188"/>
    <cellStyle name="Normal 28 2 3 3 3" xfId="23466"/>
    <cellStyle name="Normal 28 2 3 3 3 2" xfId="28699"/>
    <cellStyle name="Normal 28 2 3 3 4" xfId="26187"/>
    <cellStyle name="Normal 28 2 3 4" xfId="8169"/>
    <cellStyle name="Normal 28 2 3 4 2" xfId="23468"/>
    <cellStyle name="Normal 28 2 3 4 2 2" xfId="28701"/>
    <cellStyle name="Normal 28 2 3 4 3" xfId="26189"/>
    <cellStyle name="Normal 28 2 3 5" xfId="23461"/>
    <cellStyle name="Normal 28 2 3 5 2" xfId="28694"/>
    <cellStyle name="Normal 28 2 3 6" xfId="26182"/>
    <cellStyle name="Normal 28 2 3_DeltaViewer" xfId="8170"/>
    <cellStyle name="Normal 28 2 4" xfId="8171"/>
    <cellStyle name="Normal 28 2 4 2" xfId="8172"/>
    <cellStyle name="Normal 28 2 4 2 2" xfId="8173"/>
    <cellStyle name="Normal 28 2 4 2 2 2" xfId="8174"/>
    <cellStyle name="Normal 28 2 4 2 2 2 2" xfId="23472"/>
    <cellStyle name="Normal 28 2 4 2 2 2 2 2" xfId="28705"/>
    <cellStyle name="Normal 28 2 4 2 2 2 3" xfId="26193"/>
    <cellStyle name="Normal 28 2 4 2 2 3" xfId="23471"/>
    <cellStyle name="Normal 28 2 4 2 2 3 2" xfId="28704"/>
    <cellStyle name="Normal 28 2 4 2 2 4" xfId="26192"/>
    <cellStyle name="Normal 28 2 4 2 3" xfId="8175"/>
    <cellStyle name="Normal 28 2 4 2 3 2" xfId="23473"/>
    <cellStyle name="Normal 28 2 4 2 3 2 2" xfId="28706"/>
    <cellStyle name="Normal 28 2 4 2 3 3" xfId="26194"/>
    <cellStyle name="Normal 28 2 4 2 4" xfId="23470"/>
    <cellStyle name="Normal 28 2 4 2 4 2" xfId="28703"/>
    <cellStyle name="Normal 28 2 4 2 5" xfId="26191"/>
    <cellStyle name="Normal 28 2 4 2_DeltaViewer" xfId="8176"/>
    <cellStyle name="Normal 28 2 4 3" xfId="8177"/>
    <cellStyle name="Normal 28 2 4 3 2" xfId="8178"/>
    <cellStyle name="Normal 28 2 4 3 2 2" xfId="23475"/>
    <cellStyle name="Normal 28 2 4 3 2 2 2" xfId="28708"/>
    <cellStyle name="Normal 28 2 4 3 2 3" xfId="26196"/>
    <cellStyle name="Normal 28 2 4 3 3" xfId="23474"/>
    <cellStyle name="Normal 28 2 4 3 3 2" xfId="28707"/>
    <cellStyle name="Normal 28 2 4 3 4" xfId="26195"/>
    <cellStyle name="Normal 28 2 4 4" xfId="8179"/>
    <cellStyle name="Normal 28 2 4 4 2" xfId="23476"/>
    <cellStyle name="Normal 28 2 4 4 2 2" xfId="28709"/>
    <cellStyle name="Normal 28 2 4 4 3" xfId="26197"/>
    <cellStyle name="Normal 28 2 4 5" xfId="23469"/>
    <cellStyle name="Normal 28 2 4 5 2" xfId="28702"/>
    <cellStyle name="Normal 28 2 4 6" xfId="26190"/>
    <cellStyle name="Normal 28 2 4_DeltaViewer" xfId="8180"/>
    <cellStyle name="Normal 28 2 5" xfId="8181"/>
    <cellStyle name="Normal 28 2 5 2" xfId="8182"/>
    <cellStyle name="Normal 28 2 5 2 2" xfId="8183"/>
    <cellStyle name="Normal 28 2 5 2 2 2" xfId="23479"/>
    <cellStyle name="Normal 28 2 5 2 2 2 2" xfId="28712"/>
    <cellStyle name="Normal 28 2 5 2 2 3" xfId="26200"/>
    <cellStyle name="Normal 28 2 5 2 3" xfId="23478"/>
    <cellStyle name="Normal 28 2 5 2 3 2" xfId="28711"/>
    <cellStyle name="Normal 28 2 5 2 4" xfId="26199"/>
    <cellStyle name="Normal 28 2 5 3" xfId="8184"/>
    <cellStyle name="Normal 28 2 5 3 2" xfId="23480"/>
    <cellStyle name="Normal 28 2 5 3 2 2" xfId="28713"/>
    <cellStyle name="Normal 28 2 5 3 3" xfId="26201"/>
    <cellStyle name="Normal 28 2 5 4" xfId="23477"/>
    <cellStyle name="Normal 28 2 5 4 2" xfId="28710"/>
    <cellStyle name="Normal 28 2 5 5" xfId="26198"/>
    <cellStyle name="Normal 28 2 5_DeltaViewer" xfId="8185"/>
    <cellStyle name="Normal 28 2 6" xfId="8186"/>
    <cellStyle name="Normal 28 2 6 2" xfId="8187"/>
    <cellStyle name="Normal 28 2 6 2 2" xfId="23482"/>
    <cellStyle name="Normal 28 2 6 2 2 2" xfId="28715"/>
    <cellStyle name="Normal 28 2 6 2 3" xfId="26203"/>
    <cellStyle name="Normal 28 2 6 3" xfId="23481"/>
    <cellStyle name="Normal 28 2 6 3 2" xfId="28714"/>
    <cellStyle name="Normal 28 2 6 4" xfId="26202"/>
    <cellStyle name="Normal 28 2 7" xfId="8188"/>
    <cellStyle name="Normal 28 2 7 2" xfId="8189"/>
    <cellStyle name="Normal 28 2 7 2 2" xfId="23484"/>
    <cellStyle name="Normal 28 2 7 2 2 2" xfId="28717"/>
    <cellStyle name="Normal 28 2 7 2 3" xfId="26205"/>
    <cellStyle name="Normal 28 2 7 3" xfId="23483"/>
    <cellStyle name="Normal 28 2 7 3 2" xfId="28716"/>
    <cellStyle name="Normal 28 2 7 4" xfId="26204"/>
    <cellStyle name="Normal 28 2 8" xfId="8190"/>
    <cellStyle name="Normal 28 2 8 2" xfId="23485"/>
    <cellStyle name="Normal 28 2 8 2 2" xfId="28718"/>
    <cellStyle name="Normal 28 2 8 3" xfId="26206"/>
    <cellStyle name="Normal 28 2 9" xfId="23452"/>
    <cellStyle name="Normal 28 2 9 2" xfId="28685"/>
    <cellStyle name="Normal 28 2_DeltaViewer" xfId="8191"/>
    <cellStyle name="Normal 28 3" xfId="8192"/>
    <cellStyle name="Normal 28 3 10" xfId="26207"/>
    <cellStyle name="Normal 28 3 2" xfId="8193"/>
    <cellStyle name="Normal 28 3 2 2" xfId="8194"/>
    <cellStyle name="Normal 28 3 2 2 2" xfId="8195"/>
    <cellStyle name="Normal 28 3 2 2 2 2" xfId="8196"/>
    <cellStyle name="Normal 28 3 2 2 2 2 2" xfId="23490"/>
    <cellStyle name="Normal 28 3 2 2 2 2 2 2" xfId="28723"/>
    <cellStyle name="Normal 28 3 2 2 2 2 3" xfId="26211"/>
    <cellStyle name="Normal 28 3 2 2 2 3" xfId="23489"/>
    <cellStyle name="Normal 28 3 2 2 2 3 2" xfId="28722"/>
    <cellStyle name="Normal 28 3 2 2 2 4" xfId="26210"/>
    <cellStyle name="Normal 28 3 2 2 3" xfId="8197"/>
    <cellStyle name="Normal 28 3 2 2 3 2" xfId="23491"/>
    <cellStyle name="Normal 28 3 2 2 3 2 2" xfId="28724"/>
    <cellStyle name="Normal 28 3 2 2 3 3" xfId="26212"/>
    <cellStyle name="Normal 28 3 2 2 4" xfId="23488"/>
    <cellStyle name="Normal 28 3 2 2 4 2" xfId="28721"/>
    <cellStyle name="Normal 28 3 2 2 5" xfId="26209"/>
    <cellStyle name="Normal 28 3 2 2_DeltaViewer" xfId="8198"/>
    <cellStyle name="Normal 28 3 2 3" xfId="8199"/>
    <cellStyle name="Normal 28 3 2 3 2" xfId="8200"/>
    <cellStyle name="Normal 28 3 2 3 2 2" xfId="23493"/>
    <cellStyle name="Normal 28 3 2 3 2 2 2" xfId="28726"/>
    <cellStyle name="Normal 28 3 2 3 2 3" xfId="26214"/>
    <cellStyle name="Normal 28 3 2 3 3" xfId="23492"/>
    <cellStyle name="Normal 28 3 2 3 3 2" xfId="28725"/>
    <cellStyle name="Normal 28 3 2 3 4" xfId="26213"/>
    <cellStyle name="Normal 28 3 2 4" xfId="8201"/>
    <cellStyle name="Normal 28 3 2 4 2" xfId="23494"/>
    <cellStyle name="Normal 28 3 2 4 2 2" xfId="28727"/>
    <cellStyle name="Normal 28 3 2 4 3" xfId="26215"/>
    <cellStyle name="Normal 28 3 2 5" xfId="23487"/>
    <cellStyle name="Normal 28 3 2 5 2" xfId="28720"/>
    <cellStyle name="Normal 28 3 2 6" xfId="26208"/>
    <cellStyle name="Normal 28 3 2_DeltaViewer" xfId="8202"/>
    <cellStyle name="Normal 28 3 3" xfId="8203"/>
    <cellStyle name="Normal 28 3 3 2" xfId="8204"/>
    <cellStyle name="Normal 28 3 3 2 2" xfId="8205"/>
    <cellStyle name="Normal 28 3 3 2 2 2" xfId="8206"/>
    <cellStyle name="Normal 28 3 3 2 2 2 2" xfId="23498"/>
    <cellStyle name="Normal 28 3 3 2 2 2 2 2" xfId="28731"/>
    <cellStyle name="Normal 28 3 3 2 2 2 3" xfId="26219"/>
    <cellStyle name="Normal 28 3 3 2 2 3" xfId="23497"/>
    <cellStyle name="Normal 28 3 3 2 2 3 2" xfId="28730"/>
    <cellStyle name="Normal 28 3 3 2 2 4" xfId="26218"/>
    <cellStyle name="Normal 28 3 3 2 3" xfId="8207"/>
    <cellStyle name="Normal 28 3 3 2 3 2" xfId="23499"/>
    <cellStyle name="Normal 28 3 3 2 3 2 2" xfId="28732"/>
    <cellStyle name="Normal 28 3 3 2 3 3" xfId="26220"/>
    <cellStyle name="Normal 28 3 3 2 4" xfId="23496"/>
    <cellStyle name="Normal 28 3 3 2 4 2" xfId="28729"/>
    <cellStyle name="Normal 28 3 3 2 5" xfId="26217"/>
    <cellStyle name="Normal 28 3 3 2_DeltaViewer" xfId="8208"/>
    <cellStyle name="Normal 28 3 3 3" xfId="8209"/>
    <cellStyle name="Normal 28 3 3 3 2" xfId="8210"/>
    <cellStyle name="Normal 28 3 3 3 2 2" xfId="23501"/>
    <cellStyle name="Normal 28 3 3 3 2 2 2" xfId="28734"/>
    <cellStyle name="Normal 28 3 3 3 2 3" xfId="26222"/>
    <cellStyle name="Normal 28 3 3 3 3" xfId="23500"/>
    <cellStyle name="Normal 28 3 3 3 3 2" xfId="28733"/>
    <cellStyle name="Normal 28 3 3 3 4" xfId="26221"/>
    <cellStyle name="Normal 28 3 3 4" xfId="8211"/>
    <cellStyle name="Normal 28 3 3 4 2" xfId="23502"/>
    <cellStyle name="Normal 28 3 3 4 2 2" xfId="28735"/>
    <cellStyle name="Normal 28 3 3 4 3" xfId="26223"/>
    <cellStyle name="Normal 28 3 3 5" xfId="23495"/>
    <cellStyle name="Normal 28 3 3 5 2" xfId="28728"/>
    <cellStyle name="Normal 28 3 3 6" xfId="26216"/>
    <cellStyle name="Normal 28 3 3_DeltaViewer" xfId="8212"/>
    <cellStyle name="Normal 28 3 4" xfId="8213"/>
    <cellStyle name="Normal 28 3 4 2" xfId="8214"/>
    <cellStyle name="Normal 28 3 4 2 2" xfId="8215"/>
    <cellStyle name="Normal 28 3 4 2 2 2" xfId="8216"/>
    <cellStyle name="Normal 28 3 4 2 2 2 2" xfId="23506"/>
    <cellStyle name="Normal 28 3 4 2 2 2 2 2" xfId="28739"/>
    <cellStyle name="Normal 28 3 4 2 2 2 3" xfId="26227"/>
    <cellStyle name="Normal 28 3 4 2 2 3" xfId="23505"/>
    <cellStyle name="Normal 28 3 4 2 2 3 2" xfId="28738"/>
    <cellStyle name="Normal 28 3 4 2 2 4" xfId="26226"/>
    <cellStyle name="Normal 28 3 4 2 3" xfId="8217"/>
    <cellStyle name="Normal 28 3 4 2 3 2" xfId="23507"/>
    <cellStyle name="Normal 28 3 4 2 3 2 2" xfId="28740"/>
    <cellStyle name="Normal 28 3 4 2 3 3" xfId="26228"/>
    <cellStyle name="Normal 28 3 4 2 4" xfId="23504"/>
    <cellStyle name="Normal 28 3 4 2 4 2" xfId="28737"/>
    <cellStyle name="Normal 28 3 4 2 5" xfId="26225"/>
    <cellStyle name="Normal 28 3 4 2_DeltaViewer" xfId="8218"/>
    <cellStyle name="Normal 28 3 4 3" xfId="8219"/>
    <cellStyle name="Normal 28 3 4 3 2" xfId="8220"/>
    <cellStyle name="Normal 28 3 4 3 2 2" xfId="23509"/>
    <cellStyle name="Normal 28 3 4 3 2 2 2" xfId="28742"/>
    <cellStyle name="Normal 28 3 4 3 2 3" xfId="26230"/>
    <cellStyle name="Normal 28 3 4 3 3" xfId="23508"/>
    <cellStyle name="Normal 28 3 4 3 3 2" xfId="28741"/>
    <cellStyle name="Normal 28 3 4 3 4" xfId="26229"/>
    <cellStyle name="Normal 28 3 4 4" xfId="8221"/>
    <cellStyle name="Normal 28 3 4 4 2" xfId="23510"/>
    <cellStyle name="Normal 28 3 4 4 2 2" xfId="28743"/>
    <cellStyle name="Normal 28 3 4 4 3" xfId="26231"/>
    <cellStyle name="Normal 28 3 4 5" xfId="23503"/>
    <cellStyle name="Normal 28 3 4 5 2" xfId="28736"/>
    <cellStyle name="Normal 28 3 4 6" xfId="26224"/>
    <cellStyle name="Normal 28 3 4_DeltaViewer" xfId="8222"/>
    <cellStyle name="Normal 28 3 5" xfId="8223"/>
    <cellStyle name="Normal 28 3 5 2" xfId="8224"/>
    <cellStyle name="Normal 28 3 5 2 2" xfId="8225"/>
    <cellStyle name="Normal 28 3 5 2 2 2" xfId="23513"/>
    <cellStyle name="Normal 28 3 5 2 2 2 2" xfId="28746"/>
    <cellStyle name="Normal 28 3 5 2 2 3" xfId="26234"/>
    <cellStyle name="Normal 28 3 5 2 3" xfId="23512"/>
    <cellStyle name="Normal 28 3 5 2 3 2" xfId="28745"/>
    <cellStyle name="Normal 28 3 5 2 4" xfId="26233"/>
    <cellStyle name="Normal 28 3 5 3" xfId="8226"/>
    <cellStyle name="Normal 28 3 5 3 2" xfId="23514"/>
    <cellStyle name="Normal 28 3 5 3 2 2" xfId="28747"/>
    <cellStyle name="Normal 28 3 5 3 3" xfId="26235"/>
    <cellStyle name="Normal 28 3 5 4" xfId="23511"/>
    <cellStyle name="Normal 28 3 5 4 2" xfId="28744"/>
    <cellStyle name="Normal 28 3 5 5" xfId="26232"/>
    <cellStyle name="Normal 28 3 5_DeltaViewer" xfId="8227"/>
    <cellStyle name="Normal 28 3 6" xfId="8228"/>
    <cellStyle name="Normal 28 3 6 2" xfId="8229"/>
    <cellStyle name="Normal 28 3 6 2 2" xfId="23516"/>
    <cellStyle name="Normal 28 3 6 2 2 2" xfId="28749"/>
    <cellStyle name="Normal 28 3 6 2 3" xfId="26237"/>
    <cellStyle name="Normal 28 3 6 3" xfId="23515"/>
    <cellStyle name="Normal 28 3 6 3 2" xfId="28748"/>
    <cellStyle name="Normal 28 3 6 4" xfId="26236"/>
    <cellStyle name="Normal 28 3 7" xfId="8230"/>
    <cellStyle name="Normal 28 3 7 2" xfId="8231"/>
    <cellStyle name="Normal 28 3 7 2 2" xfId="23518"/>
    <cellStyle name="Normal 28 3 7 2 2 2" xfId="28751"/>
    <cellStyle name="Normal 28 3 7 2 3" xfId="26239"/>
    <cellStyle name="Normal 28 3 7 3" xfId="23517"/>
    <cellStyle name="Normal 28 3 7 3 2" xfId="28750"/>
    <cellStyle name="Normal 28 3 7 4" xfId="26238"/>
    <cellStyle name="Normal 28 3 8" xfId="8232"/>
    <cellStyle name="Normal 28 3 8 2" xfId="23519"/>
    <cellStyle name="Normal 28 3 8 2 2" xfId="28752"/>
    <cellStyle name="Normal 28 3 8 3" xfId="26240"/>
    <cellStyle name="Normal 28 3 9" xfId="23486"/>
    <cellStyle name="Normal 28 3 9 2" xfId="28719"/>
    <cellStyle name="Normal 28 3_DeltaViewer" xfId="8233"/>
    <cellStyle name="Normal 28 4" xfId="8234"/>
    <cellStyle name="Normal 28 4 2" xfId="8235"/>
    <cellStyle name="Normal 28 4 2 2" xfId="8236"/>
    <cellStyle name="Normal 28 4 2 2 2" xfId="8237"/>
    <cellStyle name="Normal 28 4 2 2 2 2" xfId="23523"/>
    <cellStyle name="Normal 28 4 2 2 2 2 2" xfId="28756"/>
    <cellStyle name="Normal 28 4 2 2 2 3" xfId="26244"/>
    <cellStyle name="Normal 28 4 2 2 3" xfId="23522"/>
    <cellStyle name="Normal 28 4 2 2 3 2" xfId="28755"/>
    <cellStyle name="Normal 28 4 2 2 4" xfId="26243"/>
    <cellStyle name="Normal 28 4 2 3" xfId="8238"/>
    <cellStyle name="Normal 28 4 2 3 2" xfId="23524"/>
    <cellStyle name="Normal 28 4 2 3 2 2" xfId="28757"/>
    <cellStyle name="Normal 28 4 2 3 3" xfId="26245"/>
    <cellStyle name="Normal 28 4 2 4" xfId="23521"/>
    <cellStyle name="Normal 28 4 2 4 2" xfId="28754"/>
    <cellStyle name="Normal 28 4 2 5" xfId="26242"/>
    <cellStyle name="Normal 28 4 2_DeltaViewer" xfId="8239"/>
    <cellStyle name="Normal 28 4 3" xfId="8240"/>
    <cellStyle name="Normal 28 4 3 2" xfId="8241"/>
    <cellStyle name="Normal 28 4 3 2 2" xfId="23526"/>
    <cellStyle name="Normal 28 4 3 2 2 2" xfId="28759"/>
    <cellStyle name="Normal 28 4 3 2 3" xfId="26247"/>
    <cellStyle name="Normal 28 4 3 3" xfId="23525"/>
    <cellStyle name="Normal 28 4 3 3 2" xfId="28758"/>
    <cellStyle name="Normal 28 4 3 4" xfId="26246"/>
    <cellStyle name="Normal 28 4 4" xfId="8242"/>
    <cellStyle name="Normal 28 4 4 2" xfId="23527"/>
    <cellStyle name="Normal 28 4 4 2 2" xfId="28760"/>
    <cellStyle name="Normal 28 4 4 3" xfId="26248"/>
    <cellStyle name="Normal 28 4 5" xfId="23520"/>
    <cellStyle name="Normal 28 4 5 2" xfId="28753"/>
    <cellStyle name="Normal 28 4 6" xfId="26241"/>
    <cellStyle name="Normal 28 4_DeltaViewer" xfId="8243"/>
    <cellStyle name="Normal 28 5" xfId="8244"/>
    <cellStyle name="Normal 28 5 2" xfId="8245"/>
    <cellStyle name="Normal 28 5 2 2" xfId="8246"/>
    <cellStyle name="Normal 28 5 2 2 2" xfId="8247"/>
    <cellStyle name="Normal 28 5 2 2 2 2" xfId="23531"/>
    <cellStyle name="Normal 28 5 2 2 2 2 2" xfId="28764"/>
    <cellStyle name="Normal 28 5 2 2 2 3" xfId="26252"/>
    <cellStyle name="Normal 28 5 2 2 3" xfId="23530"/>
    <cellStyle name="Normal 28 5 2 2 3 2" xfId="28763"/>
    <cellStyle name="Normal 28 5 2 2 4" xfId="26251"/>
    <cellStyle name="Normal 28 5 2 3" xfId="8248"/>
    <cellStyle name="Normal 28 5 2 3 2" xfId="23532"/>
    <cellStyle name="Normal 28 5 2 3 2 2" xfId="28765"/>
    <cellStyle name="Normal 28 5 2 3 3" xfId="26253"/>
    <cellStyle name="Normal 28 5 2 4" xfId="23529"/>
    <cellStyle name="Normal 28 5 2 4 2" xfId="28762"/>
    <cellStyle name="Normal 28 5 2 5" xfId="26250"/>
    <cellStyle name="Normal 28 5 2_DeltaViewer" xfId="8249"/>
    <cellStyle name="Normal 28 5 3" xfId="8250"/>
    <cellStyle name="Normal 28 5 3 2" xfId="8251"/>
    <cellStyle name="Normal 28 5 3 2 2" xfId="23534"/>
    <cellStyle name="Normal 28 5 3 2 2 2" xfId="28767"/>
    <cellStyle name="Normal 28 5 3 2 3" xfId="26255"/>
    <cellStyle name="Normal 28 5 3 3" xfId="23533"/>
    <cellStyle name="Normal 28 5 3 3 2" xfId="28766"/>
    <cellStyle name="Normal 28 5 3 4" xfId="26254"/>
    <cellStyle name="Normal 28 5 4" xfId="8252"/>
    <cellStyle name="Normal 28 5 4 2" xfId="23535"/>
    <cellStyle name="Normal 28 5 4 2 2" xfId="28768"/>
    <cellStyle name="Normal 28 5 4 3" xfId="26256"/>
    <cellStyle name="Normal 28 5 5" xfId="23528"/>
    <cellStyle name="Normal 28 5 5 2" xfId="28761"/>
    <cellStyle name="Normal 28 5 6" xfId="26249"/>
    <cellStyle name="Normal 28 5_DeltaViewer" xfId="8253"/>
    <cellStyle name="Normal 28 6" xfId="8254"/>
    <cellStyle name="Normal 28 6 2" xfId="8255"/>
    <cellStyle name="Normal 28 6 2 2" xfId="8256"/>
    <cellStyle name="Normal 28 6 2 2 2" xfId="8257"/>
    <cellStyle name="Normal 28 6 2 2 2 2" xfId="23539"/>
    <cellStyle name="Normal 28 6 2 2 2 2 2" xfId="28772"/>
    <cellStyle name="Normal 28 6 2 2 2 3" xfId="26260"/>
    <cellStyle name="Normal 28 6 2 2 3" xfId="23538"/>
    <cellStyle name="Normal 28 6 2 2 3 2" xfId="28771"/>
    <cellStyle name="Normal 28 6 2 2 4" xfId="26259"/>
    <cellStyle name="Normal 28 6 2 3" xfId="8258"/>
    <cellStyle name="Normal 28 6 2 3 2" xfId="23540"/>
    <cellStyle name="Normal 28 6 2 3 2 2" xfId="28773"/>
    <cellStyle name="Normal 28 6 2 3 3" xfId="26261"/>
    <cellStyle name="Normal 28 6 2 4" xfId="23537"/>
    <cellStyle name="Normal 28 6 2 4 2" xfId="28770"/>
    <cellStyle name="Normal 28 6 2 5" xfId="26258"/>
    <cellStyle name="Normal 28 6 2_DeltaViewer" xfId="8259"/>
    <cellStyle name="Normal 28 6 3" xfId="8260"/>
    <cellStyle name="Normal 28 6 3 2" xfId="8261"/>
    <cellStyle name="Normal 28 6 3 2 2" xfId="23542"/>
    <cellStyle name="Normal 28 6 3 2 2 2" xfId="28775"/>
    <cellStyle name="Normal 28 6 3 2 3" xfId="26263"/>
    <cellStyle name="Normal 28 6 3 3" xfId="23541"/>
    <cellStyle name="Normal 28 6 3 3 2" xfId="28774"/>
    <cellStyle name="Normal 28 6 3 4" xfId="26262"/>
    <cellStyle name="Normal 28 6 4" xfId="8262"/>
    <cellStyle name="Normal 28 6 4 2" xfId="23543"/>
    <cellStyle name="Normal 28 6 4 2 2" xfId="28776"/>
    <cellStyle name="Normal 28 6 4 3" xfId="26264"/>
    <cellStyle name="Normal 28 6 5" xfId="23536"/>
    <cellStyle name="Normal 28 6 5 2" xfId="28769"/>
    <cellStyle name="Normal 28 6 6" xfId="26257"/>
    <cellStyle name="Normal 28 6_DeltaViewer" xfId="8263"/>
    <cellStyle name="Normal 28 7" xfId="8264"/>
    <cellStyle name="Normal 28 7 2" xfId="8265"/>
    <cellStyle name="Normal 28 7 2 2" xfId="8266"/>
    <cellStyle name="Normal 28 7 2 2 2" xfId="23546"/>
    <cellStyle name="Normal 28 7 2 2 2 2" xfId="28779"/>
    <cellStyle name="Normal 28 7 2 2 3" xfId="26267"/>
    <cellStyle name="Normal 28 7 2 3" xfId="23545"/>
    <cellStyle name="Normal 28 7 2 3 2" xfId="28778"/>
    <cellStyle name="Normal 28 7 2 4" xfId="26266"/>
    <cellStyle name="Normal 28 7 3" xfId="8267"/>
    <cellStyle name="Normal 28 7 3 2" xfId="23547"/>
    <cellStyle name="Normal 28 7 3 2 2" xfId="28780"/>
    <cellStyle name="Normal 28 7 3 3" xfId="26268"/>
    <cellStyle name="Normal 28 7 4" xfId="23544"/>
    <cellStyle name="Normal 28 7 4 2" xfId="28777"/>
    <cellStyle name="Normal 28 7 5" xfId="26265"/>
    <cellStyle name="Normal 28 7_DeltaViewer" xfId="8268"/>
    <cellStyle name="Normal 28 8" xfId="8269"/>
    <cellStyle name="Normal 28 8 2" xfId="8270"/>
    <cellStyle name="Normal 28 8 2 2" xfId="23549"/>
    <cellStyle name="Normal 28 8 2 2 2" xfId="28782"/>
    <cellStyle name="Normal 28 8 2 3" xfId="26270"/>
    <cellStyle name="Normal 28 8 3" xfId="23548"/>
    <cellStyle name="Normal 28 8 3 2" xfId="28781"/>
    <cellStyle name="Normal 28 8 4" xfId="26269"/>
    <cellStyle name="Normal 28 9" xfId="8271"/>
    <cellStyle name="Normal 28 9 2" xfId="8272"/>
    <cellStyle name="Normal 28 9 2 2" xfId="23551"/>
    <cellStyle name="Normal 28 9 2 2 2" xfId="28784"/>
    <cellStyle name="Normal 28 9 2 3" xfId="26272"/>
    <cellStyle name="Normal 28 9 3" xfId="23550"/>
    <cellStyle name="Normal 28 9 3 2" xfId="28783"/>
    <cellStyle name="Normal 28 9 4" xfId="26271"/>
    <cellStyle name="Normal 28_DeltaViewer" xfId="8273"/>
    <cellStyle name="Normal 29" xfId="8274"/>
    <cellStyle name="Normal 29 10" xfId="8275"/>
    <cellStyle name="Normal 29 10 2" xfId="23553"/>
    <cellStyle name="Normal 29 10 2 2" xfId="28786"/>
    <cellStyle name="Normal 29 10 3" xfId="26274"/>
    <cellStyle name="Normal 29 11" xfId="23552"/>
    <cellStyle name="Normal 29 11 2" xfId="28785"/>
    <cellStyle name="Normal 29 12" xfId="26273"/>
    <cellStyle name="Normal 29 2" xfId="8276"/>
    <cellStyle name="Normal 29 2 10" xfId="26275"/>
    <cellStyle name="Normal 29 2 2" xfId="8277"/>
    <cellStyle name="Normal 29 2 2 2" xfId="8278"/>
    <cellStyle name="Normal 29 2 2 2 2" xfId="8279"/>
    <cellStyle name="Normal 29 2 2 2 2 2" xfId="8280"/>
    <cellStyle name="Normal 29 2 2 2 2 2 2" xfId="23558"/>
    <cellStyle name="Normal 29 2 2 2 2 2 2 2" xfId="28791"/>
    <cellStyle name="Normal 29 2 2 2 2 2 3" xfId="26279"/>
    <cellStyle name="Normal 29 2 2 2 2 3" xfId="23557"/>
    <cellStyle name="Normal 29 2 2 2 2 3 2" xfId="28790"/>
    <cellStyle name="Normal 29 2 2 2 2 4" xfId="26278"/>
    <cellStyle name="Normal 29 2 2 2 3" xfId="8281"/>
    <cellStyle name="Normal 29 2 2 2 3 2" xfId="23559"/>
    <cellStyle name="Normal 29 2 2 2 3 2 2" xfId="28792"/>
    <cellStyle name="Normal 29 2 2 2 3 3" xfId="26280"/>
    <cellStyle name="Normal 29 2 2 2 4" xfId="23556"/>
    <cellStyle name="Normal 29 2 2 2 4 2" xfId="28789"/>
    <cellStyle name="Normal 29 2 2 2 5" xfId="26277"/>
    <cellStyle name="Normal 29 2 2 2_DeltaViewer" xfId="8282"/>
    <cellStyle name="Normal 29 2 2 3" xfId="8283"/>
    <cellStyle name="Normal 29 2 2 3 2" xfId="8284"/>
    <cellStyle name="Normal 29 2 2 3 2 2" xfId="23561"/>
    <cellStyle name="Normal 29 2 2 3 2 2 2" xfId="28794"/>
    <cellStyle name="Normal 29 2 2 3 2 3" xfId="26282"/>
    <cellStyle name="Normal 29 2 2 3 3" xfId="23560"/>
    <cellStyle name="Normal 29 2 2 3 3 2" xfId="28793"/>
    <cellStyle name="Normal 29 2 2 3 4" xfId="26281"/>
    <cellStyle name="Normal 29 2 2 4" xfId="8285"/>
    <cellStyle name="Normal 29 2 2 4 2" xfId="23562"/>
    <cellStyle name="Normal 29 2 2 4 2 2" xfId="28795"/>
    <cellStyle name="Normal 29 2 2 4 3" xfId="26283"/>
    <cellStyle name="Normal 29 2 2 5" xfId="23555"/>
    <cellStyle name="Normal 29 2 2 5 2" xfId="28788"/>
    <cellStyle name="Normal 29 2 2 6" xfId="26276"/>
    <cellStyle name="Normal 29 2 2_DeltaViewer" xfId="8286"/>
    <cellStyle name="Normal 29 2 3" xfId="8287"/>
    <cellStyle name="Normal 29 2 3 2" xfId="8288"/>
    <cellStyle name="Normal 29 2 3 2 2" xfId="8289"/>
    <cellStyle name="Normal 29 2 3 2 2 2" xfId="8290"/>
    <cellStyle name="Normal 29 2 3 2 2 2 2" xfId="23566"/>
    <cellStyle name="Normal 29 2 3 2 2 2 2 2" xfId="28799"/>
    <cellStyle name="Normal 29 2 3 2 2 2 3" xfId="26287"/>
    <cellStyle name="Normal 29 2 3 2 2 3" xfId="23565"/>
    <cellStyle name="Normal 29 2 3 2 2 3 2" xfId="28798"/>
    <cellStyle name="Normal 29 2 3 2 2 4" xfId="26286"/>
    <cellStyle name="Normal 29 2 3 2 3" xfId="8291"/>
    <cellStyle name="Normal 29 2 3 2 3 2" xfId="23567"/>
    <cellStyle name="Normal 29 2 3 2 3 2 2" xfId="28800"/>
    <cellStyle name="Normal 29 2 3 2 3 3" xfId="26288"/>
    <cellStyle name="Normal 29 2 3 2 4" xfId="23564"/>
    <cellStyle name="Normal 29 2 3 2 4 2" xfId="28797"/>
    <cellStyle name="Normal 29 2 3 2 5" xfId="26285"/>
    <cellStyle name="Normal 29 2 3 2_DeltaViewer" xfId="8292"/>
    <cellStyle name="Normal 29 2 3 3" xfId="8293"/>
    <cellStyle name="Normal 29 2 3 3 2" xfId="8294"/>
    <cellStyle name="Normal 29 2 3 3 2 2" xfId="23569"/>
    <cellStyle name="Normal 29 2 3 3 2 2 2" xfId="28802"/>
    <cellStyle name="Normal 29 2 3 3 2 3" xfId="26290"/>
    <cellStyle name="Normal 29 2 3 3 3" xfId="23568"/>
    <cellStyle name="Normal 29 2 3 3 3 2" xfId="28801"/>
    <cellStyle name="Normal 29 2 3 3 4" xfId="26289"/>
    <cellStyle name="Normal 29 2 3 4" xfId="8295"/>
    <cellStyle name="Normal 29 2 3 4 2" xfId="23570"/>
    <cellStyle name="Normal 29 2 3 4 2 2" xfId="28803"/>
    <cellStyle name="Normal 29 2 3 4 3" xfId="26291"/>
    <cellStyle name="Normal 29 2 3 5" xfId="23563"/>
    <cellStyle name="Normal 29 2 3 5 2" xfId="28796"/>
    <cellStyle name="Normal 29 2 3 6" xfId="26284"/>
    <cellStyle name="Normal 29 2 3_DeltaViewer" xfId="8296"/>
    <cellStyle name="Normal 29 2 4" xfId="8297"/>
    <cellStyle name="Normal 29 2 4 2" xfId="8298"/>
    <cellStyle name="Normal 29 2 4 2 2" xfId="8299"/>
    <cellStyle name="Normal 29 2 4 2 2 2" xfId="8300"/>
    <cellStyle name="Normal 29 2 4 2 2 2 2" xfId="23574"/>
    <cellStyle name="Normal 29 2 4 2 2 2 2 2" xfId="28807"/>
    <cellStyle name="Normal 29 2 4 2 2 2 3" xfId="26295"/>
    <cellStyle name="Normal 29 2 4 2 2 3" xfId="23573"/>
    <cellStyle name="Normal 29 2 4 2 2 3 2" xfId="28806"/>
    <cellStyle name="Normal 29 2 4 2 2 4" xfId="26294"/>
    <cellStyle name="Normal 29 2 4 2 3" xfId="8301"/>
    <cellStyle name="Normal 29 2 4 2 3 2" xfId="23575"/>
    <cellStyle name="Normal 29 2 4 2 3 2 2" xfId="28808"/>
    <cellStyle name="Normal 29 2 4 2 3 3" xfId="26296"/>
    <cellStyle name="Normal 29 2 4 2 4" xfId="23572"/>
    <cellStyle name="Normal 29 2 4 2 4 2" xfId="28805"/>
    <cellStyle name="Normal 29 2 4 2 5" xfId="26293"/>
    <cellStyle name="Normal 29 2 4 2_DeltaViewer" xfId="8302"/>
    <cellStyle name="Normal 29 2 4 3" xfId="8303"/>
    <cellStyle name="Normal 29 2 4 3 2" xfId="8304"/>
    <cellStyle name="Normal 29 2 4 3 2 2" xfId="23577"/>
    <cellStyle name="Normal 29 2 4 3 2 2 2" xfId="28810"/>
    <cellStyle name="Normal 29 2 4 3 2 3" xfId="26298"/>
    <cellStyle name="Normal 29 2 4 3 3" xfId="23576"/>
    <cellStyle name="Normal 29 2 4 3 3 2" xfId="28809"/>
    <cellStyle name="Normal 29 2 4 3 4" xfId="26297"/>
    <cellStyle name="Normal 29 2 4 4" xfId="8305"/>
    <cellStyle name="Normal 29 2 4 4 2" xfId="23578"/>
    <cellStyle name="Normal 29 2 4 4 2 2" xfId="28811"/>
    <cellStyle name="Normal 29 2 4 4 3" xfId="26299"/>
    <cellStyle name="Normal 29 2 4 5" xfId="23571"/>
    <cellStyle name="Normal 29 2 4 5 2" xfId="28804"/>
    <cellStyle name="Normal 29 2 4 6" xfId="26292"/>
    <cellStyle name="Normal 29 2 4_DeltaViewer" xfId="8306"/>
    <cellStyle name="Normal 29 2 5" xfId="8307"/>
    <cellStyle name="Normal 29 2 5 2" xfId="8308"/>
    <cellStyle name="Normal 29 2 5 2 2" xfId="8309"/>
    <cellStyle name="Normal 29 2 5 2 2 2" xfId="23581"/>
    <cellStyle name="Normal 29 2 5 2 2 2 2" xfId="28814"/>
    <cellStyle name="Normal 29 2 5 2 2 3" xfId="26302"/>
    <cellStyle name="Normal 29 2 5 2 3" xfId="23580"/>
    <cellStyle name="Normal 29 2 5 2 3 2" xfId="28813"/>
    <cellStyle name="Normal 29 2 5 2 4" xfId="26301"/>
    <cellStyle name="Normal 29 2 5 3" xfId="8310"/>
    <cellStyle name="Normal 29 2 5 3 2" xfId="23582"/>
    <cellStyle name="Normal 29 2 5 3 2 2" xfId="28815"/>
    <cellStyle name="Normal 29 2 5 3 3" xfId="26303"/>
    <cellStyle name="Normal 29 2 5 4" xfId="23579"/>
    <cellStyle name="Normal 29 2 5 4 2" xfId="28812"/>
    <cellStyle name="Normal 29 2 5 5" xfId="26300"/>
    <cellStyle name="Normal 29 2 5_DeltaViewer" xfId="8311"/>
    <cellStyle name="Normal 29 2 6" xfId="8312"/>
    <cellStyle name="Normal 29 2 6 2" xfId="8313"/>
    <cellStyle name="Normal 29 2 6 2 2" xfId="23584"/>
    <cellStyle name="Normal 29 2 6 2 2 2" xfId="28817"/>
    <cellStyle name="Normal 29 2 6 2 3" xfId="26305"/>
    <cellStyle name="Normal 29 2 6 3" xfId="23583"/>
    <cellStyle name="Normal 29 2 6 3 2" xfId="28816"/>
    <cellStyle name="Normal 29 2 6 4" xfId="26304"/>
    <cellStyle name="Normal 29 2 7" xfId="8314"/>
    <cellStyle name="Normal 29 2 7 2" xfId="8315"/>
    <cellStyle name="Normal 29 2 7 2 2" xfId="23586"/>
    <cellStyle name="Normal 29 2 7 2 2 2" xfId="28819"/>
    <cellStyle name="Normal 29 2 7 2 3" xfId="26307"/>
    <cellStyle name="Normal 29 2 7 3" xfId="23585"/>
    <cellStyle name="Normal 29 2 7 3 2" xfId="28818"/>
    <cellStyle name="Normal 29 2 7 4" xfId="26306"/>
    <cellStyle name="Normal 29 2 8" xfId="8316"/>
    <cellStyle name="Normal 29 2 8 2" xfId="23587"/>
    <cellStyle name="Normal 29 2 8 2 2" xfId="28820"/>
    <cellStyle name="Normal 29 2 8 3" xfId="26308"/>
    <cellStyle name="Normal 29 2 9" xfId="23554"/>
    <cellStyle name="Normal 29 2 9 2" xfId="28787"/>
    <cellStyle name="Normal 29 2_DeltaViewer" xfId="8317"/>
    <cellStyle name="Normal 29 3" xfId="8318"/>
    <cellStyle name="Normal 29 3 10" xfId="26309"/>
    <cellStyle name="Normal 29 3 2" xfId="8319"/>
    <cellStyle name="Normal 29 3 2 2" xfId="8320"/>
    <cellStyle name="Normal 29 3 2 2 2" xfId="8321"/>
    <cellStyle name="Normal 29 3 2 2 2 2" xfId="8322"/>
    <cellStyle name="Normal 29 3 2 2 2 2 2" xfId="23592"/>
    <cellStyle name="Normal 29 3 2 2 2 2 2 2" xfId="28825"/>
    <cellStyle name="Normal 29 3 2 2 2 2 3" xfId="26313"/>
    <cellStyle name="Normal 29 3 2 2 2 3" xfId="23591"/>
    <cellStyle name="Normal 29 3 2 2 2 3 2" xfId="28824"/>
    <cellStyle name="Normal 29 3 2 2 2 4" xfId="26312"/>
    <cellStyle name="Normal 29 3 2 2 3" xfId="8323"/>
    <cellStyle name="Normal 29 3 2 2 3 2" xfId="23593"/>
    <cellStyle name="Normal 29 3 2 2 3 2 2" xfId="28826"/>
    <cellStyle name="Normal 29 3 2 2 3 3" xfId="26314"/>
    <cellStyle name="Normal 29 3 2 2 4" xfId="23590"/>
    <cellStyle name="Normal 29 3 2 2 4 2" xfId="28823"/>
    <cellStyle name="Normal 29 3 2 2 5" xfId="26311"/>
    <cellStyle name="Normal 29 3 2 2_DeltaViewer" xfId="8324"/>
    <cellStyle name="Normal 29 3 2 3" xfId="8325"/>
    <cellStyle name="Normal 29 3 2 3 2" xfId="8326"/>
    <cellStyle name="Normal 29 3 2 3 2 2" xfId="23595"/>
    <cellStyle name="Normal 29 3 2 3 2 2 2" xfId="28828"/>
    <cellStyle name="Normal 29 3 2 3 2 3" xfId="26316"/>
    <cellStyle name="Normal 29 3 2 3 3" xfId="23594"/>
    <cellStyle name="Normal 29 3 2 3 3 2" xfId="28827"/>
    <cellStyle name="Normal 29 3 2 3 4" xfId="26315"/>
    <cellStyle name="Normal 29 3 2 4" xfId="8327"/>
    <cellStyle name="Normal 29 3 2 4 2" xfId="23596"/>
    <cellStyle name="Normal 29 3 2 4 2 2" xfId="28829"/>
    <cellStyle name="Normal 29 3 2 4 3" xfId="26317"/>
    <cellStyle name="Normal 29 3 2 5" xfId="23589"/>
    <cellStyle name="Normal 29 3 2 5 2" xfId="28822"/>
    <cellStyle name="Normal 29 3 2 6" xfId="26310"/>
    <cellStyle name="Normal 29 3 2_DeltaViewer" xfId="8328"/>
    <cellStyle name="Normal 29 3 3" xfId="8329"/>
    <cellStyle name="Normal 29 3 3 2" xfId="8330"/>
    <cellStyle name="Normal 29 3 3 2 2" xfId="8331"/>
    <cellStyle name="Normal 29 3 3 2 2 2" xfId="8332"/>
    <cellStyle name="Normal 29 3 3 2 2 2 2" xfId="23600"/>
    <cellStyle name="Normal 29 3 3 2 2 2 2 2" xfId="28833"/>
    <cellStyle name="Normal 29 3 3 2 2 2 3" xfId="26321"/>
    <cellStyle name="Normal 29 3 3 2 2 3" xfId="23599"/>
    <cellStyle name="Normal 29 3 3 2 2 3 2" xfId="28832"/>
    <cellStyle name="Normal 29 3 3 2 2 4" xfId="26320"/>
    <cellStyle name="Normal 29 3 3 2 3" xfId="8333"/>
    <cellStyle name="Normal 29 3 3 2 3 2" xfId="23601"/>
    <cellStyle name="Normal 29 3 3 2 3 2 2" xfId="28834"/>
    <cellStyle name="Normal 29 3 3 2 3 3" xfId="26322"/>
    <cellStyle name="Normal 29 3 3 2 4" xfId="23598"/>
    <cellStyle name="Normal 29 3 3 2 4 2" xfId="28831"/>
    <cellStyle name="Normal 29 3 3 2 5" xfId="26319"/>
    <cellStyle name="Normal 29 3 3 2_DeltaViewer" xfId="8334"/>
    <cellStyle name="Normal 29 3 3 3" xfId="8335"/>
    <cellStyle name="Normal 29 3 3 3 2" xfId="8336"/>
    <cellStyle name="Normal 29 3 3 3 2 2" xfId="23603"/>
    <cellStyle name="Normal 29 3 3 3 2 2 2" xfId="28836"/>
    <cellStyle name="Normal 29 3 3 3 2 3" xfId="26324"/>
    <cellStyle name="Normal 29 3 3 3 3" xfId="23602"/>
    <cellStyle name="Normal 29 3 3 3 3 2" xfId="28835"/>
    <cellStyle name="Normal 29 3 3 3 4" xfId="26323"/>
    <cellStyle name="Normal 29 3 3 4" xfId="8337"/>
    <cellStyle name="Normal 29 3 3 4 2" xfId="23604"/>
    <cellStyle name="Normal 29 3 3 4 2 2" xfId="28837"/>
    <cellStyle name="Normal 29 3 3 4 3" xfId="26325"/>
    <cellStyle name="Normal 29 3 3 5" xfId="23597"/>
    <cellStyle name="Normal 29 3 3 5 2" xfId="28830"/>
    <cellStyle name="Normal 29 3 3 6" xfId="26318"/>
    <cellStyle name="Normal 29 3 3_DeltaViewer" xfId="8338"/>
    <cellStyle name="Normal 29 3 4" xfId="8339"/>
    <cellStyle name="Normal 29 3 4 2" xfId="8340"/>
    <cellStyle name="Normal 29 3 4 2 2" xfId="8341"/>
    <cellStyle name="Normal 29 3 4 2 2 2" xfId="8342"/>
    <cellStyle name="Normal 29 3 4 2 2 2 2" xfId="23608"/>
    <cellStyle name="Normal 29 3 4 2 2 2 2 2" xfId="28841"/>
    <cellStyle name="Normal 29 3 4 2 2 2 3" xfId="26329"/>
    <cellStyle name="Normal 29 3 4 2 2 3" xfId="23607"/>
    <cellStyle name="Normal 29 3 4 2 2 3 2" xfId="28840"/>
    <cellStyle name="Normal 29 3 4 2 2 4" xfId="26328"/>
    <cellStyle name="Normal 29 3 4 2 3" xfId="8343"/>
    <cellStyle name="Normal 29 3 4 2 3 2" xfId="23609"/>
    <cellStyle name="Normal 29 3 4 2 3 2 2" xfId="28842"/>
    <cellStyle name="Normal 29 3 4 2 3 3" xfId="26330"/>
    <cellStyle name="Normal 29 3 4 2 4" xfId="23606"/>
    <cellStyle name="Normal 29 3 4 2 4 2" xfId="28839"/>
    <cellStyle name="Normal 29 3 4 2 5" xfId="26327"/>
    <cellStyle name="Normal 29 3 4 2_DeltaViewer" xfId="8344"/>
    <cellStyle name="Normal 29 3 4 3" xfId="8345"/>
    <cellStyle name="Normal 29 3 4 3 2" xfId="8346"/>
    <cellStyle name="Normal 29 3 4 3 2 2" xfId="23611"/>
    <cellStyle name="Normal 29 3 4 3 2 2 2" xfId="28844"/>
    <cellStyle name="Normal 29 3 4 3 2 3" xfId="26332"/>
    <cellStyle name="Normal 29 3 4 3 3" xfId="23610"/>
    <cellStyle name="Normal 29 3 4 3 3 2" xfId="28843"/>
    <cellStyle name="Normal 29 3 4 3 4" xfId="26331"/>
    <cellStyle name="Normal 29 3 4 4" xfId="8347"/>
    <cellStyle name="Normal 29 3 4 4 2" xfId="23612"/>
    <cellStyle name="Normal 29 3 4 4 2 2" xfId="28845"/>
    <cellStyle name="Normal 29 3 4 4 3" xfId="26333"/>
    <cellStyle name="Normal 29 3 4 5" xfId="23605"/>
    <cellStyle name="Normal 29 3 4 5 2" xfId="28838"/>
    <cellStyle name="Normal 29 3 4 6" xfId="26326"/>
    <cellStyle name="Normal 29 3 4_DeltaViewer" xfId="8348"/>
    <cellStyle name="Normal 29 3 5" xfId="8349"/>
    <cellStyle name="Normal 29 3 5 2" xfId="8350"/>
    <cellStyle name="Normal 29 3 5 2 2" xfId="8351"/>
    <cellStyle name="Normal 29 3 5 2 2 2" xfId="23615"/>
    <cellStyle name="Normal 29 3 5 2 2 2 2" xfId="28848"/>
    <cellStyle name="Normal 29 3 5 2 2 3" xfId="26336"/>
    <cellStyle name="Normal 29 3 5 2 3" xfId="23614"/>
    <cellStyle name="Normal 29 3 5 2 3 2" xfId="28847"/>
    <cellStyle name="Normal 29 3 5 2 4" xfId="26335"/>
    <cellStyle name="Normal 29 3 5 3" xfId="8352"/>
    <cellStyle name="Normal 29 3 5 3 2" xfId="23616"/>
    <cellStyle name="Normal 29 3 5 3 2 2" xfId="28849"/>
    <cellStyle name="Normal 29 3 5 3 3" xfId="26337"/>
    <cellStyle name="Normal 29 3 5 4" xfId="23613"/>
    <cellStyle name="Normal 29 3 5 4 2" xfId="28846"/>
    <cellStyle name="Normal 29 3 5 5" xfId="26334"/>
    <cellStyle name="Normal 29 3 5_DeltaViewer" xfId="8353"/>
    <cellStyle name="Normal 29 3 6" xfId="8354"/>
    <cellStyle name="Normal 29 3 6 2" xfId="8355"/>
    <cellStyle name="Normal 29 3 6 2 2" xfId="23618"/>
    <cellStyle name="Normal 29 3 6 2 2 2" xfId="28851"/>
    <cellStyle name="Normal 29 3 6 2 3" xfId="26339"/>
    <cellStyle name="Normal 29 3 6 3" xfId="23617"/>
    <cellStyle name="Normal 29 3 6 3 2" xfId="28850"/>
    <cellStyle name="Normal 29 3 6 4" xfId="26338"/>
    <cellStyle name="Normal 29 3 7" xfId="8356"/>
    <cellStyle name="Normal 29 3 7 2" xfId="8357"/>
    <cellStyle name="Normal 29 3 7 2 2" xfId="23620"/>
    <cellStyle name="Normal 29 3 7 2 2 2" xfId="28853"/>
    <cellStyle name="Normal 29 3 7 2 3" xfId="26341"/>
    <cellStyle name="Normal 29 3 7 3" xfId="23619"/>
    <cellStyle name="Normal 29 3 7 3 2" xfId="28852"/>
    <cellStyle name="Normal 29 3 7 4" xfId="26340"/>
    <cellStyle name="Normal 29 3 8" xfId="8358"/>
    <cellStyle name="Normal 29 3 8 2" xfId="23621"/>
    <cellStyle name="Normal 29 3 8 2 2" xfId="28854"/>
    <cellStyle name="Normal 29 3 8 3" xfId="26342"/>
    <cellStyle name="Normal 29 3 9" xfId="23588"/>
    <cellStyle name="Normal 29 3 9 2" xfId="28821"/>
    <cellStyle name="Normal 29 3_DeltaViewer" xfId="8359"/>
    <cellStyle name="Normal 29 4" xfId="8360"/>
    <cellStyle name="Normal 29 4 2" xfId="8361"/>
    <cellStyle name="Normal 29 4 2 2" xfId="8362"/>
    <cellStyle name="Normal 29 4 2 2 2" xfId="8363"/>
    <cellStyle name="Normal 29 4 2 2 2 2" xfId="23625"/>
    <cellStyle name="Normal 29 4 2 2 2 2 2" xfId="28858"/>
    <cellStyle name="Normal 29 4 2 2 2 3" xfId="26346"/>
    <cellStyle name="Normal 29 4 2 2 3" xfId="23624"/>
    <cellStyle name="Normal 29 4 2 2 3 2" xfId="28857"/>
    <cellStyle name="Normal 29 4 2 2 4" xfId="26345"/>
    <cellStyle name="Normal 29 4 2 3" xfId="8364"/>
    <cellStyle name="Normal 29 4 2 3 2" xfId="23626"/>
    <cellStyle name="Normal 29 4 2 3 2 2" xfId="28859"/>
    <cellStyle name="Normal 29 4 2 3 3" xfId="26347"/>
    <cellStyle name="Normal 29 4 2 4" xfId="23623"/>
    <cellStyle name="Normal 29 4 2 4 2" xfId="28856"/>
    <cellStyle name="Normal 29 4 2 5" xfId="26344"/>
    <cellStyle name="Normal 29 4 2_DeltaViewer" xfId="8365"/>
    <cellStyle name="Normal 29 4 3" xfId="8366"/>
    <cellStyle name="Normal 29 4 3 2" xfId="8367"/>
    <cellStyle name="Normal 29 4 3 2 2" xfId="23628"/>
    <cellStyle name="Normal 29 4 3 2 2 2" xfId="28861"/>
    <cellStyle name="Normal 29 4 3 2 3" xfId="26349"/>
    <cellStyle name="Normal 29 4 3 3" xfId="23627"/>
    <cellStyle name="Normal 29 4 3 3 2" xfId="28860"/>
    <cellStyle name="Normal 29 4 3 4" xfId="26348"/>
    <cellStyle name="Normal 29 4 4" xfId="8368"/>
    <cellStyle name="Normal 29 4 4 2" xfId="23629"/>
    <cellStyle name="Normal 29 4 4 2 2" xfId="28862"/>
    <cellStyle name="Normal 29 4 4 3" xfId="26350"/>
    <cellStyle name="Normal 29 4 5" xfId="23622"/>
    <cellStyle name="Normal 29 4 5 2" xfId="28855"/>
    <cellStyle name="Normal 29 4 6" xfId="26343"/>
    <cellStyle name="Normal 29 4_DeltaViewer" xfId="8369"/>
    <cellStyle name="Normal 29 5" xfId="8370"/>
    <cellStyle name="Normal 29 5 2" xfId="8371"/>
    <cellStyle name="Normal 29 5 2 2" xfId="8372"/>
    <cellStyle name="Normal 29 5 2 2 2" xfId="8373"/>
    <cellStyle name="Normal 29 5 2 2 2 2" xfId="23633"/>
    <cellStyle name="Normal 29 5 2 2 2 2 2" xfId="28866"/>
    <cellStyle name="Normal 29 5 2 2 2 3" xfId="26354"/>
    <cellStyle name="Normal 29 5 2 2 3" xfId="23632"/>
    <cellStyle name="Normal 29 5 2 2 3 2" xfId="28865"/>
    <cellStyle name="Normal 29 5 2 2 4" xfId="26353"/>
    <cellStyle name="Normal 29 5 2 3" xfId="8374"/>
    <cellStyle name="Normal 29 5 2 3 2" xfId="23634"/>
    <cellStyle name="Normal 29 5 2 3 2 2" xfId="28867"/>
    <cellStyle name="Normal 29 5 2 3 3" xfId="26355"/>
    <cellStyle name="Normal 29 5 2 4" xfId="23631"/>
    <cellStyle name="Normal 29 5 2 4 2" xfId="28864"/>
    <cellStyle name="Normal 29 5 2 5" xfId="26352"/>
    <cellStyle name="Normal 29 5 2_DeltaViewer" xfId="8375"/>
    <cellStyle name="Normal 29 5 3" xfId="8376"/>
    <cellStyle name="Normal 29 5 3 2" xfId="8377"/>
    <cellStyle name="Normal 29 5 3 2 2" xfId="23636"/>
    <cellStyle name="Normal 29 5 3 2 2 2" xfId="28869"/>
    <cellStyle name="Normal 29 5 3 2 3" xfId="26357"/>
    <cellStyle name="Normal 29 5 3 3" xfId="23635"/>
    <cellStyle name="Normal 29 5 3 3 2" xfId="28868"/>
    <cellStyle name="Normal 29 5 3 4" xfId="26356"/>
    <cellStyle name="Normal 29 5 4" xfId="8378"/>
    <cellStyle name="Normal 29 5 4 2" xfId="23637"/>
    <cellStyle name="Normal 29 5 4 2 2" xfId="28870"/>
    <cellStyle name="Normal 29 5 4 3" xfId="26358"/>
    <cellStyle name="Normal 29 5 5" xfId="23630"/>
    <cellStyle name="Normal 29 5 5 2" xfId="28863"/>
    <cellStyle name="Normal 29 5 6" xfId="26351"/>
    <cellStyle name="Normal 29 5_DeltaViewer" xfId="8379"/>
    <cellStyle name="Normal 29 6" xfId="8380"/>
    <cellStyle name="Normal 29 6 2" xfId="8381"/>
    <cellStyle name="Normal 29 6 2 2" xfId="8382"/>
    <cellStyle name="Normal 29 6 2 2 2" xfId="8383"/>
    <cellStyle name="Normal 29 6 2 2 2 2" xfId="23641"/>
    <cellStyle name="Normal 29 6 2 2 2 2 2" xfId="28874"/>
    <cellStyle name="Normal 29 6 2 2 2 3" xfId="26362"/>
    <cellStyle name="Normal 29 6 2 2 3" xfId="23640"/>
    <cellStyle name="Normal 29 6 2 2 3 2" xfId="28873"/>
    <cellStyle name="Normal 29 6 2 2 4" xfId="26361"/>
    <cellStyle name="Normal 29 6 2 3" xfId="8384"/>
    <cellStyle name="Normal 29 6 2 3 2" xfId="23642"/>
    <cellStyle name="Normal 29 6 2 3 2 2" xfId="28875"/>
    <cellStyle name="Normal 29 6 2 3 3" xfId="26363"/>
    <cellStyle name="Normal 29 6 2 4" xfId="23639"/>
    <cellStyle name="Normal 29 6 2 4 2" xfId="28872"/>
    <cellStyle name="Normal 29 6 2 5" xfId="26360"/>
    <cellStyle name="Normal 29 6 2_DeltaViewer" xfId="8385"/>
    <cellStyle name="Normal 29 6 3" xfId="8386"/>
    <cellStyle name="Normal 29 6 3 2" xfId="8387"/>
    <cellStyle name="Normal 29 6 3 2 2" xfId="23644"/>
    <cellStyle name="Normal 29 6 3 2 2 2" xfId="28877"/>
    <cellStyle name="Normal 29 6 3 2 3" xfId="26365"/>
    <cellStyle name="Normal 29 6 3 3" xfId="23643"/>
    <cellStyle name="Normal 29 6 3 3 2" xfId="28876"/>
    <cellStyle name="Normal 29 6 3 4" xfId="26364"/>
    <cellStyle name="Normal 29 6 4" xfId="8388"/>
    <cellStyle name="Normal 29 6 4 2" xfId="23645"/>
    <cellStyle name="Normal 29 6 4 2 2" xfId="28878"/>
    <cellStyle name="Normal 29 6 4 3" xfId="26366"/>
    <cellStyle name="Normal 29 6 5" xfId="23638"/>
    <cellStyle name="Normal 29 6 5 2" xfId="28871"/>
    <cellStyle name="Normal 29 6 6" xfId="26359"/>
    <cellStyle name="Normal 29 6_DeltaViewer" xfId="8389"/>
    <cellStyle name="Normal 29 7" xfId="8390"/>
    <cellStyle name="Normal 29 7 2" xfId="8391"/>
    <cellStyle name="Normal 29 7 2 2" xfId="8392"/>
    <cellStyle name="Normal 29 7 2 2 2" xfId="23648"/>
    <cellStyle name="Normal 29 7 2 2 2 2" xfId="28881"/>
    <cellStyle name="Normal 29 7 2 2 3" xfId="26369"/>
    <cellStyle name="Normal 29 7 2 3" xfId="23647"/>
    <cellStyle name="Normal 29 7 2 3 2" xfId="28880"/>
    <cellStyle name="Normal 29 7 2 4" xfId="26368"/>
    <cellStyle name="Normal 29 7 3" xfId="8393"/>
    <cellStyle name="Normal 29 7 3 2" xfId="23649"/>
    <cellStyle name="Normal 29 7 3 2 2" xfId="28882"/>
    <cellStyle name="Normal 29 7 3 3" xfId="26370"/>
    <cellStyle name="Normal 29 7 4" xfId="23646"/>
    <cellStyle name="Normal 29 7 4 2" xfId="28879"/>
    <cellStyle name="Normal 29 7 5" xfId="26367"/>
    <cellStyle name="Normal 29 7_DeltaViewer" xfId="8394"/>
    <cellStyle name="Normal 29 8" xfId="8395"/>
    <cellStyle name="Normal 29 8 2" xfId="8396"/>
    <cellStyle name="Normal 29 8 2 2" xfId="23651"/>
    <cellStyle name="Normal 29 8 2 2 2" xfId="28884"/>
    <cellStyle name="Normal 29 8 2 3" xfId="26372"/>
    <cellStyle name="Normal 29 8 3" xfId="23650"/>
    <cellStyle name="Normal 29 8 3 2" xfId="28883"/>
    <cellStyle name="Normal 29 8 4" xfId="26371"/>
    <cellStyle name="Normal 29 9" xfId="8397"/>
    <cellStyle name="Normal 29 9 2" xfId="8398"/>
    <cellStyle name="Normal 29 9 2 2" xfId="23653"/>
    <cellStyle name="Normal 29 9 2 2 2" xfId="28886"/>
    <cellStyle name="Normal 29 9 2 3" xfId="26374"/>
    <cellStyle name="Normal 29 9 3" xfId="23652"/>
    <cellStyle name="Normal 29 9 3 2" xfId="28885"/>
    <cellStyle name="Normal 29 9 4" xfId="26373"/>
    <cellStyle name="Normal 29_DeltaViewer" xfId="8399"/>
    <cellStyle name="Normal 3" xfId="87"/>
    <cellStyle name="Normal 3 10" xfId="8400"/>
    <cellStyle name="Normal 3 10 2" xfId="8401"/>
    <cellStyle name="Normal 3 10 2 2" xfId="8402"/>
    <cellStyle name="Normal 3 10 2 3" xfId="8403"/>
    <cellStyle name="Normal 3 10 2 4" xfId="8404"/>
    <cellStyle name="Normal 3 10 2 5" xfId="8405"/>
    <cellStyle name="Normal 3 10 2_DeltaViewer" xfId="8406"/>
    <cellStyle name="Normal 3 10 3" xfId="8407"/>
    <cellStyle name="Normal 3 10 4" xfId="8408"/>
    <cellStyle name="Normal 3 10 5" xfId="8409"/>
    <cellStyle name="Normal 3 10 6" xfId="8410"/>
    <cellStyle name="Normal 3 10_DeltaViewer" xfId="8411"/>
    <cellStyle name="Normal 3 11" xfId="8412"/>
    <cellStyle name="Normal 3 11 2" xfId="8413"/>
    <cellStyle name="Normal 3 11 2 2" xfId="8414"/>
    <cellStyle name="Normal 3 11 2 3" xfId="8415"/>
    <cellStyle name="Normal 3 11 2 4" xfId="8416"/>
    <cellStyle name="Normal 3 11 2 5" xfId="8417"/>
    <cellStyle name="Normal 3 11 2_DeltaViewer" xfId="8418"/>
    <cellStyle name="Normal 3 11 3" xfId="8419"/>
    <cellStyle name="Normal 3 11 4" xfId="8420"/>
    <cellStyle name="Normal 3 11 5" xfId="8421"/>
    <cellStyle name="Normal 3 11 6" xfId="8422"/>
    <cellStyle name="Normal 3 11_DeltaViewer" xfId="8423"/>
    <cellStyle name="Normal 3 12" xfId="8424"/>
    <cellStyle name="Normal 3 12 2" xfId="8425"/>
    <cellStyle name="Normal 3 12 2 2" xfId="8426"/>
    <cellStyle name="Normal 3 12 2 3" xfId="8427"/>
    <cellStyle name="Normal 3 12 2 4" xfId="8428"/>
    <cellStyle name="Normal 3 12 2 5" xfId="8429"/>
    <cellStyle name="Normal 3 12 2_DeltaViewer" xfId="8430"/>
    <cellStyle name="Normal 3 12 3" xfId="8431"/>
    <cellStyle name="Normal 3 12 4" xfId="8432"/>
    <cellStyle name="Normal 3 12 5" xfId="8433"/>
    <cellStyle name="Normal 3 12 6" xfId="8434"/>
    <cellStyle name="Normal 3 12_DeltaViewer" xfId="8435"/>
    <cellStyle name="Normal 3 13" xfId="8436"/>
    <cellStyle name="Normal 3 13 2" xfId="8437"/>
    <cellStyle name="Normal 3 13 2 2" xfId="8438"/>
    <cellStyle name="Normal 3 13 2 3" xfId="8439"/>
    <cellStyle name="Normal 3 13 2 4" xfId="8440"/>
    <cellStyle name="Normal 3 13 2 5" xfId="8441"/>
    <cellStyle name="Normal 3 13 2_DeltaViewer" xfId="8442"/>
    <cellStyle name="Normal 3 13 3" xfId="8443"/>
    <cellStyle name="Normal 3 13 4" xfId="8444"/>
    <cellStyle name="Normal 3 13 5" xfId="8445"/>
    <cellStyle name="Normal 3 13 6" xfId="8446"/>
    <cellStyle name="Normal 3 13_DeltaViewer" xfId="8447"/>
    <cellStyle name="Normal 3 14" xfId="8448"/>
    <cellStyle name="Normal 3 14 2" xfId="8449"/>
    <cellStyle name="Normal 3 14 2 2" xfId="8450"/>
    <cellStyle name="Normal 3 14 2 3" xfId="8451"/>
    <cellStyle name="Normal 3 14 2 4" xfId="8452"/>
    <cellStyle name="Normal 3 14 2 5" xfId="8453"/>
    <cellStyle name="Normal 3 14 2_DeltaViewer" xfId="8454"/>
    <cellStyle name="Normal 3 14 3" xfId="8455"/>
    <cellStyle name="Normal 3 14 4" xfId="8456"/>
    <cellStyle name="Normal 3 14 5" xfId="8457"/>
    <cellStyle name="Normal 3 14 6" xfId="8458"/>
    <cellStyle name="Normal 3 14_DeltaViewer" xfId="8459"/>
    <cellStyle name="Normal 3 15" xfId="8460"/>
    <cellStyle name="Normal 3 15 2" xfId="8461"/>
    <cellStyle name="Normal 3 15 2 2" xfId="8462"/>
    <cellStyle name="Normal 3 15 2 2 2" xfId="8463"/>
    <cellStyle name="Normal 3 15 2 2 3" xfId="8464"/>
    <cellStyle name="Normal 3 15 2 2 4" xfId="8465"/>
    <cellStyle name="Normal 3 15 2 2 5" xfId="8466"/>
    <cellStyle name="Normal 3 15 2 2_DeltaViewer" xfId="8467"/>
    <cellStyle name="Normal 3 15 2 3" xfId="8468"/>
    <cellStyle name="Normal 3 15 2 4" xfId="8469"/>
    <cellStyle name="Normal 3 15 2 5" xfId="8470"/>
    <cellStyle name="Normal 3 15 2 6" xfId="8471"/>
    <cellStyle name="Normal 3 15 2_DeltaViewer" xfId="8472"/>
    <cellStyle name="Normal 3 15 3" xfId="8473"/>
    <cellStyle name="Normal 3 15 3 2" xfId="8474"/>
    <cellStyle name="Normal 3 15 3 3" xfId="8475"/>
    <cellStyle name="Normal 3 15 3 4" xfId="8476"/>
    <cellStyle name="Normal 3 15 3 5" xfId="8477"/>
    <cellStyle name="Normal 3 15 3_DeltaViewer" xfId="8478"/>
    <cellStyle name="Normal 3 15 4" xfId="8479"/>
    <cellStyle name="Normal 3 15 5" xfId="8480"/>
    <cellStyle name="Normal 3 15 6" xfId="8481"/>
    <cellStyle name="Normal 3 15 7" xfId="8482"/>
    <cellStyle name="Normal 3 15_DeltaViewer" xfId="8483"/>
    <cellStyle name="Normal 3 16" xfId="8484"/>
    <cellStyle name="Normal 3 16 2" xfId="8485"/>
    <cellStyle name="Normal 3 16 2 2" xfId="8486"/>
    <cellStyle name="Normal 3 16 2 2 2" xfId="8487"/>
    <cellStyle name="Normal 3 16 2 2 3" xfId="8488"/>
    <cellStyle name="Normal 3 16 2 2 4" xfId="8489"/>
    <cellStyle name="Normal 3 16 2 2 5" xfId="8490"/>
    <cellStyle name="Normal 3 16 2 2_DeltaViewer" xfId="8491"/>
    <cellStyle name="Normal 3 16 2 3" xfId="8492"/>
    <cellStyle name="Normal 3 16 2 4" xfId="8493"/>
    <cellStyle name="Normal 3 16 2 5" xfId="8494"/>
    <cellStyle name="Normal 3 16 2 6" xfId="8495"/>
    <cellStyle name="Normal 3 16 2_DeltaViewer" xfId="8496"/>
    <cellStyle name="Normal 3 16 3" xfId="8497"/>
    <cellStyle name="Normal 3 16 3 2" xfId="8498"/>
    <cellStyle name="Normal 3 16 3 3" xfId="8499"/>
    <cellStyle name="Normal 3 16 3 4" xfId="8500"/>
    <cellStyle name="Normal 3 16 3 5" xfId="8501"/>
    <cellStyle name="Normal 3 16 3_DeltaViewer" xfId="8502"/>
    <cellStyle name="Normal 3 16 4" xfId="8503"/>
    <cellStyle name="Normal 3 16 5" xfId="8504"/>
    <cellStyle name="Normal 3 16 6" xfId="8505"/>
    <cellStyle name="Normal 3 16 7" xfId="8506"/>
    <cellStyle name="Normal 3 16_DeltaViewer" xfId="8507"/>
    <cellStyle name="Normal 3 17" xfId="8508"/>
    <cellStyle name="Normal 3 17 2" xfId="8509"/>
    <cellStyle name="Normal 3 17 2 2" xfId="8510"/>
    <cellStyle name="Normal 3 17 2 2 2" xfId="8511"/>
    <cellStyle name="Normal 3 17 2 2 3" xfId="8512"/>
    <cellStyle name="Normal 3 17 2 2 4" xfId="8513"/>
    <cellStyle name="Normal 3 17 2 2 5" xfId="8514"/>
    <cellStyle name="Normal 3 17 2 2_DeltaViewer" xfId="8515"/>
    <cellStyle name="Normal 3 17 2 3" xfId="8516"/>
    <cellStyle name="Normal 3 17 2 4" xfId="8517"/>
    <cellStyle name="Normal 3 17 2 5" xfId="8518"/>
    <cellStyle name="Normal 3 17 2 6" xfId="8519"/>
    <cellStyle name="Normal 3 17 2_DeltaViewer" xfId="8520"/>
    <cellStyle name="Normal 3 17 3" xfId="8521"/>
    <cellStyle name="Normal 3 17 3 2" xfId="8522"/>
    <cellStyle name="Normal 3 17 3 3" xfId="8523"/>
    <cellStyle name="Normal 3 17 3 4" xfId="8524"/>
    <cellStyle name="Normal 3 17 3 5" xfId="8525"/>
    <cellStyle name="Normal 3 17 3_DeltaViewer" xfId="8526"/>
    <cellStyle name="Normal 3 17 4" xfId="8527"/>
    <cellStyle name="Normal 3 17 5" xfId="8528"/>
    <cellStyle name="Normal 3 17 6" xfId="8529"/>
    <cellStyle name="Normal 3 17 7" xfId="8530"/>
    <cellStyle name="Normal 3 17_DeltaViewer" xfId="8531"/>
    <cellStyle name="Normal 3 18" xfId="8532"/>
    <cellStyle name="Normal 3 18 2" xfId="8533"/>
    <cellStyle name="Normal 3 18 2 10" xfId="8534"/>
    <cellStyle name="Normal 3 18 2 10 2" xfId="23655"/>
    <cellStyle name="Normal 3 18 2 10 2 2" xfId="28888"/>
    <cellStyle name="Normal 3 18 2 10 3" xfId="26376"/>
    <cellStyle name="Normal 3 18 2 11" xfId="23654"/>
    <cellStyle name="Normal 3 18 2 11 2" xfId="28887"/>
    <cellStyle name="Normal 3 18 2 12" xfId="26375"/>
    <cellStyle name="Normal 3 18 2 2" xfId="8535"/>
    <cellStyle name="Normal 3 18 2 2 10" xfId="26377"/>
    <cellStyle name="Normal 3 18 2 2 2" xfId="8536"/>
    <cellStyle name="Normal 3 18 2 2 2 2" xfId="8537"/>
    <cellStyle name="Normal 3 18 2 2 2 2 2" xfId="8538"/>
    <cellStyle name="Normal 3 18 2 2 2 2 2 2" xfId="8539"/>
    <cellStyle name="Normal 3 18 2 2 2 2 2 2 2" xfId="23660"/>
    <cellStyle name="Normal 3 18 2 2 2 2 2 2 2 2" xfId="28893"/>
    <cellStyle name="Normal 3 18 2 2 2 2 2 2 3" xfId="26381"/>
    <cellStyle name="Normal 3 18 2 2 2 2 2 3" xfId="23659"/>
    <cellStyle name="Normal 3 18 2 2 2 2 2 3 2" xfId="28892"/>
    <cellStyle name="Normal 3 18 2 2 2 2 2 4" xfId="26380"/>
    <cellStyle name="Normal 3 18 2 2 2 2 3" xfId="8540"/>
    <cellStyle name="Normal 3 18 2 2 2 2 3 2" xfId="23661"/>
    <cellStyle name="Normal 3 18 2 2 2 2 3 2 2" xfId="28894"/>
    <cellStyle name="Normal 3 18 2 2 2 2 3 3" xfId="26382"/>
    <cellStyle name="Normal 3 18 2 2 2 2 4" xfId="23658"/>
    <cellStyle name="Normal 3 18 2 2 2 2 4 2" xfId="28891"/>
    <cellStyle name="Normal 3 18 2 2 2 2 5" xfId="26379"/>
    <cellStyle name="Normal 3 18 2 2 2 2_DeltaViewer" xfId="8541"/>
    <cellStyle name="Normal 3 18 2 2 2 3" xfId="8542"/>
    <cellStyle name="Normal 3 18 2 2 2 3 2" xfId="8543"/>
    <cellStyle name="Normal 3 18 2 2 2 3 2 2" xfId="23663"/>
    <cellStyle name="Normal 3 18 2 2 2 3 2 2 2" xfId="28896"/>
    <cellStyle name="Normal 3 18 2 2 2 3 2 3" xfId="26384"/>
    <cellStyle name="Normal 3 18 2 2 2 3 3" xfId="23662"/>
    <cellStyle name="Normal 3 18 2 2 2 3 3 2" xfId="28895"/>
    <cellStyle name="Normal 3 18 2 2 2 3 4" xfId="26383"/>
    <cellStyle name="Normal 3 18 2 2 2 4" xfId="8544"/>
    <cellStyle name="Normal 3 18 2 2 2 4 2" xfId="23664"/>
    <cellStyle name="Normal 3 18 2 2 2 4 2 2" xfId="28897"/>
    <cellStyle name="Normal 3 18 2 2 2 4 3" xfId="26385"/>
    <cellStyle name="Normal 3 18 2 2 2 5" xfId="23657"/>
    <cellStyle name="Normal 3 18 2 2 2 5 2" xfId="28890"/>
    <cellStyle name="Normal 3 18 2 2 2 6" xfId="26378"/>
    <cellStyle name="Normal 3 18 2 2 2_DeltaViewer" xfId="8545"/>
    <cellStyle name="Normal 3 18 2 2 3" xfId="8546"/>
    <cellStyle name="Normal 3 18 2 2 3 2" xfId="8547"/>
    <cellStyle name="Normal 3 18 2 2 3 2 2" xfId="8548"/>
    <cellStyle name="Normal 3 18 2 2 3 2 2 2" xfId="8549"/>
    <cellStyle name="Normal 3 18 2 2 3 2 2 2 2" xfId="23668"/>
    <cellStyle name="Normal 3 18 2 2 3 2 2 2 2 2" xfId="28901"/>
    <cellStyle name="Normal 3 18 2 2 3 2 2 2 3" xfId="26389"/>
    <cellStyle name="Normal 3 18 2 2 3 2 2 3" xfId="23667"/>
    <cellStyle name="Normal 3 18 2 2 3 2 2 3 2" xfId="28900"/>
    <cellStyle name="Normal 3 18 2 2 3 2 2 4" xfId="26388"/>
    <cellStyle name="Normal 3 18 2 2 3 2 3" xfId="8550"/>
    <cellStyle name="Normal 3 18 2 2 3 2 3 2" xfId="23669"/>
    <cellStyle name="Normal 3 18 2 2 3 2 3 2 2" xfId="28902"/>
    <cellStyle name="Normal 3 18 2 2 3 2 3 3" xfId="26390"/>
    <cellStyle name="Normal 3 18 2 2 3 2 4" xfId="23666"/>
    <cellStyle name="Normal 3 18 2 2 3 2 4 2" xfId="28899"/>
    <cellStyle name="Normal 3 18 2 2 3 2 5" xfId="26387"/>
    <cellStyle name="Normal 3 18 2 2 3 2_DeltaViewer" xfId="8551"/>
    <cellStyle name="Normal 3 18 2 2 3 3" xfId="8552"/>
    <cellStyle name="Normal 3 18 2 2 3 3 2" xfId="8553"/>
    <cellStyle name="Normal 3 18 2 2 3 3 2 2" xfId="23671"/>
    <cellStyle name="Normal 3 18 2 2 3 3 2 2 2" xfId="28904"/>
    <cellStyle name="Normal 3 18 2 2 3 3 2 3" xfId="26392"/>
    <cellStyle name="Normal 3 18 2 2 3 3 3" xfId="23670"/>
    <cellStyle name="Normal 3 18 2 2 3 3 3 2" xfId="28903"/>
    <cellStyle name="Normal 3 18 2 2 3 3 4" xfId="26391"/>
    <cellStyle name="Normal 3 18 2 2 3 4" xfId="8554"/>
    <cellStyle name="Normal 3 18 2 2 3 4 2" xfId="23672"/>
    <cellStyle name="Normal 3 18 2 2 3 4 2 2" xfId="28905"/>
    <cellStyle name="Normal 3 18 2 2 3 4 3" xfId="26393"/>
    <cellStyle name="Normal 3 18 2 2 3 5" xfId="23665"/>
    <cellStyle name="Normal 3 18 2 2 3 5 2" xfId="28898"/>
    <cellStyle name="Normal 3 18 2 2 3 6" xfId="26386"/>
    <cellStyle name="Normal 3 18 2 2 3_DeltaViewer" xfId="8555"/>
    <cellStyle name="Normal 3 18 2 2 4" xfId="8556"/>
    <cellStyle name="Normal 3 18 2 2 4 2" xfId="8557"/>
    <cellStyle name="Normal 3 18 2 2 4 2 2" xfId="8558"/>
    <cellStyle name="Normal 3 18 2 2 4 2 2 2" xfId="8559"/>
    <cellStyle name="Normal 3 18 2 2 4 2 2 2 2" xfId="23676"/>
    <cellStyle name="Normal 3 18 2 2 4 2 2 2 2 2" xfId="28909"/>
    <cellStyle name="Normal 3 18 2 2 4 2 2 2 3" xfId="26397"/>
    <cellStyle name="Normal 3 18 2 2 4 2 2 3" xfId="23675"/>
    <cellStyle name="Normal 3 18 2 2 4 2 2 3 2" xfId="28908"/>
    <cellStyle name="Normal 3 18 2 2 4 2 2 4" xfId="26396"/>
    <cellStyle name="Normal 3 18 2 2 4 2 3" xfId="8560"/>
    <cellStyle name="Normal 3 18 2 2 4 2 3 2" xfId="23677"/>
    <cellStyle name="Normal 3 18 2 2 4 2 3 2 2" xfId="28910"/>
    <cellStyle name="Normal 3 18 2 2 4 2 3 3" xfId="26398"/>
    <cellStyle name="Normal 3 18 2 2 4 2 4" xfId="23674"/>
    <cellStyle name="Normal 3 18 2 2 4 2 4 2" xfId="28907"/>
    <cellStyle name="Normal 3 18 2 2 4 2 5" xfId="26395"/>
    <cellStyle name="Normal 3 18 2 2 4 2_DeltaViewer" xfId="8561"/>
    <cellStyle name="Normal 3 18 2 2 4 3" xfId="8562"/>
    <cellStyle name="Normal 3 18 2 2 4 3 2" xfId="8563"/>
    <cellStyle name="Normal 3 18 2 2 4 3 2 2" xfId="23679"/>
    <cellStyle name="Normal 3 18 2 2 4 3 2 2 2" xfId="28912"/>
    <cellStyle name="Normal 3 18 2 2 4 3 2 3" xfId="26400"/>
    <cellStyle name="Normal 3 18 2 2 4 3 3" xfId="23678"/>
    <cellStyle name="Normal 3 18 2 2 4 3 3 2" xfId="28911"/>
    <cellStyle name="Normal 3 18 2 2 4 3 4" xfId="26399"/>
    <cellStyle name="Normal 3 18 2 2 4 4" xfId="8564"/>
    <cellStyle name="Normal 3 18 2 2 4 4 2" xfId="23680"/>
    <cellStyle name="Normal 3 18 2 2 4 4 2 2" xfId="28913"/>
    <cellStyle name="Normal 3 18 2 2 4 4 3" xfId="26401"/>
    <cellStyle name="Normal 3 18 2 2 4 5" xfId="23673"/>
    <cellStyle name="Normal 3 18 2 2 4 5 2" xfId="28906"/>
    <cellStyle name="Normal 3 18 2 2 4 6" xfId="26394"/>
    <cellStyle name="Normal 3 18 2 2 4_DeltaViewer" xfId="8565"/>
    <cellStyle name="Normal 3 18 2 2 5" xfId="8566"/>
    <cellStyle name="Normal 3 18 2 2 5 2" xfId="8567"/>
    <cellStyle name="Normal 3 18 2 2 5 2 2" xfId="8568"/>
    <cellStyle name="Normal 3 18 2 2 5 2 2 2" xfId="23683"/>
    <cellStyle name="Normal 3 18 2 2 5 2 2 2 2" xfId="28916"/>
    <cellStyle name="Normal 3 18 2 2 5 2 2 3" xfId="26404"/>
    <cellStyle name="Normal 3 18 2 2 5 2 3" xfId="23682"/>
    <cellStyle name="Normal 3 18 2 2 5 2 3 2" xfId="28915"/>
    <cellStyle name="Normal 3 18 2 2 5 2 4" xfId="26403"/>
    <cellStyle name="Normal 3 18 2 2 5 3" xfId="8569"/>
    <cellStyle name="Normal 3 18 2 2 5 3 2" xfId="23684"/>
    <cellStyle name="Normal 3 18 2 2 5 3 2 2" xfId="28917"/>
    <cellStyle name="Normal 3 18 2 2 5 3 3" xfId="26405"/>
    <cellStyle name="Normal 3 18 2 2 5 4" xfId="23681"/>
    <cellStyle name="Normal 3 18 2 2 5 4 2" xfId="28914"/>
    <cellStyle name="Normal 3 18 2 2 5 5" xfId="26402"/>
    <cellStyle name="Normal 3 18 2 2 5_DeltaViewer" xfId="8570"/>
    <cellStyle name="Normal 3 18 2 2 6" xfId="8571"/>
    <cellStyle name="Normal 3 18 2 2 6 2" xfId="8572"/>
    <cellStyle name="Normal 3 18 2 2 6 2 2" xfId="23686"/>
    <cellStyle name="Normal 3 18 2 2 6 2 2 2" xfId="28919"/>
    <cellStyle name="Normal 3 18 2 2 6 2 3" xfId="26407"/>
    <cellStyle name="Normal 3 18 2 2 6 3" xfId="23685"/>
    <cellStyle name="Normal 3 18 2 2 6 3 2" xfId="28918"/>
    <cellStyle name="Normal 3 18 2 2 6 4" xfId="26406"/>
    <cellStyle name="Normal 3 18 2 2 7" xfId="8573"/>
    <cellStyle name="Normal 3 18 2 2 7 2" xfId="8574"/>
    <cellStyle name="Normal 3 18 2 2 7 2 2" xfId="23688"/>
    <cellStyle name="Normal 3 18 2 2 7 2 2 2" xfId="28921"/>
    <cellStyle name="Normal 3 18 2 2 7 2 3" xfId="26409"/>
    <cellStyle name="Normal 3 18 2 2 7 3" xfId="23687"/>
    <cellStyle name="Normal 3 18 2 2 7 3 2" xfId="28920"/>
    <cellStyle name="Normal 3 18 2 2 7 4" xfId="26408"/>
    <cellStyle name="Normal 3 18 2 2 8" xfId="8575"/>
    <cellStyle name="Normal 3 18 2 2 8 2" xfId="23689"/>
    <cellStyle name="Normal 3 18 2 2 8 2 2" xfId="28922"/>
    <cellStyle name="Normal 3 18 2 2 8 3" xfId="26410"/>
    <cellStyle name="Normal 3 18 2 2 9" xfId="23656"/>
    <cellStyle name="Normal 3 18 2 2 9 2" xfId="28889"/>
    <cellStyle name="Normal 3 18 2 2_DeltaViewer" xfId="8576"/>
    <cellStyle name="Normal 3 18 2 3" xfId="8577"/>
    <cellStyle name="Normal 3 18 2 3 10" xfId="26411"/>
    <cellStyle name="Normal 3 18 2 3 2" xfId="8578"/>
    <cellStyle name="Normal 3 18 2 3 2 2" xfId="8579"/>
    <cellStyle name="Normal 3 18 2 3 2 2 2" xfId="8580"/>
    <cellStyle name="Normal 3 18 2 3 2 2 2 2" xfId="8581"/>
    <cellStyle name="Normal 3 18 2 3 2 2 2 2 2" xfId="23694"/>
    <cellStyle name="Normal 3 18 2 3 2 2 2 2 2 2" xfId="28927"/>
    <cellStyle name="Normal 3 18 2 3 2 2 2 2 3" xfId="26415"/>
    <cellStyle name="Normal 3 18 2 3 2 2 2 3" xfId="23693"/>
    <cellStyle name="Normal 3 18 2 3 2 2 2 3 2" xfId="28926"/>
    <cellStyle name="Normal 3 18 2 3 2 2 2 4" xfId="26414"/>
    <cellStyle name="Normal 3 18 2 3 2 2 3" xfId="8582"/>
    <cellStyle name="Normal 3 18 2 3 2 2 3 2" xfId="23695"/>
    <cellStyle name="Normal 3 18 2 3 2 2 3 2 2" xfId="28928"/>
    <cellStyle name="Normal 3 18 2 3 2 2 3 3" xfId="26416"/>
    <cellStyle name="Normal 3 18 2 3 2 2 4" xfId="23692"/>
    <cellStyle name="Normal 3 18 2 3 2 2 4 2" xfId="28925"/>
    <cellStyle name="Normal 3 18 2 3 2 2 5" xfId="26413"/>
    <cellStyle name="Normal 3 18 2 3 2 2_DeltaViewer" xfId="8583"/>
    <cellStyle name="Normal 3 18 2 3 2 3" xfId="8584"/>
    <cellStyle name="Normal 3 18 2 3 2 3 2" xfId="8585"/>
    <cellStyle name="Normal 3 18 2 3 2 3 2 2" xfId="23697"/>
    <cellStyle name="Normal 3 18 2 3 2 3 2 2 2" xfId="28930"/>
    <cellStyle name="Normal 3 18 2 3 2 3 2 3" xfId="26418"/>
    <cellStyle name="Normal 3 18 2 3 2 3 3" xfId="23696"/>
    <cellStyle name="Normal 3 18 2 3 2 3 3 2" xfId="28929"/>
    <cellStyle name="Normal 3 18 2 3 2 3 4" xfId="26417"/>
    <cellStyle name="Normal 3 18 2 3 2 4" xfId="8586"/>
    <cellStyle name="Normal 3 18 2 3 2 4 2" xfId="23698"/>
    <cellStyle name="Normal 3 18 2 3 2 4 2 2" xfId="28931"/>
    <cellStyle name="Normal 3 18 2 3 2 4 3" xfId="26419"/>
    <cellStyle name="Normal 3 18 2 3 2 5" xfId="23691"/>
    <cellStyle name="Normal 3 18 2 3 2 5 2" xfId="28924"/>
    <cellStyle name="Normal 3 18 2 3 2 6" xfId="26412"/>
    <cellStyle name="Normal 3 18 2 3 2_DeltaViewer" xfId="8587"/>
    <cellStyle name="Normal 3 18 2 3 3" xfId="8588"/>
    <cellStyle name="Normal 3 18 2 3 3 2" xfId="8589"/>
    <cellStyle name="Normal 3 18 2 3 3 2 2" xfId="8590"/>
    <cellStyle name="Normal 3 18 2 3 3 2 2 2" xfId="8591"/>
    <cellStyle name="Normal 3 18 2 3 3 2 2 2 2" xfId="23702"/>
    <cellStyle name="Normal 3 18 2 3 3 2 2 2 2 2" xfId="28935"/>
    <cellStyle name="Normal 3 18 2 3 3 2 2 2 3" xfId="26423"/>
    <cellStyle name="Normal 3 18 2 3 3 2 2 3" xfId="23701"/>
    <cellStyle name="Normal 3 18 2 3 3 2 2 3 2" xfId="28934"/>
    <cellStyle name="Normal 3 18 2 3 3 2 2 4" xfId="26422"/>
    <cellStyle name="Normal 3 18 2 3 3 2 3" xfId="8592"/>
    <cellStyle name="Normal 3 18 2 3 3 2 3 2" xfId="23703"/>
    <cellStyle name="Normal 3 18 2 3 3 2 3 2 2" xfId="28936"/>
    <cellStyle name="Normal 3 18 2 3 3 2 3 3" xfId="26424"/>
    <cellStyle name="Normal 3 18 2 3 3 2 4" xfId="23700"/>
    <cellStyle name="Normal 3 18 2 3 3 2 4 2" xfId="28933"/>
    <cellStyle name="Normal 3 18 2 3 3 2 5" xfId="26421"/>
    <cellStyle name="Normal 3 18 2 3 3 2_DeltaViewer" xfId="8593"/>
    <cellStyle name="Normal 3 18 2 3 3 3" xfId="8594"/>
    <cellStyle name="Normal 3 18 2 3 3 3 2" xfId="8595"/>
    <cellStyle name="Normal 3 18 2 3 3 3 2 2" xfId="23705"/>
    <cellStyle name="Normal 3 18 2 3 3 3 2 2 2" xfId="28938"/>
    <cellStyle name="Normal 3 18 2 3 3 3 2 3" xfId="26426"/>
    <cellStyle name="Normal 3 18 2 3 3 3 3" xfId="23704"/>
    <cellStyle name="Normal 3 18 2 3 3 3 3 2" xfId="28937"/>
    <cellStyle name="Normal 3 18 2 3 3 3 4" xfId="26425"/>
    <cellStyle name="Normal 3 18 2 3 3 4" xfId="8596"/>
    <cellStyle name="Normal 3 18 2 3 3 4 2" xfId="23706"/>
    <cellStyle name="Normal 3 18 2 3 3 4 2 2" xfId="28939"/>
    <cellStyle name="Normal 3 18 2 3 3 4 3" xfId="26427"/>
    <cellStyle name="Normal 3 18 2 3 3 5" xfId="23699"/>
    <cellStyle name="Normal 3 18 2 3 3 5 2" xfId="28932"/>
    <cellStyle name="Normal 3 18 2 3 3 6" xfId="26420"/>
    <cellStyle name="Normal 3 18 2 3 3_DeltaViewer" xfId="8597"/>
    <cellStyle name="Normal 3 18 2 3 4" xfId="8598"/>
    <cellStyle name="Normal 3 18 2 3 4 2" xfId="8599"/>
    <cellStyle name="Normal 3 18 2 3 4 2 2" xfId="8600"/>
    <cellStyle name="Normal 3 18 2 3 4 2 2 2" xfId="8601"/>
    <cellStyle name="Normal 3 18 2 3 4 2 2 2 2" xfId="23710"/>
    <cellStyle name="Normal 3 18 2 3 4 2 2 2 2 2" xfId="28943"/>
    <cellStyle name="Normal 3 18 2 3 4 2 2 2 3" xfId="26431"/>
    <cellStyle name="Normal 3 18 2 3 4 2 2 3" xfId="23709"/>
    <cellStyle name="Normal 3 18 2 3 4 2 2 3 2" xfId="28942"/>
    <cellStyle name="Normal 3 18 2 3 4 2 2 4" xfId="26430"/>
    <cellStyle name="Normal 3 18 2 3 4 2 3" xfId="8602"/>
    <cellStyle name="Normal 3 18 2 3 4 2 3 2" xfId="23711"/>
    <cellStyle name="Normal 3 18 2 3 4 2 3 2 2" xfId="28944"/>
    <cellStyle name="Normal 3 18 2 3 4 2 3 3" xfId="26432"/>
    <cellStyle name="Normal 3 18 2 3 4 2 4" xfId="23708"/>
    <cellStyle name="Normal 3 18 2 3 4 2 4 2" xfId="28941"/>
    <cellStyle name="Normal 3 18 2 3 4 2 5" xfId="26429"/>
    <cellStyle name="Normal 3 18 2 3 4 2_DeltaViewer" xfId="8603"/>
    <cellStyle name="Normal 3 18 2 3 4 3" xfId="8604"/>
    <cellStyle name="Normal 3 18 2 3 4 3 2" xfId="8605"/>
    <cellStyle name="Normal 3 18 2 3 4 3 2 2" xfId="23713"/>
    <cellStyle name="Normal 3 18 2 3 4 3 2 2 2" xfId="28946"/>
    <cellStyle name="Normal 3 18 2 3 4 3 2 3" xfId="26434"/>
    <cellStyle name="Normal 3 18 2 3 4 3 3" xfId="23712"/>
    <cellStyle name="Normal 3 18 2 3 4 3 3 2" xfId="28945"/>
    <cellStyle name="Normal 3 18 2 3 4 3 4" xfId="26433"/>
    <cellStyle name="Normal 3 18 2 3 4 4" xfId="8606"/>
    <cellStyle name="Normal 3 18 2 3 4 4 2" xfId="23714"/>
    <cellStyle name="Normal 3 18 2 3 4 4 2 2" xfId="28947"/>
    <cellStyle name="Normal 3 18 2 3 4 4 3" xfId="26435"/>
    <cellStyle name="Normal 3 18 2 3 4 5" xfId="23707"/>
    <cellStyle name="Normal 3 18 2 3 4 5 2" xfId="28940"/>
    <cellStyle name="Normal 3 18 2 3 4 6" xfId="26428"/>
    <cellStyle name="Normal 3 18 2 3 4_DeltaViewer" xfId="8607"/>
    <cellStyle name="Normal 3 18 2 3 5" xfId="8608"/>
    <cellStyle name="Normal 3 18 2 3 5 2" xfId="8609"/>
    <cellStyle name="Normal 3 18 2 3 5 2 2" xfId="8610"/>
    <cellStyle name="Normal 3 18 2 3 5 2 2 2" xfId="23717"/>
    <cellStyle name="Normal 3 18 2 3 5 2 2 2 2" xfId="28950"/>
    <cellStyle name="Normal 3 18 2 3 5 2 2 3" xfId="26438"/>
    <cellStyle name="Normal 3 18 2 3 5 2 3" xfId="23716"/>
    <cellStyle name="Normal 3 18 2 3 5 2 3 2" xfId="28949"/>
    <cellStyle name="Normal 3 18 2 3 5 2 4" xfId="26437"/>
    <cellStyle name="Normal 3 18 2 3 5 3" xfId="8611"/>
    <cellStyle name="Normal 3 18 2 3 5 3 2" xfId="23718"/>
    <cellStyle name="Normal 3 18 2 3 5 3 2 2" xfId="28951"/>
    <cellStyle name="Normal 3 18 2 3 5 3 3" xfId="26439"/>
    <cellStyle name="Normal 3 18 2 3 5 4" xfId="23715"/>
    <cellStyle name="Normal 3 18 2 3 5 4 2" xfId="28948"/>
    <cellStyle name="Normal 3 18 2 3 5 5" xfId="26436"/>
    <cellStyle name="Normal 3 18 2 3 5_DeltaViewer" xfId="8612"/>
    <cellStyle name="Normal 3 18 2 3 6" xfId="8613"/>
    <cellStyle name="Normal 3 18 2 3 6 2" xfId="8614"/>
    <cellStyle name="Normal 3 18 2 3 6 2 2" xfId="23720"/>
    <cellStyle name="Normal 3 18 2 3 6 2 2 2" xfId="28953"/>
    <cellStyle name="Normal 3 18 2 3 6 2 3" xfId="26441"/>
    <cellStyle name="Normal 3 18 2 3 6 3" xfId="23719"/>
    <cellStyle name="Normal 3 18 2 3 6 3 2" xfId="28952"/>
    <cellStyle name="Normal 3 18 2 3 6 4" xfId="26440"/>
    <cellStyle name="Normal 3 18 2 3 7" xfId="8615"/>
    <cellStyle name="Normal 3 18 2 3 7 2" xfId="8616"/>
    <cellStyle name="Normal 3 18 2 3 7 2 2" xfId="23722"/>
    <cellStyle name="Normal 3 18 2 3 7 2 2 2" xfId="28955"/>
    <cellStyle name="Normal 3 18 2 3 7 2 3" xfId="26443"/>
    <cellStyle name="Normal 3 18 2 3 7 3" xfId="23721"/>
    <cellStyle name="Normal 3 18 2 3 7 3 2" xfId="28954"/>
    <cellStyle name="Normal 3 18 2 3 7 4" xfId="26442"/>
    <cellStyle name="Normal 3 18 2 3 8" xfId="8617"/>
    <cellStyle name="Normal 3 18 2 3 8 2" xfId="23723"/>
    <cellStyle name="Normal 3 18 2 3 8 2 2" xfId="28956"/>
    <cellStyle name="Normal 3 18 2 3 8 3" xfId="26444"/>
    <cellStyle name="Normal 3 18 2 3 9" xfId="23690"/>
    <cellStyle name="Normal 3 18 2 3 9 2" xfId="28923"/>
    <cellStyle name="Normal 3 18 2 3_DeltaViewer" xfId="8618"/>
    <cellStyle name="Normal 3 18 2 4" xfId="8619"/>
    <cellStyle name="Normal 3 18 2 4 2" xfId="8620"/>
    <cellStyle name="Normal 3 18 2 4 2 2" xfId="8621"/>
    <cellStyle name="Normal 3 18 2 4 2 2 2" xfId="8622"/>
    <cellStyle name="Normal 3 18 2 4 2 2 2 2" xfId="23727"/>
    <cellStyle name="Normal 3 18 2 4 2 2 2 2 2" xfId="28960"/>
    <cellStyle name="Normal 3 18 2 4 2 2 2 3" xfId="26448"/>
    <cellStyle name="Normal 3 18 2 4 2 2 3" xfId="23726"/>
    <cellStyle name="Normal 3 18 2 4 2 2 3 2" xfId="28959"/>
    <cellStyle name="Normal 3 18 2 4 2 2 4" xfId="26447"/>
    <cellStyle name="Normal 3 18 2 4 2 3" xfId="8623"/>
    <cellStyle name="Normal 3 18 2 4 2 3 2" xfId="23728"/>
    <cellStyle name="Normal 3 18 2 4 2 3 2 2" xfId="28961"/>
    <cellStyle name="Normal 3 18 2 4 2 3 3" xfId="26449"/>
    <cellStyle name="Normal 3 18 2 4 2 4" xfId="23725"/>
    <cellStyle name="Normal 3 18 2 4 2 4 2" xfId="28958"/>
    <cellStyle name="Normal 3 18 2 4 2 5" xfId="26446"/>
    <cellStyle name="Normal 3 18 2 4 2_DeltaViewer" xfId="8624"/>
    <cellStyle name="Normal 3 18 2 4 3" xfId="8625"/>
    <cellStyle name="Normal 3 18 2 4 3 2" xfId="8626"/>
    <cellStyle name="Normal 3 18 2 4 3 2 2" xfId="23730"/>
    <cellStyle name="Normal 3 18 2 4 3 2 2 2" xfId="28963"/>
    <cellStyle name="Normal 3 18 2 4 3 2 3" xfId="26451"/>
    <cellStyle name="Normal 3 18 2 4 3 3" xfId="23729"/>
    <cellStyle name="Normal 3 18 2 4 3 3 2" xfId="28962"/>
    <cellStyle name="Normal 3 18 2 4 3 4" xfId="26450"/>
    <cellStyle name="Normal 3 18 2 4 4" xfId="8627"/>
    <cellStyle name="Normal 3 18 2 4 4 2" xfId="23731"/>
    <cellStyle name="Normal 3 18 2 4 4 2 2" xfId="28964"/>
    <cellStyle name="Normal 3 18 2 4 4 3" xfId="26452"/>
    <cellStyle name="Normal 3 18 2 4 5" xfId="23724"/>
    <cellStyle name="Normal 3 18 2 4 5 2" xfId="28957"/>
    <cellStyle name="Normal 3 18 2 4 6" xfId="26445"/>
    <cellStyle name="Normal 3 18 2 4_DeltaViewer" xfId="8628"/>
    <cellStyle name="Normal 3 18 2 5" xfId="8629"/>
    <cellStyle name="Normal 3 18 2 5 2" xfId="8630"/>
    <cellStyle name="Normal 3 18 2 5 2 2" xfId="8631"/>
    <cellStyle name="Normal 3 18 2 5 2 2 2" xfId="8632"/>
    <cellStyle name="Normal 3 18 2 5 2 2 2 2" xfId="23735"/>
    <cellStyle name="Normal 3 18 2 5 2 2 2 2 2" xfId="28968"/>
    <cellStyle name="Normal 3 18 2 5 2 2 2 3" xfId="26456"/>
    <cellStyle name="Normal 3 18 2 5 2 2 3" xfId="23734"/>
    <cellStyle name="Normal 3 18 2 5 2 2 3 2" xfId="28967"/>
    <cellStyle name="Normal 3 18 2 5 2 2 4" xfId="26455"/>
    <cellStyle name="Normal 3 18 2 5 2 3" xfId="8633"/>
    <cellStyle name="Normal 3 18 2 5 2 3 2" xfId="23736"/>
    <cellStyle name="Normal 3 18 2 5 2 3 2 2" xfId="28969"/>
    <cellStyle name="Normal 3 18 2 5 2 3 3" xfId="26457"/>
    <cellStyle name="Normal 3 18 2 5 2 4" xfId="23733"/>
    <cellStyle name="Normal 3 18 2 5 2 4 2" xfId="28966"/>
    <cellStyle name="Normal 3 18 2 5 2 5" xfId="26454"/>
    <cellStyle name="Normal 3 18 2 5 2_DeltaViewer" xfId="8634"/>
    <cellStyle name="Normal 3 18 2 5 3" xfId="8635"/>
    <cellStyle name="Normal 3 18 2 5 3 2" xfId="8636"/>
    <cellStyle name="Normal 3 18 2 5 3 2 2" xfId="23738"/>
    <cellStyle name="Normal 3 18 2 5 3 2 2 2" xfId="28971"/>
    <cellStyle name="Normal 3 18 2 5 3 2 3" xfId="26459"/>
    <cellStyle name="Normal 3 18 2 5 3 3" xfId="23737"/>
    <cellStyle name="Normal 3 18 2 5 3 3 2" xfId="28970"/>
    <cellStyle name="Normal 3 18 2 5 3 4" xfId="26458"/>
    <cellStyle name="Normal 3 18 2 5 4" xfId="8637"/>
    <cellStyle name="Normal 3 18 2 5 4 2" xfId="23739"/>
    <cellStyle name="Normal 3 18 2 5 4 2 2" xfId="28972"/>
    <cellStyle name="Normal 3 18 2 5 4 3" xfId="26460"/>
    <cellStyle name="Normal 3 18 2 5 5" xfId="23732"/>
    <cellStyle name="Normal 3 18 2 5 5 2" xfId="28965"/>
    <cellStyle name="Normal 3 18 2 5 6" xfId="26453"/>
    <cellStyle name="Normal 3 18 2 5_DeltaViewer" xfId="8638"/>
    <cellStyle name="Normal 3 18 2 6" xfId="8639"/>
    <cellStyle name="Normal 3 18 2 6 2" xfId="8640"/>
    <cellStyle name="Normal 3 18 2 6 2 2" xfId="8641"/>
    <cellStyle name="Normal 3 18 2 6 2 2 2" xfId="8642"/>
    <cellStyle name="Normal 3 18 2 6 2 2 2 2" xfId="23743"/>
    <cellStyle name="Normal 3 18 2 6 2 2 2 2 2" xfId="28976"/>
    <cellStyle name="Normal 3 18 2 6 2 2 2 3" xfId="26464"/>
    <cellStyle name="Normal 3 18 2 6 2 2 3" xfId="23742"/>
    <cellStyle name="Normal 3 18 2 6 2 2 3 2" xfId="28975"/>
    <cellStyle name="Normal 3 18 2 6 2 2 4" xfId="26463"/>
    <cellStyle name="Normal 3 18 2 6 2 3" xfId="8643"/>
    <cellStyle name="Normal 3 18 2 6 2 3 2" xfId="23744"/>
    <cellStyle name="Normal 3 18 2 6 2 3 2 2" xfId="28977"/>
    <cellStyle name="Normal 3 18 2 6 2 3 3" xfId="26465"/>
    <cellStyle name="Normal 3 18 2 6 2 4" xfId="23741"/>
    <cellStyle name="Normal 3 18 2 6 2 4 2" xfId="28974"/>
    <cellStyle name="Normal 3 18 2 6 2 5" xfId="26462"/>
    <cellStyle name="Normal 3 18 2 6 2_DeltaViewer" xfId="8644"/>
    <cellStyle name="Normal 3 18 2 6 3" xfId="8645"/>
    <cellStyle name="Normal 3 18 2 6 3 2" xfId="8646"/>
    <cellStyle name="Normal 3 18 2 6 3 2 2" xfId="23746"/>
    <cellStyle name="Normal 3 18 2 6 3 2 2 2" xfId="28979"/>
    <cellStyle name="Normal 3 18 2 6 3 2 3" xfId="26467"/>
    <cellStyle name="Normal 3 18 2 6 3 3" xfId="23745"/>
    <cellStyle name="Normal 3 18 2 6 3 3 2" xfId="28978"/>
    <cellStyle name="Normal 3 18 2 6 3 4" xfId="26466"/>
    <cellStyle name="Normal 3 18 2 6 4" xfId="8647"/>
    <cellStyle name="Normal 3 18 2 6 4 2" xfId="23747"/>
    <cellStyle name="Normal 3 18 2 6 4 2 2" xfId="28980"/>
    <cellStyle name="Normal 3 18 2 6 4 3" xfId="26468"/>
    <cellStyle name="Normal 3 18 2 6 5" xfId="23740"/>
    <cellStyle name="Normal 3 18 2 6 5 2" xfId="28973"/>
    <cellStyle name="Normal 3 18 2 6 6" xfId="26461"/>
    <cellStyle name="Normal 3 18 2 6_DeltaViewer" xfId="8648"/>
    <cellStyle name="Normal 3 18 2 7" xfId="8649"/>
    <cellStyle name="Normal 3 18 2 7 2" xfId="8650"/>
    <cellStyle name="Normal 3 18 2 7 2 2" xfId="8651"/>
    <cellStyle name="Normal 3 18 2 7 2 2 2" xfId="23750"/>
    <cellStyle name="Normal 3 18 2 7 2 2 2 2" xfId="28983"/>
    <cellStyle name="Normal 3 18 2 7 2 2 3" xfId="26471"/>
    <cellStyle name="Normal 3 18 2 7 2 3" xfId="23749"/>
    <cellStyle name="Normal 3 18 2 7 2 3 2" xfId="28982"/>
    <cellStyle name="Normal 3 18 2 7 2 4" xfId="26470"/>
    <cellStyle name="Normal 3 18 2 7 3" xfId="8652"/>
    <cellStyle name="Normal 3 18 2 7 3 2" xfId="23751"/>
    <cellStyle name="Normal 3 18 2 7 3 2 2" xfId="28984"/>
    <cellStyle name="Normal 3 18 2 7 3 3" xfId="26472"/>
    <cellStyle name="Normal 3 18 2 7 4" xfId="23748"/>
    <cellStyle name="Normal 3 18 2 7 4 2" xfId="28981"/>
    <cellStyle name="Normal 3 18 2 7 5" xfId="26469"/>
    <cellStyle name="Normal 3 18 2 7_DeltaViewer" xfId="8653"/>
    <cellStyle name="Normal 3 18 2 8" xfId="8654"/>
    <cellStyle name="Normal 3 18 2 8 2" xfId="8655"/>
    <cellStyle name="Normal 3 18 2 8 2 2" xfId="23753"/>
    <cellStyle name="Normal 3 18 2 8 2 2 2" xfId="28986"/>
    <cellStyle name="Normal 3 18 2 8 2 3" xfId="26474"/>
    <cellStyle name="Normal 3 18 2 8 3" xfId="23752"/>
    <cellStyle name="Normal 3 18 2 8 3 2" xfId="28985"/>
    <cellStyle name="Normal 3 18 2 8 4" xfId="26473"/>
    <cellStyle name="Normal 3 18 2 9" xfId="8656"/>
    <cellStyle name="Normal 3 18 2 9 2" xfId="8657"/>
    <cellStyle name="Normal 3 18 2 9 2 2" xfId="23755"/>
    <cellStyle name="Normal 3 18 2 9 2 2 2" xfId="28988"/>
    <cellStyle name="Normal 3 18 2 9 2 3" xfId="26476"/>
    <cellStyle name="Normal 3 18 2 9 3" xfId="23754"/>
    <cellStyle name="Normal 3 18 2 9 3 2" xfId="28987"/>
    <cellStyle name="Normal 3 18 2 9 4" xfId="26475"/>
    <cellStyle name="Normal 3 18 2_DeltaViewer" xfId="8658"/>
    <cellStyle name="Normal 3 18 3" xfId="8659"/>
    <cellStyle name="Normal 3 18 3 2" xfId="8660"/>
    <cellStyle name="Normal 3 18 3 3" xfId="8661"/>
    <cellStyle name="Normal 3 18 3 4" xfId="8662"/>
    <cellStyle name="Normal 3 18 3 5" xfId="8663"/>
    <cellStyle name="Normal 3 18 3_DeltaViewer" xfId="8664"/>
    <cellStyle name="Normal 3 18 4" xfId="8665"/>
    <cellStyle name="Normal 3 18 4 10" xfId="26477"/>
    <cellStyle name="Normal 3 18 4 2" xfId="8666"/>
    <cellStyle name="Normal 3 18 4 2 2" xfId="8667"/>
    <cellStyle name="Normal 3 18 4 2 2 2" xfId="8668"/>
    <cellStyle name="Normal 3 18 4 2 2 2 2" xfId="8669"/>
    <cellStyle name="Normal 3 18 4 2 2 2 2 2" xfId="23760"/>
    <cellStyle name="Normal 3 18 4 2 2 2 2 2 2" xfId="28993"/>
    <cellStyle name="Normal 3 18 4 2 2 2 2 3" xfId="26481"/>
    <cellStyle name="Normal 3 18 4 2 2 2 3" xfId="23759"/>
    <cellStyle name="Normal 3 18 4 2 2 2 3 2" xfId="28992"/>
    <cellStyle name="Normal 3 18 4 2 2 2 4" xfId="26480"/>
    <cellStyle name="Normal 3 18 4 2 2 3" xfId="8670"/>
    <cellStyle name="Normal 3 18 4 2 2 3 2" xfId="23761"/>
    <cellStyle name="Normal 3 18 4 2 2 3 2 2" xfId="28994"/>
    <cellStyle name="Normal 3 18 4 2 2 3 3" xfId="26482"/>
    <cellStyle name="Normal 3 18 4 2 2 4" xfId="23758"/>
    <cellStyle name="Normal 3 18 4 2 2 4 2" xfId="28991"/>
    <cellStyle name="Normal 3 18 4 2 2 5" xfId="26479"/>
    <cellStyle name="Normal 3 18 4 2 2_DeltaViewer" xfId="8671"/>
    <cellStyle name="Normal 3 18 4 2 3" xfId="8672"/>
    <cellStyle name="Normal 3 18 4 2 3 2" xfId="8673"/>
    <cellStyle name="Normal 3 18 4 2 3 2 2" xfId="23763"/>
    <cellStyle name="Normal 3 18 4 2 3 2 2 2" xfId="28996"/>
    <cellStyle name="Normal 3 18 4 2 3 2 3" xfId="26484"/>
    <cellStyle name="Normal 3 18 4 2 3 3" xfId="23762"/>
    <cellStyle name="Normal 3 18 4 2 3 3 2" xfId="28995"/>
    <cellStyle name="Normal 3 18 4 2 3 4" xfId="26483"/>
    <cellStyle name="Normal 3 18 4 2 4" xfId="8674"/>
    <cellStyle name="Normal 3 18 4 2 4 2" xfId="23764"/>
    <cellStyle name="Normal 3 18 4 2 4 2 2" xfId="28997"/>
    <cellStyle name="Normal 3 18 4 2 4 3" xfId="26485"/>
    <cellStyle name="Normal 3 18 4 2 5" xfId="23757"/>
    <cellStyle name="Normal 3 18 4 2 5 2" xfId="28990"/>
    <cellStyle name="Normal 3 18 4 2 6" xfId="26478"/>
    <cellStyle name="Normal 3 18 4 2_DeltaViewer" xfId="8675"/>
    <cellStyle name="Normal 3 18 4 3" xfId="8676"/>
    <cellStyle name="Normal 3 18 4 3 2" xfId="8677"/>
    <cellStyle name="Normal 3 18 4 3 2 2" xfId="8678"/>
    <cellStyle name="Normal 3 18 4 3 2 2 2" xfId="8679"/>
    <cellStyle name="Normal 3 18 4 3 2 2 2 2" xfId="23768"/>
    <cellStyle name="Normal 3 18 4 3 2 2 2 2 2" xfId="29001"/>
    <cellStyle name="Normal 3 18 4 3 2 2 2 3" xfId="26489"/>
    <cellStyle name="Normal 3 18 4 3 2 2 3" xfId="23767"/>
    <cellStyle name="Normal 3 18 4 3 2 2 3 2" xfId="29000"/>
    <cellStyle name="Normal 3 18 4 3 2 2 4" xfId="26488"/>
    <cellStyle name="Normal 3 18 4 3 2 3" xfId="8680"/>
    <cellStyle name="Normal 3 18 4 3 2 3 2" xfId="23769"/>
    <cellStyle name="Normal 3 18 4 3 2 3 2 2" xfId="29002"/>
    <cellStyle name="Normal 3 18 4 3 2 3 3" xfId="26490"/>
    <cellStyle name="Normal 3 18 4 3 2 4" xfId="23766"/>
    <cellStyle name="Normal 3 18 4 3 2 4 2" xfId="28999"/>
    <cellStyle name="Normal 3 18 4 3 2 5" xfId="26487"/>
    <cellStyle name="Normal 3 18 4 3 2_DeltaViewer" xfId="8681"/>
    <cellStyle name="Normal 3 18 4 3 3" xfId="8682"/>
    <cellStyle name="Normal 3 18 4 3 3 2" xfId="8683"/>
    <cellStyle name="Normal 3 18 4 3 3 2 2" xfId="23771"/>
    <cellStyle name="Normal 3 18 4 3 3 2 2 2" xfId="29004"/>
    <cellStyle name="Normal 3 18 4 3 3 2 3" xfId="26492"/>
    <cellStyle name="Normal 3 18 4 3 3 3" xfId="23770"/>
    <cellStyle name="Normal 3 18 4 3 3 3 2" xfId="29003"/>
    <cellStyle name="Normal 3 18 4 3 3 4" xfId="26491"/>
    <cellStyle name="Normal 3 18 4 3 4" xfId="8684"/>
    <cellStyle name="Normal 3 18 4 3 4 2" xfId="23772"/>
    <cellStyle name="Normal 3 18 4 3 4 2 2" xfId="29005"/>
    <cellStyle name="Normal 3 18 4 3 4 3" xfId="26493"/>
    <cellStyle name="Normal 3 18 4 3 5" xfId="23765"/>
    <cellStyle name="Normal 3 18 4 3 5 2" xfId="28998"/>
    <cellStyle name="Normal 3 18 4 3 6" xfId="26486"/>
    <cellStyle name="Normal 3 18 4 3_DeltaViewer" xfId="8685"/>
    <cellStyle name="Normal 3 18 4 4" xfId="8686"/>
    <cellStyle name="Normal 3 18 4 4 2" xfId="8687"/>
    <cellStyle name="Normal 3 18 4 4 2 2" xfId="8688"/>
    <cellStyle name="Normal 3 18 4 4 2 2 2" xfId="8689"/>
    <cellStyle name="Normal 3 18 4 4 2 2 2 2" xfId="23776"/>
    <cellStyle name="Normal 3 18 4 4 2 2 2 2 2" xfId="29009"/>
    <cellStyle name="Normal 3 18 4 4 2 2 2 3" xfId="26497"/>
    <cellStyle name="Normal 3 18 4 4 2 2 3" xfId="23775"/>
    <cellStyle name="Normal 3 18 4 4 2 2 3 2" xfId="29008"/>
    <cellStyle name="Normal 3 18 4 4 2 2 4" xfId="26496"/>
    <cellStyle name="Normal 3 18 4 4 2 3" xfId="8690"/>
    <cellStyle name="Normal 3 18 4 4 2 3 2" xfId="23777"/>
    <cellStyle name="Normal 3 18 4 4 2 3 2 2" xfId="29010"/>
    <cellStyle name="Normal 3 18 4 4 2 3 3" xfId="26498"/>
    <cellStyle name="Normal 3 18 4 4 2 4" xfId="23774"/>
    <cellStyle name="Normal 3 18 4 4 2 4 2" xfId="29007"/>
    <cellStyle name="Normal 3 18 4 4 2 5" xfId="26495"/>
    <cellStyle name="Normal 3 18 4 4 2_DeltaViewer" xfId="8691"/>
    <cellStyle name="Normal 3 18 4 4 3" xfId="8692"/>
    <cellStyle name="Normal 3 18 4 4 3 2" xfId="8693"/>
    <cellStyle name="Normal 3 18 4 4 3 2 2" xfId="23779"/>
    <cellStyle name="Normal 3 18 4 4 3 2 2 2" xfId="29012"/>
    <cellStyle name="Normal 3 18 4 4 3 2 3" xfId="26500"/>
    <cellStyle name="Normal 3 18 4 4 3 3" xfId="23778"/>
    <cellStyle name="Normal 3 18 4 4 3 3 2" xfId="29011"/>
    <cellStyle name="Normal 3 18 4 4 3 4" xfId="26499"/>
    <cellStyle name="Normal 3 18 4 4 4" xfId="8694"/>
    <cellStyle name="Normal 3 18 4 4 4 2" xfId="23780"/>
    <cellStyle name="Normal 3 18 4 4 4 2 2" xfId="29013"/>
    <cellStyle name="Normal 3 18 4 4 4 3" xfId="26501"/>
    <cellStyle name="Normal 3 18 4 4 5" xfId="23773"/>
    <cellStyle name="Normal 3 18 4 4 5 2" xfId="29006"/>
    <cellStyle name="Normal 3 18 4 4 6" xfId="26494"/>
    <cellStyle name="Normal 3 18 4 4_DeltaViewer" xfId="8695"/>
    <cellStyle name="Normal 3 18 4 5" xfId="8696"/>
    <cellStyle name="Normal 3 18 4 5 2" xfId="8697"/>
    <cellStyle name="Normal 3 18 4 5 2 2" xfId="8698"/>
    <cellStyle name="Normal 3 18 4 5 2 2 2" xfId="23783"/>
    <cellStyle name="Normal 3 18 4 5 2 2 2 2" xfId="29016"/>
    <cellStyle name="Normal 3 18 4 5 2 2 3" xfId="26504"/>
    <cellStyle name="Normal 3 18 4 5 2 3" xfId="23782"/>
    <cellStyle name="Normal 3 18 4 5 2 3 2" xfId="29015"/>
    <cellStyle name="Normal 3 18 4 5 2 4" xfId="26503"/>
    <cellStyle name="Normal 3 18 4 5 3" xfId="8699"/>
    <cellStyle name="Normal 3 18 4 5 3 2" xfId="23784"/>
    <cellStyle name="Normal 3 18 4 5 3 2 2" xfId="29017"/>
    <cellStyle name="Normal 3 18 4 5 3 3" xfId="26505"/>
    <cellStyle name="Normal 3 18 4 5 4" xfId="23781"/>
    <cellStyle name="Normal 3 18 4 5 4 2" xfId="29014"/>
    <cellStyle name="Normal 3 18 4 5 5" xfId="26502"/>
    <cellStyle name="Normal 3 18 4 5_DeltaViewer" xfId="8700"/>
    <cellStyle name="Normal 3 18 4 6" xfId="8701"/>
    <cellStyle name="Normal 3 18 4 6 2" xfId="8702"/>
    <cellStyle name="Normal 3 18 4 6 2 2" xfId="23786"/>
    <cellStyle name="Normal 3 18 4 6 2 2 2" xfId="29019"/>
    <cellStyle name="Normal 3 18 4 6 2 3" xfId="26507"/>
    <cellStyle name="Normal 3 18 4 6 3" xfId="23785"/>
    <cellStyle name="Normal 3 18 4 6 3 2" xfId="29018"/>
    <cellStyle name="Normal 3 18 4 6 4" xfId="26506"/>
    <cellStyle name="Normal 3 18 4 7" xfId="8703"/>
    <cellStyle name="Normal 3 18 4 7 2" xfId="8704"/>
    <cellStyle name="Normal 3 18 4 7 2 2" xfId="23788"/>
    <cellStyle name="Normal 3 18 4 7 2 2 2" xfId="29021"/>
    <cellStyle name="Normal 3 18 4 7 2 3" xfId="26509"/>
    <cellStyle name="Normal 3 18 4 7 3" xfId="23787"/>
    <cellStyle name="Normal 3 18 4 7 3 2" xfId="29020"/>
    <cellStyle name="Normal 3 18 4 7 4" xfId="26508"/>
    <cellStyle name="Normal 3 18 4 8" xfId="8705"/>
    <cellStyle name="Normal 3 18 4 8 2" xfId="23789"/>
    <cellStyle name="Normal 3 18 4 8 2 2" xfId="29022"/>
    <cellStyle name="Normal 3 18 4 8 3" xfId="26510"/>
    <cellStyle name="Normal 3 18 4 9" xfId="23756"/>
    <cellStyle name="Normal 3 18 4 9 2" xfId="28989"/>
    <cellStyle name="Normal 3 18 4_DeltaViewer" xfId="8706"/>
    <cellStyle name="Normal 3 18 5" xfId="8707"/>
    <cellStyle name="Normal 3 18 6" xfId="8708"/>
    <cellStyle name="Normal 3 18 7" xfId="8709"/>
    <cellStyle name="Normal 3 18 8" xfId="8710"/>
    <cellStyle name="Normal 3 18_DeltaViewer" xfId="8711"/>
    <cellStyle name="Normal 3 19" xfId="8712"/>
    <cellStyle name="Normal 3 19 2" xfId="8713"/>
    <cellStyle name="Normal 3 19 3" xfId="8714"/>
    <cellStyle name="Normal 3 19 4" xfId="8715"/>
    <cellStyle name="Normal 3 19 5" xfId="8716"/>
    <cellStyle name="Normal 3 19_DeltaViewer" xfId="8717"/>
    <cellStyle name="Normal 3 2" xfId="88"/>
    <cellStyle name="Normal 3 2 10" xfId="8718"/>
    <cellStyle name="Normal 3 2 2" xfId="8719"/>
    <cellStyle name="Normal 3 2 2 2" xfId="8720"/>
    <cellStyle name="Normal 3 2 2 2 2" xfId="8721"/>
    <cellStyle name="Normal 3 2 2 2 2 2" xfId="8722"/>
    <cellStyle name="Normal 3 2 2 2 2 3" xfId="8723"/>
    <cellStyle name="Normal 3 2 2 2 2 4" xfId="8724"/>
    <cellStyle name="Normal 3 2 2 2 2 5" xfId="8725"/>
    <cellStyle name="Normal 3 2 2 2 2_DeltaViewer" xfId="8726"/>
    <cellStyle name="Normal 3 2 2 2 3" xfId="8727"/>
    <cellStyle name="Normal 3 2 2 2 4" xfId="8728"/>
    <cellStyle name="Normal 3 2 2 2 5" xfId="8729"/>
    <cellStyle name="Normal 3 2 2 2 6" xfId="8730"/>
    <cellStyle name="Normal 3 2 2 2_DeltaViewer" xfId="8731"/>
    <cellStyle name="Normal 3 2 2 3" xfId="8732"/>
    <cellStyle name="Normal 3 2 2 3 2" xfId="8733"/>
    <cellStyle name="Normal 3 2 2 3 2 2" xfId="8734"/>
    <cellStyle name="Normal 3 2 2 3 2 3" xfId="8735"/>
    <cellStyle name="Normal 3 2 2 3 2 4" xfId="8736"/>
    <cellStyle name="Normal 3 2 2 3 2 5" xfId="8737"/>
    <cellStyle name="Normal 3 2 2 3 2_DeltaViewer" xfId="8738"/>
    <cellStyle name="Normal 3 2 2 3 3" xfId="8739"/>
    <cellStyle name="Normal 3 2 2 3 4" xfId="8740"/>
    <cellStyle name="Normal 3 2 2 3 5" xfId="8741"/>
    <cellStyle name="Normal 3 2 2 3 6" xfId="8742"/>
    <cellStyle name="Normal 3 2 2 3_DeltaViewer" xfId="8743"/>
    <cellStyle name="Normal 3 2 2 4" xfId="8744"/>
    <cellStyle name="Normal 3 2 2 4 2" xfId="8745"/>
    <cellStyle name="Normal 3 2 2 4 2 2" xfId="8746"/>
    <cellStyle name="Normal 3 2 2 4 2 3" xfId="8747"/>
    <cellStyle name="Normal 3 2 2 4 2 4" xfId="8748"/>
    <cellStyle name="Normal 3 2 2 4 2 5" xfId="8749"/>
    <cellStyle name="Normal 3 2 2 4 2_DeltaViewer" xfId="8750"/>
    <cellStyle name="Normal 3 2 2 4 3" xfId="8751"/>
    <cellStyle name="Normal 3 2 2 4 4" xfId="8752"/>
    <cellStyle name="Normal 3 2 2 4 5" xfId="8753"/>
    <cellStyle name="Normal 3 2 2 4 6" xfId="8754"/>
    <cellStyle name="Normal 3 2 2 4_DeltaViewer" xfId="8755"/>
    <cellStyle name="Normal 3 2 2 5" xfId="8756"/>
    <cellStyle name="Normal 3 2 2 5 2" xfId="8757"/>
    <cellStyle name="Normal 3 2 2 5 3" xfId="8758"/>
    <cellStyle name="Normal 3 2 2 5 4" xfId="8759"/>
    <cellStyle name="Normal 3 2 2 5 5" xfId="8760"/>
    <cellStyle name="Normal 3 2 2 5_DeltaViewer" xfId="8761"/>
    <cellStyle name="Normal 3 2 2 6" xfId="8762"/>
    <cellStyle name="Normal 3 2 2 7" xfId="8763"/>
    <cellStyle name="Normal 3 2 2 8" xfId="8764"/>
    <cellStyle name="Normal 3 2 2 9" xfId="8765"/>
    <cellStyle name="Normal 3 2 2_DeltaViewer" xfId="8766"/>
    <cellStyle name="Normal 3 2 3" xfId="8767"/>
    <cellStyle name="Normal 3 2 3 2" xfId="8768"/>
    <cellStyle name="Normal 3 2 3 2 2" xfId="8769"/>
    <cellStyle name="Normal 3 2 3 2 3" xfId="8770"/>
    <cellStyle name="Normal 3 2 3 2 4" xfId="8771"/>
    <cellStyle name="Normal 3 2 3 2 5" xfId="8772"/>
    <cellStyle name="Normal 3 2 3 2_DeltaViewer" xfId="8773"/>
    <cellStyle name="Normal 3 2 3 3" xfId="8774"/>
    <cellStyle name="Normal 3 2 3 4" xfId="8775"/>
    <cellStyle name="Normal 3 2 3 5" xfId="8776"/>
    <cellStyle name="Normal 3 2 3 6" xfId="8777"/>
    <cellStyle name="Normal 3 2 3_DeltaViewer" xfId="8778"/>
    <cellStyle name="Normal 3 2 4" xfId="8779"/>
    <cellStyle name="Normal 3 2 4 2" xfId="8780"/>
    <cellStyle name="Normal 3 2 4 2 2" xfId="8781"/>
    <cellStyle name="Normal 3 2 4 2 3" xfId="8782"/>
    <cellStyle name="Normal 3 2 4 2 4" xfId="8783"/>
    <cellStyle name="Normal 3 2 4 2 5" xfId="8784"/>
    <cellStyle name="Normal 3 2 4 2_DeltaViewer" xfId="8785"/>
    <cellStyle name="Normal 3 2 4 3" xfId="8786"/>
    <cellStyle name="Normal 3 2 4 4" xfId="8787"/>
    <cellStyle name="Normal 3 2 4 5" xfId="8788"/>
    <cellStyle name="Normal 3 2 4 6" xfId="8789"/>
    <cellStyle name="Normal 3 2 4_DeltaViewer" xfId="8790"/>
    <cellStyle name="Normal 3 2 5" xfId="8791"/>
    <cellStyle name="Normal 3 2 5 2" xfId="8792"/>
    <cellStyle name="Normal 3 2 5 3" xfId="8793"/>
    <cellStyle name="Normal 3 2 5 4" xfId="8794"/>
    <cellStyle name="Normal 3 2 5 5" xfId="8795"/>
    <cellStyle name="Normal 3 2 5_DeltaViewer" xfId="8796"/>
    <cellStyle name="Normal 3 2 6" xfId="8797"/>
    <cellStyle name="Normal 3 2 7" xfId="8798"/>
    <cellStyle name="Normal 3 2 8" xfId="8799"/>
    <cellStyle name="Normal 3 2 9" xfId="8800"/>
    <cellStyle name="Normal 3 2_12.05.29 AngloAmericaCCY ASW 7Y" xfId="8801"/>
    <cellStyle name="Normal 3 20" xfId="8802"/>
    <cellStyle name="Normal 3 21" xfId="8803"/>
    <cellStyle name="Normal 3 22" xfId="8804"/>
    <cellStyle name="Normal 3 23" xfId="8805"/>
    <cellStyle name="Normal 3 24" xfId="8806"/>
    <cellStyle name="Normal 3 25" xfId="8807"/>
    <cellStyle name="Normal 3 25 2" xfId="23790"/>
    <cellStyle name="Normal 3 25 2 2" xfId="29023"/>
    <cellStyle name="Normal 3 25 3" xfId="26511"/>
    <cellStyle name="Normal 3 26" xfId="8808"/>
    <cellStyle name="Normal 3 26 2" xfId="23791"/>
    <cellStyle name="Normal 3 26 2 2" xfId="29024"/>
    <cellStyle name="Normal 3 26 3" xfId="26512"/>
    <cellStyle name="Normal 3 27" xfId="21656"/>
    <cellStyle name="Normal 3 27 2" xfId="26902"/>
    <cellStyle name="Normal 3 28" xfId="24075"/>
    <cellStyle name="Normal 3 28 2" xfId="29300"/>
    <cellStyle name="Normal 3 29" xfId="24324"/>
    <cellStyle name="Normal 3 3" xfId="89"/>
    <cellStyle name="Normal 3 3 2" xfId="90"/>
    <cellStyle name="Normal 3 3 2 2" xfId="91"/>
    <cellStyle name="Normal 3 3 2 2 2" xfId="92"/>
    <cellStyle name="Normal 3 3 2 2 2 2" xfId="93"/>
    <cellStyle name="Normal 3 3 2 2 2 2 2" xfId="249"/>
    <cellStyle name="Normal 3 3 2 2 2 2 2 2" xfId="24473"/>
    <cellStyle name="Normal 3 3 2 2 2 2 3" xfId="24329"/>
    <cellStyle name="Normal 3 3 2 2 2 3" xfId="94"/>
    <cellStyle name="Normal 3 3 2 2 2 3 2" xfId="250"/>
    <cellStyle name="Normal 3 3 2 2 2 3 2 2" xfId="24474"/>
    <cellStyle name="Normal 3 3 2 2 2 3 3" xfId="24330"/>
    <cellStyle name="Normal 3 3 2 2 2 4" xfId="248"/>
    <cellStyle name="Normal 3 3 2 2 2 4 2" xfId="24472"/>
    <cellStyle name="Normal 3 3 2 2 2 5" xfId="21660"/>
    <cellStyle name="Normal 3 3 2 2 2 5 2" xfId="26906"/>
    <cellStyle name="Normal 3 3 2 2 2 6" xfId="24328"/>
    <cellStyle name="Normal 3 3 2 2 3" xfId="95"/>
    <cellStyle name="Normal 3 3 2 2 3 2" xfId="251"/>
    <cellStyle name="Normal 3 3 2 2 3 2 2" xfId="24475"/>
    <cellStyle name="Normal 3 3 2 2 3 3" xfId="24331"/>
    <cellStyle name="Normal 3 3 2 2 4" xfId="96"/>
    <cellStyle name="Normal 3 3 2 2 4 2" xfId="252"/>
    <cellStyle name="Normal 3 3 2 2 4 2 2" xfId="24476"/>
    <cellStyle name="Normal 3 3 2 2 4 3" xfId="24332"/>
    <cellStyle name="Normal 3 3 2 2 5" xfId="247"/>
    <cellStyle name="Normal 3 3 2 2 5 2" xfId="24471"/>
    <cellStyle name="Normal 3 3 2 2 6" xfId="21659"/>
    <cellStyle name="Normal 3 3 2 2 6 2" xfId="26905"/>
    <cellStyle name="Normal 3 3 2 2 7" xfId="24327"/>
    <cellStyle name="Normal 3 3 2 3" xfId="97"/>
    <cellStyle name="Normal 3 3 2 3 2" xfId="98"/>
    <cellStyle name="Normal 3 3 2 3 2 2" xfId="254"/>
    <cellStyle name="Normal 3 3 2 3 2 2 2" xfId="24478"/>
    <cellStyle name="Normal 3 3 2 3 2 3" xfId="21662"/>
    <cellStyle name="Normal 3 3 2 3 2 3 2" xfId="26908"/>
    <cellStyle name="Normal 3 3 2 3 2 4" xfId="24334"/>
    <cellStyle name="Normal 3 3 2 3 3" xfId="99"/>
    <cellStyle name="Normal 3 3 2 3 3 2" xfId="255"/>
    <cellStyle name="Normal 3 3 2 3 3 2 2" xfId="24479"/>
    <cellStyle name="Normal 3 3 2 3 3 3" xfId="24335"/>
    <cellStyle name="Normal 3 3 2 3 4" xfId="253"/>
    <cellStyle name="Normal 3 3 2 3 4 2" xfId="24477"/>
    <cellStyle name="Normal 3 3 2 3 5" xfId="21661"/>
    <cellStyle name="Normal 3 3 2 3 5 2" xfId="26907"/>
    <cellStyle name="Normal 3 3 2 3 6" xfId="24333"/>
    <cellStyle name="Normal 3 3 2 4" xfId="100"/>
    <cellStyle name="Normal 3 3 2 4 2" xfId="256"/>
    <cellStyle name="Normal 3 3 2 4 2 2" xfId="24480"/>
    <cellStyle name="Normal 3 3 2 4 3" xfId="21663"/>
    <cellStyle name="Normal 3 3 2 4 3 2" xfId="26909"/>
    <cellStyle name="Normal 3 3 2 4 4" xfId="21543"/>
    <cellStyle name="Normal 3 3 2 4 5" xfId="24336"/>
    <cellStyle name="Normal 3 3 2 5" xfId="101"/>
    <cellStyle name="Normal 3 3 2 5 2" xfId="257"/>
    <cellStyle name="Normal 3 3 2 5 2 2" xfId="24481"/>
    <cellStyle name="Normal 3 3 2 5 3" xfId="21664"/>
    <cellStyle name="Normal 3 3 2 5 3 2" xfId="26910"/>
    <cellStyle name="Normal 3 3 2 5 4" xfId="24337"/>
    <cellStyle name="Normal 3 3 2 6" xfId="246"/>
    <cellStyle name="Normal 3 3 2 6 2" xfId="24470"/>
    <cellStyle name="Normal 3 3 2 7" xfId="21658"/>
    <cellStyle name="Normal 3 3 2 7 2" xfId="26904"/>
    <cellStyle name="Normal 3 3 2 8" xfId="24326"/>
    <cellStyle name="Normal 3 3 2_DeltaViewer" xfId="8809"/>
    <cellStyle name="Normal 3 3 3" xfId="102"/>
    <cellStyle name="Normal 3 3 3 2" xfId="103"/>
    <cellStyle name="Normal 3 3 3 2 2" xfId="104"/>
    <cellStyle name="Normal 3 3 3 2 2 2" xfId="260"/>
    <cellStyle name="Normal 3 3 3 2 2 2 2" xfId="24484"/>
    <cellStyle name="Normal 3 3 3 2 2 3" xfId="24340"/>
    <cellStyle name="Normal 3 3 3 2 3" xfId="105"/>
    <cellStyle name="Normal 3 3 3 2 3 2" xfId="261"/>
    <cellStyle name="Normal 3 3 3 2 3 2 2" xfId="24485"/>
    <cellStyle name="Normal 3 3 3 2 3 3" xfId="24341"/>
    <cellStyle name="Normal 3 3 3 2 4" xfId="259"/>
    <cellStyle name="Normal 3 3 3 2 4 2" xfId="24483"/>
    <cellStyle name="Normal 3 3 3 2 5" xfId="21666"/>
    <cellStyle name="Normal 3 3 3 2 5 2" xfId="26912"/>
    <cellStyle name="Normal 3 3 3 2 6" xfId="24339"/>
    <cellStyle name="Normal 3 3 3 3" xfId="106"/>
    <cellStyle name="Normal 3 3 3 3 2" xfId="262"/>
    <cellStyle name="Normal 3 3 3 3 2 2" xfId="24486"/>
    <cellStyle name="Normal 3 3 3 3 3" xfId="24342"/>
    <cellStyle name="Normal 3 3 3 4" xfId="107"/>
    <cellStyle name="Normal 3 3 3 4 2" xfId="263"/>
    <cellStyle name="Normal 3 3 3 4 2 2" xfId="24487"/>
    <cellStyle name="Normal 3 3 3 4 3" xfId="24343"/>
    <cellStyle name="Normal 3 3 3 5" xfId="258"/>
    <cellStyle name="Normal 3 3 3 5 2" xfId="24482"/>
    <cellStyle name="Normal 3 3 3 6" xfId="21665"/>
    <cellStyle name="Normal 3 3 3 6 2" xfId="26911"/>
    <cellStyle name="Normal 3 3 3 7" xfId="24338"/>
    <cellStyle name="Normal 3 3 4" xfId="108"/>
    <cellStyle name="Normal 3 3 4 2" xfId="109"/>
    <cellStyle name="Normal 3 3 4 2 2" xfId="265"/>
    <cellStyle name="Normal 3 3 4 2 2 2" xfId="24489"/>
    <cellStyle name="Normal 3 3 4 2 3" xfId="21668"/>
    <cellStyle name="Normal 3 3 4 2 3 2" xfId="26914"/>
    <cellStyle name="Normal 3 3 4 2 4" xfId="24345"/>
    <cellStyle name="Normal 3 3 4 3" xfId="110"/>
    <cellStyle name="Normal 3 3 4 3 2" xfId="266"/>
    <cellStyle name="Normal 3 3 4 3 2 2" xfId="24490"/>
    <cellStyle name="Normal 3 3 4 3 3" xfId="24346"/>
    <cellStyle name="Normal 3 3 4 4" xfId="264"/>
    <cellStyle name="Normal 3 3 4 4 2" xfId="24488"/>
    <cellStyle name="Normal 3 3 4 5" xfId="21667"/>
    <cellStyle name="Normal 3 3 4 5 2" xfId="26913"/>
    <cellStyle name="Normal 3 3 4 6" xfId="24344"/>
    <cellStyle name="Normal 3 3 5" xfId="111"/>
    <cellStyle name="Normal 3 3 5 2" xfId="267"/>
    <cellStyle name="Normal 3 3 5 2 2" xfId="24491"/>
    <cellStyle name="Normal 3 3 5 3" xfId="21669"/>
    <cellStyle name="Normal 3 3 5 3 2" xfId="26915"/>
    <cellStyle name="Normal 3 3 5 4" xfId="21473"/>
    <cellStyle name="Normal 3 3 5 5" xfId="24347"/>
    <cellStyle name="Normal 3 3 6" xfId="112"/>
    <cellStyle name="Normal 3 3 6 2" xfId="268"/>
    <cellStyle name="Normal 3 3 6 2 2" xfId="24492"/>
    <cellStyle name="Normal 3 3 6 3" xfId="21670"/>
    <cellStyle name="Normal 3 3 6 3 2" xfId="26916"/>
    <cellStyle name="Normal 3 3 6 4" xfId="24348"/>
    <cellStyle name="Normal 3 3 7" xfId="245"/>
    <cellStyle name="Normal 3 3 7 2" xfId="24469"/>
    <cellStyle name="Normal 3 3 8" xfId="21657"/>
    <cellStyle name="Normal 3 3 8 2" xfId="26903"/>
    <cellStyle name="Normal 3 3 9" xfId="24325"/>
    <cellStyle name="Normal 3 3_deltas" xfId="113"/>
    <cellStyle name="Normal 3 4" xfId="114"/>
    <cellStyle name="Normal 3 4 10" xfId="8810"/>
    <cellStyle name="Normal 3 4 11" xfId="8811"/>
    <cellStyle name="Normal 3 4 12" xfId="8812"/>
    <cellStyle name="Normal 3 4 13" xfId="8813"/>
    <cellStyle name="Normal 3 4 13 2" xfId="23792"/>
    <cellStyle name="Normal 3 4 13 2 2" xfId="29025"/>
    <cellStyle name="Normal 3 4 13 3" xfId="26513"/>
    <cellStyle name="Normal 3 4 14" xfId="21671"/>
    <cellStyle name="Normal 3 4 14 2" xfId="26917"/>
    <cellStyle name="Normal 3 4 15" xfId="24349"/>
    <cellStyle name="Normal 3 4 2" xfId="115"/>
    <cellStyle name="Normal 3 4 2 10" xfId="8814"/>
    <cellStyle name="Normal 3 4 2 10 2" xfId="23793"/>
    <cellStyle name="Normal 3 4 2 10 2 2" xfId="29026"/>
    <cellStyle name="Normal 3 4 2 10 3" xfId="26514"/>
    <cellStyle name="Normal 3 4 2 11" xfId="21672"/>
    <cellStyle name="Normal 3 4 2 11 2" xfId="26918"/>
    <cellStyle name="Normal 3 4 2 12" xfId="24350"/>
    <cellStyle name="Normal 3 4 2 2" xfId="116"/>
    <cellStyle name="Normal 3 4 2 2 2" xfId="117"/>
    <cellStyle name="Normal 3 4 2 2 2 2" xfId="272"/>
    <cellStyle name="Normal 3 4 2 2 2 2 2" xfId="21784"/>
    <cellStyle name="Normal 3 4 2 2 2 2 2 2" xfId="27021"/>
    <cellStyle name="Normal 3 4 2 2 2 2 3" xfId="21522"/>
    <cellStyle name="Normal 3 4 2 2 2 2 4" xfId="24496"/>
    <cellStyle name="Normal 3 4 2 2 2 3" xfId="8815"/>
    <cellStyle name="Normal 3 4 2 2 2 4" xfId="8816"/>
    <cellStyle name="Normal 3 4 2 2 2 5" xfId="8817"/>
    <cellStyle name="Normal 3 4 2 2 2 6" xfId="21674"/>
    <cellStyle name="Normal 3 4 2 2 2 6 2" xfId="26920"/>
    <cellStyle name="Normal 3 4 2 2 2 7" xfId="24352"/>
    <cellStyle name="Normal 3 4 2 2 2_DeltaViewer" xfId="8818"/>
    <cellStyle name="Normal 3 4 2 2 3" xfId="118"/>
    <cellStyle name="Normal 3 4 2 2 3 2" xfId="273"/>
    <cellStyle name="Normal 3 4 2 2 3 2 2" xfId="24497"/>
    <cellStyle name="Normal 3 4 2 2 3 3" xfId="21675"/>
    <cellStyle name="Normal 3 4 2 2 3 3 2" xfId="26921"/>
    <cellStyle name="Normal 3 4 2 2 3 4" xfId="21521"/>
    <cellStyle name="Normal 3 4 2 2 3 5" xfId="24353"/>
    <cellStyle name="Normal 3 4 2 2 4" xfId="271"/>
    <cellStyle name="Normal 3 4 2 2 4 2" xfId="21783"/>
    <cellStyle name="Normal 3 4 2 2 4 2 2" xfId="27020"/>
    <cellStyle name="Normal 3 4 2 2 4 3" xfId="21504"/>
    <cellStyle name="Normal 3 4 2 2 4 4" xfId="24495"/>
    <cellStyle name="Normal 3 4 2 2 5" xfId="8819"/>
    <cellStyle name="Normal 3 4 2 2 6" xfId="8820"/>
    <cellStyle name="Normal 3 4 2 2 7" xfId="21673"/>
    <cellStyle name="Normal 3 4 2 2 7 2" xfId="26919"/>
    <cellStyle name="Normal 3 4 2 2 8" xfId="24351"/>
    <cellStyle name="Normal 3 4 2 2_DeltaViewer" xfId="8821"/>
    <cellStyle name="Normal 3 4 2 3" xfId="119"/>
    <cellStyle name="Normal 3 4 2 3 2" xfId="274"/>
    <cellStyle name="Normal 3 4 2 3 2 2" xfId="21785"/>
    <cellStyle name="Normal 3 4 2 3 2 2 2" xfId="27022"/>
    <cellStyle name="Normal 3 4 2 3 2 3" xfId="21523"/>
    <cellStyle name="Normal 3 4 2 3 2 4" xfId="24498"/>
    <cellStyle name="Normal 3 4 2 3 3" xfId="8822"/>
    <cellStyle name="Normal 3 4 2 3 4" xfId="8823"/>
    <cellStyle name="Normal 3 4 2 3 5" xfId="8824"/>
    <cellStyle name="Normal 3 4 2 3 6" xfId="21676"/>
    <cellStyle name="Normal 3 4 2 3 6 2" xfId="26922"/>
    <cellStyle name="Normal 3 4 2 3 7" xfId="24354"/>
    <cellStyle name="Normal 3 4 2 3_DeltaViewer" xfId="8825"/>
    <cellStyle name="Normal 3 4 2 4" xfId="120"/>
    <cellStyle name="Normal 3 4 2 4 2" xfId="275"/>
    <cellStyle name="Normal 3 4 2 4 2 2" xfId="24499"/>
    <cellStyle name="Normal 3 4 2 4 3" xfId="21677"/>
    <cellStyle name="Normal 3 4 2 4 3 2" xfId="26923"/>
    <cellStyle name="Normal 3 4 2 4 4" xfId="21520"/>
    <cellStyle name="Normal 3 4 2 4 5" xfId="24355"/>
    <cellStyle name="Normal 3 4 2 5" xfId="270"/>
    <cellStyle name="Normal 3 4 2 5 2" xfId="21782"/>
    <cellStyle name="Normal 3 4 2 5 2 2" xfId="27019"/>
    <cellStyle name="Normal 3 4 2 5 3" xfId="21503"/>
    <cellStyle name="Normal 3 4 2 5 4" xfId="24494"/>
    <cellStyle name="Normal 3 4 2 6" xfId="8826"/>
    <cellStyle name="Normal 3 4 2 7" xfId="8827"/>
    <cellStyle name="Normal 3 4 2 8" xfId="8828"/>
    <cellStyle name="Normal 3 4 2 9" xfId="8829"/>
    <cellStyle name="Normal 3 4 2 9 2" xfId="23794"/>
    <cellStyle name="Normal 3 4 2 9 2 2" xfId="29027"/>
    <cellStyle name="Normal 3 4 2 9 3" xfId="26515"/>
    <cellStyle name="Normal 3 4 2_DeltaViewer" xfId="8830"/>
    <cellStyle name="Normal 3 4 3" xfId="121"/>
    <cellStyle name="Normal 3 4 3 10" xfId="8831"/>
    <cellStyle name="Normal 3 4 3 10 2" xfId="23795"/>
    <cellStyle name="Normal 3 4 3 10 2 2" xfId="29028"/>
    <cellStyle name="Normal 3 4 3 10 3" xfId="26516"/>
    <cellStyle name="Normal 3 4 3 11" xfId="21678"/>
    <cellStyle name="Normal 3 4 3 11 2" xfId="26924"/>
    <cellStyle name="Normal 3 4 3 12" xfId="24356"/>
    <cellStyle name="Normal 3 4 3 2" xfId="122"/>
    <cellStyle name="Normal 3 4 3 2 2" xfId="277"/>
    <cellStyle name="Normal 3 4 3 2 2 2" xfId="8832"/>
    <cellStyle name="Normal 3 4 3 2 2 3" xfId="8833"/>
    <cellStyle name="Normal 3 4 3 2 2 4" xfId="8834"/>
    <cellStyle name="Normal 3 4 3 2 2 5" xfId="8835"/>
    <cellStyle name="Normal 3 4 3 2 2 6" xfId="21787"/>
    <cellStyle name="Normal 3 4 3 2 2 6 2" xfId="27024"/>
    <cellStyle name="Normal 3 4 3 2 2 7" xfId="24501"/>
    <cellStyle name="Normal 3 4 3 2 2_DeltaViewer" xfId="8836"/>
    <cellStyle name="Normal 3 4 3 2 3" xfId="8837"/>
    <cellStyle name="Normal 3 4 3 2 4" xfId="8838"/>
    <cellStyle name="Normal 3 4 3 2 5" xfId="8839"/>
    <cellStyle name="Normal 3 4 3 2 6" xfId="8840"/>
    <cellStyle name="Normal 3 4 3 2 7" xfId="21679"/>
    <cellStyle name="Normal 3 4 3 2 7 2" xfId="26925"/>
    <cellStyle name="Normal 3 4 3 2 8" xfId="24357"/>
    <cellStyle name="Normal 3 4 3 2_DeltaViewer" xfId="8841"/>
    <cellStyle name="Normal 3 4 3 3" xfId="123"/>
    <cellStyle name="Normal 3 4 3 3 2" xfId="278"/>
    <cellStyle name="Normal 3 4 3 3 2 2" xfId="21788"/>
    <cellStyle name="Normal 3 4 3 3 2 2 2" xfId="27025"/>
    <cellStyle name="Normal 3 4 3 3 2 3" xfId="21525"/>
    <cellStyle name="Normal 3 4 3 3 2 4" xfId="24502"/>
    <cellStyle name="Normal 3 4 3 3 3" xfId="8842"/>
    <cellStyle name="Normal 3 4 3 3 4" xfId="8843"/>
    <cellStyle name="Normal 3 4 3 3 5" xfId="8844"/>
    <cellStyle name="Normal 3 4 3 3 6" xfId="21680"/>
    <cellStyle name="Normal 3 4 3 3 6 2" xfId="26926"/>
    <cellStyle name="Normal 3 4 3 3 7" xfId="24358"/>
    <cellStyle name="Normal 3 4 3 3_DeltaViewer" xfId="8845"/>
    <cellStyle name="Normal 3 4 3 4" xfId="276"/>
    <cellStyle name="Normal 3 4 3 4 2" xfId="21786"/>
    <cellStyle name="Normal 3 4 3 4 2 2" xfId="27023"/>
    <cellStyle name="Normal 3 4 3 4 3" xfId="21524"/>
    <cellStyle name="Normal 3 4 3 4 4" xfId="24500"/>
    <cellStyle name="Normal 3 4 3 5" xfId="8846"/>
    <cellStyle name="Normal 3 4 3 6" xfId="8847"/>
    <cellStyle name="Normal 3 4 3 7" xfId="8848"/>
    <cellStyle name="Normal 3 4 3 8" xfId="8849"/>
    <cellStyle name="Normal 3 4 3 9" xfId="8850"/>
    <cellStyle name="Normal 3 4 3 9 2" xfId="23796"/>
    <cellStyle name="Normal 3 4 3 9 2 2" xfId="29029"/>
    <cellStyle name="Normal 3 4 3 9 3" xfId="26517"/>
    <cellStyle name="Normal 3 4 3_DeltaViewer" xfId="8851"/>
    <cellStyle name="Normal 3 4 4" xfId="124"/>
    <cellStyle name="Normal 3 4 4 10" xfId="24359"/>
    <cellStyle name="Normal 3 4 4 2" xfId="279"/>
    <cellStyle name="Normal 3 4 4 2 2" xfId="8852"/>
    <cellStyle name="Normal 3 4 4 2 2 2" xfId="8853"/>
    <cellStyle name="Normal 3 4 4 2 2 3" xfId="8854"/>
    <cellStyle name="Normal 3 4 4 2 2 4" xfId="8855"/>
    <cellStyle name="Normal 3 4 4 2 2 5" xfId="8856"/>
    <cellStyle name="Normal 3 4 4 2 2_DeltaViewer" xfId="8857"/>
    <cellStyle name="Normal 3 4 4 2 3" xfId="8858"/>
    <cellStyle name="Normal 3 4 4 2 4" xfId="8859"/>
    <cellStyle name="Normal 3 4 4 2 5" xfId="8860"/>
    <cellStyle name="Normal 3 4 4 2 6" xfId="8861"/>
    <cellStyle name="Normal 3 4 4 2 7" xfId="21789"/>
    <cellStyle name="Normal 3 4 4 2 7 2" xfId="27026"/>
    <cellStyle name="Normal 3 4 4 2 8" xfId="24056"/>
    <cellStyle name="Normal 3 4 4 2 8 2" xfId="29287"/>
    <cellStyle name="Normal 3 4 4 2 9" xfId="24503"/>
    <cellStyle name="Normal 3 4 4 2_DeltaViewer" xfId="8862"/>
    <cellStyle name="Normal 3 4 4 3" xfId="8863"/>
    <cellStyle name="Normal 3 4 4 3 2" xfId="8864"/>
    <cellStyle name="Normal 3 4 4 3 3" xfId="8865"/>
    <cellStyle name="Normal 3 4 4 3 4" xfId="8866"/>
    <cellStyle name="Normal 3 4 4 3 5" xfId="8867"/>
    <cellStyle name="Normal 3 4 4 3_DeltaViewer" xfId="8868"/>
    <cellStyle name="Normal 3 4 4 4" xfId="8869"/>
    <cellStyle name="Normal 3 4 4 5" xfId="8870"/>
    <cellStyle name="Normal 3 4 4 6" xfId="8871"/>
    <cellStyle name="Normal 3 4 4 7" xfId="8872"/>
    <cellStyle name="Normal 3 4 4 8" xfId="21681"/>
    <cellStyle name="Normal 3 4 4 8 2" xfId="26927"/>
    <cellStyle name="Normal 3 4 4 9" xfId="24074"/>
    <cellStyle name="Normal 3 4 4 9 2" xfId="29299"/>
    <cellStyle name="Normal 3 4 4_DeltaViewer" xfId="8873"/>
    <cellStyle name="Normal 3 4 5" xfId="125"/>
    <cellStyle name="Normal 3 4 5 2" xfId="280"/>
    <cellStyle name="Normal 3 4 5 2 2" xfId="8874"/>
    <cellStyle name="Normal 3 4 5 2 3" xfId="8875"/>
    <cellStyle name="Normal 3 4 5 2 4" xfId="8876"/>
    <cellStyle name="Normal 3 4 5 2 5" xfId="8877"/>
    <cellStyle name="Normal 3 4 5 2 6" xfId="21790"/>
    <cellStyle name="Normal 3 4 5 2 6 2" xfId="27027"/>
    <cellStyle name="Normal 3 4 5 2 7" xfId="24504"/>
    <cellStyle name="Normal 3 4 5 2_DeltaViewer" xfId="8878"/>
    <cellStyle name="Normal 3 4 5 3" xfId="8879"/>
    <cellStyle name="Normal 3 4 5 4" xfId="8880"/>
    <cellStyle name="Normal 3 4 5 5" xfId="8881"/>
    <cellStyle name="Normal 3 4 5 6" xfId="8882"/>
    <cellStyle name="Normal 3 4 5 7" xfId="21682"/>
    <cellStyle name="Normal 3 4 5 7 2" xfId="26928"/>
    <cellStyle name="Normal 3 4 5 8" xfId="24360"/>
    <cellStyle name="Normal 3 4 5_DeltaViewer" xfId="8883"/>
    <cellStyle name="Normal 3 4 6" xfId="269"/>
    <cellStyle name="Normal 3 4 6 2" xfId="8884"/>
    <cellStyle name="Normal 3 4 6 2 2" xfId="8885"/>
    <cellStyle name="Normal 3 4 6 2 3" xfId="8886"/>
    <cellStyle name="Normal 3 4 6 2 4" xfId="8887"/>
    <cellStyle name="Normal 3 4 6 2 5" xfId="8888"/>
    <cellStyle name="Normal 3 4 6 2_DeltaViewer" xfId="8889"/>
    <cellStyle name="Normal 3 4 6 3" xfId="8890"/>
    <cellStyle name="Normal 3 4 6 4" xfId="8891"/>
    <cellStyle name="Normal 3 4 6 5" xfId="8892"/>
    <cellStyle name="Normal 3 4 6 6" xfId="8893"/>
    <cellStyle name="Normal 3 4 6 7" xfId="21781"/>
    <cellStyle name="Normal 3 4 6 7 2" xfId="27018"/>
    <cellStyle name="Normal 3 4 6 8" xfId="24057"/>
    <cellStyle name="Normal 3 4 6 8 2" xfId="29288"/>
    <cellStyle name="Normal 3 4 6 9" xfId="24493"/>
    <cellStyle name="Normal 3 4 6_DeltaViewer" xfId="8894"/>
    <cellStyle name="Normal 3 4 7" xfId="8895"/>
    <cellStyle name="Normal 3 4 7 2" xfId="8896"/>
    <cellStyle name="Normal 3 4 7 3" xfId="8897"/>
    <cellStyle name="Normal 3 4 7 4" xfId="8898"/>
    <cellStyle name="Normal 3 4 7 5" xfId="8899"/>
    <cellStyle name="Normal 3 4 7_DeltaViewer" xfId="8900"/>
    <cellStyle name="Normal 3 4 8" xfId="8901"/>
    <cellStyle name="Normal 3 4 9" xfId="8902"/>
    <cellStyle name="Normal 3 4_DeltaViewer" xfId="8903"/>
    <cellStyle name="Normal 3 5" xfId="126"/>
    <cellStyle name="Normal 3 5 10" xfId="8904"/>
    <cellStyle name="Normal 3 5 11" xfId="8905"/>
    <cellStyle name="Normal 3 5 12" xfId="8906"/>
    <cellStyle name="Normal 3 5 13" xfId="8907"/>
    <cellStyle name="Normal 3 5 13 2" xfId="23797"/>
    <cellStyle name="Normal 3 5 13 2 2" xfId="29030"/>
    <cellStyle name="Normal 3 5 13 3" xfId="26518"/>
    <cellStyle name="Normal 3 5 14" xfId="21683"/>
    <cellStyle name="Normal 3 5 14 2" xfId="26929"/>
    <cellStyle name="Normal 3 5 15" xfId="24361"/>
    <cellStyle name="Normal 3 5 2" xfId="127"/>
    <cellStyle name="Normal 3 5 2 2" xfId="128"/>
    <cellStyle name="Normal 3 5 2 2 2" xfId="283"/>
    <cellStyle name="Normal 3 5 2 2 2 2" xfId="8908"/>
    <cellStyle name="Normal 3 5 2 2 2 3" xfId="8909"/>
    <cellStyle name="Normal 3 5 2 2 2 4" xfId="8910"/>
    <cellStyle name="Normal 3 5 2 2 2 5" xfId="8911"/>
    <cellStyle name="Normal 3 5 2 2 2 6" xfId="21793"/>
    <cellStyle name="Normal 3 5 2 2 2 6 2" xfId="27030"/>
    <cellStyle name="Normal 3 5 2 2 2 7" xfId="24507"/>
    <cellStyle name="Normal 3 5 2 2 2_DeltaViewer" xfId="8912"/>
    <cellStyle name="Normal 3 5 2 2 3" xfId="8913"/>
    <cellStyle name="Normal 3 5 2 2 4" xfId="8914"/>
    <cellStyle name="Normal 3 5 2 2 5" xfId="8915"/>
    <cellStyle name="Normal 3 5 2 2 6" xfId="8916"/>
    <cellStyle name="Normal 3 5 2 2 7" xfId="21685"/>
    <cellStyle name="Normal 3 5 2 2 7 2" xfId="26931"/>
    <cellStyle name="Normal 3 5 2 2 8" xfId="24363"/>
    <cellStyle name="Normal 3 5 2 2_DeltaViewer" xfId="8917"/>
    <cellStyle name="Normal 3 5 2 3" xfId="129"/>
    <cellStyle name="Normal 3 5 2 3 2" xfId="284"/>
    <cellStyle name="Normal 3 5 2 3 2 2" xfId="21794"/>
    <cellStyle name="Normal 3 5 2 3 2 2 2" xfId="27031"/>
    <cellStyle name="Normal 3 5 2 3 2 3" xfId="21527"/>
    <cellStyle name="Normal 3 5 2 3 2 4" xfId="24508"/>
    <cellStyle name="Normal 3 5 2 3 3" xfId="8918"/>
    <cellStyle name="Normal 3 5 2 3 4" xfId="8919"/>
    <cellStyle name="Normal 3 5 2 3 5" xfId="8920"/>
    <cellStyle name="Normal 3 5 2 3 6" xfId="21686"/>
    <cellStyle name="Normal 3 5 2 3 6 2" xfId="26932"/>
    <cellStyle name="Normal 3 5 2 3 7" xfId="24364"/>
    <cellStyle name="Normal 3 5 2 3_DeltaViewer" xfId="8921"/>
    <cellStyle name="Normal 3 5 2 4" xfId="282"/>
    <cellStyle name="Normal 3 5 2 4 2" xfId="21792"/>
    <cellStyle name="Normal 3 5 2 4 2 2" xfId="27029"/>
    <cellStyle name="Normal 3 5 2 4 3" xfId="21526"/>
    <cellStyle name="Normal 3 5 2 4 4" xfId="24506"/>
    <cellStyle name="Normal 3 5 2 5" xfId="8922"/>
    <cellStyle name="Normal 3 5 2 6" xfId="8923"/>
    <cellStyle name="Normal 3 5 2 7" xfId="8924"/>
    <cellStyle name="Normal 3 5 2 8" xfId="21684"/>
    <cellStyle name="Normal 3 5 2 8 2" xfId="26930"/>
    <cellStyle name="Normal 3 5 2 9" xfId="24362"/>
    <cellStyle name="Normal 3 5 2_DeltaViewer" xfId="8925"/>
    <cellStyle name="Normal 3 5 3" xfId="130"/>
    <cellStyle name="Normal 3 5 3 10" xfId="24365"/>
    <cellStyle name="Normal 3 5 3 2" xfId="285"/>
    <cellStyle name="Normal 3 5 3 2 2" xfId="8926"/>
    <cellStyle name="Normal 3 5 3 2 2 2" xfId="8927"/>
    <cellStyle name="Normal 3 5 3 2 2 3" xfId="8928"/>
    <cellStyle name="Normal 3 5 3 2 2 4" xfId="8929"/>
    <cellStyle name="Normal 3 5 3 2 2 5" xfId="8930"/>
    <cellStyle name="Normal 3 5 3 2 2_DeltaViewer" xfId="8931"/>
    <cellStyle name="Normal 3 5 3 2 3" xfId="8932"/>
    <cellStyle name="Normal 3 5 3 2 4" xfId="8933"/>
    <cellStyle name="Normal 3 5 3 2 5" xfId="8934"/>
    <cellStyle name="Normal 3 5 3 2 6" xfId="8935"/>
    <cellStyle name="Normal 3 5 3 2 7" xfId="21795"/>
    <cellStyle name="Normal 3 5 3 2 7 2" xfId="27032"/>
    <cellStyle name="Normal 3 5 3 2 8" xfId="24054"/>
    <cellStyle name="Normal 3 5 3 2 8 2" xfId="29285"/>
    <cellStyle name="Normal 3 5 3 2 9" xfId="24509"/>
    <cellStyle name="Normal 3 5 3 2_DeltaViewer" xfId="8936"/>
    <cellStyle name="Normal 3 5 3 3" xfId="8937"/>
    <cellStyle name="Normal 3 5 3 3 2" xfId="8938"/>
    <cellStyle name="Normal 3 5 3 3 3" xfId="8939"/>
    <cellStyle name="Normal 3 5 3 3 4" xfId="8940"/>
    <cellStyle name="Normal 3 5 3 3 5" xfId="8941"/>
    <cellStyle name="Normal 3 5 3 3_DeltaViewer" xfId="8942"/>
    <cellStyle name="Normal 3 5 3 4" xfId="8943"/>
    <cellStyle name="Normal 3 5 3 5" xfId="8944"/>
    <cellStyle name="Normal 3 5 3 6" xfId="8945"/>
    <cellStyle name="Normal 3 5 3 7" xfId="8946"/>
    <cellStyle name="Normal 3 5 3 8" xfId="21687"/>
    <cellStyle name="Normal 3 5 3 8 2" xfId="26933"/>
    <cellStyle name="Normal 3 5 3 9" xfId="24073"/>
    <cellStyle name="Normal 3 5 3 9 2" xfId="29298"/>
    <cellStyle name="Normal 3 5 3_DeltaViewer" xfId="8947"/>
    <cellStyle name="Normal 3 5 4" xfId="131"/>
    <cellStyle name="Normal 3 5 4 10" xfId="24366"/>
    <cellStyle name="Normal 3 5 4 2" xfId="286"/>
    <cellStyle name="Normal 3 5 4 2 2" xfId="8948"/>
    <cellStyle name="Normal 3 5 4 2 2 2" xfId="8949"/>
    <cellStyle name="Normal 3 5 4 2 2 3" xfId="8950"/>
    <cellStyle name="Normal 3 5 4 2 2 4" xfId="8951"/>
    <cellStyle name="Normal 3 5 4 2 2 5" xfId="8952"/>
    <cellStyle name="Normal 3 5 4 2 2_DeltaViewer" xfId="8953"/>
    <cellStyle name="Normal 3 5 4 2 3" xfId="8954"/>
    <cellStyle name="Normal 3 5 4 2 4" xfId="8955"/>
    <cellStyle name="Normal 3 5 4 2 5" xfId="8956"/>
    <cellStyle name="Normal 3 5 4 2 6" xfId="8957"/>
    <cellStyle name="Normal 3 5 4 2 7" xfId="21796"/>
    <cellStyle name="Normal 3 5 4 2 7 2" xfId="27033"/>
    <cellStyle name="Normal 3 5 4 2 8" xfId="24053"/>
    <cellStyle name="Normal 3 5 4 2 8 2" xfId="29284"/>
    <cellStyle name="Normal 3 5 4 2 9" xfId="24510"/>
    <cellStyle name="Normal 3 5 4 2_DeltaViewer" xfId="8958"/>
    <cellStyle name="Normal 3 5 4 3" xfId="8959"/>
    <cellStyle name="Normal 3 5 4 3 2" xfId="8960"/>
    <cellStyle name="Normal 3 5 4 3 3" xfId="8961"/>
    <cellStyle name="Normal 3 5 4 3 4" xfId="8962"/>
    <cellStyle name="Normal 3 5 4 3 5" xfId="8963"/>
    <cellStyle name="Normal 3 5 4 3_DeltaViewer" xfId="8964"/>
    <cellStyle name="Normal 3 5 4 4" xfId="8965"/>
    <cellStyle name="Normal 3 5 4 5" xfId="8966"/>
    <cellStyle name="Normal 3 5 4 6" xfId="8967"/>
    <cellStyle name="Normal 3 5 4 7" xfId="8968"/>
    <cellStyle name="Normal 3 5 4 8" xfId="21688"/>
    <cellStyle name="Normal 3 5 4 8 2" xfId="26934"/>
    <cellStyle name="Normal 3 5 4 9" xfId="24072"/>
    <cellStyle name="Normal 3 5 4 9 2" xfId="29297"/>
    <cellStyle name="Normal 3 5 4_DeltaViewer" xfId="8969"/>
    <cellStyle name="Normal 3 5 5" xfId="281"/>
    <cellStyle name="Normal 3 5 5 2" xfId="8970"/>
    <cellStyle name="Normal 3 5 5 2 2" xfId="8971"/>
    <cellStyle name="Normal 3 5 5 2 3" xfId="8972"/>
    <cellStyle name="Normal 3 5 5 2 4" xfId="8973"/>
    <cellStyle name="Normal 3 5 5 2 5" xfId="8974"/>
    <cellStyle name="Normal 3 5 5 2_DeltaViewer" xfId="8975"/>
    <cellStyle name="Normal 3 5 5 3" xfId="8976"/>
    <cellStyle name="Normal 3 5 5 4" xfId="8977"/>
    <cellStyle name="Normal 3 5 5 5" xfId="8978"/>
    <cellStyle name="Normal 3 5 5 6" xfId="8979"/>
    <cellStyle name="Normal 3 5 5 7" xfId="21791"/>
    <cellStyle name="Normal 3 5 5 7 2" xfId="27028"/>
    <cellStyle name="Normal 3 5 5 8" xfId="24055"/>
    <cellStyle name="Normal 3 5 5 8 2" xfId="29286"/>
    <cellStyle name="Normal 3 5 5 9" xfId="24505"/>
    <cellStyle name="Normal 3 5 5_DeltaViewer" xfId="8980"/>
    <cellStyle name="Normal 3 5 6" xfId="8981"/>
    <cellStyle name="Normal 3 5 6 2" xfId="8982"/>
    <cellStyle name="Normal 3 5 6 2 2" xfId="8983"/>
    <cellStyle name="Normal 3 5 6 2 3" xfId="8984"/>
    <cellStyle name="Normal 3 5 6 2 4" xfId="8985"/>
    <cellStyle name="Normal 3 5 6 2 5" xfId="8986"/>
    <cellStyle name="Normal 3 5 6 2_DeltaViewer" xfId="8987"/>
    <cellStyle name="Normal 3 5 6 3" xfId="8988"/>
    <cellStyle name="Normal 3 5 6 4" xfId="8989"/>
    <cellStyle name="Normal 3 5 6 5" xfId="8990"/>
    <cellStyle name="Normal 3 5 6 6" xfId="8991"/>
    <cellStyle name="Normal 3 5 6_DeltaViewer" xfId="8992"/>
    <cellStyle name="Normal 3 5 7" xfId="8993"/>
    <cellStyle name="Normal 3 5 7 2" xfId="8994"/>
    <cellStyle name="Normal 3 5 7 3" xfId="8995"/>
    <cellStyle name="Normal 3 5 7 4" xfId="8996"/>
    <cellStyle name="Normal 3 5 7 5" xfId="8997"/>
    <cellStyle name="Normal 3 5 7_DeltaViewer" xfId="8998"/>
    <cellStyle name="Normal 3 5 8" xfId="8999"/>
    <cellStyle name="Normal 3 5 9" xfId="9000"/>
    <cellStyle name="Normal 3 5_DeltaViewer" xfId="9001"/>
    <cellStyle name="Normal 3 6" xfId="132"/>
    <cellStyle name="Normal 3 6 10" xfId="9002"/>
    <cellStyle name="Normal 3 6 10 2" xfId="23798"/>
    <cellStyle name="Normal 3 6 10 2 2" xfId="29031"/>
    <cellStyle name="Normal 3 6 10 3" xfId="26519"/>
    <cellStyle name="Normal 3 6 11" xfId="21689"/>
    <cellStyle name="Normal 3 6 11 2" xfId="26935"/>
    <cellStyle name="Normal 3 6 12" xfId="24367"/>
    <cellStyle name="Normal 3 6 2" xfId="133"/>
    <cellStyle name="Normal 3 6 2 10" xfId="24368"/>
    <cellStyle name="Normal 3 6 2 2" xfId="288"/>
    <cellStyle name="Normal 3 6 2 2 2" xfId="9003"/>
    <cellStyle name="Normal 3 6 2 2 2 2" xfId="9004"/>
    <cellStyle name="Normal 3 6 2 2 2 3" xfId="9005"/>
    <cellStyle name="Normal 3 6 2 2 2 4" xfId="9006"/>
    <cellStyle name="Normal 3 6 2 2 2 5" xfId="9007"/>
    <cellStyle name="Normal 3 6 2 2 2_DeltaViewer" xfId="9008"/>
    <cellStyle name="Normal 3 6 2 2 3" xfId="9009"/>
    <cellStyle name="Normal 3 6 2 2 4" xfId="9010"/>
    <cellStyle name="Normal 3 6 2 2 5" xfId="9011"/>
    <cellStyle name="Normal 3 6 2 2 6" xfId="9012"/>
    <cellStyle name="Normal 3 6 2 2 7" xfId="21798"/>
    <cellStyle name="Normal 3 6 2 2 7 2" xfId="27035"/>
    <cellStyle name="Normal 3 6 2 2 8" xfId="24052"/>
    <cellStyle name="Normal 3 6 2 2 8 2" xfId="29283"/>
    <cellStyle name="Normal 3 6 2 2 9" xfId="24512"/>
    <cellStyle name="Normal 3 6 2 2_DeltaViewer" xfId="9013"/>
    <cellStyle name="Normal 3 6 2 3" xfId="9014"/>
    <cellStyle name="Normal 3 6 2 3 2" xfId="9015"/>
    <cellStyle name="Normal 3 6 2 3 3" xfId="9016"/>
    <cellStyle name="Normal 3 6 2 3 4" xfId="9017"/>
    <cellStyle name="Normal 3 6 2 3 5" xfId="9018"/>
    <cellStyle name="Normal 3 6 2 3_DeltaViewer" xfId="9019"/>
    <cellStyle name="Normal 3 6 2 4" xfId="9020"/>
    <cellStyle name="Normal 3 6 2 5" xfId="9021"/>
    <cellStyle name="Normal 3 6 2 6" xfId="9022"/>
    <cellStyle name="Normal 3 6 2 7" xfId="9023"/>
    <cellStyle name="Normal 3 6 2 8" xfId="21690"/>
    <cellStyle name="Normal 3 6 2 8 2" xfId="26936"/>
    <cellStyle name="Normal 3 6 2 9" xfId="24071"/>
    <cellStyle name="Normal 3 6 2 9 2" xfId="29296"/>
    <cellStyle name="Normal 3 6 2_DeltaViewer" xfId="9024"/>
    <cellStyle name="Normal 3 6 3" xfId="134"/>
    <cellStyle name="Normal 3 6 3 2" xfId="289"/>
    <cellStyle name="Normal 3 6 3 2 2" xfId="9025"/>
    <cellStyle name="Normal 3 6 3 2 3" xfId="9026"/>
    <cellStyle name="Normal 3 6 3 2 4" xfId="9027"/>
    <cellStyle name="Normal 3 6 3 2 5" xfId="9028"/>
    <cellStyle name="Normal 3 6 3 2 6" xfId="21799"/>
    <cellStyle name="Normal 3 6 3 2 6 2" xfId="27036"/>
    <cellStyle name="Normal 3 6 3 2 7" xfId="24513"/>
    <cellStyle name="Normal 3 6 3 2_DeltaViewer" xfId="9029"/>
    <cellStyle name="Normal 3 6 3 3" xfId="9030"/>
    <cellStyle name="Normal 3 6 3 4" xfId="9031"/>
    <cellStyle name="Normal 3 6 3 5" xfId="9032"/>
    <cellStyle name="Normal 3 6 3 6" xfId="9033"/>
    <cellStyle name="Normal 3 6 3 7" xfId="21691"/>
    <cellStyle name="Normal 3 6 3 7 2" xfId="26937"/>
    <cellStyle name="Normal 3 6 3 8" xfId="24369"/>
    <cellStyle name="Normal 3 6 3_DeltaViewer" xfId="9034"/>
    <cellStyle name="Normal 3 6 4" xfId="287"/>
    <cellStyle name="Normal 3 6 4 2" xfId="9035"/>
    <cellStyle name="Normal 3 6 4 3" xfId="9036"/>
    <cellStyle name="Normal 3 6 4 4" xfId="9037"/>
    <cellStyle name="Normal 3 6 4 5" xfId="9038"/>
    <cellStyle name="Normal 3 6 4 6" xfId="21797"/>
    <cellStyle name="Normal 3 6 4 6 2" xfId="27034"/>
    <cellStyle name="Normal 3 6 4 7" xfId="24511"/>
    <cellStyle name="Normal 3 6 4_DeltaViewer" xfId="9039"/>
    <cellStyle name="Normal 3 6 5" xfId="9040"/>
    <cellStyle name="Normal 3 6 6" xfId="9041"/>
    <cellStyle name="Normal 3 6 7" xfId="9042"/>
    <cellStyle name="Normal 3 6 8" xfId="9043"/>
    <cellStyle name="Normal 3 6 9" xfId="9044"/>
    <cellStyle name="Normal 3 6_DeltaViewer" xfId="9045"/>
    <cellStyle name="Normal 3 7" xfId="135"/>
    <cellStyle name="Normal 3 7 10" xfId="24370"/>
    <cellStyle name="Normal 3 7 2" xfId="290"/>
    <cellStyle name="Normal 3 7 2 2" xfId="9046"/>
    <cellStyle name="Normal 3 7 2 2 2" xfId="9047"/>
    <cellStyle name="Normal 3 7 2 2 3" xfId="9048"/>
    <cellStyle name="Normal 3 7 2 2 4" xfId="9049"/>
    <cellStyle name="Normal 3 7 2 2 5" xfId="9050"/>
    <cellStyle name="Normal 3 7 2 2_DeltaViewer" xfId="9051"/>
    <cellStyle name="Normal 3 7 2 3" xfId="9052"/>
    <cellStyle name="Normal 3 7 2 4" xfId="9053"/>
    <cellStyle name="Normal 3 7 2 5" xfId="9054"/>
    <cellStyle name="Normal 3 7 2 6" xfId="9055"/>
    <cellStyle name="Normal 3 7 2 7" xfId="21800"/>
    <cellStyle name="Normal 3 7 2 7 2" xfId="27037"/>
    <cellStyle name="Normal 3 7 2 8" xfId="24051"/>
    <cellStyle name="Normal 3 7 2 8 2" xfId="29282"/>
    <cellStyle name="Normal 3 7 2 9" xfId="24514"/>
    <cellStyle name="Normal 3 7 2_DeltaViewer" xfId="9056"/>
    <cellStyle name="Normal 3 7 3" xfId="9057"/>
    <cellStyle name="Normal 3 7 3 2" xfId="9058"/>
    <cellStyle name="Normal 3 7 3 3" xfId="9059"/>
    <cellStyle name="Normal 3 7 3 4" xfId="9060"/>
    <cellStyle name="Normal 3 7 3 5" xfId="9061"/>
    <cellStyle name="Normal 3 7 3_DeltaViewer" xfId="9062"/>
    <cellStyle name="Normal 3 7 4" xfId="9063"/>
    <cellStyle name="Normal 3 7 5" xfId="9064"/>
    <cellStyle name="Normal 3 7 6" xfId="9065"/>
    <cellStyle name="Normal 3 7 7" xfId="9066"/>
    <cellStyle name="Normal 3 7 8" xfId="21692"/>
    <cellStyle name="Normal 3 7 8 2" xfId="26938"/>
    <cellStyle name="Normal 3 7 9" xfId="24070"/>
    <cellStyle name="Normal 3 7 9 2" xfId="29295"/>
    <cellStyle name="Normal 3 7_DeltaViewer" xfId="9067"/>
    <cellStyle name="Normal 3 8" xfId="136"/>
    <cellStyle name="Normal 3 8 10" xfId="24371"/>
    <cellStyle name="Normal 3 8 2" xfId="291"/>
    <cellStyle name="Normal 3 8 2 2" xfId="9068"/>
    <cellStyle name="Normal 3 8 2 2 2" xfId="9069"/>
    <cellStyle name="Normal 3 8 2 2 3" xfId="9070"/>
    <cellStyle name="Normal 3 8 2 2 4" xfId="9071"/>
    <cellStyle name="Normal 3 8 2 2 5" xfId="9072"/>
    <cellStyle name="Normal 3 8 2 2_DeltaViewer" xfId="9073"/>
    <cellStyle name="Normal 3 8 2 3" xfId="9074"/>
    <cellStyle name="Normal 3 8 2 4" xfId="9075"/>
    <cellStyle name="Normal 3 8 2 5" xfId="9076"/>
    <cellStyle name="Normal 3 8 2 6" xfId="9077"/>
    <cellStyle name="Normal 3 8 2 7" xfId="21801"/>
    <cellStyle name="Normal 3 8 2 7 2" xfId="27038"/>
    <cellStyle name="Normal 3 8 2 8" xfId="24050"/>
    <cellStyle name="Normal 3 8 2 8 2" xfId="29281"/>
    <cellStyle name="Normal 3 8 2 9" xfId="24515"/>
    <cellStyle name="Normal 3 8 2_DeltaViewer" xfId="9078"/>
    <cellStyle name="Normal 3 8 3" xfId="9079"/>
    <cellStyle name="Normal 3 8 3 2" xfId="9080"/>
    <cellStyle name="Normal 3 8 3 3" xfId="9081"/>
    <cellStyle name="Normal 3 8 3 4" xfId="9082"/>
    <cellStyle name="Normal 3 8 3 5" xfId="9083"/>
    <cellStyle name="Normal 3 8 3_DeltaViewer" xfId="9084"/>
    <cellStyle name="Normal 3 8 4" xfId="9085"/>
    <cellStyle name="Normal 3 8 5" xfId="9086"/>
    <cellStyle name="Normal 3 8 6" xfId="9087"/>
    <cellStyle name="Normal 3 8 7" xfId="9088"/>
    <cellStyle name="Normal 3 8 8" xfId="21693"/>
    <cellStyle name="Normal 3 8 8 2" xfId="26939"/>
    <cellStyle name="Normal 3 8 9" xfId="24069"/>
    <cellStyle name="Normal 3 8 9 2" xfId="29294"/>
    <cellStyle name="Normal 3 8_DeltaViewer" xfId="9089"/>
    <cellStyle name="Normal 3 9" xfId="244"/>
    <cellStyle name="Normal 3 9 10" xfId="24468"/>
    <cellStyle name="Normal 3 9 2" xfId="9090"/>
    <cellStyle name="Normal 3 9 2 2" xfId="9091"/>
    <cellStyle name="Normal 3 9 2 2 2" xfId="9092"/>
    <cellStyle name="Normal 3 9 2 2 3" xfId="9093"/>
    <cellStyle name="Normal 3 9 2 2 4" xfId="9094"/>
    <cellStyle name="Normal 3 9 2 2 5" xfId="9095"/>
    <cellStyle name="Normal 3 9 2 2_DeltaViewer" xfId="9096"/>
    <cellStyle name="Normal 3 9 2 3" xfId="9097"/>
    <cellStyle name="Normal 3 9 2 4" xfId="9098"/>
    <cellStyle name="Normal 3 9 2 5" xfId="9099"/>
    <cellStyle name="Normal 3 9 2 6" xfId="9100"/>
    <cellStyle name="Normal 3 9 2_DeltaViewer" xfId="9101"/>
    <cellStyle name="Normal 3 9 3" xfId="9102"/>
    <cellStyle name="Normal 3 9 3 2" xfId="9103"/>
    <cellStyle name="Normal 3 9 3 3" xfId="9104"/>
    <cellStyle name="Normal 3 9 3 4" xfId="9105"/>
    <cellStyle name="Normal 3 9 3 5" xfId="9106"/>
    <cellStyle name="Normal 3 9 3_DeltaViewer" xfId="9107"/>
    <cellStyle name="Normal 3 9 4" xfId="9108"/>
    <cellStyle name="Normal 3 9 5" xfId="9109"/>
    <cellStyle name="Normal 3 9 6" xfId="9110"/>
    <cellStyle name="Normal 3 9 7" xfId="9111"/>
    <cellStyle name="Normal 3 9 8" xfId="21780"/>
    <cellStyle name="Normal 3 9 8 2" xfId="27017"/>
    <cellStyle name="Normal 3 9 9" xfId="24058"/>
    <cellStyle name="Normal 3 9 9 2" xfId="29289"/>
    <cellStyle name="Normal 3 9_DeltaViewer" xfId="9112"/>
    <cellStyle name="Normal 3_deltas" xfId="137"/>
    <cellStyle name="Normal 30" xfId="9113"/>
    <cellStyle name="Normal 30 2" xfId="9114"/>
    <cellStyle name="Normal 30 2 10" xfId="26520"/>
    <cellStyle name="Normal 30 2 2" xfId="9115"/>
    <cellStyle name="Normal 30 2 2 2" xfId="9116"/>
    <cellStyle name="Normal 30 2 2 2 2" xfId="9117"/>
    <cellStyle name="Normal 30 2 2 2 2 2" xfId="9118"/>
    <cellStyle name="Normal 30 2 2 2 2 2 2" xfId="23803"/>
    <cellStyle name="Normal 30 2 2 2 2 2 2 2" xfId="29036"/>
    <cellStyle name="Normal 30 2 2 2 2 2 3" xfId="26524"/>
    <cellStyle name="Normal 30 2 2 2 2 3" xfId="23802"/>
    <cellStyle name="Normal 30 2 2 2 2 3 2" xfId="29035"/>
    <cellStyle name="Normal 30 2 2 2 2 4" xfId="26523"/>
    <cellStyle name="Normal 30 2 2 2 3" xfId="9119"/>
    <cellStyle name="Normal 30 2 2 2 3 2" xfId="23804"/>
    <cellStyle name="Normal 30 2 2 2 3 2 2" xfId="29037"/>
    <cellStyle name="Normal 30 2 2 2 3 3" xfId="26525"/>
    <cellStyle name="Normal 30 2 2 2 4" xfId="23801"/>
    <cellStyle name="Normal 30 2 2 2 4 2" xfId="29034"/>
    <cellStyle name="Normal 30 2 2 2 5" xfId="26522"/>
    <cellStyle name="Normal 30 2 2 2_DeltaViewer" xfId="9120"/>
    <cellStyle name="Normal 30 2 2 3" xfId="9121"/>
    <cellStyle name="Normal 30 2 2 3 2" xfId="9122"/>
    <cellStyle name="Normal 30 2 2 3 2 2" xfId="23806"/>
    <cellStyle name="Normal 30 2 2 3 2 2 2" xfId="29039"/>
    <cellStyle name="Normal 30 2 2 3 2 3" xfId="26527"/>
    <cellStyle name="Normal 30 2 2 3 3" xfId="23805"/>
    <cellStyle name="Normal 30 2 2 3 3 2" xfId="29038"/>
    <cellStyle name="Normal 30 2 2 3 4" xfId="26526"/>
    <cellStyle name="Normal 30 2 2 4" xfId="9123"/>
    <cellStyle name="Normal 30 2 2 4 2" xfId="23807"/>
    <cellStyle name="Normal 30 2 2 4 2 2" xfId="29040"/>
    <cellStyle name="Normal 30 2 2 4 3" xfId="26528"/>
    <cellStyle name="Normal 30 2 2 5" xfId="23800"/>
    <cellStyle name="Normal 30 2 2 5 2" xfId="29033"/>
    <cellStyle name="Normal 30 2 2 6" xfId="26521"/>
    <cellStyle name="Normal 30 2 2_DeltaViewer" xfId="9124"/>
    <cellStyle name="Normal 30 2 3" xfId="9125"/>
    <cellStyle name="Normal 30 2 3 2" xfId="9126"/>
    <cellStyle name="Normal 30 2 3 2 2" xfId="9127"/>
    <cellStyle name="Normal 30 2 3 2 2 2" xfId="9128"/>
    <cellStyle name="Normal 30 2 3 2 2 2 2" xfId="23811"/>
    <cellStyle name="Normal 30 2 3 2 2 2 2 2" xfId="29044"/>
    <cellStyle name="Normal 30 2 3 2 2 2 3" xfId="26532"/>
    <cellStyle name="Normal 30 2 3 2 2 3" xfId="23810"/>
    <cellStyle name="Normal 30 2 3 2 2 3 2" xfId="29043"/>
    <cellStyle name="Normal 30 2 3 2 2 4" xfId="26531"/>
    <cellStyle name="Normal 30 2 3 2 3" xfId="9129"/>
    <cellStyle name="Normal 30 2 3 2 3 2" xfId="23812"/>
    <cellStyle name="Normal 30 2 3 2 3 2 2" xfId="29045"/>
    <cellStyle name="Normal 30 2 3 2 3 3" xfId="26533"/>
    <cellStyle name="Normal 30 2 3 2 4" xfId="23809"/>
    <cellStyle name="Normal 30 2 3 2 4 2" xfId="29042"/>
    <cellStyle name="Normal 30 2 3 2 5" xfId="26530"/>
    <cellStyle name="Normal 30 2 3 2_DeltaViewer" xfId="9130"/>
    <cellStyle name="Normal 30 2 3 3" xfId="9131"/>
    <cellStyle name="Normal 30 2 3 3 2" xfId="9132"/>
    <cellStyle name="Normal 30 2 3 3 2 2" xfId="23814"/>
    <cellStyle name="Normal 30 2 3 3 2 2 2" xfId="29047"/>
    <cellStyle name="Normal 30 2 3 3 2 3" xfId="26535"/>
    <cellStyle name="Normal 30 2 3 3 3" xfId="23813"/>
    <cellStyle name="Normal 30 2 3 3 3 2" xfId="29046"/>
    <cellStyle name="Normal 30 2 3 3 4" xfId="26534"/>
    <cellStyle name="Normal 30 2 3 4" xfId="9133"/>
    <cellStyle name="Normal 30 2 3 4 2" xfId="23815"/>
    <cellStyle name="Normal 30 2 3 4 2 2" xfId="29048"/>
    <cellStyle name="Normal 30 2 3 4 3" xfId="26536"/>
    <cellStyle name="Normal 30 2 3 5" xfId="23808"/>
    <cellStyle name="Normal 30 2 3 5 2" xfId="29041"/>
    <cellStyle name="Normal 30 2 3 6" xfId="26529"/>
    <cellStyle name="Normal 30 2 3_DeltaViewer" xfId="9134"/>
    <cellStyle name="Normal 30 2 4" xfId="9135"/>
    <cellStyle name="Normal 30 2 4 2" xfId="9136"/>
    <cellStyle name="Normal 30 2 4 2 2" xfId="9137"/>
    <cellStyle name="Normal 30 2 4 2 2 2" xfId="9138"/>
    <cellStyle name="Normal 30 2 4 2 2 2 2" xfId="23819"/>
    <cellStyle name="Normal 30 2 4 2 2 2 2 2" xfId="29052"/>
    <cellStyle name="Normal 30 2 4 2 2 2 3" xfId="26540"/>
    <cellStyle name="Normal 30 2 4 2 2 3" xfId="23818"/>
    <cellStyle name="Normal 30 2 4 2 2 3 2" xfId="29051"/>
    <cellStyle name="Normal 30 2 4 2 2 4" xfId="26539"/>
    <cellStyle name="Normal 30 2 4 2 3" xfId="9139"/>
    <cellStyle name="Normal 30 2 4 2 3 2" xfId="23820"/>
    <cellStyle name="Normal 30 2 4 2 3 2 2" xfId="29053"/>
    <cellStyle name="Normal 30 2 4 2 3 3" xfId="26541"/>
    <cellStyle name="Normal 30 2 4 2 4" xfId="23817"/>
    <cellStyle name="Normal 30 2 4 2 4 2" xfId="29050"/>
    <cellStyle name="Normal 30 2 4 2 5" xfId="26538"/>
    <cellStyle name="Normal 30 2 4 2_DeltaViewer" xfId="9140"/>
    <cellStyle name="Normal 30 2 4 3" xfId="9141"/>
    <cellStyle name="Normal 30 2 4 3 2" xfId="9142"/>
    <cellStyle name="Normal 30 2 4 3 2 2" xfId="23822"/>
    <cellStyle name="Normal 30 2 4 3 2 2 2" xfId="29055"/>
    <cellStyle name="Normal 30 2 4 3 2 3" xfId="26543"/>
    <cellStyle name="Normal 30 2 4 3 3" xfId="23821"/>
    <cellStyle name="Normal 30 2 4 3 3 2" xfId="29054"/>
    <cellStyle name="Normal 30 2 4 3 4" xfId="26542"/>
    <cellStyle name="Normal 30 2 4 4" xfId="9143"/>
    <cellStyle name="Normal 30 2 4 4 2" xfId="23823"/>
    <cellStyle name="Normal 30 2 4 4 2 2" xfId="29056"/>
    <cellStyle name="Normal 30 2 4 4 3" xfId="26544"/>
    <cellStyle name="Normal 30 2 4 5" xfId="23816"/>
    <cellStyle name="Normal 30 2 4 5 2" xfId="29049"/>
    <cellStyle name="Normal 30 2 4 6" xfId="26537"/>
    <cellStyle name="Normal 30 2 4_DeltaViewer" xfId="9144"/>
    <cellStyle name="Normal 30 2 5" xfId="9145"/>
    <cellStyle name="Normal 30 2 5 2" xfId="9146"/>
    <cellStyle name="Normal 30 2 5 2 2" xfId="9147"/>
    <cellStyle name="Normal 30 2 5 2 2 2" xfId="23826"/>
    <cellStyle name="Normal 30 2 5 2 2 2 2" xfId="29059"/>
    <cellStyle name="Normal 30 2 5 2 2 3" xfId="26547"/>
    <cellStyle name="Normal 30 2 5 2 3" xfId="23825"/>
    <cellStyle name="Normal 30 2 5 2 3 2" xfId="29058"/>
    <cellStyle name="Normal 30 2 5 2 4" xfId="26546"/>
    <cellStyle name="Normal 30 2 5 3" xfId="9148"/>
    <cellStyle name="Normal 30 2 5 3 2" xfId="23827"/>
    <cellStyle name="Normal 30 2 5 3 2 2" xfId="29060"/>
    <cellStyle name="Normal 30 2 5 3 3" xfId="26548"/>
    <cellStyle name="Normal 30 2 5 4" xfId="23824"/>
    <cellStyle name="Normal 30 2 5 4 2" xfId="29057"/>
    <cellStyle name="Normal 30 2 5 5" xfId="26545"/>
    <cellStyle name="Normal 30 2 5_DeltaViewer" xfId="9149"/>
    <cellStyle name="Normal 30 2 6" xfId="9150"/>
    <cellStyle name="Normal 30 2 6 2" xfId="9151"/>
    <cellStyle name="Normal 30 2 6 2 2" xfId="23829"/>
    <cellStyle name="Normal 30 2 6 2 2 2" xfId="29062"/>
    <cellStyle name="Normal 30 2 6 2 3" xfId="26550"/>
    <cellStyle name="Normal 30 2 6 3" xfId="23828"/>
    <cellStyle name="Normal 30 2 6 3 2" xfId="29061"/>
    <cellStyle name="Normal 30 2 6 4" xfId="26549"/>
    <cellStyle name="Normal 30 2 7" xfId="9152"/>
    <cellStyle name="Normal 30 2 7 2" xfId="9153"/>
    <cellStyle name="Normal 30 2 7 2 2" xfId="23831"/>
    <cellStyle name="Normal 30 2 7 2 2 2" xfId="29064"/>
    <cellStyle name="Normal 30 2 7 2 3" xfId="26552"/>
    <cellStyle name="Normal 30 2 7 3" xfId="23830"/>
    <cellStyle name="Normal 30 2 7 3 2" xfId="29063"/>
    <cellStyle name="Normal 30 2 7 4" xfId="26551"/>
    <cellStyle name="Normal 30 2 8" xfId="9154"/>
    <cellStyle name="Normal 30 2 8 2" xfId="23832"/>
    <cellStyle name="Normal 30 2 8 2 2" xfId="29065"/>
    <cellStyle name="Normal 30 2 8 3" xfId="26553"/>
    <cellStyle name="Normal 30 2 9" xfId="23799"/>
    <cellStyle name="Normal 30 2 9 2" xfId="29032"/>
    <cellStyle name="Normal 30 2_DeltaViewer" xfId="9155"/>
    <cellStyle name="Normal 30 3" xfId="9156"/>
    <cellStyle name="Normal 30 4" xfId="9157"/>
    <cellStyle name="Normal 30 5" xfId="9158"/>
    <cellStyle name="Normal 30 6" xfId="9159"/>
    <cellStyle name="Normal 30_DeltaViewer" xfId="9160"/>
    <cellStyle name="Normal 31" xfId="9161"/>
    <cellStyle name="Normal 31 2" xfId="9162"/>
    <cellStyle name="Normal 31 3" xfId="9163"/>
    <cellStyle name="Normal 31 4" xfId="9164"/>
    <cellStyle name="Normal 31 5" xfId="9165"/>
    <cellStyle name="Normal 31_DeltaViewer" xfId="9166"/>
    <cellStyle name="Normal 32" xfId="9167"/>
    <cellStyle name="Normal 32 2" xfId="9168"/>
    <cellStyle name="Normal 32 3" xfId="9169"/>
    <cellStyle name="Normal 32 4" xfId="9170"/>
    <cellStyle name="Normal 32 5" xfId="9171"/>
    <cellStyle name="Normal 32_DeltaViewer" xfId="9172"/>
    <cellStyle name="Normal 33" xfId="9173"/>
    <cellStyle name="Normal 33 2" xfId="9174"/>
    <cellStyle name="Normal 33 3" xfId="9175"/>
    <cellStyle name="Normal 33 4" xfId="9176"/>
    <cellStyle name="Normal 33 5" xfId="9177"/>
    <cellStyle name="Normal 33_DeltaViewer" xfId="9178"/>
    <cellStyle name="Normal 34" xfId="9179"/>
    <cellStyle name="Normal 34 2" xfId="9180"/>
    <cellStyle name="Normal 34 3" xfId="9181"/>
    <cellStyle name="Normal 34 4" xfId="9182"/>
    <cellStyle name="Normal 34 5" xfId="9183"/>
    <cellStyle name="Normal 34_DeltaViewer" xfId="9184"/>
    <cellStyle name="Normal 35" xfId="9185"/>
    <cellStyle name="Normal 35 2" xfId="9186"/>
    <cellStyle name="Normal 35 3" xfId="9187"/>
    <cellStyle name="Normal 35 4" xfId="9188"/>
    <cellStyle name="Normal 35 5" xfId="9189"/>
    <cellStyle name="Normal 35_DeltaViewer" xfId="9190"/>
    <cellStyle name="Normal 36" xfId="9191"/>
    <cellStyle name="Normal 36 2" xfId="9192"/>
    <cellStyle name="Normal 36 3" xfId="9193"/>
    <cellStyle name="Normal 36 4" xfId="9194"/>
    <cellStyle name="Normal 36 5" xfId="9195"/>
    <cellStyle name="Normal 36_DeltaViewer" xfId="9196"/>
    <cellStyle name="Normal 37" xfId="9197"/>
    <cellStyle name="Normal 37 2" xfId="9198"/>
    <cellStyle name="Normal 37 3" xfId="9199"/>
    <cellStyle name="Normal 37 4" xfId="9200"/>
    <cellStyle name="Normal 37 5" xfId="9201"/>
    <cellStyle name="Normal 37_DeltaViewer" xfId="9202"/>
    <cellStyle name="Normal 38" xfId="9203"/>
    <cellStyle name="Normal 38 2" xfId="9204"/>
    <cellStyle name="Normal 38 3" xfId="9205"/>
    <cellStyle name="Normal 38 4" xfId="9206"/>
    <cellStyle name="Normal 38 5" xfId="9207"/>
    <cellStyle name="Normal 38_DeltaViewer" xfId="9208"/>
    <cellStyle name="Normal 39" xfId="9209"/>
    <cellStyle name="Normal 39 2" xfId="9210"/>
    <cellStyle name="Normal 39 3" xfId="9211"/>
    <cellStyle name="Normal 39 4" xfId="9212"/>
    <cellStyle name="Normal 39 5" xfId="9213"/>
    <cellStyle name="Normal 39_DeltaViewer" xfId="9214"/>
    <cellStyle name="Normal 4" xfId="138"/>
    <cellStyle name="Normal 4 10" xfId="9215"/>
    <cellStyle name="Normal 4 10 2" xfId="9216"/>
    <cellStyle name="Normal 4 10 2 2" xfId="9217"/>
    <cellStyle name="Normal 4 10 2 3" xfId="9218"/>
    <cellStyle name="Normal 4 10 2 4" xfId="9219"/>
    <cellStyle name="Normal 4 10 2 5" xfId="9220"/>
    <cellStyle name="Normal 4 10 2_DeltaViewer" xfId="9221"/>
    <cellStyle name="Normal 4 10 3" xfId="9222"/>
    <cellStyle name="Normal 4 10 4" xfId="9223"/>
    <cellStyle name="Normal 4 10 5" xfId="9224"/>
    <cellStyle name="Normal 4 10 6" xfId="9225"/>
    <cellStyle name="Normal 4 10_DeltaViewer" xfId="9226"/>
    <cellStyle name="Normal 4 11" xfId="9227"/>
    <cellStyle name="Normal 4 11 2" xfId="9228"/>
    <cellStyle name="Normal 4 11 2 2" xfId="9229"/>
    <cellStyle name="Normal 4 11 2 3" xfId="9230"/>
    <cellStyle name="Normal 4 11 2 4" xfId="9231"/>
    <cellStyle name="Normal 4 11 2 5" xfId="9232"/>
    <cellStyle name="Normal 4 11 2_DeltaViewer" xfId="9233"/>
    <cellStyle name="Normal 4 11 3" xfId="9234"/>
    <cellStyle name="Normal 4 11 4" xfId="9235"/>
    <cellStyle name="Normal 4 11 5" xfId="9236"/>
    <cellStyle name="Normal 4 11 6" xfId="9237"/>
    <cellStyle name="Normal 4 11_DeltaViewer" xfId="9238"/>
    <cellStyle name="Normal 4 12" xfId="9239"/>
    <cellStyle name="Normal 4 12 2" xfId="9240"/>
    <cellStyle name="Normal 4 12 2 2" xfId="9241"/>
    <cellStyle name="Normal 4 12 2 3" xfId="9242"/>
    <cellStyle name="Normal 4 12 2 4" xfId="9243"/>
    <cellStyle name="Normal 4 12 2 5" xfId="9244"/>
    <cellStyle name="Normal 4 12 2_DeltaViewer" xfId="9245"/>
    <cellStyle name="Normal 4 12 3" xfId="9246"/>
    <cellStyle name="Normal 4 12 4" xfId="9247"/>
    <cellStyle name="Normal 4 12 5" xfId="9248"/>
    <cellStyle name="Normal 4 12 6" xfId="9249"/>
    <cellStyle name="Normal 4 12_DeltaViewer" xfId="9250"/>
    <cellStyle name="Normal 4 13" xfId="9251"/>
    <cellStyle name="Normal 4 13 2" xfId="9252"/>
    <cellStyle name="Normal 4 13 2 2" xfId="9253"/>
    <cellStyle name="Normal 4 13 2 3" xfId="9254"/>
    <cellStyle name="Normal 4 13 2 4" xfId="9255"/>
    <cellStyle name="Normal 4 13 2 5" xfId="9256"/>
    <cellStyle name="Normal 4 13 2_DeltaViewer" xfId="9257"/>
    <cellStyle name="Normal 4 13 3" xfId="9258"/>
    <cellStyle name="Normal 4 13 4" xfId="9259"/>
    <cellStyle name="Normal 4 13 5" xfId="9260"/>
    <cellStyle name="Normal 4 13 6" xfId="9261"/>
    <cellStyle name="Normal 4 13_DeltaViewer" xfId="9262"/>
    <cellStyle name="Normal 4 14" xfId="9263"/>
    <cellStyle name="Normal 4 14 2" xfId="9264"/>
    <cellStyle name="Normal 4 14 2 2" xfId="9265"/>
    <cellStyle name="Normal 4 14 2 2 2" xfId="9266"/>
    <cellStyle name="Normal 4 14 2 2 3" xfId="9267"/>
    <cellStyle name="Normal 4 14 2 2 4" xfId="9268"/>
    <cellStyle name="Normal 4 14 2 2 5" xfId="9269"/>
    <cellStyle name="Normal 4 14 2 2_DeltaViewer" xfId="9270"/>
    <cellStyle name="Normal 4 14 2 3" xfId="9271"/>
    <cellStyle name="Normal 4 14 2 4" xfId="9272"/>
    <cellStyle name="Normal 4 14 2 5" xfId="9273"/>
    <cellStyle name="Normal 4 14 2 6" xfId="9274"/>
    <cellStyle name="Normal 4 14 2_DeltaViewer" xfId="9275"/>
    <cellStyle name="Normal 4 14 3" xfId="9276"/>
    <cellStyle name="Normal 4 14 3 2" xfId="9277"/>
    <cellStyle name="Normal 4 14 3 3" xfId="9278"/>
    <cellStyle name="Normal 4 14 3 4" xfId="9279"/>
    <cellStyle name="Normal 4 14 3 5" xfId="9280"/>
    <cellStyle name="Normal 4 14 3_DeltaViewer" xfId="9281"/>
    <cellStyle name="Normal 4 14 4" xfId="9282"/>
    <cellStyle name="Normal 4 14 5" xfId="9283"/>
    <cellStyle name="Normal 4 14 6" xfId="9284"/>
    <cellStyle name="Normal 4 14 7" xfId="9285"/>
    <cellStyle name="Normal 4 14_DeltaViewer" xfId="9286"/>
    <cellStyle name="Normal 4 15" xfId="9287"/>
    <cellStyle name="Normal 4 15 2" xfId="9288"/>
    <cellStyle name="Normal 4 15 2 2" xfId="9289"/>
    <cellStyle name="Normal 4 15 2 2 2" xfId="9290"/>
    <cellStyle name="Normal 4 15 2 2 3" xfId="9291"/>
    <cellStyle name="Normal 4 15 2 2 4" xfId="9292"/>
    <cellStyle name="Normal 4 15 2 2 5" xfId="9293"/>
    <cellStyle name="Normal 4 15 2 2_DeltaViewer" xfId="9294"/>
    <cellStyle name="Normal 4 15 2 3" xfId="9295"/>
    <cellStyle name="Normal 4 15 2 4" xfId="9296"/>
    <cellStyle name="Normal 4 15 2 5" xfId="9297"/>
    <cellStyle name="Normal 4 15 2 6" xfId="9298"/>
    <cellStyle name="Normal 4 15 2_DeltaViewer" xfId="9299"/>
    <cellStyle name="Normal 4 15 3" xfId="9300"/>
    <cellStyle name="Normal 4 15 3 2" xfId="9301"/>
    <cellStyle name="Normal 4 15 3 3" xfId="9302"/>
    <cellStyle name="Normal 4 15 3 4" xfId="9303"/>
    <cellStyle name="Normal 4 15 3 5" xfId="9304"/>
    <cellStyle name="Normal 4 15 3_DeltaViewer" xfId="9305"/>
    <cellStyle name="Normal 4 15 4" xfId="9306"/>
    <cellStyle name="Normal 4 15 5" xfId="9307"/>
    <cellStyle name="Normal 4 15 6" xfId="9308"/>
    <cellStyle name="Normal 4 15 7" xfId="9309"/>
    <cellStyle name="Normal 4 15_DeltaViewer" xfId="9310"/>
    <cellStyle name="Normal 4 16" xfId="9311"/>
    <cellStyle name="Normal 4 16 2" xfId="9312"/>
    <cellStyle name="Normal 4 16 2 2" xfId="9313"/>
    <cellStyle name="Normal 4 16 2 2 2" xfId="9314"/>
    <cellStyle name="Normal 4 16 2 2 3" xfId="9315"/>
    <cellStyle name="Normal 4 16 2 2 4" xfId="9316"/>
    <cellStyle name="Normal 4 16 2 2 5" xfId="9317"/>
    <cellStyle name="Normal 4 16 2 2_DeltaViewer" xfId="9318"/>
    <cellStyle name="Normal 4 16 2 3" xfId="9319"/>
    <cellStyle name="Normal 4 16 2 4" xfId="9320"/>
    <cellStyle name="Normal 4 16 2 5" xfId="9321"/>
    <cellStyle name="Normal 4 16 2 6" xfId="9322"/>
    <cellStyle name="Normal 4 16 2_DeltaViewer" xfId="9323"/>
    <cellStyle name="Normal 4 16 3" xfId="9324"/>
    <cellStyle name="Normal 4 16 3 2" xfId="9325"/>
    <cellStyle name="Normal 4 16 3 3" xfId="9326"/>
    <cellStyle name="Normal 4 16 3 4" xfId="9327"/>
    <cellStyle name="Normal 4 16 3 5" xfId="9328"/>
    <cellStyle name="Normal 4 16 3_DeltaViewer" xfId="9329"/>
    <cellStyle name="Normal 4 16 4" xfId="9330"/>
    <cellStyle name="Normal 4 16 5" xfId="9331"/>
    <cellStyle name="Normal 4 16 6" xfId="9332"/>
    <cellStyle name="Normal 4 16 7" xfId="9333"/>
    <cellStyle name="Normal 4 16_DeltaViewer" xfId="9334"/>
    <cellStyle name="Normal 4 17" xfId="9335"/>
    <cellStyle name="Normal 4 17 2" xfId="9336"/>
    <cellStyle name="Normal 4 17 2 2" xfId="9337"/>
    <cellStyle name="Normal 4 17 2 3" xfId="9338"/>
    <cellStyle name="Normal 4 17 2 4" xfId="9339"/>
    <cellStyle name="Normal 4 17 2 5" xfId="9340"/>
    <cellStyle name="Normal 4 17 2_DeltaViewer" xfId="9341"/>
    <cellStyle name="Normal 4 17 3" xfId="9342"/>
    <cellStyle name="Normal 4 17 4" xfId="9343"/>
    <cellStyle name="Normal 4 17 5" xfId="9344"/>
    <cellStyle name="Normal 4 17 6" xfId="9345"/>
    <cellStyle name="Normal 4 17_DeltaViewer" xfId="9346"/>
    <cellStyle name="Normal 4 18" xfId="9347"/>
    <cellStyle name="Normal 4 18 2" xfId="9348"/>
    <cellStyle name="Normal 4 18 3" xfId="9349"/>
    <cellStyle name="Normal 4 18 4" xfId="9350"/>
    <cellStyle name="Normal 4 18 5" xfId="9351"/>
    <cellStyle name="Normal 4 18_DeltaViewer" xfId="9352"/>
    <cellStyle name="Normal 4 19" xfId="9353"/>
    <cellStyle name="Normal 4 2" xfId="9354"/>
    <cellStyle name="Normal 4 2 10" xfId="9355"/>
    <cellStyle name="Normal 4 2 2" xfId="9356"/>
    <cellStyle name="Normal 4 2 2 2" xfId="9357"/>
    <cellStyle name="Normal 4 2 2 2 2" xfId="9358"/>
    <cellStyle name="Normal 4 2 2 2 2 2" xfId="9359"/>
    <cellStyle name="Normal 4 2 2 2 2 3" xfId="9360"/>
    <cellStyle name="Normal 4 2 2 2 2 4" xfId="9361"/>
    <cellStyle name="Normal 4 2 2 2 2 5" xfId="9362"/>
    <cellStyle name="Normal 4 2 2 2 2_DeltaViewer" xfId="9363"/>
    <cellStyle name="Normal 4 2 2 2 3" xfId="9364"/>
    <cellStyle name="Normal 4 2 2 2 4" xfId="9365"/>
    <cellStyle name="Normal 4 2 2 2 5" xfId="9366"/>
    <cellStyle name="Normal 4 2 2 2 6" xfId="9367"/>
    <cellStyle name="Normal 4 2 2 2_DeltaViewer" xfId="9368"/>
    <cellStyle name="Normal 4 2 2 3" xfId="9369"/>
    <cellStyle name="Normal 4 2 2 3 2" xfId="9370"/>
    <cellStyle name="Normal 4 2 2 3 2 2" xfId="9371"/>
    <cellStyle name="Normal 4 2 2 3 2 3" xfId="9372"/>
    <cellStyle name="Normal 4 2 2 3 2 4" xfId="9373"/>
    <cellStyle name="Normal 4 2 2 3 2 5" xfId="9374"/>
    <cellStyle name="Normal 4 2 2 3 2_DeltaViewer" xfId="9375"/>
    <cellStyle name="Normal 4 2 2 3 3" xfId="9376"/>
    <cellStyle name="Normal 4 2 2 3 4" xfId="9377"/>
    <cellStyle name="Normal 4 2 2 3 5" xfId="9378"/>
    <cellStyle name="Normal 4 2 2 3 6" xfId="9379"/>
    <cellStyle name="Normal 4 2 2 3_DeltaViewer" xfId="9380"/>
    <cellStyle name="Normal 4 2 2 4" xfId="9381"/>
    <cellStyle name="Normal 4 2 2 4 2" xfId="9382"/>
    <cellStyle name="Normal 4 2 2 4 2 2" xfId="9383"/>
    <cellStyle name="Normal 4 2 2 4 2 3" xfId="9384"/>
    <cellStyle name="Normal 4 2 2 4 2 4" xfId="9385"/>
    <cellStyle name="Normal 4 2 2 4 2 5" xfId="9386"/>
    <cellStyle name="Normal 4 2 2 4 2_DeltaViewer" xfId="9387"/>
    <cellStyle name="Normal 4 2 2 4 3" xfId="9388"/>
    <cellStyle name="Normal 4 2 2 4 4" xfId="9389"/>
    <cellStyle name="Normal 4 2 2 4 5" xfId="9390"/>
    <cellStyle name="Normal 4 2 2 4 6" xfId="9391"/>
    <cellStyle name="Normal 4 2 2 4_DeltaViewer" xfId="9392"/>
    <cellStyle name="Normal 4 2 2 5" xfId="9393"/>
    <cellStyle name="Normal 4 2 2 5 2" xfId="9394"/>
    <cellStyle name="Normal 4 2 2 5 3" xfId="9395"/>
    <cellStyle name="Normal 4 2 2 5 4" xfId="9396"/>
    <cellStyle name="Normal 4 2 2 5 5" xfId="9397"/>
    <cellStyle name="Normal 4 2 2 5_DeltaViewer" xfId="9398"/>
    <cellStyle name="Normal 4 2 2 6" xfId="9399"/>
    <cellStyle name="Normal 4 2 2 7" xfId="9400"/>
    <cellStyle name="Normal 4 2 2 8" xfId="9401"/>
    <cellStyle name="Normal 4 2 2 9" xfId="9402"/>
    <cellStyle name="Normal 4 2 2_DeltaViewer" xfId="9403"/>
    <cellStyle name="Normal 4 2 3" xfId="9404"/>
    <cellStyle name="Normal 4 2 3 2" xfId="9405"/>
    <cellStyle name="Normal 4 2 3 2 2" xfId="9406"/>
    <cellStyle name="Normal 4 2 3 2 3" xfId="9407"/>
    <cellStyle name="Normal 4 2 3 2 4" xfId="9408"/>
    <cellStyle name="Normal 4 2 3 2 5" xfId="9409"/>
    <cellStyle name="Normal 4 2 3 2_DeltaViewer" xfId="9410"/>
    <cellStyle name="Normal 4 2 3 3" xfId="9411"/>
    <cellStyle name="Normal 4 2 3 4" xfId="9412"/>
    <cellStyle name="Normal 4 2 3 5" xfId="9413"/>
    <cellStyle name="Normal 4 2 3 6" xfId="9414"/>
    <cellStyle name="Normal 4 2 3_DeltaViewer" xfId="9415"/>
    <cellStyle name="Normal 4 2 4" xfId="9416"/>
    <cellStyle name="Normal 4 2 4 2" xfId="9417"/>
    <cellStyle name="Normal 4 2 4 2 2" xfId="9418"/>
    <cellStyle name="Normal 4 2 4 2 3" xfId="9419"/>
    <cellStyle name="Normal 4 2 4 2 4" xfId="9420"/>
    <cellStyle name="Normal 4 2 4 2 5" xfId="9421"/>
    <cellStyle name="Normal 4 2 4 2_DeltaViewer" xfId="9422"/>
    <cellStyle name="Normal 4 2 4 3" xfId="9423"/>
    <cellStyle name="Normal 4 2 4 4" xfId="9424"/>
    <cellStyle name="Normal 4 2 4 5" xfId="9425"/>
    <cellStyle name="Normal 4 2 4 6" xfId="9426"/>
    <cellStyle name="Normal 4 2 4_DeltaViewer" xfId="9427"/>
    <cellStyle name="Normal 4 2 5" xfId="9428"/>
    <cellStyle name="Normal 4 2 5 2" xfId="9429"/>
    <cellStyle name="Normal 4 2 5 3" xfId="9430"/>
    <cellStyle name="Normal 4 2 5 4" xfId="9431"/>
    <cellStyle name="Normal 4 2 5 5" xfId="9432"/>
    <cellStyle name="Normal 4 2 5_DeltaViewer" xfId="9433"/>
    <cellStyle name="Normal 4 2 6" xfId="9434"/>
    <cellStyle name="Normal 4 2 7" xfId="9435"/>
    <cellStyle name="Normal 4 2 8" xfId="9436"/>
    <cellStyle name="Normal 4 2 9" xfId="9437"/>
    <cellStyle name="Normal 4 2_12.05.29 AngloAmericaCCY ASW 7Y" xfId="9438"/>
    <cellStyle name="Normal 4 20" xfId="9439"/>
    <cellStyle name="Normal 4 21" xfId="9440"/>
    <cellStyle name="Normal 4 22" xfId="9441"/>
    <cellStyle name="Normal 4 23" xfId="9442"/>
    <cellStyle name="Normal 4 24" xfId="9443"/>
    <cellStyle name="Normal 4 3" xfId="9444"/>
    <cellStyle name="Normal 4 3 10" xfId="9445"/>
    <cellStyle name="Normal 4 3 11" xfId="9446"/>
    <cellStyle name="Normal 4 3 12" xfId="9447"/>
    <cellStyle name="Normal 4 3 2" xfId="9448"/>
    <cellStyle name="Normal 4 3 2 2" xfId="9449"/>
    <cellStyle name="Normal 4 3 2 2 2" xfId="9450"/>
    <cellStyle name="Normal 4 3 2 2 2 2" xfId="9451"/>
    <cellStyle name="Normal 4 3 2 2 2 3" xfId="9452"/>
    <cellStyle name="Normal 4 3 2 2 2 4" xfId="9453"/>
    <cellStyle name="Normal 4 3 2 2 2 5" xfId="9454"/>
    <cellStyle name="Normal 4 3 2 2 2_DeltaViewer" xfId="9455"/>
    <cellStyle name="Normal 4 3 2 2 3" xfId="9456"/>
    <cellStyle name="Normal 4 3 2 2 4" xfId="9457"/>
    <cellStyle name="Normal 4 3 2 2 5" xfId="9458"/>
    <cellStyle name="Normal 4 3 2 2 6" xfId="9459"/>
    <cellStyle name="Normal 4 3 2 2_DeltaViewer" xfId="9460"/>
    <cellStyle name="Normal 4 3 2 3" xfId="9461"/>
    <cellStyle name="Normal 4 3 2 3 2" xfId="9462"/>
    <cellStyle name="Normal 4 3 2 3 3" xfId="9463"/>
    <cellStyle name="Normal 4 3 2 3 4" xfId="9464"/>
    <cellStyle name="Normal 4 3 2 3 5" xfId="9465"/>
    <cellStyle name="Normal 4 3 2 3_DeltaViewer" xfId="9466"/>
    <cellStyle name="Normal 4 3 2 4" xfId="9467"/>
    <cellStyle name="Normal 4 3 2 5" xfId="9468"/>
    <cellStyle name="Normal 4 3 2 6" xfId="9469"/>
    <cellStyle name="Normal 4 3 2 7" xfId="9470"/>
    <cellStyle name="Normal 4 3 2_DeltaViewer" xfId="9471"/>
    <cellStyle name="Normal 4 3 3" xfId="9472"/>
    <cellStyle name="Normal 4 3 3 2" xfId="9473"/>
    <cellStyle name="Normal 4 3 3 2 2" xfId="9474"/>
    <cellStyle name="Normal 4 3 3 2 2 2" xfId="9475"/>
    <cellStyle name="Normal 4 3 3 2 2 3" xfId="9476"/>
    <cellStyle name="Normal 4 3 3 2 2 4" xfId="9477"/>
    <cellStyle name="Normal 4 3 3 2 2 5" xfId="9478"/>
    <cellStyle name="Normal 4 3 3 2 2_DeltaViewer" xfId="9479"/>
    <cellStyle name="Normal 4 3 3 2 3" xfId="9480"/>
    <cellStyle name="Normal 4 3 3 2 4" xfId="9481"/>
    <cellStyle name="Normal 4 3 3 2 5" xfId="9482"/>
    <cellStyle name="Normal 4 3 3 2 6" xfId="9483"/>
    <cellStyle name="Normal 4 3 3 2_DeltaViewer" xfId="9484"/>
    <cellStyle name="Normal 4 3 3 3" xfId="9485"/>
    <cellStyle name="Normal 4 3 3 3 2" xfId="9486"/>
    <cellStyle name="Normal 4 3 3 3 3" xfId="9487"/>
    <cellStyle name="Normal 4 3 3 3 4" xfId="9488"/>
    <cellStyle name="Normal 4 3 3 3 5" xfId="9489"/>
    <cellStyle name="Normal 4 3 3 3_DeltaViewer" xfId="9490"/>
    <cellStyle name="Normal 4 3 3 4" xfId="9491"/>
    <cellStyle name="Normal 4 3 3 5" xfId="9492"/>
    <cellStyle name="Normal 4 3 3 6" xfId="9493"/>
    <cellStyle name="Normal 4 3 3 7" xfId="9494"/>
    <cellStyle name="Normal 4 3 3_DeltaViewer" xfId="9495"/>
    <cellStyle name="Normal 4 3 4" xfId="9496"/>
    <cellStyle name="Normal 4 3 4 2" xfId="9497"/>
    <cellStyle name="Normal 4 3 4 2 2" xfId="9498"/>
    <cellStyle name="Normal 4 3 4 2 2 2" xfId="9499"/>
    <cellStyle name="Normal 4 3 4 2 2 3" xfId="9500"/>
    <cellStyle name="Normal 4 3 4 2 2 4" xfId="9501"/>
    <cellStyle name="Normal 4 3 4 2 2 5" xfId="9502"/>
    <cellStyle name="Normal 4 3 4 2 2_DeltaViewer" xfId="9503"/>
    <cellStyle name="Normal 4 3 4 2 3" xfId="9504"/>
    <cellStyle name="Normal 4 3 4 2 4" xfId="9505"/>
    <cellStyle name="Normal 4 3 4 2 5" xfId="9506"/>
    <cellStyle name="Normal 4 3 4 2 6" xfId="9507"/>
    <cellStyle name="Normal 4 3 4 2_DeltaViewer" xfId="9508"/>
    <cellStyle name="Normal 4 3 4 3" xfId="9509"/>
    <cellStyle name="Normal 4 3 4 3 2" xfId="9510"/>
    <cellStyle name="Normal 4 3 4 3 3" xfId="9511"/>
    <cellStyle name="Normal 4 3 4 3 4" xfId="9512"/>
    <cellStyle name="Normal 4 3 4 3 5" xfId="9513"/>
    <cellStyle name="Normal 4 3 4 3_DeltaViewer" xfId="9514"/>
    <cellStyle name="Normal 4 3 4 4" xfId="9515"/>
    <cellStyle name="Normal 4 3 4 5" xfId="9516"/>
    <cellStyle name="Normal 4 3 4 6" xfId="9517"/>
    <cellStyle name="Normal 4 3 4 7" xfId="9518"/>
    <cellStyle name="Normal 4 3 4_DeltaViewer" xfId="9519"/>
    <cellStyle name="Normal 4 3 5" xfId="9520"/>
    <cellStyle name="Normal 4 3 5 2" xfId="9521"/>
    <cellStyle name="Normal 4 3 5 2 2" xfId="9522"/>
    <cellStyle name="Normal 4 3 5 2 3" xfId="9523"/>
    <cellStyle name="Normal 4 3 5 2 4" xfId="9524"/>
    <cellStyle name="Normal 4 3 5 2 5" xfId="9525"/>
    <cellStyle name="Normal 4 3 5 2_DeltaViewer" xfId="9526"/>
    <cellStyle name="Normal 4 3 5 3" xfId="9527"/>
    <cellStyle name="Normal 4 3 5 4" xfId="9528"/>
    <cellStyle name="Normal 4 3 5 5" xfId="9529"/>
    <cellStyle name="Normal 4 3 5 6" xfId="9530"/>
    <cellStyle name="Normal 4 3 5_DeltaViewer" xfId="9531"/>
    <cellStyle name="Normal 4 3 6" xfId="9532"/>
    <cellStyle name="Normal 4 3 6 2" xfId="9533"/>
    <cellStyle name="Normal 4 3 6 2 2" xfId="9534"/>
    <cellStyle name="Normal 4 3 6 2 3" xfId="9535"/>
    <cellStyle name="Normal 4 3 6 2 4" xfId="9536"/>
    <cellStyle name="Normal 4 3 6 2 5" xfId="9537"/>
    <cellStyle name="Normal 4 3 6 2_DeltaViewer" xfId="9538"/>
    <cellStyle name="Normal 4 3 6 3" xfId="9539"/>
    <cellStyle name="Normal 4 3 6 4" xfId="9540"/>
    <cellStyle name="Normal 4 3 6 5" xfId="9541"/>
    <cellStyle name="Normal 4 3 6 6" xfId="9542"/>
    <cellStyle name="Normal 4 3 6_DeltaViewer" xfId="9543"/>
    <cellStyle name="Normal 4 3 7" xfId="9544"/>
    <cellStyle name="Normal 4 3 7 2" xfId="9545"/>
    <cellStyle name="Normal 4 3 7 3" xfId="9546"/>
    <cellStyle name="Normal 4 3 7 4" xfId="9547"/>
    <cellStyle name="Normal 4 3 7 5" xfId="9548"/>
    <cellStyle name="Normal 4 3 7_DeltaViewer" xfId="9549"/>
    <cellStyle name="Normal 4 3 8" xfId="9550"/>
    <cellStyle name="Normal 4 3 9" xfId="9551"/>
    <cellStyle name="Normal 4 3_DeltaViewer" xfId="9552"/>
    <cellStyle name="Normal 4 4" xfId="9553"/>
    <cellStyle name="Normal 4 4 10" xfId="9554"/>
    <cellStyle name="Normal 4 4 11" xfId="9555"/>
    <cellStyle name="Normal 4 4 2" xfId="9556"/>
    <cellStyle name="Normal 4 4 2 2" xfId="9557"/>
    <cellStyle name="Normal 4 4 2 2 2" xfId="9558"/>
    <cellStyle name="Normal 4 4 2 2 2 2" xfId="9559"/>
    <cellStyle name="Normal 4 4 2 2 2 3" xfId="9560"/>
    <cellStyle name="Normal 4 4 2 2 2 4" xfId="9561"/>
    <cellStyle name="Normal 4 4 2 2 2 5" xfId="9562"/>
    <cellStyle name="Normal 4 4 2 2 2_DeltaViewer" xfId="9563"/>
    <cellStyle name="Normal 4 4 2 2 3" xfId="9564"/>
    <cellStyle name="Normal 4 4 2 2 4" xfId="9565"/>
    <cellStyle name="Normal 4 4 2 2 5" xfId="9566"/>
    <cellStyle name="Normal 4 4 2 2 6" xfId="9567"/>
    <cellStyle name="Normal 4 4 2 2_DeltaViewer" xfId="9568"/>
    <cellStyle name="Normal 4 4 2 3" xfId="9569"/>
    <cellStyle name="Normal 4 4 2 3 2" xfId="9570"/>
    <cellStyle name="Normal 4 4 2 3 3" xfId="9571"/>
    <cellStyle name="Normal 4 4 2 3 4" xfId="9572"/>
    <cellStyle name="Normal 4 4 2 3 5" xfId="9573"/>
    <cellStyle name="Normal 4 4 2 3_DeltaViewer" xfId="9574"/>
    <cellStyle name="Normal 4 4 2 4" xfId="9575"/>
    <cellStyle name="Normal 4 4 2 5" xfId="9576"/>
    <cellStyle name="Normal 4 4 2 6" xfId="9577"/>
    <cellStyle name="Normal 4 4 2 7" xfId="9578"/>
    <cellStyle name="Normal 4 4 2_DeltaViewer" xfId="9579"/>
    <cellStyle name="Normal 4 4 3" xfId="9580"/>
    <cellStyle name="Normal 4 4 3 2" xfId="9581"/>
    <cellStyle name="Normal 4 4 3 2 2" xfId="9582"/>
    <cellStyle name="Normal 4 4 3 2 2 2" xfId="9583"/>
    <cellStyle name="Normal 4 4 3 2 2 3" xfId="9584"/>
    <cellStyle name="Normal 4 4 3 2 2 4" xfId="9585"/>
    <cellStyle name="Normal 4 4 3 2 2 5" xfId="9586"/>
    <cellStyle name="Normal 4 4 3 2 2_DeltaViewer" xfId="9587"/>
    <cellStyle name="Normal 4 4 3 2 3" xfId="9588"/>
    <cellStyle name="Normal 4 4 3 2 4" xfId="9589"/>
    <cellStyle name="Normal 4 4 3 2 5" xfId="9590"/>
    <cellStyle name="Normal 4 4 3 2 6" xfId="9591"/>
    <cellStyle name="Normal 4 4 3 2_DeltaViewer" xfId="9592"/>
    <cellStyle name="Normal 4 4 3 3" xfId="9593"/>
    <cellStyle name="Normal 4 4 3 3 2" xfId="9594"/>
    <cellStyle name="Normal 4 4 3 3 3" xfId="9595"/>
    <cellStyle name="Normal 4 4 3 3 4" xfId="9596"/>
    <cellStyle name="Normal 4 4 3 3 5" xfId="9597"/>
    <cellStyle name="Normal 4 4 3 3_DeltaViewer" xfId="9598"/>
    <cellStyle name="Normal 4 4 3 4" xfId="9599"/>
    <cellStyle name="Normal 4 4 3 5" xfId="9600"/>
    <cellStyle name="Normal 4 4 3 6" xfId="9601"/>
    <cellStyle name="Normal 4 4 3 7" xfId="9602"/>
    <cellStyle name="Normal 4 4 3_DeltaViewer" xfId="9603"/>
    <cellStyle name="Normal 4 4 4" xfId="9604"/>
    <cellStyle name="Normal 4 4 4 2" xfId="9605"/>
    <cellStyle name="Normal 4 4 4 2 2" xfId="9606"/>
    <cellStyle name="Normal 4 4 4 2 2 2" xfId="9607"/>
    <cellStyle name="Normal 4 4 4 2 2 3" xfId="9608"/>
    <cellStyle name="Normal 4 4 4 2 2 4" xfId="9609"/>
    <cellStyle name="Normal 4 4 4 2 2 5" xfId="9610"/>
    <cellStyle name="Normal 4 4 4 2 2_DeltaViewer" xfId="9611"/>
    <cellStyle name="Normal 4 4 4 2 3" xfId="9612"/>
    <cellStyle name="Normal 4 4 4 2 4" xfId="9613"/>
    <cellStyle name="Normal 4 4 4 2 5" xfId="9614"/>
    <cellStyle name="Normal 4 4 4 2 6" xfId="9615"/>
    <cellStyle name="Normal 4 4 4 2_DeltaViewer" xfId="9616"/>
    <cellStyle name="Normal 4 4 4 3" xfId="9617"/>
    <cellStyle name="Normal 4 4 4 3 2" xfId="9618"/>
    <cellStyle name="Normal 4 4 4 3 3" xfId="9619"/>
    <cellStyle name="Normal 4 4 4 3 4" xfId="9620"/>
    <cellStyle name="Normal 4 4 4 3 5" xfId="9621"/>
    <cellStyle name="Normal 4 4 4 3_DeltaViewer" xfId="9622"/>
    <cellStyle name="Normal 4 4 4 4" xfId="9623"/>
    <cellStyle name="Normal 4 4 4 5" xfId="9624"/>
    <cellStyle name="Normal 4 4 4 6" xfId="9625"/>
    <cellStyle name="Normal 4 4 4 7" xfId="9626"/>
    <cellStyle name="Normal 4 4 4_DeltaViewer" xfId="9627"/>
    <cellStyle name="Normal 4 4 5" xfId="9628"/>
    <cellStyle name="Normal 4 4 5 2" xfId="9629"/>
    <cellStyle name="Normal 4 4 5 2 2" xfId="9630"/>
    <cellStyle name="Normal 4 4 5 2 3" xfId="9631"/>
    <cellStyle name="Normal 4 4 5 2 4" xfId="9632"/>
    <cellStyle name="Normal 4 4 5 2 5" xfId="9633"/>
    <cellStyle name="Normal 4 4 5 2_DeltaViewer" xfId="9634"/>
    <cellStyle name="Normal 4 4 5 3" xfId="9635"/>
    <cellStyle name="Normal 4 4 5 4" xfId="9636"/>
    <cellStyle name="Normal 4 4 5 5" xfId="9637"/>
    <cellStyle name="Normal 4 4 5 6" xfId="9638"/>
    <cellStyle name="Normal 4 4 5_DeltaViewer" xfId="9639"/>
    <cellStyle name="Normal 4 4 6" xfId="9640"/>
    <cellStyle name="Normal 4 4 6 2" xfId="9641"/>
    <cellStyle name="Normal 4 4 6 2 2" xfId="9642"/>
    <cellStyle name="Normal 4 4 6 2 3" xfId="9643"/>
    <cellStyle name="Normal 4 4 6 2 4" xfId="9644"/>
    <cellStyle name="Normal 4 4 6 2 5" xfId="9645"/>
    <cellStyle name="Normal 4 4 6 2_DeltaViewer" xfId="9646"/>
    <cellStyle name="Normal 4 4 6 3" xfId="9647"/>
    <cellStyle name="Normal 4 4 6 4" xfId="9648"/>
    <cellStyle name="Normal 4 4 6 5" xfId="9649"/>
    <cellStyle name="Normal 4 4 6 6" xfId="9650"/>
    <cellStyle name="Normal 4 4 6_DeltaViewer" xfId="9651"/>
    <cellStyle name="Normal 4 4 7" xfId="9652"/>
    <cellStyle name="Normal 4 4 7 2" xfId="9653"/>
    <cellStyle name="Normal 4 4 7 3" xfId="9654"/>
    <cellStyle name="Normal 4 4 7 4" xfId="9655"/>
    <cellStyle name="Normal 4 4 7 5" xfId="9656"/>
    <cellStyle name="Normal 4 4 7_DeltaViewer" xfId="9657"/>
    <cellStyle name="Normal 4 4 8" xfId="9658"/>
    <cellStyle name="Normal 4 4 9" xfId="9659"/>
    <cellStyle name="Normal 4 4_DeltaViewer" xfId="9660"/>
    <cellStyle name="Normal 4 5" xfId="9661"/>
    <cellStyle name="Normal 4 5 2" xfId="9662"/>
    <cellStyle name="Normal 4 5 2 2" xfId="9663"/>
    <cellStyle name="Normal 4 5 2 2 2" xfId="9664"/>
    <cellStyle name="Normal 4 5 2 2 2 2" xfId="9665"/>
    <cellStyle name="Normal 4 5 2 2 2 3" xfId="9666"/>
    <cellStyle name="Normal 4 5 2 2 2 4" xfId="9667"/>
    <cellStyle name="Normal 4 5 2 2 2 5" xfId="9668"/>
    <cellStyle name="Normal 4 5 2 2 2_DeltaViewer" xfId="9669"/>
    <cellStyle name="Normal 4 5 2 2 3" xfId="9670"/>
    <cellStyle name="Normal 4 5 2 2 4" xfId="9671"/>
    <cellStyle name="Normal 4 5 2 2 5" xfId="9672"/>
    <cellStyle name="Normal 4 5 2 2 6" xfId="9673"/>
    <cellStyle name="Normal 4 5 2 2_DeltaViewer" xfId="9674"/>
    <cellStyle name="Normal 4 5 2 3" xfId="9675"/>
    <cellStyle name="Normal 4 5 2 3 2" xfId="9676"/>
    <cellStyle name="Normal 4 5 2 3 3" xfId="9677"/>
    <cellStyle name="Normal 4 5 2 3 4" xfId="9678"/>
    <cellStyle name="Normal 4 5 2 3 5" xfId="9679"/>
    <cellStyle name="Normal 4 5 2 3_DeltaViewer" xfId="9680"/>
    <cellStyle name="Normal 4 5 2 4" xfId="9681"/>
    <cellStyle name="Normal 4 5 2 5" xfId="9682"/>
    <cellStyle name="Normal 4 5 2 6" xfId="9683"/>
    <cellStyle name="Normal 4 5 2 7" xfId="9684"/>
    <cellStyle name="Normal 4 5 2_DeltaViewer" xfId="9685"/>
    <cellStyle name="Normal 4 5 3" xfId="9686"/>
    <cellStyle name="Normal 4 5 3 2" xfId="9687"/>
    <cellStyle name="Normal 4 5 3 2 2" xfId="9688"/>
    <cellStyle name="Normal 4 5 3 2 3" xfId="9689"/>
    <cellStyle name="Normal 4 5 3 2 4" xfId="9690"/>
    <cellStyle name="Normal 4 5 3 2 5" xfId="9691"/>
    <cellStyle name="Normal 4 5 3 2_DeltaViewer" xfId="9692"/>
    <cellStyle name="Normal 4 5 3 3" xfId="9693"/>
    <cellStyle name="Normal 4 5 3 4" xfId="9694"/>
    <cellStyle name="Normal 4 5 3 5" xfId="9695"/>
    <cellStyle name="Normal 4 5 3 6" xfId="9696"/>
    <cellStyle name="Normal 4 5 3_DeltaViewer" xfId="9697"/>
    <cellStyle name="Normal 4 5 4" xfId="9698"/>
    <cellStyle name="Normal 4 5 4 2" xfId="9699"/>
    <cellStyle name="Normal 4 5 4 3" xfId="9700"/>
    <cellStyle name="Normal 4 5 4 4" xfId="9701"/>
    <cellStyle name="Normal 4 5 4 5" xfId="9702"/>
    <cellStyle name="Normal 4 5 4_DeltaViewer" xfId="9703"/>
    <cellStyle name="Normal 4 5 5" xfId="9704"/>
    <cellStyle name="Normal 4 5 6" xfId="9705"/>
    <cellStyle name="Normal 4 5 7" xfId="9706"/>
    <cellStyle name="Normal 4 5 8" xfId="9707"/>
    <cellStyle name="Normal 4 5_DeltaViewer" xfId="9708"/>
    <cellStyle name="Normal 4 6" xfId="9709"/>
    <cellStyle name="Normal 4 6 2" xfId="9710"/>
    <cellStyle name="Normal 4 6 2 2" xfId="9711"/>
    <cellStyle name="Normal 4 6 2 2 2" xfId="9712"/>
    <cellStyle name="Normal 4 6 2 2 3" xfId="9713"/>
    <cellStyle name="Normal 4 6 2 2 4" xfId="9714"/>
    <cellStyle name="Normal 4 6 2 2 5" xfId="9715"/>
    <cellStyle name="Normal 4 6 2 2_DeltaViewer" xfId="9716"/>
    <cellStyle name="Normal 4 6 2 3" xfId="9717"/>
    <cellStyle name="Normal 4 6 2 4" xfId="9718"/>
    <cellStyle name="Normal 4 6 2 5" xfId="9719"/>
    <cellStyle name="Normal 4 6 2 6" xfId="9720"/>
    <cellStyle name="Normal 4 6 2_DeltaViewer" xfId="9721"/>
    <cellStyle name="Normal 4 6 3" xfId="9722"/>
    <cellStyle name="Normal 4 6 3 2" xfId="9723"/>
    <cellStyle name="Normal 4 6 3 3" xfId="9724"/>
    <cellStyle name="Normal 4 6 3 4" xfId="9725"/>
    <cellStyle name="Normal 4 6 3 5" xfId="9726"/>
    <cellStyle name="Normal 4 6 3_DeltaViewer" xfId="9727"/>
    <cellStyle name="Normal 4 6 4" xfId="9728"/>
    <cellStyle name="Normal 4 6 5" xfId="9729"/>
    <cellStyle name="Normal 4 6 6" xfId="9730"/>
    <cellStyle name="Normal 4 6 7" xfId="9731"/>
    <cellStyle name="Normal 4 6_DeltaViewer" xfId="9732"/>
    <cellStyle name="Normal 4 7" xfId="9733"/>
    <cellStyle name="Normal 4 7 2" xfId="9734"/>
    <cellStyle name="Normal 4 7 2 2" xfId="9735"/>
    <cellStyle name="Normal 4 7 2 2 2" xfId="9736"/>
    <cellStyle name="Normal 4 7 2 2 3" xfId="9737"/>
    <cellStyle name="Normal 4 7 2 2 4" xfId="9738"/>
    <cellStyle name="Normal 4 7 2 2 5" xfId="9739"/>
    <cellStyle name="Normal 4 7 2 2_DeltaViewer" xfId="9740"/>
    <cellStyle name="Normal 4 7 2 3" xfId="9741"/>
    <cellStyle name="Normal 4 7 2 4" xfId="9742"/>
    <cellStyle name="Normal 4 7 2 5" xfId="9743"/>
    <cellStyle name="Normal 4 7 2 6" xfId="9744"/>
    <cellStyle name="Normal 4 7 2_DeltaViewer" xfId="9745"/>
    <cellStyle name="Normal 4 7 3" xfId="9746"/>
    <cellStyle name="Normal 4 7 3 2" xfId="9747"/>
    <cellStyle name="Normal 4 7 3 3" xfId="9748"/>
    <cellStyle name="Normal 4 7 3 4" xfId="9749"/>
    <cellStyle name="Normal 4 7 3 5" xfId="9750"/>
    <cellStyle name="Normal 4 7 3_DeltaViewer" xfId="9751"/>
    <cellStyle name="Normal 4 7 4" xfId="9752"/>
    <cellStyle name="Normal 4 7 5" xfId="9753"/>
    <cellStyle name="Normal 4 7 6" xfId="9754"/>
    <cellStyle name="Normal 4 7 7" xfId="9755"/>
    <cellStyle name="Normal 4 7_DeltaViewer" xfId="9756"/>
    <cellStyle name="Normal 4 8" xfId="9757"/>
    <cellStyle name="Normal 4 8 2" xfId="9758"/>
    <cellStyle name="Normal 4 8 2 2" xfId="9759"/>
    <cellStyle name="Normal 4 8 2 2 2" xfId="9760"/>
    <cellStyle name="Normal 4 8 2 2 3" xfId="9761"/>
    <cellStyle name="Normal 4 8 2 2 4" xfId="9762"/>
    <cellStyle name="Normal 4 8 2 2 5" xfId="9763"/>
    <cellStyle name="Normal 4 8 2 2_DeltaViewer" xfId="9764"/>
    <cellStyle name="Normal 4 8 2 3" xfId="9765"/>
    <cellStyle name="Normal 4 8 2 4" xfId="9766"/>
    <cellStyle name="Normal 4 8 2 5" xfId="9767"/>
    <cellStyle name="Normal 4 8 2 6" xfId="9768"/>
    <cellStyle name="Normal 4 8 2_DeltaViewer" xfId="9769"/>
    <cellStyle name="Normal 4 8 3" xfId="9770"/>
    <cellStyle name="Normal 4 8 3 2" xfId="9771"/>
    <cellStyle name="Normal 4 8 3 3" xfId="9772"/>
    <cellStyle name="Normal 4 8 3 4" xfId="9773"/>
    <cellStyle name="Normal 4 8 3 5" xfId="9774"/>
    <cellStyle name="Normal 4 8 3_DeltaViewer" xfId="9775"/>
    <cellStyle name="Normal 4 8 4" xfId="9776"/>
    <cellStyle name="Normal 4 8 5" xfId="9777"/>
    <cellStyle name="Normal 4 8 6" xfId="9778"/>
    <cellStyle name="Normal 4 8 7" xfId="9779"/>
    <cellStyle name="Normal 4 8_DeltaViewer" xfId="9780"/>
    <cellStyle name="Normal 4 9" xfId="9781"/>
    <cellStyle name="Normal 4 9 2" xfId="9782"/>
    <cellStyle name="Normal 4 9 2 2" xfId="9783"/>
    <cellStyle name="Normal 4 9 2 3" xfId="9784"/>
    <cellStyle name="Normal 4 9 2 4" xfId="9785"/>
    <cellStyle name="Normal 4 9 2 5" xfId="9786"/>
    <cellStyle name="Normal 4 9 2_DeltaViewer" xfId="9787"/>
    <cellStyle name="Normal 4 9 3" xfId="9788"/>
    <cellStyle name="Normal 4 9 4" xfId="9789"/>
    <cellStyle name="Normal 4 9 5" xfId="9790"/>
    <cellStyle name="Normal 4 9 6" xfId="9791"/>
    <cellStyle name="Normal 4 9_DeltaViewer" xfId="9792"/>
    <cellStyle name="Normal 4_SIMULATION" xfId="9793"/>
    <cellStyle name="Normal 40" xfId="9794"/>
    <cellStyle name="Normal 40 2" xfId="9795"/>
    <cellStyle name="Normal 40 3" xfId="9796"/>
    <cellStyle name="Normal 40 4" xfId="9797"/>
    <cellStyle name="Normal 40 5" xfId="9798"/>
    <cellStyle name="Normal 40_DeltaViewer" xfId="9799"/>
    <cellStyle name="Normal 41" xfId="9800"/>
    <cellStyle name="Normal 41 2" xfId="9801"/>
    <cellStyle name="Normal 41 3" xfId="9802"/>
    <cellStyle name="Normal 41 4" xfId="9803"/>
    <cellStyle name="Normal 41 5" xfId="9804"/>
    <cellStyle name="Normal 41_DeltaViewer" xfId="9805"/>
    <cellStyle name="Normal 42" xfId="9806"/>
    <cellStyle name="Normal 42 2" xfId="9807"/>
    <cellStyle name="Normal 42 3" xfId="9808"/>
    <cellStyle name="Normal 42 4" xfId="9809"/>
    <cellStyle name="Normal 42 5" xfId="9810"/>
    <cellStyle name="Normal 42_DeltaViewer" xfId="9811"/>
    <cellStyle name="Normal 43" xfId="9812"/>
    <cellStyle name="Normal 43 10" xfId="26554"/>
    <cellStyle name="Normal 43 2" xfId="9813"/>
    <cellStyle name="Normal 43 2 2" xfId="9814"/>
    <cellStyle name="Normal 43 2 2 2" xfId="9815"/>
    <cellStyle name="Normal 43 2 2 2 2" xfId="9816"/>
    <cellStyle name="Normal 43 2 2 2 2 2" xfId="23837"/>
    <cellStyle name="Normal 43 2 2 2 2 2 2" xfId="29070"/>
    <cellStyle name="Normal 43 2 2 2 2 3" xfId="26558"/>
    <cellStyle name="Normal 43 2 2 2 3" xfId="23836"/>
    <cellStyle name="Normal 43 2 2 2 3 2" xfId="29069"/>
    <cellStyle name="Normal 43 2 2 2 4" xfId="26557"/>
    <cellStyle name="Normal 43 2 2 3" xfId="9817"/>
    <cellStyle name="Normal 43 2 2 3 2" xfId="23838"/>
    <cellStyle name="Normal 43 2 2 3 2 2" xfId="29071"/>
    <cellStyle name="Normal 43 2 2 3 3" xfId="26559"/>
    <cellStyle name="Normal 43 2 2 4" xfId="23835"/>
    <cellStyle name="Normal 43 2 2 4 2" xfId="29068"/>
    <cellStyle name="Normal 43 2 2 5" xfId="26556"/>
    <cellStyle name="Normal 43 2 2_DeltaViewer" xfId="9818"/>
    <cellStyle name="Normal 43 2 3" xfId="9819"/>
    <cellStyle name="Normal 43 2 3 2" xfId="9820"/>
    <cellStyle name="Normal 43 2 3 2 2" xfId="23840"/>
    <cellStyle name="Normal 43 2 3 2 2 2" xfId="29073"/>
    <cellStyle name="Normal 43 2 3 2 3" xfId="26561"/>
    <cellStyle name="Normal 43 2 3 3" xfId="23839"/>
    <cellStyle name="Normal 43 2 3 3 2" xfId="29072"/>
    <cellStyle name="Normal 43 2 3 4" xfId="26560"/>
    <cellStyle name="Normal 43 2 4" xfId="9821"/>
    <cellStyle name="Normal 43 2 4 2" xfId="23841"/>
    <cellStyle name="Normal 43 2 4 2 2" xfId="29074"/>
    <cellStyle name="Normal 43 2 4 3" xfId="26562"/>
    <cellStyle name="Normal 43 2 5" xfId="23834"/>
    <cellStyle name="Normal 43 2 5 2" xfId="29067"/>
    <cellStyle name="Normal 43 2 6" xfId="26555"/>
    <cellStyle name="Normal 43 2_DeltaViewer" xfId="9822"/>
    <cellStyle name="Normal 43 3" xfId="9823"/>
    <cellStyle name="Normal 43 3 2" xfId="9824"/>
    <cellStyle name="Normal 43 3 2 2" xfId="9825"/>
    <cellStyle name="Normal 43 3 2 2 2" xfId="9826"/>
    <cellStyle name="Normal 43 3 2 2 2 2" xfId="23845"/>
    <cellStyle name="Normal 43 3 2 2 2 2 2" xfId="29078"/>
    <cellStyle name="Normal 43 3 2 2 2 3" xfId="26566"/>
    <cellStyle name="Normal 43 3 2 2 3" xfId="23844"/>
    <cellStyle name="Normal 43 3 2 2 3 2" xfId="29077"/>
    <cellStyle name="Normal 43 3 2 2 4" xfId="26565"/>
    <cellStyle name="Normal 43 3 2 3" xfId="9827"/>
    <cellStyle name="Normal 43 3 2 3 2" xfId="23846"/>
    <cellStyle name="Normal 43 3 2 3 2 2" xfId="29079"/>
    <cellStyle name="Normal 43 3 2 3 3" xfId="26567"/>
    <cellStyle name="Normal 43 3 2 4" xfId="23843"/>
    <cellStyle name="Normal 43 3 2 4 2" xfId="29076"/>
    <cellStyle name="Normal 43 3 2 5" xfId="26564"/>
    <cellStyle name="Normal 43 3 2_DeltaViewer" xfId="9828"/>
    <cellStyle name="Normal 43 3 3" xfId="9829"/>
    <cellStyle name="Normal 43 3 3 2" xfId="9830"/>
    <cellStyle name="Normal 43 3 3 2 2" xfId="23848"/>
    <cellStyle name="Normal 43 3 3 2 2 2" xfId="29081"/>
    <cellStyle name="Normal 43 3 3 2 3" xfId="26569"/>
    <cellStyle name="Normal 43 3 3 3" xfId="23847"/>
    <cellStyle name="Normal 43 3 3 3 2" xfId="29080"/>
    <cellStyle name="Normal 43 3 3 4" xfId="26568"/>
    <cellStyle name="Normal 43 3 4" xfId="9831"/>
    <cellStyle name="Normal 43 3 4 2" xfId="23849"/>
    <cellStyle name="Normal 43 3 4 2 2" xfId="29082"/>
    <cellStyle name="Normal 43 3 4 3" xfId="26570"/>
    <cellStyle name="Normal 43 3 5" xfId="23842"/>
    <cellStyle name="Normal 43 3 5 2" xfId="29075"/>
    <cellStyle name="Normal 43 3 6" xfId="26563"/>
    <cellStyle name="Normal 43 3_DeltaViewer" xfId="9832"/>
    <cellStyle name="Normal 43 4" xfId="9833"/>
    <cellStyle name="Normal 43 4 2" xfId="9834"/>
    <cellStyle name="Normal 43 4 2 2" xfId="9835"/>
    <cellStyle name="Normal 43 4 2 2 2" xfId="9836"/>
    <cellStyle name="Normal 43 4 2 2 2 2" xfId="23853"/>
    <cellStyle name="Normal 43 4 2 2 2 2 2" xfId="29086"/>
    <cellStyle name="Normal 43 4 2 2 2 3" xfId="26574"/>
    <cellStyle name="Normal 43 4 2 2 3" xfId="23852"/>
    <cellStyle name="Normal 43 4 2 2 3 2" xfId="29085"/>
    <cellStyle name="Normal 43 4 2 2 4" xfId="26573"/>
    <cellStyle name="Normal 43 4 2 3" xfId="9837"/>
    <cellStyle name="Normal 43 4 2 3 2" xfId="23854"/>
    <cellStyle name="Normal 43 4 2 3 2 2" xfId="29087"/>
    <cellStyle name="Normal 43 4 2 3 3" xfId="26575"/>
    <cellStyle name="Normal 43 4 2 4" xfId="23851"/>
    <cellStyle name="Normal 43 4 2 4 2" xfId="29084"/>
    <cellStyle name="Normal 43 4 2 5" xfId="26572"/>
    <cellStyle name="Normal 43 4 2_DeltaViewer" xfId="9838"/>
    <cellStyle name="Normal 43 4 3" xfId="9839"/>
    <cellStyle name="Normal 43 4 3 2" xfId="9840"/>
    <cellStyle name="Normal 43 4 3 2 2" xfId="23856"/>
    <cellStyle name="Normal 43 4 3 2 2 2" xfId="29089"/>
    <cellStyle name="Normal 43 4 3 2 3" xfId="26577"/>
    <cellStyle name="Normal 43 4 3 3" xfId="23855"/>
    <cellStyle name="Normal 43 4 3 3 2" xfId="29088"/>
    <cellStyle name="Normal 43 4 3 4" xfId="26576"/>
    <cellStyle name="Normal 43 4 4" xfId="9841"/>
    <cellStyle name="Normal 43 4 4 2" xfId="23857"/>
    <cellStyle name="Normal 43 4 4 2 2" xfId="29090"/>
    <cellStyle name="Normal 43 4 4 3" xfId="26578"/>
    <cellStyle name="Normal 43 4 5" xfId="23850"/>
    <cellStyle name="Normal 43 4 5 2" xfId="29083"/>
    <cellStyle name="Normal 43 4 6" xfId="26571"/>
    <cellStyle name="Normal 43 4_DeltaViewer" xfId="9842"/>
    <cellStyle name="Normal 43 5" xfId="9843"/>
    <cellStyle name="Normal 43 5 2" xfId="9844"/>
    <cellStyle name="Normal 43 5 2 2" xfId="9845"/>
    <cellStyle name="Normal 43 5 2 2 2" xfId="23860"/>
    <cellStyle name="Normal 43 5 2 2 2 2" xfId="29093"/>
    <cellStyle name="Normal 43 5 2 2 3" xfId="26581"/>
    <cellStyle name="Normal 43 5 2 3" xfId="23859"/>
    <cellStyle name="Normal 43 5 2 3 2" xfId="29092"/>
    <cellStyle name="Normal 43 5 2 4" xfId="26580"/>
    <cellStyle name="Normal 43 5 3" xfId="9846"/>
    <cellStyle name="Normal 43 5 3 2" xfId="23861"/>
    <cellStyle name="Normal 43 5 3 2 2" xfId="29094"/>
    <cellStyle name="Normal 43 5 3 3" xfId="26582"/>
    <cellStyle name="Normal 43 5 4" xfId="23858"/>
    <cellStyle name="Normal 43 5 4 2" xfId="29091"/>
    <cellStyle name="Normal 43 5 5" xfId="26579"/>
    <cellStyle name="Normal 43 5_DeltaViewer" xfId="9847"/>
    <cellStyle name="Normal 43 6" xfId="9848"/>
    <cellStyle name="Normal 43 6 2" xfId="9849"/>
    <cellStyle name="Normal 43 6 2 2" xfId="23863"/>
    <cellStyle name="Normal 43 6 2 2 2" xfId="29096"/>
    <cellStyle name="Normal 43 6 2 3" xfId="26584"/>
    <cellStyle name="Normal 43 6 3" xfId="23862"/>
    <cellStyle name="Normal 43 6 3 2" xfId="29095"/>
    <cellStyle name="Normal 43 6 4" xfId="26583"/>
    <cellStyle name="Normal 43 7" xfId="9850"/>
    <cellStyle name="Normal 43 7 2" xfId="9851"/>
    <cellStyle name="Normal 43 7 2 2" xfId="23865"/>
    <cellStyle name="Normal 43 7 2 2 2" xfId="29098"/>
    <cellStyle name="Normal 43 7 2 3" xfId="26586"/>
    <cellStyle name="Normal 43 7 3" xfId="23864"/>
    <cellStyle name="Normal 43 7 3 2" xfId="29097"/>
    <cellStyle name="Normal 43 7 4" xfId="26585"/>
    <cellStyle name="Normal 43 8" xfId="9852"/>
    <cellStyle name="Normal 43 8 2" xfId="23866"/>
    <cellStyle name="Normal 43 8 2 2" xfId="29099"/>
    <cellStyle name="Normal 43 8 3" xfId="26587"/>
    <cellStyle name="Normal 43 9" xfId="23833"/>
    <cellStyle name="Normal 43 9 2" xfId="29066"/>
    <cellStyle name="Normal 43_DeltaViewer" xfId="9853"/>
    <cellStyle name="Normal 44" xfId="9854"/>
    <cellStyle name="Normal 44 10" xfId="26588"/>
    <cellStyle name="Normal 44 2" xfId="9855"/>
    <cellStyle name="Normal 44 2 2" xfId="9856"/>
    <cellStyle name="Normal 44 2 2 2" xfId="9857"/>
    <cellStyle name="Normal 44 2 2 2 2" xfId="9858"/>
    <cellStyle name="Normal 44 2 2 2 2 2" xfId="23871"/>
    <cellStyle name="Normal 44 2 2 2 2 2 2" xfId="29104"/>
    <cellStyle name="Normal 44 2 2 2 2 3" xfId="26592"/>
    <cellStyle name="Normal 44 2 2 2 3" xfId="23870"/>
    <cellStyle name="Normal 44 2 2 2 3 2" xfId="29103"/>
    <cellStyle name="Normal 44 2 2 2 4" xfId="26591"/>
    <cellStyle name="Normal 44 2 2 3" xfId="9859"/>
    <cellStyle name="Normal 44 2 2 3 2" xfId="23872"/>
    <cellStyle name="Normal 44 2 2 3 2 2" xfId="29105"/>
    <cellStyle name="Normal 44 2 2 3 3" xfId="26593"/>
    <cellStyle name="Normal 44 2 2 4" xfId="23869"/>
    <cellStyle name="Normal 44 2 2 4 2" xfId="29102"/>
    <cellStyle name="Normal 44 2 2 5" xfId="26590"/>
    <cellStyle name="Normal 44 2 2_DeltaViewer" xfId="9860"/>
    <cellStyle name="Normal 44 2 3" xfId="9861"/>
    <cellStyle name="Normal 44 2 3 2" xfId="9862"/>
    <cellStyle name="Normal 44 2 3 2 2" xfId="23874"/>
    <cellStyle name="Normal 44 2 3 2 2 2" xfId="29107"/>
    <cellStyle name="Normal 44 2 3 2 3" xfId="26595"/>
    <cellStyle name="Normal 44 2 3 3" xfId="23873"/>
    <cellStyle name="Normal 44 2 3 3 2" xfId="29106"/>
    <cellStyle name="Normal 44 2 3 4" xfId="26594"/>
    <cellStyle name="Normal 44 2 4" xfId="9863"/>
    <cellStyle name="Normal 44 2 4 2" xfId="23875"/>
    <cellStyle name="Normal 44 2 4 2 2" xfId="29108"/>
    <cellStyle name="Normal 44 2 4 3" xfId="26596"/>
    <cellStyle name="Normal 44 2 5" xfId="23868"/>
    <cellStyle name="Normal 44 2 5 2" xfId="29101"/>
    <cellStyle name="Normal 44 2 6" xfId="26589"/>
    <cellStyle name="Normal 44 2_DeltaViewer" xfId="9864"/>
    <cellStyle name="Normal 44 3" xfId="9865"/>
    <cellStyle name="Normal 44 3 2" xfId="9866"/>
    <cellStyle name="Normal 44 3 2 2" xfId="9867"/>
    <cellStyle name="Normal 44 3 2 2 2" xfId="9868"/>
    <cellStyle name="Normal 44 3 2 2 2 2" xfId="23879"/>
    <cellStyle name="Normal 44 3 2 2 2 2 2" xfId="29112"/>
    <cellStyle name="Normal 44 3 2 2 2 3" xfId="26600"/>
    <cellStyle name="Normal 44 3 2 2 3" xfId="23878"/>
    <cellStyle name="Normal 44 3 2 2 3 2" xfId="29111"/>
    <cellStyle name="Normal 44 3 2 2 4" xfId="26599"/>
    <cellStyle name="Normal 44 3 2 3" xfId="9869"/>
    <cellStyle name="Normal 44 3 2 3 2" xfId="23880"/>
    <cellStyle name="Normal 44 3 2 3 2 2" xfId="29113"/>
    <cellStyle name="Normal 44 3 2 3 3" xfId="26601"/>
    <cellStyle name="Normal 44 3 2 4" xfId="23877"/>
    <cellStyle name="Normal 44 3 2 4 2" xfId="29110"/>
    <cellStyle name="Normal 44 3 2 5" xfId="26598"/>
    <cellStyle name="Normal 44 3 2_DeltaViewer" xfId="9870"/>
    <cellStyle name="Normal 44 3 3" xfId="9871"/>
    <cellStyle name="Normal 44 3 3 2" xfId="9872"/>
    <cellStyle name="Normal 44 3 3 2 2" xfId="23882"/>
    <cellStyle name="Normal 44 3 3 2 2 2" xfId="29115"/>
    <cellStyle name="Normal 44 3 3 2 3" xfId="26603"/>
    <cellStyle name="Normal 44 3 3 3" xfId="23881"/>
    <cellStyle name="Normal 44 3 3 3 2" xfId="29114"/>
    <cellStyle name="Normal 44 3 3 4" xfId="26602"/>
    <cellStyle name="Normal 44 3 4" xfId="9873"/>
    <cellStyle name="Normal 44 3 4 2" xfId="23883"/>
    <cellStyle name="Normal 44 3 4 2 2" xfId="29116"/>
    <cellStyle name="Normal 44 3 4 3" xfId="26604"/>
    <cellStyle name="Normal 44 3 5" xfId="23876"/>
    <cellStyle name="Normal 44 3 5 2" xfId="29109"/>
    <cellStyle name="Normal 44 3 6" xfId="26597"/>
    <cellStyle name="Normal 44 3_DeltaViewer" xfId="9874"/>
    <cellStyle name="Normal 44 4" xfId="9875"/>
    <cellStyle name="Normal 44 4 2" xfId="9876"/>
    <cellStyle name="Normal 44 4 2 2" xfId="9877"/>
    <cellStyle name="Normal 44 4 2 2 2" xfId="9878"/>
    <cellStyle name="Normal 44 4 2 2 2 2" xfId="23887"/>
    <cellStyle name="Normal 44 4 2 2 2 2 2" xfId="29120"/>
    <cellStyle name="Normal 44 4 2 2 2 3" xfId="26608"/>
    <cellStyle name="Normal 44 4 2 2 3" xfId="23886"/>
    <cellStyle name="Normal 44 4 2 2 3 2" xfId="29119"/>
    <cellStyle name="Normal 44 4 2 2 4" xfId="26607"/>
    <cellStyle name="Normal 44 4 2 3" xfId="9879"/>
    <cellStyle name="Normal 44 4 2 3 2" xfId="23888"/>
    <cellStyle name="Normal 44 4 2 3 2 2" xfId="29121"/>
    <cellStyle name="Normal 44 4 2 3 3" xfId="26609"/>
    <cellStyle name="Normal 44 4 2 4" xfId="23885"/>
    <cellStyle name="Normal 44 4 2 4 2" xfId="29118"/>
    <cellStyle name="Normal 44 4 2 5" xfId="26606"/>
    <cellStyle name="Normal 44 4 2_DeltaViewer" xfId="9880"/>
    <cellStyle name="Normal 44 4 3" xfId="9881"/>
    <cellStyle name="Normal 44 4 3 2" xfId="9882"/>
    <cellStyle name="Normal 44 4 3 2 2" xfId="23890"/>
    <cellStyle name="Normal 44 4 3 2 2 2" xfId="29123"/>
    <cellStyle name="Normal 44 4 3 2 3" xfId="26611"/>
    <cellStyle name="Normal 44 4 3 3" xfId="23889"/>
    <cellStyle name="Normal 44 4 3 3 2" xfId="29122"/>
    <cellStyle name="Normal 44 4 3 4" xfId="26610"/>
    <cellStyle name="Normal 44 4 4" xfId="9883"/>
    <cellStyle name="Normal 44 4 4 2" xfId="23891"/>
    <cellStyle name="Normal 44 4 4 2 2" xfId="29124"/>
    <cellStyle name="Normal 44 4 4 3" xfId="26612"/>
    <cellStyle name="Normal 44 4 5" xfId="23884"/>
    <cellStyle name="Normal 44 4 5 2" xfId="29117"/>
    <cellStyle name="Normal 44 4 6" xfId="26605"/>
    <cellStyle name="Normal 44 4_DeltaViewer" xfId="9884"/>
    <cellStyle name="Normal 44 5" xfId="9885"/>
    <cellStyle name="Normal 44 5 2" xfId="9886"/>
    <cellStyle name="Normal 44 5 2 2" xfId="9887"/>
    <cellStyle name="Normal 44 5 2 2 2" xfId="23894"/>
    <cellStyle name="Normal 44 5 2 2 2 2" xfId="29127"/>
    <cellStyle name="Normal 44 5 2 2 3" xfId="26615"/>
    <cellStyle name="Normal 44 5 2 3" xfId="23893"/>
    <cellStyle name="Normal 44 5 2 3 2" xfId="29126"/>
    <cellStyle name="Normal 44 5 2 4" xfId="26614"/>
    <cellStyle name="Normal 44 5 3" xfId="9888"/>
    <cellStyle name="Normal 44 5 3 2" xfId="23895"/>
    <cellStyle name="Normal 44 5 3 2 2" xfId="29128"/>
    <cellStyle name="Normal 44 5 3 3" xfId="26616"/>
    <cellStyle name="Normal 44 5 4" xfId="23892"/>
    <cellStyle name="Normal 44 5 4 2" xfId="29125"/>
    <cellStyle name="Normal 44 5 5" xfId="26613"/>
    <cellStyle name="Normal 44 5_DeltaViewer" xfId="9889"/>
    <cellStyle name="Normal 44 6" xfId="9890"/>
    <cellStyle name="Normal 44 6 2" xfId="9891"/>
    <cellStyle name="Normal 44 6 2 2" xfId="23897"/>
    <cellStyle name="Normal 44 6 2 2 2" xfId="29130"/>
    <cellStyle name="Normal 44 6 2 3" xfId="26618"/>
    <cellStyle name="Normal 44 6 3" xfId="23896"/>
    <cellStyle name="Normal 44 6 3 2" xfId="29129"/>
    <cellStyle name="Normal 44 6 4" xfId="26617"/>
    <cellStyle name="Normal 44 7" xfId="9892"/>
    <cellStyle name="Normal 44 7 2" xfId="9893"/>
    <cellStyle name="Normal 44 7 2 2" xfId="23899"/>
    <cellStyle name="Normal 44 7 2 2 2" xfId="29132"/>
    <cellStyle name="Normal 44 7 2 3" xfId="26620"/>
    <cellStyle name="Normal 44 7 3" xfId="23898"/>
    <cellStyle name="Normal 44 7 3 2" xfId="29131"/>
    <cellStyle name="Normal 44 7 4" xfId="26619"/>
    <cellStyle name="Normal 44 8" xfId="9894"/>
    <cellStyle name="Normal 44 8 2" xfId="23900"/>
    <cellStyle name="Normal 44 8 2 2" xfId="29133"/>
    <cellStyle name="Normal 44 8 3" xfId="26621"/>
    <cellStyle name="Normal 44 9" xfId="23867"/>
    <cellStyle name="Normal 44 9 2" xfId="29100"/>
    <cellStyle name="Normal 44_DeltaViewer" xfId="9895"/>
    <cellStyle name="Normal 45" xfId="9896"/>
    <cellStyle name="Normal 45 10" xfId="26622"/>
    <cellStyle name="Normal 45 2" xfId="9897"/>
    <cellStyle name="Normal 45 2 2" xfId="9898"/>
    <cellStyle name="Normal 45 2 2 2" xfId="9899"/>
    <cellStyle name="Normal 45 2 2 2 2" xfId="9900"/>
    <cellStyle name="Normal 45 2 2 2 2 2" xfId="23905"/>
    <cellStyle name="Normal 45 2 2 2 2 2 2" xfId="29138"/>
    <cellStyle name="Normal 45 2 2 2 2 3" xfId="26626"/>
    <cellStyle name="Normal 45 2 2 2 3" xfId="23904"/>
    <cellStyle name="Normal 45 2 2 2 3 2" xfId="29137"/>
    <cellStyle name="Normal 45 2 2 2 4" xfId="26625"/>
    <cellStyle name="Normal 45 2 2 3" xfId="9901"/>
    <cellStyle name="Normal 45 2 2 3 2" xfId="23906"/>
    <cellStyle name="Normal 45 2 2 3 2 2" xfId="29139"/>
    <cellStyle name="Normal 45 2 2 3 3" xfId="26627"/>
    <cellStyle name="Normal 45 2 2 4" xfId="23903"/>
    <cellStyle name="Normal 45 2 2 4 2" xfId="29136"/>
    <cellStyle name="Normal 45 2 2 5" xfId="26624"/>
    <cellStyle name="Normal 45 2 2_DeltaViewer" xfId="9902"/>
    <cellStyle name="Normal 45 2 3" xfId="9903"/>
    <cellStyle name="Normal 45 2 3 2" xfId="9904"/>
    <cellStyle name="Normal 45 2 3 2 2" xfId="23908"/>
    <cellStyle name="Normal 45 2 3 2 2 2" xfId="29141"/>
    <cellStyle name="Normal 45 2 3 2 3" xfId="26629"/>
    <cellStyle name="Normal 45 2 3 3" xfId="23907"/>
    <cellStyle name="Normal 45 2 3 3 2" xfId="29140"/>
    <cellStyle name="Normal 45 2 3 4" xfId="26628"/>
    <cellStyle name="Normal 45 2 4" xfId="9905"/>
    <cellStyle name="Normal 45 2 4 2" xfId="23909"/>
    <cellStyle name="Normal 45 2 4 2 2" xfId="29142"/>
    <cellStyle name="Normal 45 2 4 3" xfId="26630"/>
    <cellStyle name="Normal 45 2 5" xfId="23902"/>
    <cellStyle name="Normal 45 2 5 2" xfId="29135"/>
    <cellStyle name="Normal 45 2 6" xfId="26623"/>
    <cellStyle name="Normal 45 2_DeltaViewer" xfId="9906"/>
    <cellStyle name="Normal 45 3" xfId="9907"/>
    <cellStyle name="Normal 45 3 2" xfId="9908"/>
    <cellStyle name="Normal 45 3 2 2" xfId="9909"/>
    <cellStyle name="Normal 45 3 2 2 2" xfId="9910"/>
    <cellStyle name="Normal 45 3 2 2 2 2" xfId="23913"/>
    <cellStyle name="Normal 45 3 2 2 2 2 2" xfId="29146"/>
    <cellStyle name="Normal 45 3 2 2 2 3" xfId="26634"/>
    <cellStyle name="Normal 45 3 2 2 3" xfId="23912"/>
    <cellStyle name="Normal 45 3 2 2 3 2" xfId="29145"/>
    <cellStyle name="Normal 45 3 2 2 4" xfId="26633"/>
    <cellStyle name="Normal 45 3 2 3" xfId="9911"/>
    <cellStyle name="Normal 45 3 2 3 2" xfId="23914"/>
    <cellStyle name="Normal 45 3 2 3 2 2" xfId="29147"/>
    <cellStyle name="Normal 45 3 2 3 3" xfId="26635"/>
    <cellStyle name="Normal 45 3 2 4" xfId="23911"/>
    <cellStyle name="Normal 45 3 2 4 2" xfId="29144"/>
    <cellStyle name="Normal 45 3 2 5" xfId="26632"/>
    <cellStyle name="Normal 45 3 2_DeltaViewer" xfId="9912"/>
    <cellStyle name="Normal 45 3 3" xfId="9913"/>
    <cellStyle name="Normal 45 3 3 2" xfId="9914"/>
    <cellStyle name="Normal 45 3 3 2 2" xfId="23916"/>
    <cellStyle name="Normal 45 3 3 2 2 2" xfId="29149"/>
    <cellStyle name="Normal 45 3 3 2 3" xfId="26637"/>
    <cellStyle name="Normal 45 3 3 3" xfId="23915"/>
    <cellStyle name="Normal 45 3 3 3 2" xfId="29148"/>
    <cellStyle name="Normal 45 3 3 4" xfId="26636"/>
    <cellStyle name="Normal 45 3 4" xfId="9915"/>
    <cellStyle name="Normal 45 3 4 2" xfId="23917"/>
    <cellStyle name="Normal 45 3 4 2 2" xfId="29150"/>
    <cellStyle name="Normal 45 3 4 3" xfId="26638"/>
    <cellStyle name="Normal 45 3 5" xfId="23910"/>
    <cellStyle name="Normal 45 3 5 2" xfId="29143"/>
    <cellStyle name="Normal 45 3 6" xfId="26631"/>
    <cellStyle name="Normal 45 3_DeltaViewer" xfId="9916"/>
    <cellStyle name="Normal 45 4" xfId="9917"/>
    <cellStyle name="Normal 45 4 2" xfId="9918"/>
    <cellStyle name="Normal 45 4 2 2" xfId="9919"/>
    <cellStyle name="Normal 45 4 2 2 2" xfId="9920"/>
    <cellStyle name="Normal 45 4 2 2 2 2" xfId="23921"/>
    <cellStyle name="Normal 45 4 2 2 2 2 2" xfId="29154"/>
    <cellStyle name="Normal 45 4 2 2 2 3" xfId="26642"/>
    <cellStyle name="Normal 45 4 2 2 3" xfId="23920"/>
    <cellStyle name="Normal 45 4 2 2 3 2" xfId="29153"/>
    <cellStyle name="Normal 45 4 2 2 4" xfId="26641"/>
    <cellStyle name="Normal 45 4 2 3" xfId="9921"/>
    <cellStyle name="Normal 45 4 2 3 2" xfId="23922"/>
    <cellStyle name="Normal 45 4 2 3 2 2" xfId="29155"/>
    <cellStyle name="Normal 45 4 2 3 3" xfId="26643"/>
    <cellStyle name="Normal 45 4 2 4" xfId="23919"/>
    <cellStyle name="Normal 45 4 2 4 2" xfId="29152"/>
    <cellStyle name="Normal 45 4 2 5" xfId="26640"/>
    <cellStyle name="Normal 45 4 2_DeltaViewer" xfId="9922"/>
    <cellStyle name="Normal 45 4 3" xfId="9923"/>
    <cellStyle name="Normal 45 4 3 2" xfId="9924"/>
    <cellStyle name="Normal 45 4 3 2 2" xfId="23924"/>
    <cellStyle name="Normal 45 4 3 2 2 2" xfId="29157"/>
    <cellStyle name="Normal 45 4 3 2 3" xfId="26645"/>
    <cellStyle name="Normal 45 4 3 3" xfId="23923"/>
    <cellStyle name="Normal 45 4 3 3 2" xfId="29156"/>
    <cellStyle name="Normal 45 4 3 4" xfId="26644"/>
    <cellStyle name="Normal 45 4 4" xfId="9925"/>
    <cellStyle name="Normal 45 4 4 2" xfId="23925"/>
    <cellStyle name="Normal 45 4 4 2 2" xfId="29158"/>
    <cellStyle name="Normal 45 4 4 3" xfId="26646"/>
    <cellStyle name="Normal 45 4 5" xfId="23918"/>
    <cellStyle name="Normal 45 4 5 2" xfId="29151"/>
    <cellStyle name="Normal 45 4 6" xfId="26639"/>
    <cellStyle name="Normal 45 4_DeltaViewer" xfId="9926"/>
    <cellStyle name="Normal 45 5" xfId="9927"/>
    <cellStyle name="Normal 45 5 2" xfId="9928"/>
    <cellStyle name="Normal 45 5 2 2" xfId="9929"/>
    <cellStyle name="Normal 45 5 2 2 2" xfId="23928"/>
    <cellStyle name="Normal 45 5 2 2 2 2" xfId="29161"/>
    <cellStyle name="Normal 45 5 2 2 3" xfId="26649"/>
    <cellStyle name="Normal 45 5 2 3" xfId="23927"/>
    <cellStyle name="Normal 45 5 2 3 2" xfId="29160"/>
    <cellStyle name="Normal 45 5 2 4" xfId="26648"/>
    <cellStyle name="Normal 45 5 3" xfId="9930"/>
    <cellStyle name="Normal 45 5 3 2" xfId="23929"/>
    <cellStyle name="Normal 45 5 3 2 2" xfId="29162"/>
    <cellStyle name="Normal 45 5 3 3" xfId="26650"/>
    <cellStyle name="Normal 45 5 4" xfId="23926"/>
    <cellStyle name="Normal 45 5 4 2" xfId="29159"/>
    <cellStyle name="Normal 45 5 5" xfId="26647"/>
    <cellStyle name="Normal 45 5_DeltaViewer" xfId="9931"/>
    <cellStyle name="Normal 45 6" xfId="9932"/>
    <cellStyle name="Normal 45 6 2" xfId="9933"/>
    <cellStyle name="Normal 45 6 2 2" xfId="23931"/>
    <cellStyle name="Normal 45 6 2 2 2" xfId="29164"/>
    <cellStyle name="Normal 45 6 2 3" xfId="26652"/>
    <cellStyle name="Normal 45 6 3" xfId="23930"/>
    <cellStyle name="Normal 45 6 3 2" xfId="29163"/>
    <cellStyle name="Normal 45 6 4" xfId="26651"/>
    <cellStyle name="Normal 45 7" xfId="9934"/>
    <cellStyle name="Normal 45 7 2" xfId="9935"/>
    <cellStyle name="Normal 45 7 2 2" xfId="23933"/>
    <cellStyle name="Normal 45 7 2 2 2" xfId="29166"/>
    <cellStyle name="Normal 45 7 2 3" xfId="26654"/>
    <cellStyle name="Normal 45 7 3" xfId="23932"/>
    <cellStyle name="Normal 45 7 3 2" xfId="29165"/>
    <cellStyle name="Normal 45 7 4" xfId="26653"/>
    <cellStyle name="Normal 45 8" xfId="9936"/>
    <cellStyle name="Normal 45 8 2" xfId="23934"/>
    <cellStyle name="Normal 45 8 2 2" xfId="29167"/>
    <cellStyle name="Normal 45 8 3" xfId="26655"/>
    <cellStyle name="Normal 45 9" xfId="23901"/>
    <cellStyle name="Normal 45 9 2" xfId="29134"/>
    <cellStyle name="Normal 45_DeltaViewer" xfId="9937"/>
    <cellStyle name="Normal 46" xfId="9938"/>
    <cellStyle name="Normal 46 10" xfId="26656"/>
    <cellStyle name="Normal 46 2" xfId="9939"/>
    <cellStyle name="Normal 46 2 2" xfId="9940"/>
    <cellStyle name="Normal 46 2 2 2" xfId="9941"/>
    <cellStyle name="Normal 46 2 2 2 2" xfId="9942"/>
    <cellStyle name="Normal 46 2 2 2 2 2" xfId="23939"/>
    <cellStyle name="Normal 46 2 2 2 2 2 2" xfId="29172"/>
    <cellStyle name="Normal 46 2 2 2 2 3" xfId="26660"/>
    <cellStyle name="Normal 46 2 2 2 3" xfId="23938"/>
    <cellStyle name="Normal 46 2 2 2 3 2" xfId="29171"/>
    <cellStyle name="Normal 46 2 2 2 4" xfId="26659"/>
    <cellStyle name="Normal 46 2 2 3" xfId="9943"/>
    <cellStyle name="Normal 46 2 2 3 2" xfId="23940"/>
    <cellStyle name="Normal 46 2 2 3 2 2" xfId="29173"/>
    <cellStyle name="Normal 46 2 2 3 3" xfId="26661"/>
    <cellStyle name="Normal 46 2 2 4" xfId="23937"/>
    <cellStyle name="Normal 46 2 2 4 2" xfId="29170"/>
    <cellStyle name="Normal 46 2 2 5" xfId="26658"/>
    <cellStyle name="Normal 46 2 2_DeltaViewer" xfId="9944"/>
    <cellStyle name="Normal 46 2 3" xfId="9945"/>
    <cellStyle name="Normal 46 2 3 2" xfId="9946"/>
    <cellStyle name="Normal 46 2 3 2 2" xfId="23942"/>
    <cellStyle name="Normal 46 2 3 2 2 2" xfId="29175"/>
    <cellStyle name="Normal 46 2 3 2 3" xfId="26663"/>
    <cellStyle name="Normal 46 2 3 3" xfId="23941"/>
    <cellStyle name="Normal 46 2 3 3 2" xfId="29174"/>
    <cellStyle name="Normal 46 2 3 4" xfId="26662"/>
    <cellStyle name="Normal 46 2 4" xfId="9947"/>
    <cellStyle name="Normal 46 2 4 2" xfId="23943"/>
    <cellStyle name="Normal 46 2 4 2 2" xfId="29176"/>
    <cellStyle name="Normal 46 2 4 3" xfId="26664"/>
    <cellStyle name="Normal 46 2 5" xfId="23936"/>
    <cellStyle name="Normal 46 2 5 2" xfId="29169"/>
    <cellStyle name="Normal 46 2 6" xfId="26657"/>
    <cellStyle name="Normal 46 2_DeltaViewer" xfId="9948"/>
    <cellStyle name="Normal 46 3" xfId="9949"/>
    <cellStyle name="Normal 46 3 2" xfId="9950"/>
    <cellStyle name="Normal 46 3 2 2" xfId="9951"/>
    <cellStyle name="Normal 46 3 2 2 2" xfId="9952"/>
    <cellStyle name="Normal 46 3 2 2 2 2" xfId="23947"/>
    <cellStyle name="Normal 46 3 2 2 2 2 2" xfId="29180"/>
    <cellStyle name="Normal 46 3 2 2 2 3" xfId="26668"/>
    <cellStyle name="Normal 46 3 2 2 3" xfId="23946"/>
    <cellStyle name="Normal 46 3 2 2 3 2" xfId="29179"/>
    <cellStyle name="Normal 46 3 2 2 4" xfId="26667"/>
    <cellStyle name="Normal 46 3 2 3" xfId="9953"/>
    <cellStyle name="Normal 46 3 2 3 2" xfId="23948"/>
    <cellStyle name="Normal 46 3 2 3 2 2" xfId="29181"/>
    <cellStyle name="Normal 46 3 2 3 3" xfId="26669"/>
    <cellStyle name="Normal 46 3 2 4" xfId="23945"/>
    <cellStyle name="Normal 46 3 2 4 2" xfId="29178"/>
    <cellStyle name="Normal 46 3 2 5" xfId="26666"/>
    <cellStyle name="Normal 46 3 2_DeltaViewer" xfId="9954"/>
    <cellStyle name="Normal 46 3 3" xfId="9955"/>
    <cellStyle name="Normal 46 3 3 2" xfId="9956"/>
    <cellStyle name="Normal 46 3 3 2 2" xfId="23950"/>
    <cellStyle name="Normal 46 3 3 2 2 2" xfId="29183"/>
    <cellStyle name="Normal 46 3 3 2 3" xfId="26671"/>
    <cellStyle name="Normal 46 3 3 3" xfId="23949"/>
    <cellStyle name="Normal 46 3 3 3 2" xfId="29182"/>
    <cellStyle name="Normal 46 3 3 4" xfId="26670"/>
    <cellStyle name="Normal 46 3 4" xfId="9957"/>
    <cellStyle name="Normal 46 3 4 2" xfId="23951"/>
    <cellStyle name="Normal 46 3 4 2 2" xfId="29184"/>
    <cellStyle name="Normal 46 3 4 3" xfId="26672"/>
    <cellStyle name="Normal 46 3 5" xfId="23944"/>
    <cellStyle name="Normal 46 3 5 2" xfId="29177"/>
    <cellStyle name="Normal 46 3 6" xfId="26665"/>
    <cellStyle name="Normal 46 3_DeltaViewer" xfId="9958"/>
    <cellStyle name="Normal 46 4" xfId="9959"/>
    <cellStyle name="Normal 46 4 2" xfId="9960"/>
    <cellStyle name="Normal 46 4 2 2" xfId="9961"/>
    <cellStyle name="Normal 46 4 2 2 2" xfId="9962"/>
    <cellStyle name="Normal 46 4 2 2 2 2" xfId="23955"/>
    <cellStyle name="Normal 46 4 2 2 2 2 2" xfId="29188"/>
    <cellStyle name="Normal 46 4 2 2 2 3" xfId="26676"/>
    <cellStyle name="Normal 46 4 2 2 3" xfId="23954"/>
    <cellStyle name="Normal 46 4 2 2 3 2" xfId="29187"/>
    <cellStyle name="Normal 46 4 2 2 4" xfId="26675"/>
    <cellStyle name="Normal 46 4 2 3" xfId="9963"/>
    <cellStyle name="Normal 46 4 2 3 2" xfId="23956"/>
    <cellStyle name="Normal 46 4 2 3 2 2" xfId="29189"/>
    <cellStyle name="Normal 46 4 2 3 3" xfId="26677"/>
    <cellStyle name="Normal 46 4 2 4" xfId="23953"/>
    <cellStyle name="Normal 46 4 2 4 2" xfId="29186"/>
    <cellStyle name="Normal 46 4 2 5" xfId="26674"/>
    <cellStyle name="Normal 46 4 2_DeltaViewer" xfId="9964"/>
    <cellStyle name="Normal 46 4 3" xfId="9965"/>
    <cellStyle name="Normal 46 4 3 2" xfId="9966"/>
    <cellStyle name="Normal 46 4 3 2 2" xfId="23958"/>
    <cellStyle name="Normal 46 4 3 2 2 2" xfId="29191"/>
    <cellStyle name="Normal 46 4 3 2 3" xfId="26679"/>
    <cellStyle name="Normal 46 4 3 3" xfId="23957"/>
    <cellStyle name="Normal 46 4 3 3 2" xfId="29190"/>
    <cellStyle name="Normal 46 4 3 4" xfId="26678"/>
    <cellStyle name="Normal 46 4 4" xfId="9967"/>
    <cellStyle name="Normal 46 4 4 2" xfId="23959"/>
    <cellStyle name="Normal 46 4 4 2 2" xfId="29192"/>
    <cellStyle name="Normal 46 4 4 3" xfId="26680"/>
    <cellStyle name="Normal 46 4 5" xfId="23952"/>
    <cellStyle name="Normal 46 4 5 2" xfId="29185"/>
    <cellStyle name="Normal 46 4 6" xfId="26673"/>
    <cellStyle name="Normal 46 4_DeltaViewer" xfId="9968"/>
    <cellStyle name="Normal 46 5" xfId="9969"/>
    <cellStyle name="Normal 46 5 2" xfId="9970"/>
    <cellStyle name="Normal 46 5 2 2" xfId="9971"/>
    <cellStyle name="Normal 46 5 2 2 2" xfId="23962"/>
    <cellStyle name="Normal 46 5 2 2 2 2" xfId="29195"/>
    <cellStyle name="Normal 46 5 2 2 3" xfId="26683"/>
    <cellStyle name="Normal 46 5 2 3" xfId="23961"/>
    <cellStyle name="Normal 46 5 2 3 2" xfId="29194"/>
    <cellStyle name="Normal 46 5 2 4" xfId="26682"/>
    <cellStyle name="Normal 46 5 3" xfId="9972"/>
    <cellStyle name="Normal 46 5 3 2" xfId="23963"/>
    <cellStyle name="Normal 46 5 3 2 2" xfId="29196"/>
    <cellStyle name="Normal 46 5 3 3" xfId="26684"/>
    <cellStyle name="Normal 46 5 4" xfId="23960"/>
    <cellStyle name="Normal 46 5 4 2" xfId="29193"/>
    <cellStyle name="Normal 46 5 5" xfId="26681"/>
    <cellStyle name="Normal 46 5_DeltaViewer" xfId="9973"/>
    <cellStyle name="Normal 46 6" xfId="9974"/>
    <cellStyle name="Normal 46 6 2" xfId="9975"/>
    <cellStyle name="Normal 46 6 2 2" xfId="23965"/>
    <cellStyle name="Normal 46 6 2 2 2" xfId="29198"/>
    <cellStyle name="Normal 46 6 2 3" xfId="26686"/>
    <cellStyle name="Normal 46 6 3" xfId="23964"/>
    <cellStyle name="Normal 46 6 3 2" xfId="29197"/>
    <cellStyle name="Normal 46 6 4" xfId="26685"/>
    <cellStyle name="Normal 46 7" xfId="9976"/>
    <cellStyle name="Normal 46 7 2" xfId="9977"/>
    <cellStyle name="Normal 46 7 2 2" xfId="23967"/>
    <cellStyle name="Normal 46 7 2 2 2" xfId="29200"/>
    <cellStyle name="Normal 46 7 2 3" xfId="26688"/>
    <cellStyle name="Normal 46 7 3" xfId="23966"/>
    <cellStyle name="Normal 46 7 3 2" xfId="29199"/>
    <cellStyle name="Normal 46 7 4" xfId="26687"/>
    <cellStyle name="Normal 46 8" xfId="9978"/>
    <cellStyle name="Normal 46 8 2" xfId="23968"/>
    <cellStyle name="Normal 46 8 2 2" xfId="29201"/>
    <cellStyle name="Normal 46 8 3" xfId="26689"/>
    <cellStyle name="Normal 46 9" xfId="23935"/>
    <cellStyle name="Normal 46 9 2" xfId="29168"/>
    <cellStyle name="Normal 46_DeltaViewer" xfId="9979"/>
    <cellStyle name="Normal 47" xfId="9980"/>
    <cellStyle name="Normal 47 10" xfId="26690"/>
    <cellStyle name="Normal 47 2" xfId="9981"/>
    <cellStyle name="Normal 47 2 2" xfId="9982"/>
    <cellStyle name="Normal 47 2 2 2" xfId="9983"/>
    <cellStyle name="Normal 47 2 2 2 2" xfId="9984"/>
    <cellStyle name="Normal 47 2 2 2 2 2" xfId="23973"/>
    <cellStyle name="Normal 47 2 2 2 2 2 2" xfId="29206"/>
    <cellStyle name="Normal 47 2 2 2 2 3" xfId="26694"/>
    <cellStyle name="Normal 47 2 2 2 3" xfId="23972"/>
    <cellStyle name="Normal 47 2 2 2 3 2" xfId="29205"/>
    <cellStyle name="Normal 47 2 2 2 4" xfId="26693"/>
    <cellStyle name="Normal 47 2 2 3" xfId="9985"/>
    <cellStyle name="Normal 47 2 2 3 2" xfId="23974"/>
    <cellStyle name="Normal 47 2 2 3 2 2" xfId="29207"/>
    <cellStyle name="Normal 47 2 2 3 3" xfId="26695"/>
    <cellStyle name="Normal 47 2 2 4" xfId="23971"/>
    <cellStyle name="Normal 47 2 2 4 2" xfId="29204"/>
    <cellStyle name="Normal 47 2 2 5" xfId="26692"/>
    <cellStyle name="Normal 47 2 2_DeltaViewer" xfId="9986"/>
    <cellStyle name="Normal 47 2 3" xfId="9987"/>
    <cellStyle name="Normal 47 2 3 2" xfId="9988"/>
    <cellStyle name="Normal 47 2 3 2 2" xfId="23976"/>
    <cellStyle name="Normal 47 2 3 2 2 2" xfId="29209"/>
    <cellStyle name="Normal 47 2 3 2 3" xfId="26697"/>
    <cellStyle name="Normal 47 2 3 3" xfId="23975"/>
    <cellStyle name="Normal 47 2 3 3 2" xfId="29208"/>
    <cellStyle name="Normal 47 2 3 4" xfId="26696"/>
    <cellStyle name="Normal 47 2 4" xfId="9989"/>
    <cellStyle name="Normal 47 2 4 2" xfId="23977"/>
    <cellStyle name="Normal 47 2 4 2 2" xfId="29210"/>
    <cellStyle name="Normal 47 2 4 3" xfId="26698"/>
    <cellStyle name="Normal 47 2 5" xfId="23970"/>
    <cellStyle name="Normal 47 2 5 2" xfId="29203"/>
    <cellStyle name="Normal 47 2 6" xfId="26691"/>
    <cellStyle name="Normal 47 2_DeltaViewer" xfId="9990"/>
    <cellStyle name="Normal 47 3" xfId="9991"/>
    <cellStyle name="Normal 47 3 2" xfId="9992"/>
    <cellStyle name="Normal 47 3 2 2" xfId="9993"/>
    <cellStyle name="Normal 47 3 2 2 2" xfId="9994"/>
    <cellStyle name="Normal 47 3 2 2 2 2" xfId="23981"/>
    <cellStyle name="Normal 47 3 2 2 2 2 2" xfId="29214"/>
    <cellStyle name="Normal 47 3 2 2 2 3" xfId="26702"/>
    <cellStyle name="Normal 47 3 2 2 3" xfId="23980"/>
    <cellStyle name="Normal 47 3 2 2 3 2" xfId="29213"/>
    <cellStyle name="Normal 47 3 2 2 4" xfId="26701"/>
    <cellStyle name="Normal 47 3 2 3" xfId="9995"/>
    <cellStyle name="Normal 47 3 2 3 2" xfId="23982"/>
    <cellStyle name="Normal 47 3 2 3 2 2" xfId="29215"/>
    <cellStyle name="Normal 47 3 2 3 3" xfId="26703"/>
    <cellStyle name="Normal 47 3 2 4" xfId="23979"/>
    <cellStyle name="Normal 47 3 2 4 2" xfId="29212"/>
    <cellStyle name="Normal 47 3 2 5" xfId="26700"/>
    <cellStyle name="Normal 47 3 2_DeltaViewer" xfId="9996"/>
    <cellStyle name="Normal 47 3 3" xfId="9997"/>
    <cellStyle name="Normal 47 3 3 2" xfId="9998"/>
    <cellStyle name="Normal 47 3 3 2 2" xfId="23984"/>
    <cellStyle name="Normal 47 3 3 2 2 2" xfId="29217"/>
    <cellStyle name="Normal 47 3 3 2 3" xfId="26705"/>
    <cellStyle name="Normal 47 3 3 3" xfId="23983"/>
    <cellStyle name="Normal 47 3 3 3 2" xfId="29216"/>
    <cellStyle name="Normal 47 3 3 4" xfId="26704"/>
    <cellStyle name="Normal 47 3 4" xfId="9999"/>
    <cellStyle name="Normal 47 3 4 2" xfId="23985"/>
    <cellStyle name="Normal 47 3 4 2 2" xfId="29218"/>
    <cellStyle name="Normal 47 3 4 3" xfId="26706"/>
    <cellStyle name="Normal 47 3 5" xfId="23978"/>
    <cellStyle name="Normal 47 3 5 2" xfId="29211"/>
    <cellStyle name="Normal 47 3 6" xfId="26699"/>
    <cellStyle name="Normal 47 3_DeltaViewer" xfId="10000"/>
    <cellStyle name="Normal 47 4" xfId="10001"/>
    <cellStyle name="Normal 47 4 2" xfId="10002"/>
    <cellStyle name="Normal 47 4 2 2" xfId="10003"/>
    <cellStyle name="Normal 47 4 2 2 2" xfId="10004"/>
    <cellStyle name="Normal 47 4 2 2 2 2" xfId="23989"/>
    <cellStyle name="Normal 47 4 2 2 2 2 2" xfId="29222"/>
    <cellStyle name="Normal 47 4 2 2 2 3" xfId="26710"/>
    <cellStyle name="Normal 47 4 2 2 3" xfId="23988"/>
    <cellStyle name="Normal 47 4 2 2 3 2" xfId="29221"/>
    <cellStyle name="Normal 47 4 2 2 4" xfId="26709"/>
    <cellStyle name="Normal 47 4 2 3" xfId="10005"/>
    <cellStyle name="Normal 47 4 2 3 2" xfId="23990"/>
    <cellStyle name="Normal 47 4 2 3 2 2" xfId="29223"/>
    <cellStyle name="Normal 47 4 2 3 3" xfId="26711"/>
    <cellStyle name="Normal 47 4 2 4" xfId="23987"/>
    <cellStyle name="Normal 47 4 2 4 2" xfId="29220"/>
    <cellStyle name="Normal 47 4 2 5" xfId="26708"/>
    <cellStyle name="Normal 47 4 2_DeltaViewer" xfId="10006"/>
    <cellStyle name="Normal 47 4 3" xfId="10007"/>
    <cellStyle name="Normal 47 4 3 2" xfId="10008"/>
    <cellStyle name="Normal 47 4 3 2 2" xfId="23992"/>
    <cellStyle name="Normal 47 4 3 2 2 2" xfId="29225"/>
    <cellStyle name="Normal 47 4 3 2 3" xfId="26713"/>
    <cellStyle name="Normal 47 4 3 3" xfId="23991"/>
    <cellStyle name="Normal 47 4 3 3 2" xfId="29224"/>
    <cellStyle name="Normal 47 4 3 4" xfId="26712"/>
    <cellStyle name="Normal 47 4 4" xfId="10009"/>
    <cellStyle name="Normal 47 4 4 2" xfId="23993"/>
    <cellStyle name="Normal 47 4 4 2 2" xfId="29226"/>
    <cellStyle name="Normal 47 4 4 3" xfId="26714"/>
    <cellStyle name="Normal 47 4 5" xfId="23986"/>
    <cellStyle name="Normal 47 4 5 2" xfId="29219"/>
    <cellStyle name="Normal 47 4 6" xfId="26707"/>
    <cellStyle name="Normal 47 4_DeltaViewer" xfId="10010"/>
    <cellStyle name="Normal 47 5" xfId="10011"/>
    <cellStyle name="Normal 47 5 2" xfId="10012"/>
    <cellStyle name="Normal 47 5 2 2" xfId="10013"/>
    <cellStyle name="Normal 47 5 2 2 2" xfId="23996"/>
    <cellStyle name="Normal 47 5 2 2 2 2" xfId="29229"/>
    <cellStyle name="Normal 47 5 2 2 3" xfId="26717"/>
    <cellStyle name="Normal 47 5 2 3" xfId="23995"/>
    <cellStyle name="Normal 47 5 2 3 2" xfId="29228"/>
    <cellStyle name="Normal 47 5 2 4" xfId="26716"/>
    <cellStyle name="Normal 47 5 3" xfId="10014"/>
    <cellStyle name="Normal 47 5 3 2" xfId="23997"/>
    <cellStyle name="Normal 47 5 3 2 2" xfId="29230"/>
    <cellStyle name="Normal 47 5 3 3" xfId="26718"/>
    <cellStyle name="Normal 47 5 4" xfId="23994"/>
    <cellStyle name="Normal 47 5 4 2" xfId="29227"/>
    <cellStyle name="Normal 47 5 5" xfId="26715"/>
    <cellStyle name="Normal 47 5_DeltaViewer" xfId="10015"/>
    <cellStyle name="Normal 47 6" xfId="10016"/>
    <cellStyle name="Normal 47 6 2" xfId="10017"/>
    <cellStyle name="Normal 47 6 2 2" xfId="23999"/>
    <cellStyle name="Normal 47 6 2 2 2" xfId="29232"/>
    <cellStyle name="Normal 47 6 2 3" xfId="26720"/>
    <cellStyle name="Normal 47 6 3" xfId="23998"/>
    <cellStyle name="Normal 47 6 3 2" xfId="29231"/>
    <cellStyle name="Normal 47 6 4" xfId="26719"/>
    <cellStyle name="Normal 47 7" xfId="10018"/>
    <cellStyle name="Normal 47 7 2" xfId="10019"/>
    <cellStyle name="Normal 47 7 2 2" xfId="24001"/>
    <cellStyle name="Normal 47 7 2 2 2" xfId="29234"/>
    <cellStyle name="Normal 47 7 2 3" xfId="26722"/>
    <cellStyle name="Normal 47 7 3" xfId="24000"/>
    <cellStyle name="Normal 47 7 3 2" xfId="29233"/>
    <cellStyle name="Normal 47 7 4" xfId="26721"/>
    <cellStyle name="Normal 47 8" xfId="10020"/>
    <cellStyle name="Normal 47 8 2" xfId="24002"/>
    <cellStyle name="Normal 47 8 2 2" xfId="29235"/>
    <cellStyle name="Normal 47 8 3" xfId="26723"/>
    <cellStyle name="Normal 47 9" xfId="23969"/>
    <cellStyle name="Normal 47 9 2" xfId="29202"/>
    <cellStyle name="Normal 47_DeltaViewer" xfId="10021"/>
    <cellStyle name="Normal 48" xfId="10022"/>
    <cellStyle name="Normal 48 10" xfId="26724"/>
    <cellStyle name="Normal 48 2" xfId="10023"/>
    <cellStyle name="Normal 48 2 2" xfId="10024"/>
    <cellStyle name="Normal 48 2 2 2" xfId="10025"/>
    <cellStyle name="Normal 48 2 2 2 2" xfId="10026"/>
    <cellStyle name="Normal 48 2 2 2 2 2" xfId="24007"/>
    <cellStyle name="Normal 48 2 2 2 2 2 2" xfId="29240"/>
    <cellStyle name="Normal 48 2 2 2 2 3" xfId="26728"/>
    <cellStyle name="Normal 48 2 2 2 3" xfId="24006"/>
    <cellStyle name="Normal 48 2 2 2 3 2" xfId="29239"/>
    <cellStyle name="Normal 48 2 2 2 4" xfId="26727"/>
    <cellStyle name="Normal 48 2 2 3" xfId="10027"/>
    <cellStyle name="Normal 48 2 2 3 2" xfId="24008"/>
    <cellStyle name="Normal 48 2 2 3 2 2" xfId="29241"/>
    <cellStyle name="Normal 48 2 2 3 3" xfId="26729"/>
    <cellStyle name="Normal 48 2 2 4" xfId="24005"/>
    <cellStyle name="Normal 48 2 2 4 2" xfId="29238"/>
    <cellStyle name="Normal 48 2 2 5" xfId="26726"/>
    <cellStyle name="Normal 48 2 2_DeltaViewer" xfId="10028"/>
    <cellStyle name="Normal 48 2 3" xfId="10029"/>
    <cellStyle name="Normal 48 2 3 2" xfId="10030"/>
    <cellStyle name="Normal 48 2 3 2 2" xfId="24010"/>
    <cellStyle name="Normal 48 2 3 2 2 2" xfId="29243"/>
    <cellStyle name="Normal 48 2 3 2 3" xfId="26731"/>
    <cellStyle name="Normal 48 2 3 3" xfId="24009"/>
    <cellStyle name="Normal 48 2 3 3 2" xfId="29242"/>
    <cellStyle name="Normal 48 2 3 4" xfId="26730"/>
    <cellStyle name="Normal 48 2 4" xfId="10031"/>
    <cellStyle name="Normal 48 2 4 2" xfId="24011"/>
    <cellStyle name="Normal 48 2 4 2 2" xfId="29244"/>
    <cellStyle name="Normal 48 2 4 3" xfId="26732"/>
    <cellStyle name="Normal 48 2 5" xfId="24004"/>
    <cellStyle name="Normal 48 2 5 2" xfId="29237"/>
    <cellStyle name="Normal 48 2 6" xfId="26725"/>
    <cellStyle name="Normal 48 2_DeltaViewer" xfId="10032"/>
    <cellStyle name="Normal 48 3" xfId="10033"/>
    <cellStyle name="Normal 48 3 2" xfId="10034"/>
    <cellStyle name="Normal 48 3 2 2" xfId="10035"/>
    <cellStyle name="Normal 48 3 2 2 2" xfId="10036"/>
    <cellStyle name="Normal 48 3 2 2 2 2" xfId="24015"/>
    <cellStyle name="Normal 48 3 2 2 2 2 2" xfId="29248"/>
    <cellStyle name="Normal 48 3 2 2 2 3" xfId="26736"/>
    <cellStyle name="Normal 48 3 2 2 3" xfId="24014"/>
    <cellStyle name="Normal 48 3 2 2 3 2" xfId="29247"/>
    <cellStyle name="Normal 48 3 2 2 4" xfId="26735"/>
    <cellStyle name="Normal 48 3 2 3" xfId="10037"/>
    <cellStyle name="Normal 48 3 2 3 2" xfId="24016"/>
    <cellStyle name="Normal 48 3 2 3 2 2" xfId="29249"/>
    <cellStyle name="Normal 48 3 2 3 3" xfId="26737"/>
    <cellStyle name="Normal 48 3 2 4" xfId="24013"/>
    <cellStyle name="Normal 48 3 2 4 2" xfId="29246"/>
    <cellStyle name="Normal 48 3 2 5" xfId="26734"/>
    <cellStyle name="Normal 48 3 2_DeltaViewer" xfId="10038"/>
    <cellStyle name="Normal 48 3 3" xfId="10039"/>
    <cellStyle name="Normal 48 3 3 2" xfId="10040"/>
    <cellStyle name="Normal 48 3 3 2 2" xfId="24018"/>
    <cellStyle name="Normal 48 3 3 2 2 2" xfId="29251"/>
    <cellStyle name="Normal 48 3 3 2 3" xfId="26739"/>
    <cellStyle name="Normal 48 3 3 3" xfId="24017"/>
    <cellStyle name="Normal 48 3 3 3 2" xfId="29250"/>
    <cellStyle name="Normal 48 3 3 4" xfId="26738"/>
    <cellStyle name="Normal 48 3 4" xfId="10041"/>
    <cellStyle name="Normal 48 3 4 2" xfId="24019"/>
    <cellStyle name="Normal 48 3 4 2 2" xfId="29252"/>
    <cellStyle name="Normal 48 3 4 3" xfId="26740"/>
    <cellStyle name="Normal 48 3 5" xfId="24012"/>
    <cellStyle name="Normal 48 3 5 2" xfId="29245"/>
    <cellStyle name="Normal 48 3 6" xfId="26733"/>
    <cellStyle name="Normal 48 3_DeltaViewer" xfId="10042"/>
    <cellStyle name="Normal 48 4" xfId="10043"/>
    <cellStyle name="Normal 48 4 2" xfId="10044"/>
    <cellStyle name="Normal 48 4 2 2" xfId="10045"/>
    <cellStyle name="Normal 48 4 2 2 2" xfId="10046"/>
    <cellStyle name="Normal 48 4 2 2 2 2" xfId="24023"/>
    <cellStyle name="Normal 48 4 2 2 2 2 2" xfId="29256"/>
    <cellStyle name="Normal 48 4 2 2 2 3" xfId="26744"/>
    <cellStyle name="Normal 48 4 2 2 3" xfId="24022"/>
    <cellStyle name="Normal 48 4 2 2 3 2" xfId="29255"/>
    <cellStyle name="Normal 48 4 2 2 4" xfId="26743"/>
    <cellStyle name="Normal 48 4 2 3" xfId="10047"/>
    <cellStyle name="Normal 48 4 2 3 2" xfId="24024"/>
    <cellStyle name="Normal 48 4 2 3 2 2" xfId="29257"/>
    <cellStyle name="Normal 48 4 2 3 3" xfId="26745"/>
    <cellStyle name="Normal 48 4 2 4" xfId="24021"/>
    <cellStyle name="Normal 48 4 2 4 2" xfId="29254"/>
    <cellStyle name="Normal 48 4 2 5" xfId="26742"/>
    <cellStyle name="Normal 48 4 2_DeltaViewer" xfId="10048"/>
    <cellStyle name="Normal 48 4 3" xfId="10049"/>
    <cellStyle name="Normal 48 4 3 2" xfId="10050"/>
    <cellStyle name="Normal 48 4 3 2 2" xfId="24026"/>
    <cellStyle name="Normal 48 4 3 2 2 2" xfId="29259"/>
    <cellStyle name="Normal 48 4 3 2 3" xfId="26747"/>
    <cellStyle name="Normal 48 4 3 3" xfId="24025"/>
    <cellStyle name="Normal 48 4 3 3 2" xfId="29258"/>
    <cellStyle name="Normal 48 4 3 4" xfId="26746"/>
    <cellStyle name="Normal 48 4 4" xfId="10051"/>
    <cellStyle name="Normal 48 4 4 2" xfId="24027"/>
    <cellStyle name="Normal 48 4 4 2 2" xfId="29260"/>
    <cellStyle name="Normal 48 4 4 3" xfId="26748"/>
    <cellStyle name="Normal 48 4 5" xfId="24020"/>
    <cellStyle name="Normal 48 4 5 2" xfId="29253"/>
    <cellStyle name="Normal 48 4 6" xfId="26741"/>
    <cellStyle name="Normal 48 4_DeltaViewer" xfId="10052"/>
    <cellStyle name="Normal 48 5" xfId="10053"/>
    <cellStyle name="Normal 48 5 2" xfId="10054"/>
    <cellStyle name="Normal 48 5 2 2" xfId="10055"/>
    <cellStyle name="Normal 48 5 2 2 2" xfId="24030"/>
    <cellStyle name="Normal 48 5 2 2 2 2" xfId="29263"/>
    <cellStyle name="Normal 48 5 2 2 3" xfId="26751"/>
    <cellStyle name="Normal 48 5 2 3" xfId="24029"/>
    <cellStyle name="Normal 48 5 2 3 2" xfId="29262"/>
    <cellStyle name="Normal 48 5 2 4" xfId="26750"/>
    <cellStyle name="Normal 48 5 3" xfId="10056"/>
    <cellStyle name="Normal 48 5 3 2" xfId="24031"/>
    <cellStyle name="Normal 48 5 3 2 2" xfId="29264"/>
    <cellStyle name="Normal 48 5 3 3" xfId="26752"/>
    <cellStyle name="Normal 48 5 4" xfId="24028"/>
    <cellStyle name="Normal 48 5 4 2" xfId="29261"/>
    <cellStyle name="Normal 48 5 5" xfId="26749"/>
    <cellStyle name="Normal 48 5_DeltaViewer" xfId="10057"/>
    <cellStyle name="Normal 48 6" xfId="10058"/>
    <cellStyle name="Normal 48 6 2" xfId="10059"/>
    <cellStyle name="Normal 48 6 2 2" xfId="24033"/>
    <cellStyle name="Normal 48 6 2 2 2" xfId="29266"/>
    <cellStyle name="Normal 48 6 2 3" xfId="26754"/>
    <cellStyle name="Normal 48 6 3" xfId="24032"/>
    <cellStyle name="Normal 48 6 3 2" xfId="29265"/>
    <cellStyle name="Normal 48 6 4" xfId="26753"/>
    <cellStyle name="Normal 48 7" xfId="10060"/>
    <cellStyle name="Normal 48 7 2" xfId="10061"/>
    <cellStyle name="Normal 48 7 2 2" xfId="24035"/>
    <cellStyle name="Normal 48 7 2 2 2" xfId="29268"/>
    <cellStyle name="Normal 48 7 2 3" xfId="26756"/>
    <cellStyle name="Normal 48 7 3" xfId="24034"/>
    <cellStyle name="Normal 48 7 3 2" xfId="29267"/>
    <cellStyle name="Normal 48 7 4" xfId="26755"/>
    <cellStyle name="Normal 48 8" xfId="10062"/>
    <cellStyle name="Normal 48 8 2" xfId="24036"/>
    <cellStyle name="Normal 48 8 2 2" xfId="29269"/>
    <cellStyle name="Normal 48 8 3" xfId="26757"/>
    <cellStyle name="Normal 48 9" xfId="24003"/>
    <cellStyle name="Normal 48 9 2" xfId="29236"/>
    <cellStyle name="Normal 48_DeltaViewer" xfId="10063"/>
    <cellStyle name="Normal 49" xfId="10064"/>
    <cellStyle name="Normal 5" xfId="139"/>
    <cellStyle name="Normal 5 10" xfId="10065"/>
    <cellStyle name="Normal 5 10 2" xfId="10066"/>
    <cellStyle name="Normal 5 10 2 2" xfId="10067"/>
    <cellStyle name="Normal 5 10 2 3" xfId="10068"/>
    <cellStyle name="Normal 5 10 2 4" xfId="10069"/>
    <cellStyle name="Normal 5 10 2 5" xfId="10070"/>
    <cellStyle name="Normal 5 10 2_DeltaViewer" xfId="10071"/>
    <cellStyle name="Normal 5 10 3" xfId="10072"/>
    <cellStyle name="Normal 5 10 4" xfId="10073"/>
    <cellStyle name="Normal 5 10 5" xfId="10074"/>
    <cellStyle name="Normal 5 10 6" xfId="10075"/>
    <cellStyle name="Normal 5 10_DeltaViewer" xfId="10076"/>
    <cellStyle name="Normal 5 11" xfId="10077"/>
    <cellStyle name="Normal 5 11 2" xfId="10078"/>
    <cellStyle name="Normal 5 11 2 2" xfId="10079"/>
    <cellStyle name="Normal 5 11 2 3" xfId="10080"/>
    <cellStyle name="Normal 5 11 2 4" xfId="10081"/>
    <cellStyle name="Normal 5 11 2 5" xfId="10082"/>
    <cellStyle name="Normal 5 11 2_DeltaViewer" xfId="10083"/>
    <cellStyle name="Normal 5 11 3" xfId="10084"/>
    <cellStyle name="Normal 5 11 4" xfId="10085"/>
    <cellStyle name="Normal 5 11 5" xfId="10086"/>
    <cellStyle name="Normal 5 11 6" xfId="10087"/>
    <cellStyle name="Normal 5 11_DeltaViewer" xfId="10088"/>
    <cellStyle name="Normal 5 12" xfId="10089"/>
    <cellStyle name="Normal 5 12 2" xfId="10090"/>
    <cellStyle name="Normal 5 12 2 2" xfId="10091"/>
    <cellStyle name="Normal 5 12 2 3" xfId="10092"/>
    <cellStyle name="Normal 5 12 2 4" xfId="10093"/>
    <cellStyle name="Normal 5 12 2 5" xfId="10094"/>
    <cellStyle name="Normal 5 12 2_DeltaViewer" xfId="10095"/>
    <cellStyle name="Normal 5 12 3" xfId="10096"/>
    <cellStyle name="Normal 5 12 4" xfId="10097"/>
    <cellStyle name="Normal 5 12 5" xfId="10098"/>
    <cellStyle name="Normal 5 12 6" xfId="10099"/>
    <cellStyle name="Normal 5 12_DeltaViewer" xfId="10100"/>
    <cellStyle name="Normal 5 13" xfId="10101"/>
    <cellStyle name="Normal 5 13 2" xfId="10102"/>
    <cellStyle name="Normal 5 13 2 2" xfId="10103"/>
    <cellStyle name="Normal 5 13 2 3" xfId="10104"/>
    <cellStyle name="Normal 5 13 2 4" xfId="10105"/>
    <cellStyle name="Normal 5 13 2 5" xfId="10106"/>
    <cellStyle name="Normal 5 13 2_DeltaViewer" xfId="10107"/>
    <cellStyle name="Normal 5 13 3" xfId="10108"/>
    <cellStyle name="Normal 5 13 4" xfId="10109"/>
    <cellStyle name="Normal 5 13 5" xfId="10110"/>
    <cellStyle name="Normal 5 13 6" xfId="10111"/>
    <cellStyle name="Normal 5 13_DeltaViewer" xfId="10112"/>
    <cellStyle name="Normal 5 14" xfId="10113"/>
    <cellStyle name="Normal 5 14 2" xfId="10114"/>
    <cellStyle name="Normal 5 14 2 2" xfId="10115"/>
    <cellStyle name="Normal 5 14 2 2 2" xfId="10116"/>
    <cellStyle name="Normal 5 14 2 2 3" xfId="10117"/>
    <cellStyle name="Normal 5 14 2 2 4" xfId="10118"/>
    <cellStyle name="Normal 5 14 2 2 5" xfId="10119"/>
    <cellStyle name="Normal 5 14 2 2_DeltaViewer" xfId="10120"/>
    <cellStyle name="Normal 5 14 2 3" xfId="10121"/>
    <cellStyle name="Normal 5 14 2 4" xfId="10122"/>
    <cellStyle name="Normal 5 14 2 5" xfId="10123"/>
    <cellStyle name="Normal 5 14 2 6" xfId="10124"/>
    <cellStyle name="Normal 5 14 2_DeltaViewer" xfId="10125"/>
    <cellStyle name="Normal 5 14 3" xfId="10126"/>
    <cellStyle name="Normal 5 14 3 2" xfId="10127"/>
    <cellStyle name="Normal 5 14 3 3" xfId="10128"/>
    <cellStyle name="Normal 5 14 3 4" xfId="10129"/>
    <cellStyle name="Normal 5 14 3 5" xfId="10130"/>
    <cellStyle name="Normal 5 14 3_DeltaViewer" xfId="10131"/>
    <cellStyle name="Normal 5 14 4" xfId="10132"/>
    <cellStyle name="Normal 5 14 5" xfId="10133"/>
    <cellStyle name="Normal 5 14 6" xfId="10134"/>
    <cellStyle name="Normal 5 14 7" xfId="10135"/>
    <cellStyle name="Normal 5 14_DeltaViewer" xfId="10136"/>
    <cellStyle name="Normal 5 15" xfId="10137"/>
    <cellStyle name="Normal 5 15 2" xfId="10138"/>
    <cellStyle name="Normal 5 15 2 2" xfId="10139"/>
    <cellStyle name="Normal 5 15 2 2 2" xfId="10140"/>
    <cellStyle name="Normal 5 15 2 2 3" xfId="10141"/>
    <cellStyle name="Normal 5 15 2 2 4" xfId="10142"/>
    <cellStyle name="Normal 5 15 2 2 5" xfId="10143"/>
    <cellStyle name="Normal 5 15 2 2_DeltaViewer" xfId="10144"/>
    <cellStyle name="Normal 5 15 2 3" xfId="10145"/>
    <cellStyle name="Normal 5 15 2 4" xfId="10146"/>
    <cellStyle name="Normal 5 15 2 5" xfId="10147"/>
    <cellStyle name="Normal 5 15 2 6" xfId="10148"/>
    <cellStyle name="Normal 5 15 2_DeltaViewer" xfId="10149"/>
    <cellStyle name="Normal 5 15 3" xfId="10150"/>
    <cellStyle name="Normal 5 15 3 2" xfId="10151"/>
    <cellStyle name="Normal 5 15 3 3" xfId="10152"/>
    <cellStyle name="Normal 5 15 3 4" xfId="10153"/>
    <cellStyle name="Normal 5 15 3 5" xfId="10154"/>
    <cellStyle name="Normal 5 15 3_DeltaViewer" xfId="10155"/>
    <cellStyle name="Normal 5 15 4" xfId="10156"/>
    <cellStyle name="Normal 5 15 5" xfId="10157"/>
    <cellStyle name="Normal 5 15 6" xfId="10158"/>
    <cellStyle name="Normal 5 15 7" xfId="10159"/>
    <cellStyle name="Normal 5 15_DeltaViewer" xfId="10160"/>
    <cellStyle name="Normal 5 16" xfId="10161"/>
    <cellStyle name="Normal 5 16 2" xfId="10162"/>
    <cellStyle name="Normal 5 16 2 2" xfId="10163"/>
    <cellStyle name="Normal 5 16 2 2 2" xfId="10164"/>
    <cellStyle name="Normal 5 16 2 2 3" xfId="10165"/>
    <cellStyle name="Normal 5 16 2 2 4" xfId="10166"/>
    <cellStyle name="Normal 5 16 2 2 5" xfId="10167"/>
    <cellStyle name="Normal 5 16 2 2_DeltaViewer" xfId="10168"/>
    <cellStyle name="Normal 5 16 2 3" xfId="10169"/>
    <cellStyle name="Normal 5 16 2 4" xfId="10170"/>
    <cellStyle name="Normal 5 16 2 5" xfId="10171"/>
    <cellStyle name="Normal 5 16 2 6" xfId="10172"/>
    <cellStyle name="Normal 5 16 2_DeltaViewer" xfId="10173"/>
    <cellStyle name="Normal 5 16 3" xfId="10174"/>
    <cellStyle name="Normal 5 16 3 2" xfId="10175"/>
    <cellStyle name="Normal 5 16 3 3" xfId="10176"/>
    <cellStyle name="Normal 5 16 3 4" xfId="10177"/>
    <cellStyle name="Normal 5 16 3 5" xfId="10178"/>
    <cellStyle name="Normal 5 16 3_DeltaViewer" xfId="10179"/>
    <cellStyle name="Normal 5 16 4" xfId="10180"/>
    <cellStyle name="Normal 5 16 5" xfId="10181"/>
    <cellStyle name="Normal 5 16 6" xfId="10182"/>
    <cellStyle name="Normal 5 16 7" xfId="10183"/>
    <cellStyle name="Normal 5 16_DeltaViewer" xfId="10184"/>
    <cellStyle name="Normal 5 17" xfId="10185"/>
    <cellStyle name="Normal 5 17 2" xfId="10186"/>
    <cellStyle name="Normal 5 17 2 2" xfId="10187"/>
    <cellStyle name="Normal 5 17 2 3" xfId="10188"/>
    <cellStyle name="Normal 5 17 2 4" xfId="10189"/>
    <cellStyle name="Normal 5 17 2 5" xfId="10190"/>
    <cellStyle name="Normal 5 17 2_DeltaViewer" xfId="10191"/>
    <cellStyle name="Normal 5 17 3" xfId="10192"/>
    <cellStyle name="Normal 5 17 4" xfId="10193"/>
    <cellStyle name="Normal 5 17 5" xfId="10194"/>
    <cellStyle name="Normal 5 17 6" xfId="10195"/>
    <cellStyle name="Normal 5 17_DeltaViewer" xfId="10196"/>
    <cellStyle name="Normal 5 18" xfId="10197"/>
    <cellStyle name="Normal 5 18 2" xfId="10198"/>
    <cellStyle name="Normal 5 18 3" xfId="10199"/>
    <cellStyle name="Normal 5 18 4" xfId="10200"/>
    <cellStyle name="Normal 5 18 5" xfId="10201"/>
    <cellStyle name="Normal 5 18_DeltaViewer" xfId="10202"/>
    <cellStyle name="Normal 5 19" xfId="10203"/>
    <cellStyle name="Normal 5 2" xfId="164"/>
    <cellStyle name="Normal 5 2 10" xfId="21709"/>
    <cellStyle name="Normal 5 2 10 2" xfId="26948"/>
    <cellStyle name="Normal 5 2 11" xfId="24389"/>
    <cellStyle name="Normal 5 2 2" xfId="10204"/>
    <cellStyle name="Normal 5 2 2 2" xfId="10205"/>
    <cellStyle name="Normal 5 2 2 2 2" xfId="10206"/>
    <cellStyle name="Normal 5 2 2 2 2 2" xfId="10207"/>
    <cellStyle name="Normal 5 2 2 2 2 3" xfId="10208"/>
    <cellStyle name="Normal 5 2 2 2 2 4" xfId="10209"/>
    <cellStyle name="Normal 5 2 2 2 2 5" xfId="10210"/>
    <cellStyle name="Normal 5 2 2 2 2_DeltaViewer" xfId="10211"/>
    <cellStyle name="Normal 5 2 2 2 3" xfId="10212"/>
    <cellStyle name="Normal 5 2 2 2 4" xfId="10213"/>
    <cellStyle name="Normal 5 2 2 2 5" xfId="10214"/>
    <cellStyle name="Normal 5 2 2 2 6" xfId="10215"/>
    <cellStyle name="Normal 5 2 2 2_DeltaViewer" xfId="10216"/>
    <cellStyle name="Normal 5 2 2 3" xfId="10217"/>
    <cellStyle name="Normal 5 2 2 3 2" xfId="10218"/>
    <cellStyle name="Normal 5 2 2 3 2 2" xfId="10219"/>
    <cellStyle name="Normal 5 2 2 3 2 3" xfId="10220"/>
    <cellStyle name="Normal 5 2 2 3 2 4" xfId="10221"/>
    <cellStyle name="Normal 5 2 2 3 2 5" xfId="10222"/>
    <cellStyle name="Normal 5 2 2 3 2_DeltaViewer" xfId="10223"/>
    <cellStyle name="Normal 5 2 2 3 3" xfId="10224"/>
    <cellStyle name="Normal 5 2 2 3 4" xfId="10225"/>
    <cellStyle name="Normal 5 2 2 3 5" xfId="10226"/>
    <cellStyle name="Normal 5 2 2 3 6" xfId="10227"/>
    <cellStyle name="Normal 5 2 2 3_DeltaViewer" xfId="10228"/>
    <cellStyle name="Normal 5 2 2 4" xfId="10229"/>
    <cellStyle name="Normal 5 2 2 4 2" xfId="10230"/>
    <cellStyle name="Normal 5 2 2 4 2 2" xfId="10231"/>
    <cellStyle name="Normal 5 2 2 4 2 3" xfId="10232"/>
    <cellStyle name="Normal 5 2 2 4 2 4" xfId="10233"/>
    <cellStyle name="Normal 5 2 2 4 2 5" xfId="10234"/>
    <cellStyle name="Normal 5 2 2 4 2_DeltaViewer" xfId="10235"/>
    <cellStyle name="Normal 5 2 2 4 3" xfId="10236"/>
    <cellStyle name="Normal 5 2 2 4 4" xfId="10237"/>
    <cellStyle name="Normal 5 2 2 4 5" xfId="10238"/>
    <cellStyle name="Normal 5 2 2 4 6" xfId="10239"/>
    <cellStyle name="Normal 5 2 2 4_DeltaViewer" xfId="10240"/>
    <cellStyle name="Normal 5 2 2 5" xfId="10241"/>
    <cellStyle name="Normal 5 2 2 5 2" xfId="10242"/>
    <cellStyle name="Normal 5 2 2 5 3" xfId="10243"/>
    <cellStyle name="Normal 5 2 2 5 4" xfId="10244"/>
    <cellStyle name="Normal 5 2 2 5 5" xfId="10245"/>
    <cellStyle name="Normal 5 2 2 5_DeltaViewer" xfId="10246"/>
    <cellStyle name="Normal 5 2 2 6" xfId="10247"/>
    <cellStyle name="Normal 5 2 2 7" xfId="10248"/>
    <cellStyle name="Normal 5 2 2 8" xfId="10249"/>
    <cellStyle name="Normal 5 2 2 9" xfId="10250"/>
    <cellStyle name="Normal 5 2 2_DeltaViewer" xfId="10251"/>
    <cellStyle name="Normal 5 2 3" xfId="10252"/>
    <cellStyle name="Normal 5 2 3 2" xfId="10253"/>
    <cellStyle name="Normal 5 2 3 2 2" xfId="10254"/>
    <cellStyle name="Normal 5 2 3 2 3" xfId="10255"/>
    <cellStyle name="Normal 5 2 3 2 4" xfId="10256"/>
    <cellStyle name="Normal 5 2 3 2 5" xfId="10257"/>
    <cellStyle name="Normal 5 2 3 2_DeltaViewer" xfId="10258"/>
    <cellStyle name="Normal 5 2 3 3" xfId="10259"/>
    <cellStyle name="Normal 5 2 3 4" xfId="10260"/>
    <cellStyle name="Normal 5 2 3 5" xfId="10261"/>
    <cellStyle name="Normal 5 2 3 6" xfId="10262"/>
    <cellStyle name="Normal 5 2 3_DeltaViewer" xfId="10263"/>
    <cellStyle name="Normal 5 2 4" xfId="10264"/>
    <cellStyle name="Normal 5 2 4 2" xfId="10265"/>
    <cellStyle name="Normal 5 2 4 2 2" xfId="10266"/>
    <cellStyle name="Normal 5 2 4 2 3" xfId="10267"/>
    <cellStyle name="Normal 5 2 4 2 4" xfId="10268"/>
    <cellStyle name="Normal 5 2 4 2 5" xfId="10269"/>
    <cellStyle name="Normal 5 2 4 2_DeltaViewer" xfId="10270"/>
    <cellStyle name="Normal 5 2 4 3" xfId="10271"/>
    <cellStyle name="Normal 5 2 4 4" xfId="10272"/>
    <cellStyle name="Normal 5 2 4 5" xfId="10273"/>
    <cellStyle name="Normal 5 2 4 6" xfId="10274"/>
    <cellStyle name="Normal 5 2 4_DeltaViewer" xfId="10275"/>
    <cellStyle name="Normal 5 2 5" xfId="10276"/>
    <cellStyle name="Normal 5 2 5 2" xfId="10277"/>
    <cellStyle name="Normal 5 2 5 3" xfId="10278"/>
    <cellStyle name="Normal 5 2 5 4" xfId="10279"/>
    <cellStyle name="Normal 5 2 5 5" xfId="10280"/>
    <cellStyle name="Normal 5 2 5_DeltaViewer" xfId="10281"/>
    <cellStyle name="Normal 5 2 6" xfId="10282"/>
    <cellStyle name="Normal 5 2 7" xfId="10283"/>
    <cellStyle name="Normal 5 2 8" xfId="10284"/>
    <cellStyle name="Normal 5 2 9" xfId="10285"/>
    <cellStyle name="Normal 5 2_12.05.29 AngloAmericaCCY ASW 7Y" xfId="10286"/>
    <cellStyle name="Normal 5 20" xfId="10287"/>
    <cellStyle name="Normal 5 21" xfId="10288"/>
    <cellStyle name="Normal 5 22" xfId="10289"/>
    <cellStyle name="Normal 5 23" xfId="21694"/>
    <cellStyle name="Normal 5 24" xfId="24068"/>
    <cellStyle name="Normal 5 25" xfId="24372"/>
    <cellStyle name="Normal 5 3" xfId="10290"/>
    <cellStyle name="Normal 5 3 10" xfId="10291"/>
    <cellStyle name="Normal 5 3 11" xfId="10292"/>
    <cellStyle name="Normal 5 3 12" xfId="10293"/>
    <cellStyle name="Normal 5 3 2" xfId="10294"/>
    <cellStyle name="Normal 5 3 2 2" xfId="10295"/>
    <cellStyle name="Normal 5 3 2 2 2" xfId="10296"/>
    <cellStyle name="Normal 5 3 2 2 2 2" xfId="10297"/>
    <cellStyle name="Normal 5 3 2 2 2 3" xfId="10298"/>
    <cellStyle name="Normal 5 3 2 2 2 4" xfId="10299"/>
    <cellStyle name="Normal 5 3 2 2 2 5" xfId="10300"/>
    <cellStyle name="Normal 5 3 2 2 2_DeltaViewer" xfId="10301"/>
    <cellStyle name="Normal 5 3 2 2 3" xfId="10302"/>
    <cellStyle name="Normal 5 3 2 2 4" xfId="10303"/>
    <cellStyle name="Normal 5 3 2 2 5" xfId="10304"/>
    <cellStyle name="Normal 5 3 2 2 6" xfId="10305"/>
    <cellStyle name="Normal 5 3 2 2_DeltaViewer" xfId="10306"/>
    <cellStyle name="Normal 5 3 2 3" xfId="10307"/>
    <cellStyle name="Normal 5 3 2 3 2" xfId="10308"/>
    <cellStyle name="Normal 5 3 2 3 3" xfId="10309"/>
    <cellStyle name="Normal 5 3 2 3 4" xfId="10310"/>
    <cellStyle name="Normal 5 3 2 3 5" xfId="10311"/>
    <cellStyle name="Normal 5 3 2 3_DeltaViewer" xfId="10312"/>
    <cellStyle name="Normal 5 3 2 4" xfId="10313"/>
    <cellStyle name="Normal 5 3 2 5" xfId="10314"/>
    <cellStyle name="Normal 5 3 2 6" xfId="10315"/>
    <cellStyle name="Normal 5 3 2 7" xfId="10316"/>
    <cellStyle name="Normal 5 3 2_DeltaViewer" xfId="10317"/>
    <cellStyle name="Normal 5 3 3" xfId="10318"/>
    <cellStyle name="Normal 5 3 3 2" xfId="10319"/>
    <cellStyle name="Normal 5 3 3 2 2" xfId="10320"/>
    <cellStyle name="Normal 5 3 3 2 2 2" xfId="10321"/>
    <cellStyle name="Normal 5 3 3 2 2 3" xfId="10322"/>
    <cellStyle name="Normal 5 3 3 2 2 4" xfId="10323"/>
    <cellStyle name="Normal 5 3 3 2 2 5" xfId="10324"/>
    <cellStyle name="Normal 5 3 3 2 2_DeltaViewer" xfId="10325"/>
    <cellStyle name="Normal 5 3 3 2 3" xfId="10326"/>
    <cellStyle name="Normal 5 3 3 2 4" xfId="10327"/>
    <cellStyle name="Normal 5 3 3 2 5" xfId="10328"/>
    <cellStyle name="Normal 5 3 3 2 6" xfId="10329"/>
    <cellStyle name="Normal 5 3 3 2_DeltaViewer" xfId="10330"/>
    <cellStyle name="Normal 5 3 3 3" xfId="10331"/>
    <cellStyle name="Normal 5 3 3 3 2" xfId="10332"/>
    <cellStyle name="Normal 5 3 3 3 3" xfId="10333"/>
    <cellStyle name="Normal 5 3 3 3 4" xfId="10334"/>
    <cellStyle name="Normal 5 3 3 3 5" xfId="10335"/>
    <cellStyle name="Normal 5 3 3 3_DeltaViewer" xfId="10336"/>
    <cellStyle name="Normal 5 3 3 4" xfId="10337"/>
    <cellStyle name="Normal 5 3 3 5" xfId="10338"/>
    <cellStyle name="Normal 5 3 3 6" xfId="10339"/>
    <cellStyle name="Normal 5 3 3 7" xfId="10340"/>
    <cellStyle name="Normal 5 3 3_DeltaViewer" xfId="10341"/>
    <cellStyle name="Normal 5 3 4" xfId="10342"/>
    <cellStyle name="Normal 5 3 4 2" xfId="10343"/>
    <cellStyle name="Normal 5 3 4 2 2" xfId="10344"/>
    <cellStyle name="Normal 5 3 4 2 2 2" xfId="10345"/>
    <cellStyle name="Normal 5 3 4 2 2 3" xfId="10346"/>
    <cellStyle name="Normal 5 3 4 2 2 4" xfId="10347"/>
    <cellStyle name="Normal 5 3 4 2 2 5" xfId="10348"/>
    <cellStyle name="Normal 5 3 4 2 2_DeltaViewer" xfId="10349"/>
    <cellStyle name="Normal 5 3 4 2 3" xfId="10350"/>
    <cellStyle name="Normal 5 3 4 2 4" xfId="10351"/>
    <cellStyle name="Normal 5 3 4 2 5" xfId="10352"/>
    <cellStyle name="Normal 5 3 4 2 6" xfId="10353"/>
    <cellStyle name="Normal 5 3 4 2_DeltaViewer" xfId="10354"/>
    <cellStyle name="Normal 5 3 4 3" xfId="10355"/>
    <cellStyle name="Normal 5 3 4 3 2" xfId="10356"/>
    <cellStyle name="Normal 5 3 4 3 3" xfId="10357"/>
    <cellStyle name="Normal 5 3 4 3 4" xfId="10358"/>
    <cellStyle name="Normal 5 3 4 3 5" xfId="10359"/>
    <cellStyle name="Normal 5 3 4 3_DeltaViewer" xfId="10360"/>
    <cellStyle name="Normal 5 3 4 4" xfId="10361"/>
    <cellStyle name="Normal 5 3 4 5" xfId="10362"/>
    <cellStyle name="Normal 5 3 4 6" xfId="10363"/>
    <cellStyle name="Normal 5 3 4 7" xfId="10364"/>
    <cellStyle name="Normal 5 3 4_DeltaViewer" xfId="10365"/>
    <cellStyle name="Normal 5 3 5" xfId="10366"/>
    <cellStyle name="Normal 5 3 5 2" xfId="10367"/>
    <cellStyle name="Normal 5 3 5 2 2" xfId="10368"/>
    <cellStyle name="Normal 5 3 5 2 3" xfId="10369"/>
    <cellStyle name="Normal 5 3 5 2 4" xfId="10370"/>
    <cellStyle name="Normal 5 3 5 2 5" xfId="10371"/>
    <cellStyle name="Normal 5 3 5 2_DeltaViewer" xfId="10372"/>
    <cellStyle name="Normal 5 3 5 3" xfId="10373"/>
    <cellStyle name="Normal 5 3 5 4" xfId="10374"/>
    <cellStyle name="Normal 5 3 5 5" xfId="10375"/>
    <cellStyle name="Normal 5 3 5 6" xfId="10376"/>
    <cellStyle name="Normal 5 3 5_DeltaViewer" xfId="10377"/>
    <cellStyle name="Normal 5 3 6" xfId="10378"/>
    <cellStyle name="Normal 5 3 6 2" xfId="10379"/>
    <cellStyle name="Normal 5 3 6 2 2" xfId="10380"/>
    <cellStyle name="Normal 5 3 6 2 3" xfId="10381"/>
    <cellStyle name="Normal 5 3 6 2 4" xfId="10382"/>
    <cellStyle name="Normal 5 3 6 2 5" xfId="10383"/>
    <cellStyle name="Normal 5 3 6 2_DeltaViewer" xfId="10384"/>
    <cellStyle name="Normal 5 3 6 3" xfId="10385"/>
    <cellStyle name="Normal 5 3 6 4" xfId="10386"/>
    <cellStyle name="Normal 5 3 6 5" xfId="10387"/>
    <cellStyle name="Normal 5 3 6 6" xfId="10388"/>
    <cellStyle name="Normal 5 3 6_DeltaViewer" xfId="10389"/>
    <cellStyle name="Normal 5 3 7" xfId="10390"/>
    <cellStyle name="Normal 5 3 7 2" xfId="10391"/>
    <cellStyle name="Normal 5 3 7 3" xfId="10392"/>
    <cellStyle name="Normal 5 3 7 4" xfId="10393"/>
    <cellStyle name="Normal 5 3 7 5" xfId="10394"/>
    <cellStyle name="Normal 5 3 7_DeltaViewer" xfId="10395"/>
    <cellStyle name="Normal 5 3 8" xfId="10396"/>
    <cellStyle name="Normal 5 3 9" xfId="10397"/>
    <cellStyle name="Normal 5 3_DeltaViewer" xfId="10398"/>
    <cellStyle name="Normal 5 4" xfId="10399"/>
    <cellStyle name="Normal 5 4 10" xfId="10400"/>
    <cellStyle name="Normal 5 4 11" xfId="10401"/>
    <cellStyle name="Normal 5 4 2" xfId="10402"/>
    <cellStyle name="Normal 5 4 2 2" xfId="10403"/>
    <cellStyle name="Normal 5 4 2 2 2" xfId="10404"/>
    <cellStyle name="Normal 5 4 2 2 2 2" xfId="10405"/>
    <cellStyle name="Normal 5 4 2 2 2 3" xfId="10406"/>
    <cellStyle name="Normal 5 4 2 2 2 4" xfId="10407"/>
    <cellStyle name="Normal 5 4 2 2 2 5" xfId="10408"/>
    <cellStyle name="Normal 5 4 2 2 2_DeltaViewer" xfId="10409"/>
    <cellStyle name="Normal 5 4 2 2 3" xfId="10410"/>
    <cellStyle name="Normal 5 4 2 2 4" xfId="10411"/>
    <cellStyle name="Normal 5 4 2 2 5" xfId="10412"/>
    <cellStyle name="Normal 5 4 2 2 6" xfId="10413"/>
    <cellStyle name="Normal 5 4 2 2_DeltaViewer" xfId="10414"/>
    <cellStyle name="Normal 5 4 2 3" xfId="10415"/>
    <cellStyle name="Normal 5 4 2 3 2" xfId="10416"/>
    <cellStyle name="Normal 5 4 2 3 3" xfId="10417"/>
    <cellStyle name="Normal 5 4 2 3 4" xfId="10418"/>
    <cellStyle name="Normal 5 4 2 3 5" xfId="10419"/>
    <cellStyle name="Normal 5 4 2 3_DeltaViewer" xfId="10420"/>
    <cellStyle name="Normal 5 4 2 4" xfId="10421"/>
    <cellStyle name="Normal 5 4 2 5" xfId="10422"/>
    <cellStyle name="Normal 5 4 2 6" xfId="10423"/>
    <cellStyle name="Normal 5 4 2 7" xfId="10424"/>
    <cellStyle name="Normal 5 4 2_DeltaViewer" xfId="10425"/>
    <cellStyle name="Normal 5 4 3" xfId="10426"/>
    <cellStyle name="Normal 5 4 3 2" xfId="10427"/>
    <cellStyle name="Normal 5 4 3 2 2" xfId="10428"/>
    <cellStyle name="Normal 5 4 3 2 2 2" xfId="10429"/>
    <cellStyle name="Normal 5 4 3 2 2 3" xfId="10430"/>
    <cellStyle name="Normal 5 4 3 2 2 4" xfId="10431"/>
    <cellStyle name="Normal 5 4 3 2 2 5" xfId="10432"/>
    <cellStyle name="Normal 5 4 3 2 2_DeltaViewer" xfId="10433"/>
    <cellStyle name="Normal 5 4 3 2 3" xfId="10434"/>
    <cellStyle name="Normal 5 4 3 2 4" xfId="10435"/>
    <cellStyle name="Normal 5 4 3 2 5" xfId="10436"/>
    <cellStyle name="Normal 5 4 3 2 6" xfId="10437"/>
    <cellStyle name="Normal 5 4 3 2_DeltaViewer" xfId="10438"/>
    <cellStyle name="Normal 5 4 3 3" xfId="10439"/>
    <cellStyle name="Normal 5 4 3 3 2" xfId="10440"/>
    <cellStyle name="Normal 5 4 3 3 3" xfId="10441"/>
    <cellStyle name="Normal 5 4 3 3 4" xfId="10442"/>
    <cellStyle name="Normal 5 4 3 3 5" xfId="10443"/>
    <cellStyle name="Normal 5 4 3 3_DeltaViewer" xfId="10444"/>
    <cellStyle name="Normal 5 4 3 4" xfId="10445"/>
    <cellStyle name="Normal 5 4 3 5" xfId="10446"/>
    <cellStyle name="Normal 5 4 3 6" xfId="10447"/>
    <cellStyle name="Normal 5 4 3 7" xfId="10448"/>
    <cellStyle name="Normal 5 4 3_DeltaViewer" xfId="10449"/>
    <cellStyle name="Normal 5 4 4" xfId="10450"/>
    <cellStyle name="Normal 5 4 4 2" xfId="10451"/>
    <cellStyle name="Normal 5 4 4 2 2" xfId="10452"/>
    <cellStyle name="Normal 5 4 4 2 2 2" xfId="10453"/>
    <cellStyle name="Normal 5 4 4 2 2 3" xfId="10454"/>
    <cellStyle name="Normal 5 4 4 2 2 4" xfId="10455"/>
    <cellStyle name="Normal 5 4 4 2 2 5" xfId="10456"/>
    <cellStyle name="Normal 5 4 4 2 2_DeltaViewer" xfId="10457"/>
    <cellStyle name="Normal 5 4 4 2 3" xfId="10458"/>
    <cellStyle name="Normal 5 4 4 2 4" xfId="10459"/>
    <cellStyle name="Normal 5 4 4 2 5" xfId="10460"/>
    <cellStyle name="Normal 5 4 4 2 6" xfId="10461"/>
    <cellStyle name="Normal 5 4 4 2_DeltaViewer" xfId="10462"/>
    <cellStyle name="Normal 5 4 4 3" xfId="10463"/>
    <cellStyle name="Normal 5 4 4 3 2" xfId="10464"/>
    <cellStyle name="Normal 5 4 4 3 3" xfId="10465"/>
    <cellStyle name="Normal 5 4 4 3 4" xfId="10466"/>
    <cellStyle name="Normal 5 4 4 3 5" xfId="10467"/>
    <cellStyle name="Normal 5 4 4 3_DeltaViewer" xfId="10468"/>
    <cellStyle name="Normal 5 4 4 4" xfId="10469"/>
    <cellStyle name="Normal 5 4 4 5" xfId="10470"/>
    <cellStyle name="Normal 5 4 4 6" xfId="10471"/>
    <cellStyle name="Normal 5 4 4 7" xfId="10472"/>
    <cellStyle name="Normal 5 4 4_DeltaViewer" xfId="10473"/>
    <cellStyle name="Normal 5 4 5" xfId="10474"/>
    <cellStyle name="Normal 5 4 5 2" xfId="10475"/>
    <cellStyle name="Normal 5 4 5 2 2" xfId="10476"/>
    <cellStyle name="Normal 5 4 5 2 3" xfId="10477"/>
    <cellStyle name="Normal 5 4 5 2 4" xfId="10478"/>
    <cellStyle name="Normal 5 4 5 2 5" xfId="10479"/>
    <cellStyle name="Normal 5 4 5 2_DeltaViewer" xfId="10480"/>
    <cellStyle name="Normal 5 4 5 3" xfId="10481"/>
    <cellStyle name="Normal 5 4 5 4" xfId="10482"/>
    <cellStyle name="Normal 5 4 5 5" xfId="10483"/>
    <cellStyle name="Normal 5 4 5 6" xfId="10484"/>
    <cellStyle name="Normal 5 4 5_DeltaViewer" xfId="10485"/>
    <cellStyle name="Normal 5 4 6" xfId="10486"/>
    <cellStyle name="Normal 5 4 6 2" xfId="10487"/>
    <cellStyle name="Normal 5 4 6 2 2" xfId="10488"/>
    <cellStyle name="Normal 5 4 6 2 3" xfId="10489"/>
    <cellStyle name="Normal 5 4 6 2 4" xfId="10490"/>
    <cellStyle name="Normal 5 4 6 2 5" xfId="10491"/>
    <cellStyle name="Normal 5 4 6 2_DeltaViewer" xfId="10492"/>
    <cellStyle name="Normal 5 4 6 3" xfId="10493"/>
    <cellStyle name="Normal 5 4 6 4" xfId="10494"/>
    <cellStyle name="Normal 5 4 6 5" xfId="10495"/>
    <cellStyle name="Normal 5 4 6 6" xfId="10496"/>
    <cellStyle name="Normal 5 4 6_DeltaViewer" xfId="10497"/>
    <cellStyle name="Normal 5 4 7" xfId="10498"/>
    <cellStyle name="Normal 5 4 7 2" xfId="10499"/>
    <cellStyle name="Normal 5 4 7 3" xfId="10500"/>
    <cellStyle name="Normal 5 4 7 4" xfId="10501"/>
    <cellStyle name="Normal 5 4 7 5" xfId="10502"/>
    <cellStyle name="Normal 5 4 7_DeltaViewer" xfId="10503"/>
    <cellStyle name="Normal 5 4 8" xfId="10504"/>
    <cellStyle name="Normal 5 4 9" xfId="10505"/>
    <cellStyle name="Normal 5 4_DeltaViewer" xfId="10506"/>
    <cellStyle name="Normal 5 5" xfId="10507"/>
    <cellStyle name="Normal 5 5 2" xfId="10508"/>
    <cellStyle name="Normal 5 5 2 2" xfId="10509"/>
    <cellStyle name="Normal 5 5 2 2 2" xfId="10510"/>
    <cellStyle name="Normal 5 5 2 2 2 2" xfId="10511"/>
    <cellStyle name="Normal 5 5 2 2 2 3" xfId="10512"/>
    <cellStyle name="Normal 5 5 2 2 2 4" xfId="10513"/>
    <cellStyle name="Normal 5 5 2 2 2 5" xfId="10514"/>
    <cellStyle name="Normal 5 5 2 2 2_DeltaViewer" xfId="10515"/>
    <cellStyle name="Normal 5 5 2 2 3" xfId="10516"/>
    <cellStyle name="Normal 5 5 2 2 4" xfId="10517"/>
    <cellStyle name="Normal 5 5 2 2 5" xfId="10518"/>
    <cellStyle name="Normal 5 5 2 2 6" xfId="10519"/>
    <cellStyle name="Normal 5 5 2 2_DeltaViewer" xfId="10520"/>
    <cellStyle name="Normal 5 5 2 3" xfId="10521"/>
    <cellStyle name="Normal 5 5 2 3 2" xfId="10522"/>
    <cellStyle name="Normal 5 5 2 3 3" xfId="10523"/>
    <cellStyle name="Normal 5 5 2 3 4" xfId="10524"/>
    <cellStyle name="Normal 5 5 2 3 5" xfId="10525"/>
    <cellStyle name="Normal 5 5 2 3_DeltaViewer" xfId="10526"/>
    <cellStyle name="Normal 5 5 2 4" xfId="10527"/>
    <cellStyle name="Normal 5 5 2 5" xfId="10528"/>
    <cellStyle name="Normal 5 5 2 6" xfId="10529"/>
    <cellStyle name="Normal 5 5 2 7" xfId="10530"/>
    <cellStyle name="Normal 5 5 2_DeltaViewer" xfId="10531"/>
    <cellStyle name="Normal 5 5 3" xfId="10532"/>
    <cellStyle name="Normal 5 5 3 2" xfId="10533"/>
    <cellStyle name="Normal 5 5 3 2 2" xfId="10534"/>
    <cellStyle name="Normal 5 5 3 2 3" xfId="10535"/>
    <cellStyle name="Normal 5 5 3 2 4" xfId="10536"/>
    <cellStyle name="Normal 5 5 3 2 5" xfId="10537"/>
    <cellStyle name="Normal 5 5 3 2_DeltaViewer" xfId="10538"/>
    <cellStyle name="Normal 5 5 3 3" xfId="10539"/>
    <cellStyle name="Normal 5 5 3 4" xfId="10540"/>
    <cellStyle name="Normal 5 5 3 5" xfId="10541"/>
    <cellStyle name="Normal 5 5 3 6" xfId="10542"/>
    <cellStyle name="Normal 5 5 3_DeltaViewer" xfId="10543"/>
    <cellStyle name="Normal 5 5 4" xfId="10544"/>
    <cellStyle name="Normal 5 5 4 2" xfId="10545"/>
    <cellStyle name="Normal 5 5 4 3" xfId="10546"/>
    <cellStyle name="Normal 5 5 4 4" xfId="10547"/>
    <cellStyle name="Normal 5 5 4 5" xfId="10548"/>
    <cellStyle name="Normal 5 5 4_DeltaViewer" xfId="10549"/>
    <cellStyle name="Normal 5 5 5" xfId="10550"/>
    <cellStyle name="Normal 5 5 6" xfId="10551"/>
    <cellStyle name="Normal 5 5 7" xfId="10552"/>
    <cellStyle name="Normal 5 5 8" xfId="10553"/>
    <cellStyle name="Normal 5 5_DeltaViewer" xfId="10554"/>
    <cellStyle name="Normal 5 6" xfId="10555"/>
    <cellStyle name="Normal 5 6 2" xfId="10556"/>
    <cellStyle name="Normal 5 6 2 2" xfId="10557"/>
    <cellStyle name="Normal 5 6 2 2 2" xfId="10558"/>
    <cellStyle name="Normal 5 6 2 2 3" xfId="10559"/>
    <cellStyle name="Normal 5 6 2 2 4" xfId="10560"/>
    <cellStyle name="Normal 5 6 2 2 5" xfId="10561"/>
    <cellStyle name="Normal 5 6 2 2_DeltaViewer" xfId="10562"/>
    <cellStyle name="Normal 5 6 2 3" xfId="10563"/>
    <cellStyle name="Normal 5 6 2 4" xfId="10564"/>
    <cellStyle name="Normal 5 6 2 5" xfId="10565"/>
    <cellStyle name="Normal 5 6 2 6" xfId="10566"/>
    <cellStyle name="Normal 5 6 2_DeltaViewer" xfId="10567"/>
    <cellStyle name="Normal 5 6 3" xfId="10568"/>
    <cellStyle name="Normal 5 6 3 2" xfId="10569"/>
    <cellStyle name="Normal 5 6 3 3" xfId="10570"/>
    <cellStyle name="Normal 5 6 3 4" xfId="10571"/>
    <cellStyle name="Normal 5 6 3 5" xfId="10572"/>
    <cellStyle name="Normal 5 6 3_DeltaViewer" xfId="10573"/>
    <cellStyle name="Normal 5 6 4" xfId="10574"/>
    <cellStyle name="Normal 5 6 5" xfId="10575"/>
    <cellStyle name="Normal 5 6 6" xfId="10576"/>
    <cellStyle name="Normal 5 6 7" xfId="10577"/>
    <cellStyle name="Normal 5 6_DeltaViewer" xfId="10578"/>
    <cellStyle name="Normal 5 7" xfId="10579"/>
    <cellStyle name="Normal 5 7 2" xfId="10580"/>
    <cellStyle name="Normal 5 7 2 2" xfId="10581"/>
    <cellStyle name="Normal 5 7 2 2 2" xfId="10582"/>
    <cellStyle name="Normal 5 7 2 2 3" xfId="10583"/>
    <cellStyle name="Normal 5 7 2 2 4" xfId="10584"/>
    <cellStyle name="Normal 5 7 2 2 5" xfId="10585"/>
    <cellStyle name="Normal 5 7 2 2_DeltaViewer" xfId="10586"/>
    <cellStyle name="Normal 5 7 2 3" xfId="10587"/>
    <cellStyle name="Normal 5 7 2 4" xfId="10588"/>
    <cellStyle name="Normal 5 7 2 5" xfId="10589"/>
    <cellStyle name="Normal 5 7 2 6" xfId="10590"/>
    <cellStyle name="Normal 5 7 2_DeltaViewer" xfId="10591"/>
    <cellStyle name="Normal 5 7 3" xfId="10592"/>
    <cellStyle name="Normal 5 7 3 2" xfId="10593"/>
    <cellStyle name="Normal 5 7 3 3" xfId="10594"/>
    <cellStyle name="Normal 5 7 3 4" xfId="10595"/>
    <cellStyle name="Normal 5 7 3 5" xfId="10596"/>
    <cellStyle name="Normal 5 7 3_DeltaViewer" xfId="10597"/>
    <cellStyle name="Normal 5 7 4" xfId="10598"/>
    <cellStyle name="Normal 5 7 5" xfId="10599"/>
    <cellStyle name="Normal 5 7 6" xfId="10600"/>
    <cellStyle name="Normal 5 7 7" xfId="10601"/>
    <cellStyle name="Normal 5 7_DeltaViewer" xfId="10602"/>
    <cellStyle name="Normal 5 8" xfId="10603"/>
    <cellStyle name="Normal 5 8 2" xfId="10604"/>
    <cellStyle name="Normal 5 8 2 2" xfId="10605"/>
    <cellStyle name="Normal 5 8 2 2 2" xfId="10606"/>
    <cellStyle name="Normal 5 8 2 2 3" xfId="10607"/>
    <cellStyle name="Normal 5 8 2 2 4" xfId="10608"/>
    <cellStyle name="Normal 5 8 2 2 5" xfId="10609"/>
    <cellStyle name="Normal 5 8 2 2_DeltaViewer" xfId="10610"/>
    <cellStyle name="Normal 5 8 2 3" xfId="10611"/>
    <cellStyle name="Normal 5 8 2 4" xfId="10612"/>
    <cellStyle name="Normal 5 8 2 5" xfId="10613"/>
    <cellStyle name="Normal 5 8 2 6" xfId="10614"/>
    <cellStyle name="Normal 5 8 2_DeltaViewer" xfId="10615"/>
    <cellStyle name="Normal 5 8 3" xfId="10616"/>
    <cellStyle name="Normal 5 8 3 2" xfId="10617"/>
    <cellStyle name="Normal 5 8 3 3" xfId="10618"/>
    <cellStyle name="Normal 5 8 3 4" xfId="10619"/>
    <cellStyle name="Normal 5 8 3 5" xfId="10620"/>
    <cellStyle name="Normal 5 8 3_DeltaViewer" xfId="10621"/>
    <cellStyle name="Normal 5 8 4" xfId="10622"/>
    <cellStyle name="Normal 5 8 5" xfId="10623"/>
    <cellStyle name="Normal 5 8 6" xfId="10624"/>
    <cellStyle name="Normal 5 8 7" xfId="10625"/>
    <cellStyle name="Normal 5 8_DeltaViewer" xfId="10626"/>
    <cellStyle name="Normal 5 9" xfId="10627"/>
    <cellStyle name="Normal 5 9 2" xfId="10628"/>
    <cellStyle name="Normal 5 9 2 2" xfId="10629"/>
    <cellStyle name="Normal 5 9 2 3" xfId="10630"/>
    <cellStyle name="Normal 5 9 2 4" xfId="10631"/>
    <cellStyle name="Normal 5 9 2 5" xfId="10632"/>
    <cellStyle name="Normal 5 9 2_DeltaViewer" xfId="10633"/>
    <cellStyle name="Normal 5 9 3" xfId="10634"/>
    <cellStyle name="Normal 5 9 4" xfId="10635"/>
    <cellStyle name="Normal 5 9 5" xfId="10636"/>
    <cellStyle name="Normal 5 9 6" xfId="10637"/>
    <cellStyle name="Normal 5 9_DeltaViewer" xfId="10638"/>
    <cellStyle name="Normal 5_DeltaViewer" xfId="10639"/>
    <cellStyle name="Normal 50" xfId="10640"/>
    <cellStyle name="Normal 51" xfId="10641"/>
    <cellStyle name="Normal 52" xfId="10642"/>
    <cellStyle name="Normal 53" xfId="10643"/>
    <cellStyle name="Normal 54" xfId="10644"/>
    <cellStyle name="Normal 55" xfId="10645"/>
    <cellStyle name="Normal 56" xfId="10646"/>
    <cellStyle name="Normal 57" xfId="10647"/>
    <cellStyle name="Normal 58" xfId="10648"/>
    <cellStyle name="Normal 59" xfId="10649"/>
    <cellStyle name="Normal 6" xfId="140"/>
    <cellStyle name="Normal 6 10" xfId="10650"/>
    <cellStyle name="Normal 6 10 2" xfId="10651"/>
    <cellStyle name="Normal 6 10 2 2" xfId="10652"/>
    <cellStyle name="Normal 6 10 2 3" xfId="10653"/>
    <cellStyle name="Normal 6 10 2 4" xfId="10654"/>
    <cellStyle name="Normal 6 10 2 5" xfId="10655"/>
    <cellStyle name="Normal 6 10 2_DeltaViewer" xfId="10656"/>
    <cellStyle name="Normal 6 10 3" xfId="10657"/>
    <cellStyle name="Normal 6 10 4" xfId="10658"/>
    <cellStyle name="Normal 6 10 5" xfId="10659"/>
    <cellStyle name="Normal 6 10 6" xfId="10660"/>
    <cellStyle name="Normal 6 10_DeltaViewer" xfId="10661"/>
    <cellStyle name="Normal 6 11" xfId="10662"/>
    <cellStyle name="Normal 6 11 2" xfId="10663"/>
    <cellStyle name="Normal 6 11 2 2" xfId="10664"/>
    <cellStyle name="Normal 6 11 2 3" xfId="10665"/>
    <cellStyle name="Normal 6 11 2 4" xfId="10666"/>
    <cellStyle name="Normal 6 11 2 5" xfId="10667"/>
    <cellStyle name="Normal 6 11 2_DeltaViewer" xfId="10668"/>
    <cellStyle name="Normal 6 11 3" xfId="10669"/>
    <cellStyle name="Normal 6 11 4" xfId="10670"/>
    <cellStyle name="Normal 6 11 5" xfId="10671"/>
    <cellStyle name="Normal 6 11 6" xfId="10672"/>
    <cellStyle name="Normal 6 11_DeltaViewer" xfId="10673"/>
    <cellStyle name="Normal 6 12" xfId="10674"/>
    <cellStyle name="Normal 6 12 2" xfId="10675"/>
    <cellStyle name="Normal 6 12 2 2" xfId="10676"/>
    <cellStyle name="Normal 6 12 2 3" xfId="10677"/>
    <cellStyle name="Normal 6 12 2 4" xfId="10678"/>
    <cellStyle name="Normal 6 12 2 5" xfId="10679"/>
    <cellStyle name="Normal 6 12 2_DeltaViewer" xfId="10680"/>
    <cellStyle name="Normal 6 12 3" xfId="10681"/>
    <cellStyle name="Normal 6 12 4" xfId="10682"/>
    <cellStyle name="Normal 6 12 5" xfId="10683"/>
    <cellStyle name="Normal 6 12 6" xfId="10684"/>
    <cellStyle name="Normal 6 12_DeltaViewer" xfId="10685"/>
    <cellStyle name="Normal 6 13" xfId="10686"/>
    <cellStyle name="Normal 6 13 2" xfId="10687"/>
    <cellStyle name="Normal 6 13 2 2" xfId="10688"/>
    <cellStyle name="Normal 6 13 2 3" xfId="10689"/>
    <cellStyle name="Normal 6 13 2 4" xfId="10690"/>
    <cellStyle name="Normal 6 13 2 5" xfId="10691"/>
    <cellStyle name="Normal 6 13 2_DeltaViewer" xfId="10692"/>
    <cellStyle name="Normal 6 13 3" xfId="10693"/>
    <cellStyle name="Normal 6 13 4" xfId="10694"/>
    <cellStyle name="Normal 6 13 5" xfId="10695"/>
    <cellStyle name="Normal 6 13 6" xfId="10696"/>
    <cellStyle name="Normal 6 13_DeltaViewer" xfId="10697"/>
    <cellStyle name="Normal 6 14" xfId="10698"/>
    <cellStyle name="Normal 6 14 2" xfId="10699"/>
    <cellStyle name="Normal 6 14 2 2" xfId="10700"/>
    <cellStyle name="Normal 6 14 2 2 2" xfId="10701"/>
    <cellStyle name="Normal 6 14 2 2 3" xfId="10702"/>
    <cellStyle name="Normal 6 14 2 2 4" xfId="10703"/>
    <cellStyle name="Normal 6 14 2 2 5" xfId="10704"/>
    <cellStyle name="Normal 6 14 2 2_DeltaViewer" xfId="10705"/>
    <cellStyle name="Normal 6 14 2 3" xfId="10706"/>
    <cellStyle name="Normal 6 14 2 4" xfId="10707"/>
    <cellStyle name="Normal 6 14 2 5" xfId="10708"/>
    <cellStyle name="Normal 6 14 2 6" xfId="10709"/>
    <cellStyle name="Normal 6 14 2_DeltaViewer" xfId="10710"/>
    <cellStyle name="Normal 6 14 3" xfId="10711"/>
    <cellStyle name="Normal 6 14 3 2" xfId="10712"/>
    <cellStyle name="Normal 6 14 3 3" xfId="10713"/>
    <cellStyle name="Normal 6 14 3 4" xfId="10714"/>
    <cellStyle name="Normal 6 14 3 5" xfId="10715"/>
    <cellStyle name="Normal 6 14 3_DeltaViewer" xfId="10716"/>
    <cellStyle name="Normal 6 14 4" xfId="10717"/>
    <cellStyle name="Normal 6 14 5" xfId="10718"/>
    <cellStyle name="Normal 6 14 6" xfId="10719"/>
    <cellStyle name="Normal 6 14 7" xfId="10720"/>
    <cellStyle name="Normal 6 14_DeltaViewer" xfId="10721"/>
    <cellStyle name="Normal 6 15" xfId="10722"/>
    <cellStyle name="Normal 6 15 2" xfId="10723"/>
    <cellStyle name="Normal 6 15 2 2" xfId="10724"/>
    <cellStyle name="Normal 6 15 2 2 2" xfId="10725"/>
    <cellStyle name="Normal 6 15 2 2 3" xfId="10726"/>
    <cellStyle name="Normal 6 15 2 2 4" xfId="10727"/>
    <cellStyle name="Normal 6 15 2 2 5" xfId="10728"/>
    <cellStyle name="Normal 6 15 2 2_DeltaViewer" xfId="10729"/>
    <cellStyle name="Normal 6 15 2 3" xfId="10730"/>
    <cellStyle name="Normal 6 15 2 4" xfId="10731"/>
    <cellStyle name="Normal 6 15 2 5" xfId="10732"/>
    <cellStyle name="Normal 6 15 2 6" xfId="10733"/>
    <cellStyle name="Normal 6 15 2_DeltaViewer" xfId="10734"/>
    <cellStyle name="Normal 6 15 3" xfId="10735"/>
    <cellStyle name="Normal 6 15 3 2" xfId="10736"/>
    <cellStyle name="Normal 6 15 3 3" xfId="10737"/>
    <cellStyle name="Normal 6 15 3 4" xfId="10738"/>
    <cellStyle name="Normal 6 15 3 5" xfId="10739"/>
    <cellStyle name="Normal 6 15 3_DeltaViewer" xfId="10740"/>
    <cellStyle name="Normal 6 15 4" xfId="10741"/>
    <cellStyle name="Normal 6 15 5" xfId="10742"/>
    <cellStyle name="Normal 6 15 6" xfId="10743"/>
    <cellStyle name="Normal 6 15 7" xfId="10744"/>
    <cellStyle name="Normal 6 15_DeltaViewer" xfId="10745"/>
    <cellStyle name="Normal 6 16" xfId="10746"/>
    <cellStyle name="Normal 6 16 2" xfId="10747"/>
    <cellStyle name="Normal 6 16 2 2" xfId="10748"/>
    <cellStyle name="Normal 6 16 2 2 2" xfId="10749"/>
    <cellStyle name="Normal 6 16 2 2 3" xfId="10750"/>
    <cellStyle name="Normal 6 16 2 2 4" xfId="10751"/>
    <cellStyle name="Normal 6 16 2 2 5" xfId="10752"/>
    <cellStyle name="Normal 6 16 2 2_DeltaViewer" xfId="10753"/>
    <cellStyle name="Normal 6 16 2 3" xfId="10754"/>
    <cellStyle name="Normal 6 16 2 4" xfId="10755"/>
    <cellStyle name="Normal 6 16 2 5" xfId="10756"/>
    <cellStyle name="Normal 6 16 2 6" xfId="10757"/>
    <cellStyle name="Normal 6 16 2_DeltaViewer" xfId="10758"/>
    <cellStyle name="Normal 6 16 3" xfId="10759"/>
    <cellStyle name="Normal 6 16 3 2" xfId="10760"/>
    <cellStyle name="Normal 6 16 3 3" xfId="10761"/>
    <cellStyle name="Normal 6 16 3 4" xfId="10762"/>
    <cellStyle name="Normal 6 16 3 5" xfId="10763"/>
    <cellStyle name="Normal 6 16 3_DeltaViewer" xfId="10764"/>
    <cellStyle name="Normal 6 16 4" xfId="10765"/>
    <cellStyle name="Normal 6 16 5" xfId="10766"/>
    <cellStyle name="Normal 6 16 6" xfId="10767"/>
    <cellStyle name="Normal 6 16 7" xfId="10768"/>
    <cellStyle name="Normal 6 16_DeltaViewer" xfId="10769"/>
    <cellStyle name="Normal 6 17" xfId="10770"/>
    <cellStyle name="Normal 6 17 2" xfId="10771"/>
    <cellStyle name="Normal 6 17 2 2" xfId="10772"/>
    <cellStyle name="Normal 6 17 2 3" xfId="10773"/>
    <cellStyle name="Normal 6 17 2 4" xfId="10774"/>
    <cellStyle name="Normal 6 17 2 5" xfId="10775"/>
    <cellStyle name="Normal 6 17 2_DeltaViewer" xfId="10776"/>
    <cellStyle name="Normal 6 17 3" xfId="10777"/>
    <cellStyle name="Normal 6 17 4" xfId="10778"/>
    <cellStyle name="Normal 6 17 5" xfId="10779"/>
    <cellStyle name="Normal 6 17 6" xfId="10780"/>
    <cellStyle name="Normal 6 17_DeltaViewer" xfId="10781"/>
    <cellStyle name="Normal 6 18" xfId="10782"/>
    <cellStyle name="Normal 6 18 2" xfId="10783"/>
    <cellStyle name="Normal 6 18 3" xfId="10784"/>
    <cellStyle name="Normal 6 18 4" xfId="10785"/>
    <cellStyle name="Normal 6 18 5" xfId="10786"/>
    <cellStyle name="Normal 6 18_DeltaViewer" xfId="10787"/>
    <cellStyle name="Normal 6 19" xfId="10788"/>
    <cellStyle name="Normal 6 2" xfId="166"/>
    <cellStyle name="Normal 6 2 10" xfId="21711"/>
    <cellStyle name="Normal 6 2 10 2" xfId="26949"/>
    <cellStyle name="Normal 6 2 11" xfId="24390"/>
    <cellStyle name="Normal 6 2 2" xfId="10789"/>
    <cellStyle name="Normal 6 2 2 2" xfId="10790"/>
    <cellStyle name="Normal 6 2 2 2 2" xfId="10791"/>
    <cellStyle name="Normal 6 2 2 2 2 2" xfId="10792"/>
    <cellStyle name="Normal 6 2 2 2 2 3" xfId="10793"/>
    <cellStyle name="Normal 6 2 2 2 2 4" xfId="10794"/>
    <cellStyle name="Normal 6 2 2 2 2 5" xfId="10795"/>
    <cellStyle name="Normal 6 2 2 2 2_DeltaViewer" xfId="10796"/>
    <cellStyle name="Normal 6 2 2 2 3" xfId="10797"/>
    <cellStyle name="Normal 6 2 2 2 4" xfId="10798"/>
    <cellStyle name="Normal 6 2 2 2 5" xfId="10799"/>
    <cellStyle name="Normal 6 2 2 2 6" xfId="10800"/>
    <cellStyle name="Normal 6 2 2 2_DeltaViewer" xfId="10801"/>
    <cellStyle name="Normal 6 2 2 3" xfId="10802"/>
    <cellStyle name="Normal 6 2 2 3 2" xfId="10803"/>
    <cellStyle name="Normal 6 2 2 3 2 2" xfId="10804"/>
    <cellStyle name="Normal 6 2 2 3 2 3" xfId="10805"/>
    <cellStyle name="Normal 6 2 2 3 2 4" xfId="10806"/>
    <cellStyle name="Normal 6 2 2 3 2 5" xfId="10807"/>
    <cellStyle name="Normal 6 2 2 3 2_DeltaViewer" xfId="10808"/>
    <cellStyle name="Normal 6 2 2 3 3" xfId="10809"/>
    <cellStyle name="Normal 6 2 2 3 4" xfId="10810"/>
    <cellStyle name="Normal 6 2 2 3 5" xfId="10811"/>
    <cellStyle name="Normal 6 2 2 3 6" xfId="10812"/>
    <cellStyle name="Normal 6 2 2 3_DeltaViewer" xfId="10813"/>
    <cellStyle name="Normal 6 2 2 4" xfId="10814"/>
    <cellStyle name="Normal 6 2 2 4 2" xfId="10815"/>
    <cellStyle name="Normal 6 2 2 4 2 2" xfId="10816"/>
    <cellStyle name="Normal 6 2 2 4 2 3" xfId="10817"/>
    <cellStyle name="Normal 6 2 2 4 2 4" xfId="10818"/>
    <cellStyle name="Normal 6 2 2 4 2 5" xfId="10819"/>
    <cellStyle name="Normal 6 2 2 4 2_DeltaViewer" xfId="10820"/>
    <cellStyle name="Normal 6 2 2 4 3" xfId="10821"/>
    <cellStyle name="Normal 6 2 2 4 4" xfId="10822"/>
    <cellStyle name="Normal 6 2 2 4 5" xfId="10823"/>
    <cellStyle name="Normal 6 2 2 4 6" xfId="10824"/>
    <cellStyle name="Normal 6 2 2 4_DeltaViewer" xfId="10825"/>
    <cellStyle name="Normal 6 2 2 5" xfId="10826"/>
    <cellStyle name="Normal 6 2 2 5 2" xfId="10827"/>
    <cellStyle name="Normal 6 2 2 5 3" xfId="10828"/>
    <cellStyle name="Normal 6 2 2 5 4" xfId="10829"/>
    <cellStyle name="Normal 6 2 2 5 5" xfId="10830"/>
    <cellStyle name="Normal 6 2 2 5_DeltaViewer" xfId="10831"/>
    <cellStyle name="Normal 6 2 2 6" xfId="10832"/>
    <cellStyle name="Normal 6 2 2 7" xfId="10833"/>
    <cellStyle name="Normal 6 2 2 8" xfId="10834"/>
    <cellStyle name="Normal 6 2 2 9" xfId="10835"/>
    <cellStyle name="Normal 6 2 2_DeltaViewer" xfId="10836"/>
    <cellStyle name="Normal 6 2 3" xfId="10837"/>
    <cellStyle name="Normal 6 2 3 2" xfId="10838"/>
    <cellStyle name="Normal 6 2 3 2 2" xfId="10839"/>
    <cellStyle name="Normal 6 2 3 2 3" xfId="10840"/>
    <cellStyle name="Normal 6 2 3 2 4" xfId="10841"/>
    <cellStyle name="Normal 6 2 3 2 5" xfId="10842"/>
    <cellStyle name="Normal 6 2 3 2_DeltaViewer" xfId="10843"/>
    <cellStyle name="Normal 6 2 3 3" xfId="10844"/>
    <cellStyle name="Normal 6 2 3 4" xfId="10845"/>
    <cellStyle name="Normal 6 2 3 5" xfId="10846"/>
    <cellStyle name="Normal 6 2 3 6" xfId="10847"/>
    <cellStyle name="Normal 6 2 3_DeltaViewer" xfId="10848"/>
    <cellStyle name="Normal 6 2 4" xfId="10849"/>
    <cellStyle name="Normal 6 2 4 2" xfId="10850"/>
    <cellStyle name="Normal 6 2 4 2 2" xfId="10851"/>
    <cellStyle name="Normal 6 2 4 2 3" xfId="10852"/>
    <cellStyle name="Normal 6 2 4 2 4" xfId="10853"/>
    <cellStyle name="Normal 6 2 4 2 5" xfId="10854"/>
    <cellStyle name="Normal 6 2 4 2_DeltaViewer" xfId="10855"/>
    <cellStyle name="Normal 6 2 4 3" xfId="10856"/>
    <cellStyle name="Normal 6 2 4 4" xfId="10857"/>
    <cellStyle name="Normal 6 2 4 5" xfId="10858"/>
    <cellStyle name="Normal 6 2 4 6" xfId="10859"/>
    <cellStyle name="Normal 6 2 4_DeltaViewer" xfId="10860"/>
    <cellStyle name="Normal 6 2 5" xfId="10861"/>
    <cellStyle name="Normal 6 2 5 2" xfId="10862"/>
    <cellStyle name="Normal 6 2 5 3" xfId="10863"/>
    <cellStyle name="Normal 6 2 5 4" xfId="10864"/>
    <cellStyle name="Normal 6 2 5 5" xfId="10865"/>
    <cellStyle name="Normal 6 2 5_DeltaViewer" xfId="10866"/>
    <cellStyle name="Normal 6 2 6" xfId="10867"/>
    <cellStyle name="Normal 6 2 7" xfId="10868"/>
    <cellStyle name="Normal 6 2 8" xfId="10869"/>
    <cellStyle name="Normal 6 2 9" xfId="10870"/>
    <cellStyle name="Normal 6 2_12.05.29 AngloAmericaCCY ASW 7Y" xfId="10871"/>
    <cellStyle name="Normal 6 20" xfId="10872"/>
    <cellStyle name="Normal 6 21" xfId="10873"/>
    <cellStyle name="Normal 6 22" xfId="10874"/>
    <cellStyle name="Normal 6 23" xfId="10875"/>
    <cellStyle name="Normal 6 24" xfId="10876"/>
    <cellStyle name="Normal 6 25" xfId="10877"/>
    <cellStyle name="Normal 6 26" xfId="21695"/>
    <cellStyle name="Normal 6 27" xfId="24067"/>
    <cellStyle name="Normal 6 28" xfId="24373"/>
    <cellStyle name="Normal 6 3" xfId="10878"/>
    <cellStyle name="Normal 6 3 10" xfId="10879"/>
    <cellStyle name="Normal 6 3 11" xfId="10880"/>
    <cellStyle name="Normal 6 3 2" xfId="10881"/>
    <cellStyle name="Normal 6 3 2 2" xfId="10882"/>
    <cellStyle name="Normal 6 3 2 2 2" xfId="10883"/>
    <cellStyle name="Normal 6 3 2 2 2 2" xfId="10884"/>
    <cellStyle name="Normal 6 3 2 2 2 3" xfId="10885"/>
    <cellStyle name="Normal 6 3 2 2 2 4" xfId="10886"/>
    <cellStyle name="Normal 6 3 2 2 2 5" xfId="10887"/>
    <cellStyle name="Normal 6 3 2 2 2_DeltaViewer" xfId="10888"/>
    <cellStyle name="Normal 6 3 2 2 3" xfId="10889"/>
    <cellStyle name="Normal 6 3 2 2 4" xfId="10890"/>
    <cellStyle name="Normal 6 3 2 2 5" xfId="10891"/>
    <cellStyle name="Normal 6 3 2 2 6" xfId="10892"/>
    <cellStyle name="Normal 6 3 2 2_DeltaViewer" xfId="10893"/>
    <cellStyle name="Normal 6 3 2 3" xfId="10894"/>
    <cellStyle name="Normal 6 3 2 3 2" xfId="10895"/>
    <cellStyle name="Normal 6 3 2 3 3" xfId="10896"/>
    <cellStyle name="Normal 6 3 2 3 4" xfId="10897"/>
    <cellStyle name="Normal 6 3 2 3 5" xfId="10898"/>
    <cellStyle name="Normal 6 3 2 3_DeltaViewer" xfId="10899"/>
    <cellStyle name="Normal 6 3 2 4" xfId="10900"/>
    <cellStyle name="Normal 6 3 2 5" xfId="10901"/>
    <cellStyle name="Normal 6 3 2 6" xfId="10902"/>
    <cellStyle name="Normal 6 3 2 7" xfId="10903"/>
    <cellStyle name="Normal 6 3 2_DeltaViewer" xfId="10904"/>
    <cellStyle name="Normal 6 3 3" xfId="10905"/>
    <cellStyle name="Normal 6 3 3 2" xfId="10906"/>
    <cellStyle name="Normal 6 3 3 2 2" xfId="10907"/>
    <cellStyle name="Normal 6 3 3 2 2 2" xfId="10908"/>
    <cellStyle name="Normal 6 3 3 2 2 3" xfId="10909"/>
    <cellStyle name="Normal 6 3 3 2 2 4" xfId="10910"/>
    <cellStyle name="Normal 6 3 3 2 2 5" xfId="10911"/>
    <cellStyle name="Normal 6 3 3 2 2_DeltaViewer" xfId="10912"/>
    <cellStyle name="Normal 6 3 3 2 3" xfId="10913"/>
    <cellStyle name="Normal 6 3 3 2 4" xfId="10914"/>
    <cellStyle name="Normal 6 3 3 2 5" xfId="10915"/>
    <cellStyle name="Normal 6 3 3 2 6" xfId="10916"/>
    <cellStyle name="Normal 6 3 3 2_DeltaViewer" xfId="10917"/>
    <cellStyle name="Normal 6 3 3 3" xfId="10918"/>
    <cellStyle name="Normal 6 3 3 3 2" xfId="10919"/>
    <cellStyle name="Normal 6 3 3 3 3" xfId="10920"/>
    <cellStyle name="Normal 6 3 3 3 4" xfId="10921"/>
    <cellStyle name="Normal 6 3 3 3 5" xfId="10922"/>
    <cellStyle name="Normal 6 3 3 3_DeltaViewer" xfId="10923"/>
    <cellStyle name="Normal 6 3 3 4" xfId="10924"/>
    <cellStyle name="Normal 6 3 3 5" xfId="10925"/>
    <cellStyle name="Normal 6 3 3 6" xfId="10926"/>
    <cellStyle name="Normal 6 3 3 7" xfId="10927"/>
    <cellStyle name="Normal 6 3 3_DeltaViewer" xfId="10928"/>
    <cellStyle name="Normal 6 3 4" xfId="10929"/>
    <cellStyle name="Normal 6 3 4 2" xfId="10930"/>
    <cellStyle name="Normal 6 3 4 2 2" xfId="10931"/>
    <cellStyle name="Normal 6 3 4 2 2 2" xfId="10932"/>
    <cellStyle name="Normal 6 3 4 2 2 3" xfId="10933"/>
    <cellStyle name="Normal 6 3 4 2 2 4" xfId="10934"/>
    <cellStyle name="Normal 6 3 4 2 2 5" xfId="10935"/>
    <cellStyle name="Normal 6 3 4 2 2_DeltaViewer" xfId="10936"/>
    <cellStyle name="Normal 6 3 4 2 3" xfId="10937"/>
    <cellStyle name="Normal 6 3 4 2 4" xfId="10938"/>
    <cellStyle name="Normal 6 3 4 2 5" xfId="10939"/>
    <cellStyle name="Normal 6 3 4 2 6" xfId="10940"/>
    <cellStyle name="Normal 6 3 4 2_DeltaViewer" xfId="10941"/>
    <cellStyle name="Normal 6 3 4 3" xfId="10942"/>
    <cellStyle name="Normal 6 3 4 3 2" xfId="10943"/>
    <cellStyle name="Normal 6 3 4 3 3" xfId="10944"/>
    <cellStyle name="Normal 6 3 4 3 4" xfId="10945"/>
    <cellStyle name="Normal 6 3 4 3 5" xfId="10946"/>
    <cellStyle name="Normal 6 3 4 3_DeltaViewer" xfId="10947"/>
    <cellStyle name="Normal 6 3 4 4" xfId="10948"/>
    <cellStyle name="Normal 6 3 4 5" xfId="10949"/>
    <cellStyle name="Normal 6 3 4 6" xfId="10950"/>
    <cellStyle name="Normal 6 3 4 7" xfId="10951"/>
    <cellStyle name="Normal 6 3 4_DeltaViewer" xfId="10952"/>
    <cellStyle name="Normal 6 3 5" xfId="10953"/>
    <cellStyle name="Normal 6 3 5 2" xfId="10954"/>
    <cellStyle name="Normal 6 3 5 2 2" xfId="10955"/>
    <cellStyle name="Normal 6 3 5 2 3" xfId="10956"/>
    <cellStyle name="Normal 6 3 5 2 4" xfId="10957"/>
    <cellStyle name="Normal 6 3 5 2 5" xfId="10958"/>
    <cellStyle name="Normal 6 3 5 2_DeltaViewer" xfId="10959"/>
    <cellStyle name="Normal 6 3 5 3" xfId="10960"/>
    <cellStyle name="Normal 6 3 5 4" xfId="10961"/>
    <cellStyle name="Normal 6 3 5 5" xfId="10962"/>
    <cellStyle name="Normal 6 3 5 6" xfId="10963"/>
    <cellStyle name="Normal 6 3 5_DeltaViewer" xfId="10964"/>
    <cellStyle name="Normal 6 3 6" xfId="10965"/>
    <cellStyle name="Normal 6 3 6 2" xfId="10966"/>
    <cellStyle name="Normal 6 3 6 2 2" xfId="10967"/>
    <cellStyle name="Normal 6 3 6 2 3" xfId="10968"/>
    <cellStyle name="Normal 6 3 6 2 4" xfId="10969"/>
    <cellStyle name="Normal 6 3 6 2 5" xfId="10970"/>
    <cellStyle name="Normal 6 3 6 2_DeltaViewer" xfId="10971"/>
    <cellStyle name="Normal 6 3 6 3" xfId="10972"/>
    <cellStyle name="Normal 6 3 6 4" xfId="10973"/>
    <cellStyle name="Normal 6 3 6 5" xfId="10974"/>
    <cellStyle name="Normal 6 3 6 6" xfId="10975"/>
    <cellStyle name="Normal 6 3 6_DeltaViewer" xfId="10976"/>
    <cellStyle name="Normal 6 3 7" xfId="10977"/>
    <cellStyle name="Normal 6 3 7 2" xfId="10978"/>
    <cellStyle name="Normal 6 3 7 3" xfId="10979"/>
    <cellStyle name="Normal 6 3 7 4" xfId="10980"/>
    <cellStyle name="Normal 6 3 7 5" xfId="10981"/>
    <cellStyle name="Normal 6 3 7_DeltaViewer" xfId="10982"/>
    <cellStyle name="Normal 6 3 8" xfId="10983"/>
    <cellStyle name="Normal 6 3 9" xfId="10984"/>
    <cellStyle name="Normal 6 3_DeltaViewer" xfId="10985"/>
    <cellStyle name="Normal 6 4" xfId="10986"/>
    <cellStyle name="Normal 6 4 10" xfId="10987"/>
    <cellStyle name="Normal 6 4 11" xfId="10988"/>
    <cellStyle name="Normal 6 4 2" xfId="10989"/>
    <cellStyle name="Normal 6 4 2 2" xfId="10990"/>
    <cellStyle name="Normal 6 4 2 2 2" xfId="10991"/>
    <cellStyle name="Normal 6 4 2 2 2 2" xfId="10992"/>
    <cellStyle name="Normal 6 4 2 2 2 3" xfId="10993"/>
    <cellStyle name="Normal 6 4 2 2 2 4" xfId="10994"/>
    <cellStyle name="Normal 6 4 2 2 2 5" xfId="10995"/>
    <cellStyle name="Normal 6 4 2 2 2_DeltaViewer" xfId="10996"/>
    <cellStyle name="Normal 6 4 2 2 3" xfId="10997"/>
    <cellStyle name="Normal 6 4 2 2 4" xfId="10998"/>
    <cellStyle name="Normal 6 4 2 2 5" xfId="10999"/>
    <cellStyle name="Normal 6 4 2 2 6" xfId="11000"/>
    <cellStyle name="Normal 6 4 2 2_DeltaViewer" xfId="11001"/>
    <cellStyle name="Normal 6 4 2 3" xfId="11002"/>
    <cellStyle name="Normal 6 4 2 3 2" xfId="11003"/>
    <cellStyle name="Normal 6 4 2 3 3" xfId="11004"/>
    <cellStyle name="Normal 6 4 2 3 4" xfId="11005"/>
    <cellStyle name="Normal 6 4 2 3 5" xfId="11006"/>
    <cellStyle name="Normal 6 4 2 3_DeltaViewer" xfId="11007"/>
    <cellStyle name="Normal 6 4 2 4" xfId="11008"/>
    <cellStyle name="Normal 6 4 2 5" xfId="11009"/>
    <cellStyle name="Normal 6 4 2 6" xfId="11010"/>
    <cellStyle name="Normal 6 4 2 7" xfId="11011"/>
    <cellStyle name="Normal 6 4 2_DeltaViewer" xfId="11012"/>
    <cellStyle name="Normal 6 4 3" xfId="11013"/>
    <cellStyle name="Normal 6 4 3 2" xfId="11014"/>
    <cellStyle name="Normal 6 4 3 2 2" xfId="11015"/>
    <cellStyle name="Normal 6 4 3 2 2 2" xfId="11016"/>
    <cellStyle name="Normal 6 4 3 2 2 3" xfId="11017"/>
    <cellStyle name="Normal 6 4 3 2 2 4" xfId="11018"/>
    <cellStyle name="Normal 6 4 3 2 2 5" xfId="11019"/>
    <cellStyle name="Normal 6 4 3 2 2_DeltaViewer" xfId="11020"/>
    <cellStyle name="Normal 6 4 3 2 3" xfId="11021"/>
    <cellStyle name="Normal 6 4 3 2 4" xfId="11022"/>
    <cellStyle name="Normal 6 4 3 2 5" xfId="11023"/>
    <cellStyle name="Normal 6 4 3 2 6" xfId="11024"/>
    <cellStyle name="Normal 6 4 3 2_DeltaViewer" xfId="11025"/>
    <cellStyle name="Normal 6 4 3 3" xfId="11026"/>
    <cellStyle name="Normal 6 4 3 3 2" xfId="11027"/>
    <cellStyle name="Normal 6 4 3 3 3" xfId="11028"/>
    <cellStyle name="Normal 6 4 3 3 4" xfId="11029"/>
    <cellStyle name="Normal 6 4 3 3 5" xfId="11030"/>
    <cellStyle name="Normal 6 4 3 3_DeltaViewer" xfId="11031"/>
    <cellStyle name="Normal 6 4 3 4" xfId="11032"/>
    <cellStyle name="Normal 6 4 3 5" xfId="11033"/>
    <cellStyle name="Normal 6 4 3 6" xfId="11034"/>
    <cellStyle name="Normal 6 4 3 7" xfId="11035"/>
    <cellStyle name="Normal 6 4 3_DeltaViewer" xfId="11036"/>
    <cellStyle name="Normal 6 4 4" xfId="11037"/>
    <cellStyle name="Normal 6 4 4 2" xfId="11038"/>
    <cellStyle name="Normal 6 4 4 2 2" xfId="11039"/>
    <cellStyle name="Normal 6 4 4 2 2 2" xfId="11040"/>
    <cellStyle name="Normal 6 4 4 2 2 3" xfId="11041"/>
    <cellStyle name="Normal 6 4 4 2 2 4" xfId="11042"/>
    <cellStyle name="Normal 6 4 4 2 2 5" xfId="11043"/>
    <cellStyle name="Normal 6 4 4 2 2_DeltaViewer" xfId="11044"/>
    <cellStyle name="Normal 6 4 4 2 3" xfId="11045"/>
    <cellStyle name="Normal 6 4 4 2 4" xfId="11046"/>
    <cellStyle name="Normal 6 4 4 2 5" xfId="11047"/>
    <cellStyle name="Normal 6 4 4 2 6" xfId="11048"/>
    <cellStyle name="Normal 6 4 4 2_DeltaViewer" xfId="11049"/>
    <cellStyle name="Normal 6 4 4 3" xfId="11050"/>
    <cellStyle name="Normal 6 4 4 3 2" xfId="11051"/>
    <cellStyle name="Normal 6 4 4 3 3" xfId="11052"/>
    <cellStyle name="Normal 6 4 4 3 4" xfId="11053"/>
    <cellStyle name="Normal 6 4 4 3 5" xfId="11054"/>
    <cellStyle name="Normal 6 4 4 3_DeltaViewer" xfId="11055"/>
    <cellStyle name="Normal 6 4 4 4" xfId="11056"/>
    <cellStyle name="Normal 6 4 4 5" xfId="11057"/>
    <cellStyle name="Normal 6 4 4 6" xfId="11058"/>
    <cellStyle name="Normal 6 4 4 7" xfId="11059"/>
    <cellStyle name="Normal 6 4 4_DeltaViewer" xfId="11060"/>
    <cellStyle name="Normal 6 4 5" xfId="11061"/>
    <cellStyle name="Normal 6 4 5 2" xfId="11062"/>
    <cellStyle name="Normal 6 4 5 2 2" xfId="11063"/>
    <cellStyle name="Normal 6 4 5 2 3" xfId="11064"/>
    <cellStyle name="Normal 6 4 5 2 4" xfId="11065"/>
    <cellStyle name="Normal 6 4 5 2 5" xfId="11066"/>
    <cellStyle name="Normal 6 4 5 2_DeltaViewer" xfId="11067"/>
    <cellStyle name="Normal 6 4 5 3" xfId="11068"/>
    <cellStyle name="Normal 6 4 5 4" xfId="11069"/>
    <cellStyle name="Normal 6 4 5 5" xfId="11070"/>
    <cellStyle name="Normal 6 4 5 6" xfId="11071"/>
    <cellStyle name="Normal 6 4 5_DeltaViewer" xfId="11072"/>
    <cellStyle name="Normal 6 4 6" xfId="11073"/>
    <cellStyle name="Normal 6 4 6 2" xfId="11074"/>
    <cellStyle name="Normal 6 4 6 2 2" xfId="11075"/>
    <cellStyle name="Normal 6 4 6 2 3" xfId="11076"/>
    <cellStyle name="Normal 6 4 6 2 4" xfId="11077"/>
    <cellStyle name="Normal 6 4 6 2 5" xfId="11078"/>
    <cellStyle name="Normal 6 4 6 2_DeltaViewer" xfId="11079"/>
    <cellStyle name="Normal 6 4 6 3" xfId="11080"/>
    <cellStyle name="Normal 6 4 6 4" xfId="11081"/>
    <cellStyle name="Normal 6 4 6 5" xfId="11082"/>
    <cellStyle name="Normal 6 4 6 6" xfId="11083"/>
    <cellStyle name="Normal 6 4 6_DeltaViewer" xfId="11084"/>
    <cellStyle name="Normal 6 4 7" xfId="11085"/>
    <cellStyle name="Normal 6 4 7 2" xfId="11086"/>
    <cellStyle name="Normal 6 4 7 3" xfId="11087"/>
    <cellStyle name="Normal 6 4 7 4" xfId="11088"/>
    <cellStyle name="Normal 6 4 7 5" xfId="11089"/>
    <cellStyle name="Normal 6 4 7_DeltaViewer" xfId="11090"/>
    <cellStyle name="Normal 6 4 8" xfId="11091"/>
    <cellStyle name="Normal 6 4 9" xfId="11092"/>
    <cellStyle name="Normal 6 4_DeltaViewer" xfId="11093"/>
    <cellStyle name="Normal 6 5" xfId="11094"/>
    <cellStyle name="Normal 6 5 2" xfId="11095"/>
    <cellStyle name="Normal 6 5 2 2" xfId="11096"/>
    <cellStyle name="Normal 6 5 2 2 2" xfId="11097"/>
    <cellStyle name="Normal 6 5 2 2 2 2" xfId="11098"/>
    <cellStyle name="Normal 6 5 2 2 2 3" xfId="11099"/>
    <cellStyle name="Normal 6 5 2 2 2 4" xfId="11100"/>
    <cellStyle name="Normal 6 5 2 2 2 5" xfId="11101"/>
    <cellStyle name="Normal 6 5 2 2 2_DeltaViewer" xfId="11102"/>
    <cellStyle name="Normal 6 5 2 2 3" xfId="11103"/>
    <cellStyle name="Normal 6 5 2 2 4" xfId="11104"/>
    <cellStyle name="Normal 6 5 2 2 5" xfId="11105"/>
    <cellStyle name="Normal 6 5 2 2 6" xfId="11106"/>
    <cellStyle name="Normal 6 5 2 2_DeltaViewer" xfId="11107"/>
    <cellStyle name="Normal 6 5 2 3" xfId="11108"/>
    <cellStyle name="Normal 6 5 2 3 2" xfId="11109"/>
    <cellStyle name="Normal 6 5 2 3 3" xfId="11110"/>
    <cellStyle name="Normal 6 5 2 3 4" xfId="11111"/>
    <cellStyle name="Normal 6 5 2 3 5" xfId="11112"/>
    <cellStyle name="Normal 6 5 2 3_DeltaViewer" xfId="11113"/>
    <cellStyle name="Normal 6 5 2 4" xfId="11114"/>
    <cellStyle name="Normal 6 5 2 5" xfId="11115"/>
    <cellStyle name="Normal 6 5 2 6" xfId="11116"/>
    <cellStyle name="Normal 6 5 2 7" xfId="11117"/>
    <cellStyle name="Normal 6 5 2_DeltaViewer" xfId="11118"/>
    <cellStyle name="Normal 6 5 3" xfId="11119"/>
    <cellStyle name="Normal 6 5 3 2" xfId="11120"/>
    <cellStyle name="Normal 6 5 3 2 2" xfId="11121"/>
    <cellStyle name="Normal 6 5 3 2 3" xfId="11122"/>
    <cellStyle name="Normal 6 5 3 2 4" xfId="11123"/>
    <cellStyle name="Normal 6 5 3 2 5" xfId="11124"/>
    <cellStyle name="Normal 6 5 3 2_DeltaViewer" xfId="11125"/>
    <cellStyle name="Normal 6 5 3 3" xfId="11126"/>
    <cellStyle name="Normal 6 5 3 4" xfId="11127"/>
    <cellStyle name="Normal 6 5 3 5" xfId="11128"/>
    <cellStyle name="Normal 6 5 3 6" xfId="11129"/>
    <cellStyle name="Normal 6 5 3_DeltaViewer" xfId="11130"/>
    <cellStyle name="Normal 6 5 4" xfId="11131"/>
    <cellStyle name="Normal 6 5 4 2" xfId="11132"/>
    <cellStyle name="Normal 6 5 4 3" xfId="11133"/>
    <cellStyle name="Normal 6 5 4 4" xfId="11134"/>
    <cellStyle name="Normal 6 5 4 5" xfId="11135"/>
    <cellStyle name="Normal 6 5 4_DeltaViewer" xfId="11136"/>
    <cellStyle name="Normal 6 5 5" xfId="11137"/>
    <cellStyle name="Normal 6 5 6" xfId="11138"/>
    <cellStyle name="Normal 6 5 7" xfId="11139"/>
    <cellStyle name="Normal 6 5 8" xfId="11140"/>
    <cellStyle name="Normal 6 5_DeltaViewer" xfId="11141"/>
    <cellStyle name="Normal 6 6" xfId="11142"/>
    <cellStyle name="Normal 6 6 2" xfId="11143"/>
    <cellStyle name="Normal 6 6 2 2" xfId="11144"/>
    <cellStyle name="Normal 6 6 2 2 2" xfId="11145"/>
    <cellStyle name="Normal 6 6 2 2 3" xfId="11146"/>
    <cellStyle name="Normal 6 6 2 2 4" xfId="11147"/>
    <cellStyle name="Normal 6 6 2 2 5" xfId="11148"/>
    <cellStyle name="Normal 6 6 2 2_DeltaViewer" xfId="11149"/>
    <cellStyle name="Normal 6 6 2 3" xfId="11150"/>
    <cellStyle name="Normal 6 6 2 4" xfId="11151"/>
    <cellStyle name="Normal 6 6 2 5" xfId="11152"/>
    <cellStyle name="Normal 6 6 2 6" xfId="11153"/>
    <cellStyle name="Normal 6 6 2_DeltaViewer" xfId="11154"/>
    <cellStyle name="Normal 6 6 3" xfId="11155"/>
    <cellStyle name="Normal 6 6 3 2" xfId="11156"/>
    <cellStyle name="Normal 6 6 3 3" xfId="11157"/>
    <cellStyle name="Normal 6 6 3 4" xfId="11158"/>
    <cellStyle name="Normal 6 6 3 5" xfId="11159"/>
    <cellStyle name="Normal 6 6 3_DeltaViewer" xfId="11160"/>
    <cellStyle name="Normal 6 6 4" xfId="11161"/>
    <cellStyle name="Normal 6 6 5" xfId="11162"/>
    <cellStyle name="Normal 6 6 6" xfId="11163"/>
    <cellStyle name="Normal 6 6 7" xfId="11164"/>
    <cellStyle name="Normal 6 6_DeltaViewer" xfId="11165"/>
    <cellStyle name="Normal 6 7" xfId="11166"/>
    <cellStyle name="Normal 6 7 2" xfId="11167"/>
    <cellStyle name="Normal 6 7 2 2" xfId="11168"/>
    <cellStyle name="Normal 6 7 2 2 2" xfId="11169"/>
    <cellStyle name="Normal 6 7 2 2 3" xfId="11170"/>
    <cellStyle name="Normal 6 7 2 2 4" xfId="11171"/>
    <cellStyle name="Normal 6 7 2 2 5" xfId="11172"/>
    <cellStyle name="Normal 6 7 2 2_DeltaViewer" xfId="11173"/>
    <cellStyle name="Normal 6 7 2 3" xfId="11174"/>
    <cellStyle name="Normal 6 7 2 4" xfId="11175"/>
    <cellStyle name="Normal 6 7 2 5" xfId="11176"/>
    <cellStyle name="Normal 6 7 2 6" xfId="11177"/>
    <cellStyle name="Normal 6 7 2_DeltaViewer" xfId="11178"/>
    <cellStyle name="Normal 6 7 3" xfId="11179"/>
    <cellStyle name="Normal 6 7 3 2" xfId="11180"/>
    <cellStyle name="Normal 6 7 3 3" xfId="11181"/>
    <cellStyle name="Normal 6 7 3 4" xfId="11182"/>
    <cellStyle name="Normal 6 7 3 5" xfId="11183"/>
    <cellStyle name="Normal 6 7 3_DeltaViewer" xfId="11184"/>
    <cellStyle name="Normal 6 7 4" xfId="11185"/>
    <cellStyle name="Normal 6 7 5" xfId="11186"/>
    <cellStyle name="Normal 6 7 6" xfId="11187"/>
    <cellStyle name="Normal 6 7 7" xfId="11188"/>
    <cellStyle name="Normal 6 7_DeltaViewer" xfId="11189"/>
    <cellStyle name="Normal 6 8" xfId="11190"/>
    <cellStyle name="Normal 6 8 2" xfId="11191"/>
    <cellStyle name="Normal 6 8 2 2" xfId="11192"/>
    <cellStyle name="Normal 6 8 2 2 2" xfId="11193"/>
    <cellStyle name="Normal 6 8 2 2 3" xfId="11194"/>
    <cellStyle name="Normal 6 8 2 2 4" xfId="11195"/>
    <cellStyle name="Normal 6 8 2 2 5" xfId="11196"/>
    <cellStyle name="Normal 6 8 2 2_DeltaViewer" xfId="11197"/>
    <cellStyle name="Normal 6 8 2 3" xfId="11198"/>
    <cellStyle name="Normal 6 8 2 4" xfId="11199"/>
    <cellStyle name="Normal 6 8 2 5" xfId="11200"/>
    <cellStyle name="Normal 6 8 2 6" xfId="11201"/>
    <cellStyle name="Normal 6 8 2_DeltaViewer" xfId="11202"/>
    <cellStyle name="Normal 6 8 3" xfId="11203"/>
    <cellStyle name="Normal 6 8 3 2" xfId="11204"/>
    <cellStyle name="Normal 6 8 3 3" xfId="11205"/>
    <cellStyle name="Normal 6 8 3 4" xfId="11206"/>
    <cellStyle name="Normal 6 8 3 5" xfId="11207"/>
    <cellStyle name="Normal 6 8 3_DeltaViewer" xfId="11208"/>
    <cellStyle name="Normal 6 8 4" xfId="11209"/>
    <cellStyle name="Normal 6 8 5" xfId="11210"/>
    <cellStyle name="Normal 6 8 6" xfId="11211"/>
    <cellStyle name="Normal 6 8 7" xfId="11212"/>
    <cellStyle name="Normal 6 8_DeltaViewer" xfId="11213"/>
    <cellStyle name="Normal 6 9" xfId="11214"/>
    <cellStyle name="Normal 6 9 2" xfId="11215"/>
    <cellStyle name="Normal 6 9 2 2" xfId="11216"/>
    <cellStyle name="Normal 6 9 2 3" xfId="11217"/>
    <cellStyle name="Normal 6 9 2 4" xfId="11218"/>
    <cellStyle name="Normal 6 9 2 5" xfId="11219"/>
    <cellStyle name="Normal 6 9 2_DeltaViewer" xfId="11220"/>
    <cellStyle name="Normal 6 9 3" xfId="11221"/>
    <cellStyle name="Normal 6 9 4" xfId="11222"/>
    <cellStyle name="Normal 6 9 5" xfId="11223"/>
    <cellStyle name="Normal 6 9 6" xfId="11224"/>
    <cellStyle name="Normal 6 9_DeltaViewer" xfId="11225"/>
    <cellStyle name="Normal 6_DeltaViewer" xfId="11226"/>
    <cellStyle name="Normal 60" xfId="11227"/>
    <cellStyle name="Normal 61" xfId="11228"/>
    <cellStyle name="Normal 62" xfId="11229"/>
    <cellStyle name="Normal 63" xfId="11230"/>
    <cellStyle name="Normal 64" xfId="11231"/>
    <cellStyle name="Normal 65" xfId="11232"/>
    <cellStyle name="Normal 66" xfId="11233"/>
    <cellStyle name="Normal 67" xfId="11234"/>
    <cellStyle name="Normal 68" xfId="11235"/>
    <cellStyle name="Normal 69" xfId="11236"/>
    <cellStyle name="Normal 7" xfId="141"/>
    <cellStyle name="Normal 7 10" xfId="11237"/>
    <cellStyle name="Normal 7 11" xfId="21696"/>
    <cellStyle name="Normal 7 2" xfId="167"/>
    <cellStyle name="Normal 7 2 10" xfId="21712"/>
    <cellStyle name="Normal 7 2 10 2" xfId="26950"/>
    <cellStyle name="Normal 7 2 11" xfId="24391"/>
    <cellStyle name="Normal 7 2 2" xfId="11238"/>
    <cellStyle name="Normal 7 2 2 2" xfId="11239"/>
    <cellStyle name="Normal 7 2 2 2 2" xfId="11240"/>
    <cellStyle name="Normal 7 2 2 2 3" xfId="11241"/>
    <cellStyle name="Normal 7 2 2 2 4" xfId="11242"/>
    <cellStyle name="Normal 7 2 2 2 5" xfId="11243"/>
    <cellStyle name="Normal 7 2 2 2_DeltaViewer" xfId="11244"/>
    <cellStyle name="Normal 7 2 2 3" xfId="11245"/>
    <cellStyle name="Normal 7 2 2 4" xfId="11246"/>
    <cellStyle name="Normal 7 2 2 5" xfId="11247"/>
    <cellStyle name="Normal 7 2 2 6" xfId="11248"/>
    <cellStyle name="Normal 7 2 2_DeltaViewer" xfId="11249"/>
    <cellStyle name="Normal 7 2 3" xfId="11250"/>
    <cellStyle name="Normal 7 2 3 2" xfId="11251"/>
    <cellStyle name="Normal 7 2 3 2 2" xfId="11252"/>
    <cellStyle name="Normal 7 2 3 2 3" xfId="11253"/>
    <cellStyle name="Normal 7 2 3 2 4" xfId="11254"/>
    <cellStyle name="Normal 7 2 3 2 5" xfId="11255"/>
    <cellStyle name="Normal 7 2 3 2_DeltaViewer" xfId="11256"/>
    <cellStyle name="Normal 7 2 3 3" xfId="11257"/>
    <cellStyle name="Normal 7 2 3 4" xfId="11258"/>
    <cellStyle name="Normal 7 2 3 5" xfId="11259"/>
    <cellStyle name="Normal 7 2 3 6" xfId="11260"/>
    <cellStyle name="Normal 7 2 3_DeltaViewer" xfId="11261"/>
    <cellStyle name="Normal 7 2 4" xfId="11262"/>
    <cellStyle name="Normal 7 2 4 2" xfId="11263"/>
    <cellStyle name="Normal 7 2 4 2 2" xfId="11264"/>
    <cellStyle name="Normal 7 2 4 2 3" xfId="11265"/>
    <cellStyle name="Normal 7 2 4 2 4" xfId="11266"/>
    <cellStyle name="Normal 7 2 4 2 5" xfId="11267"/>
    <cellStyle name="Normal 7 2 4 2_DeltaViewer" xfId="11268"/>
    <cellStyle name="Normal 7 2 4 3" xfId="11269"/>
    <cellStyle name="Normal 7 2 4 4" xfId="11270"/>
    <cellStyle name="Normal 7 2 4 5" xfId="11271"/>
    <cellStyle name="Normal 7 2 4 6" xfId="11272"/>
    <cellStyle name="Normal 7 2 4_DeltaViewer" xfId="11273"/>
    <cellStyle name="Normal 7 2 5" xfId="11274"/>
    <cellStyle name="Normal 7 2 5 2" xfId="11275"/>
    <cellStyle name="Normal 7 2 5 3" xfId="11276"/>
    <cellStyle name="Normal 7 2 5 4" xfId="11277"/>
    <cellStyle name="Normal 7 2 5 5" xfId="11278"/>
    <cellStyle name="Normal 7 2 5_DeltaViewer" xfId="11279"/>
    <cellStyle name="Normal 7 2 6" xfId="11280"/>
    <cellStyle name="Normal 7 2 7" xfId="11281"/>
    <cellStyle name="Normal 7 2 8" xfId="11282"/>
    <cellStyle name="Normal 7 2 9" xfId="11283"/>
    <cellStyle name="Normal 7 2_DeltaViewer" xfId="11284"/>
    <cellStyle name="Normal 7 3" xfId="11285"/>
    <cellStyle name="Normal 7 3 2" xfId="11286"/>
    <cellStyle name="Normal 7 3 2 2" xfId="11287"/>
    <cellStyle name="Normal 7 3 2 3" xfId="11288"/>
    <cellStyle name="Normal 7 3 2 4" xfId="11289"/>
    <cellStyle name="Normal 7 3 2 5" xfId="11290"/>
    <cellStyle name="Normal 7 3 2_DeltaViewer" xfId="11291"/>
    <cellStyle name="Normal 7 3 3" xfId="11292"/>
    <cellStyle name="Normal 7 3 4" xfId="11293"/>
    <cellStyle name="Normal 7 3 5" xfId="11294"/>
    <cellStyle name="Normal 7 3 6" xfId="11295"/>
    <cellStyle name="Normal 7 3_DeltaViewer" xfId="11296"/>
    <cellStyle name="Normal 7 4" xfId="11297"/>
    <cellStyle name="Normal 7 4 2" xfId="11298"/>
    <cellStyle name="Normal 7 4 2 2" xfId="11299"/>
    <cellStyle name="Normal 7 4 2 3" xfId="11300"/>
    <cellStyle name="Normal 7 4 2 4" xfId="11301"/>
    <cellStyle name="Normal 7 4 2 5" xfId="11302"/>
    <cellStyle name="Normal 7 4 2_DeltaViewer" xfId="11303"/>
    <cellStyle name="Normal 7 4 3" xfId="11304"/>
    <cellStyle name="Normal 7 4 4" xfId="11305"/>
    <cellStyle name="Normal 7 4 5" xfId="11306"/>
    <cellStyle name="Normal 7 4 6" xfId="11307"/>
    <cellStyle name="Normal 7 4_DeltaViewer" xfId="11308"/>
    <cellStyle name="Normal 7 5" xfId="11309"/>
    <cellStyle name="Normal 7 5 2" xfId="11310"/>
    <cellStyle name="Normal 7 5 3" xfId="11311"/>
    <cellStyle name="Normal 7 5 4" xfId="11312"/>
    <cellStyle name="Normal 7 5 5" xfId="11313"/>
    <cellStyle name="Normal 7 5_DeltaViewer" xfId="11314"/>
    <cellStyle name="Normal 7 6" xfId="11315"/>
    <cellStyle name="Normal 7 7" xfId="11316"/>
    <cellStyle name="Normal 7 8" xfId="11317"/>
    <cellStyle name="Normal 7 9" xfId="11318"/>
    <cellStyle name="Normal 7_12.05.29 AngloAmericaCCY ASW 7Y" xfId="11319"/>
    <cellStyle name="Normal 70" xfId="11320"/>
    <cellStyle name="Normal 71" xfId="11321"/>
    <cellStyle name="Normal 72" xfId="11322"/>
    <cellStyle name="Normal 72 2" xfId="11323"/>
    <cellStyle name="Normal 72 2 2" xfId="11324"/>
    <cellStyle name="Normal 72 2 2 2" xfId="11325"/>
    <cellStyle name="Normal 72 2 2 2 2" xfId="24040"/>
    <cellStyle name="Normal 72 2 2 2 2 2" xfId="29273"/>
    <cellStyle name="Normal 72 2 2 2 3" xfId="26761"/>
    <cellStyle name="Normal 72 2 2 3" xfId="24039"/>
    <cellStyle name="Normal 72 2 2 3 2" xfId="29272"/>
    <cellStyle name="Normal 72 2 2 4" xfId="26760"/>
    <cellStyle name="Normal 72 2 3" xfId="11326"/>
    <cellStyle name="Normal 72 2 3 2" xfId="24041"/>
    <cellStyle name="Normal 72 2 3 2 2" xfId="29274"/>
    <cellStyle name="Normal 72 2 3 3" xfId="26762"/>
    <cellStyle name="Normal 72 2 4" xfId="24038"/>
    <cellStyle name="Normal 72 2 4 2" xfId="29271"/>
    <cellStyle name="Normal 72 2 5" xfId="26759"/>
    <cellStyle name="Normal 72 2_DeltaViewer" xfId="11327"/>
    <cellStyle name="Normal 72 3" xfId="11328"/>
    <cellStyle name="Normal 72 3 2" xfId="11329"/>
    <cellStyle name="Normal 72 3 2 2" xfId="24043"/>
    <cellStyle name="Normal 72 3 2 2 2" xfId="29276"/>
    <cellStyle name="Normal 72 3 2 3" xfId="26764"/>
    <cellStyle name="Normal 72 3 3" xfId="24042"/>
    <cellStyle name="Normal 72 3 3 2" xfId="29275"/>
    <cellStyle name="Normal 72 3 4" xfId="26763"/>
    <cellStyle name="Normal 72 4" xfId="11330"/>
    <cellStyle name="Normal 72 4 2" xfId="24044"/>
    <cellStyle name="Normal 72 4 2 2" xfId="29277"/>
    <cellStyle name="Normal 72 4 3" xfId="26765"/>
    <cellStyle name="Normal 72 5" xfId="24037"/>
    <cellStyle name="Normal 72 5 2" xfId="29270"/>
    <cellStyle name="Normal 72 6" xfId="26758"/>
    <cellStyle name="Normal 72_DeltaViewer" xfId="11331"/>
    <cellStyle name="Normal 73" xfId="11332"/>
    <cellStyle name="Normal 74" xfId="11333"/>
    <cellStyle name="Normal 75" xfId="11334"/>
    <cellStyle name="Normal 76" xfId="11335"/>
    <cellStyle name="Normal 77" xfId="11336"/>
    <cellStyle name="Normal 78" xfId="11337"/>
    <cellStyle name="Normal 79" xfId="11338"/>
    <cellStyle name="Normal 8" xfId="142"/>
    <cellStyle name="Normal 8 10" xfId="11339"/>
    <cellStyle name="Normal 8 11" xfId="21697"/>
    <cellStyle name="Normal 8 2" xfId="168"/>
    <cellStyle name="Normal 8 2 10" xfId="21713"/>
    <cellStyle name="Normal 8 2 10 2" xfId="26951"/>
    <cellStyle name="Normal 8 2 11" xfId="24392"/>
    <cellStyle name="Normal 8 2 2" xfId="11340"/>
    <cellStyle name="Normal 8 2 2 2" xfId="11341"/>
    <cellStyle name="Normal 8 2 2 2 2" xfId="11342"/>
    <cellStyle name="Normal 8 2 2 2 3" xfId="11343"/>
    <cellStyle name="Normal 8 2 2 2 4" xfId="11344"/>
    <cellStyle name="Normal 8 2 2 2 5" xfId="11345"/>
    <cellStyle name="Normal 8 2 2 2_DeltaViewer" xfId="11346"/>
    <cellStyle name="Normal 8 2 2 3" xfId="11347"/>
    <cellStyle name="Normal 8 2 2 4" xfId="11348"/>
    <cellStyle name="Normal 8 2 2 5" xfId="11349"/>
    <cellStyle name="Normal 8 2 2 6" xfId="11350"/>
    <cellStyle name="Normal 8 2 2_DeltaViewer" xfId="11351"/>
    <cellStyle name="Normal 8 2 3" xfId="11352"/>
    <cellStyle name="Normal 8 2 3 2" xfId="11353"/>
    <cellStyle name="Normal 8 2 3 2 2" xfId="11354"/>
    <cellStyle name="Normal 8 2 3 2 3" xfId="11355"/>
    <cellStyle name="Normal 8 2 3 2 4" xfId="11356"/>
    <cellStyle name="Normal 8 2 3 2 5" xfId="11357"/>
    <cellStyle name="Normal 8 2 3 2_DeltaViewer" xfId="11358"/>
    <cellStyle name="Normal 8 2 3 3" xfId="11359"/>
    <cellStyle name="Normal 8 2 3 4" xfId="11360"/>
    <cellStyle name="Normal 8 2 3 5" xfId="11361"/>
    <cellStyle name="Normal 8 2 3 6" xfId="11362"/>
    <cellStyle name="Normal 8 2 3_DeltaViewer" xfId="11363"/>
    <cellStyle name="Normal 8 2 4" xfId="11364"/>
    <cellStyle name="Normal 8 2 4 2" xfId="11365"/>
    <cellStyle name="Normal 8 2 4 2 2" xfId="11366"/>
    <cellStyle name="Normal 8 2 4 2 3" xfId="11367"/>
    <cellStyle name="Normal 8 2 4 2 4" xfId="11368"/>
    <cellStyle name="Normal 8 2 4 2 5" xfId="11369"/>
    <cellStyle name="Normal 8 2 4 2_DeltaViewer" xfId="11370"/>
    <cellStyle name="Normal 8 2 4 3" xfId="11371"/>
    <cellStyle name="Normal 8 2 4 4" xfId="11372"/>
    <cellStyle name="Normal 8 2 4 5" xfId="11373"/>
    <cellStyle name="Normal 8 2 4 6" xfId="11374"/>
    <cellStyle name="Normal 8 2 4_DeltaViewer" xfId="11375"/>
    <cellStyle name="Normal 8 2 5" xfId="11376"/>
    <cellStyle name="Normal 8 2 5 2" xfId="11377"/>
    <cellStyle name="Normal 8 2 5 3" xfId="11378"/>
    <cellStyle name="Normal 8 2 5 4" xfId="11379"/>
    <cellStyle name="Normal 8 2 5 5" xfId="11380"/>
    <cellStyle name="Normal 8 2 5_DeltaViewer" xfId="11381"/>
    <cellStyle name="Normal 8 2 6" xfId="11382"/>
    <cellStyle name="Normal 8 2 7" xfId="11383"/>
    <cellStyle name="Normal 8 2 8" xfId="11384"/>
    <cellStyle name="Normal 8 2 9" xfId="11385"/>
    <cellStyle name="Normal 8 2_DeltaViewer" xfId="11386"/>
    <cellStyle name="Normal 8 3" xfId="11387"/>
    <cellStyle name="Normal 8 3 2" xfId="11388"/>
    <cellStyle name="Normal 8 3 2 2" xfId="11389"/>
    <cellStyle name="Normal 8 3 2 3" xfId="11390"/>
    <cellStyle name="Normal 8 3 2 4" xfId="11391"/>
    <cellStyle name="Normal 8 3 2 5" xfId="11392"/>
    <cellStyle name="Normal 8 3 2_DeltaViewer" xfId="11393"/>
    <cellStyle name="Normal 8 3 3" xfId="11394"/>
    <cellStyle name="Normal 8 3 4" xfId="11395"/>
    <cellStyle name="Normal 8 3 5" xfId="11396"/>
    <cellStyle name="Normal 8 3 6" xfId="11397"/>
    <cellStyle name="Normal 8 3_DeltaViewer" xfId="11398"/>
    <cellStyle name="Normal 8 4" xfId="11399"/>
    <cellStyle name="Normal 8 4 2" xfId="11400"/>
    <cellStyle name="Normal 8 4 2 2" xfId="11401"/>
    <cellStyle name="Normal 8 4 2 3" xfId="11402"/>
    <cellStyle name="Normal 8 4 2 4" xfId="11403"/>
    <cellStyle name="Normal 8 4 2 5" xfId="11404"/>
    <cellStyle name="Normal 8 4 2_DeltaViewer" xfId="11405"/>
    <cellStyle name="Normal 8 4 3" xfId="11406"/>
    <cellStyle name="Normal 8 4 4" xfId="11407"/>
    <cellStyle name="Normal 8 4 5" xfId="11408"/>
    <cellStyle name="Normal 8 4 6" xfId="11409"/>
    <cellStyle name="Normal 8 4_DeltaViewer" xfId="11410"/>
    <cellStyle name="Normal 8 5" xfId="11411"/>
    <cellStyle name="Normal 8 5 2" xfId="11412"/>
    <cellStyle name="Normal 8 5 3" xfId="11413"/>
    <cellStyle name="Normal 8 5 4" xfId="11414"/>
    <cellStyle name="Normal 8 5 5" xfId="11415"/>
    <cellStyle name="Normal 8 5_DeltaViewer" xfId="11416"/>
    <cellStyle name="Normal 8 6" xfId="11417"/>
    <cellStyle name="Normal 8 7" xfId="11418"/>
    <cellStyle name="Normal 8 8" xfId="11419"/>
    <cellStyle name="Normal 8 9" xfId="11420"/>
    <cellStyle name="Normal 8_12.05.29 AngloAmericaCCY ASW 7Y" xfId="11421"/>
    <cellStyle name="Normal 80" xfId="143"/>
    <cellStyle name="Normal 81" xfId="144"/>
    <cellStyle name="Normal 82" xfId="145"/>
    <cellStyle name="Normal 83" xfId="11422"/>
    <cellStyle name="Normal 84" xfId="11423"/>
    <cellStyle name="Normal 84 2" xfId="24045"/>
    <cellStyle name="Normal 84 2 2" xfId="29278"/>
    <cellStyle name="Normal 84 3" xfId="26766"/>
    <cellStyle name="Normal 85" xfId="11424"/>
    <cellStyle name="Normal 86" xfId="11425"/>
    <cellStyle name="Normal 87" xfId="11426"/>
    <cellStyle name="Normal 87 2" xfId="24046"/>
    <cellStyle name="Normal 87 2 2" xfId="29279"/>
    <cellStyle name="Normal 87 3" xfId="26767"/>
    <cellStyle name="Normal 88" xfId="21583"/>
    <cellStyle name="Normal 88 2" xfId="26831"/>
    <cellStyle name="Normal 89" xfId="24080"/>
    <cellStyle name="Normal 89 2" xfId="29303"/>
    <cellStyle name="Normal 9" xfId="146"/>
    <cellStyle name="Normal 9 2" xfId="169"/>
    <cellStyle name="Normal 9 2 2" xfId="11427"/>
    <cellStyle name="Normal 9 2 3" xfId="11428"/>
    <cellStyle name="Normal 9 2 4" xfId="21714"/>
    <cellStyle name="Normal 9 2 4 2" xfId="26952"/>
    <cellStyle name="Normal 9 2 5" xfId="24393"/>
    <cellStyle name="Normal 9 2_DeltaViewer" xfId="11429"/>
    <cellStyle name="Normal 9 3" xfId="11430"/>
    <cellStyle name="Normal 9 4" xfId="11431"/>
    <cellStyle name="Normal 9 5" xfId="11432"/>
    <cellStyle name="Normal 9 6" xfId="21698"/>
    <cellStyle name="Normal 9 7" xfId="24066"/>
    <cellStyle name="Normal 9 8" xfId="24374"/>
    <cellStyle name="Normal 9_DeltaViewer" xfId="11433"/>
    <cellStyle name="Normal 90" xfId="21429"/>
    <cellStyle name="Normal 91" xfId="21486"/>
    <cellStyle name="Normal 92" xfId="21573"/>
    <cellStyle name="Normal 93" xfId="21518"/>
    <cellStyle name="Normal 94" xfId="21507"/>
    <cellStyle name="Normal 95" xfId="24086"/>
    <cellStyle name="Normal 96" xfId="24090"/>
    <cellStyle name="Normal 97" xfId="24116"/>
    <cellStyle name="Normal 97 2" xfId="29321"/>
    <cellStyle name="Normal 98" xfId="24170"/>
    <cellStyle name="Normal 98 2" xfId="29363"/>
    <cellStyle name="Normal 99" xfId="24247"/>
    <cellStyle name="Normal 99 2" xfId="29416"/>
    <cellStyle name="Normal_RISK INPUT" xfId="307"/>
    <cellStyle name="Notas" xfId="11434"/>
    <cellStyle name="Notas 2" xfId="4"/>
    <cellStyle name="Notas 2 2" xfId="11435"/>
    <cellStyle name="Notas 2 2 2" xfId="11436"/>
    <cellStyle name="Notas 2 2 2 2" xfId="11437"/>
    <cellStyle name="Notas 2 2 2_DeltaViewer" xfId="11438"/>
    <cellStyle name="Notas 2 2 3" xfId="11439"/>
    <cellStyle name="Notas 2 2 3 2" xfId="11440"/>
    <cellStyle name="Notas 2 2 3_DeltaViewer" xfId="11441"/>
    <cellStyle name="Notas 2 2 4" xfId="11442"/>
    <cellStyle name="Notas 2 2_DeltaViewer" xfId="11443"/>
    <cellStyle name="Notas 2 3" xfId="11444"/>
    <cellStyle name="Notas 2 3 2" xfId="11445"/>
    <cellStyle name="Notas 2 3_DeltaViewer" xfId="11446"/>
    <cellStyle name="Notas 2 4" xfId="11447"/>
    <cellStyle name="Notas 2 4 2" xfId="11448"/>
    <cellStyle name="Notas 2 4_DeltaViewer" xfId="11449"/>
    <cellStyle name="Notas 2 5" xfId="11450"/>
    <cellStyle name="Notas 2 6" xfId="11451"/>
    <cellStyle name="Notas 2 7" xfId="11452"/>
    <cellStyle name="Notas 2_DeltaViewer" xfId="11453"/>
    <cellStyle name="Notas 3" xfId="11454"/>
    <cellStyle name="Notas 3 2" xfId="11455"/>
    <cellStyle name="Notas 3 2 2" xfId="11456"/>
    <cellStyle name="Notas 3 2 2 2" xfId="11457"/>
    <cellStyle name="Notas 3 2 2_DeltaViewer" xfId="11458"/>
    <cellStyle name="Notas 3 2 3" xfId="11459"/>
    <cellStyle name="Notas 3 2 3 2" xfId="11460"/>
    <cellStyle name="Notas 3 2 3_DeltaViewer" xfId="11461"/>
    <cellStyle name="Notas 3 2 4" xfId="11462"/>
    <cellStyle name="Notas 3 2_DeltaViewer" xfId="11463"/>
    <cellStyle name="Notas 3 3" xfId="11464"/>
    <cellStyle name="Notas 3 3 2" xfId="11465"/>
    <cellStyle name="Notas 3 3_DeltaViewer" xfId="11466"/>
    <cellStyle name="Notas 3 4" xfId="11467"/>
    <cellStyle name="Notas 3 4 2" xfId="11468"/>
    <cellStyle name="Notas 3 4_DeltaViewer" xfId="11469"/>
    <cellStyle name="Notas 3 5" xfId="11470"/>
    <cellStyle name="Notas 3 6" xfId="11471"/>
    <cellStyle name="Notas 3_DeltaViewer" xfId="11472"/>
    <cellStyle name="Notas 4" xfId="11473"/>
    <cellStyle name="Notas 4 2" xfId="11474"/>
    <cellStyle name="Notas 4 2 2" xfId="11475"/>
    <cellStyle name="Notas 4 2_DeltaViewer" xfId="11476"/>
    <cellStyle name="Notas 4 3" xfId="11477"/>
    <cellStyle name="Notas 4 3 2" xfId="11478"/>
    <cellStyle name="Notas 4 3_DeltaViewer" xfId="11479"/>
    <cellStyle name="Notas 4 4" xfId="11480"/>
    <cellStyle name="Notas 4_DeltaViewer" xfId="11481"/>
    <cellStyle name="Notas 5" xfId="11482"/>
    <cellStyle name="Notas 5 2" xfId="11483"/>
    <cellStyle name="Notas 5_DeltaViewer" xfId="11484"/>
    <cellStyle name="Notas 6" xfId="11485"/>
    <cellStyle name="Notas 6 2" xfId="11486"/>
    <cellStyle name="Notas 6_DeltaViewer" xfId="11487"/>
    <cellStyle name="Notas 7" xfId="11488"/>
    <cellStyle name="Notas 8" xfId="11489"/>
    <cellStyle name="Notas_DeltaViewer" xfId="11490"/>
    <cellStyle name="Note 10" xfId="11491"/>
    <cellStyle name="Note 10 10" xfId="11492"/>
    <cellStyle name="Note 10 2" xfId="11493"/>
    <cellStyle name="Note 10 2 2" xfId="11494"/>
    <cellStyle name="Note 10 2 2 2" xfId="11495"/>
    <cellStyle name="Note 10 2 2 3" xfId="11496"/>
    <cellStyle name="Note 10 2 2 4" xfId="11497"/>
    <cellStyle name="Note 10 2 2 5" xfId="11498"/>
    <cellStyle name="Note 10 2 2 6" xfId="11499"/>
    <cellStyle name="Note 10 2 2_DeltaViewer" xfId="11500"/>
    <cellStyle name="Note 10 2 3" xfId="11501"/>
    <cellStyle name="Note 10 2 4" xfId="11502"/>
    <cellStyle name="Note 10 2 5" xfId="11503"/>
    <cellStyle name="Note 10 2 6" xfId="11504"/>
    <cellStyle name="Note 10 2 7" xfId="11505"/>
    <cellStyle name="Note 10 2_DeltaViewer" xfId="11506"/>
    <cellStyle name="Note 10 3" xfId="11507"/>
    <cellStyle name="Note 10 3 2" xfId="11508"/>
    <cellStyle name="Note 10 3 2 2" xfId="11509"/>
    <cellStyle name="Note 10 3 2 3" xfId="11510"/>
    <cellStyle name="Note 10 3 2 4" xfId="11511"/>
    <cellStyle name="Note 10 3 2 5" xfId="11512"/>
    <cellStyle name="Note 10 3 2 6" xfId="11513"/>
    <cellStyle name="Note 10 3 2_DeltaViewer" xfId="11514"/>
    <cellStyle name="Note 10 3 3" xfId="11515"/>
    <cellStyle name="Note 10 3 4" xfId="11516"/>
    <cellStyle name="Note 10 3 5" xfId="11517"/>
    <cellStyle name="Note 10 3 6" xfId="11518"/>
    <cellStyle name="Note 10 3 7" xfId="11519"/>
    <cellStyle name="Note 10 3_DeltaViewer" xfId="11520"/>
    <cellStyle name="Note 10 4" xfId="11521"/>
    <cellStyle name="Note 10 4 2" xfId="11522"/>
    <cellStyle name="Note 10 4 2 2" xfId="11523"/>
    <cellStyle name="Note 10 4 2_DeltaViewer" xfId="11524"/>
    <cellStyle name="Note 10 4 3" xfId="11525"/>
    <cellStyle name="Note 10 4_DeltaViewer" xfId="11526"/>
    <cellStyle name="Note 10 5" xfId="11527"/>
    <cellStyle name="Note 10 5 2" xfId="11528"/>
    <cellStyle name="Note 10 5 2 2" xfId="11529"/>
    <cellStyle name="Note 10 5 2_DeltaViewer" xfId="11530"/>
    <cellStyle name="Note 10 5 3" xfId="11531"/>
    <cellStyle name="Note 10 5 4" xfId="11532"/>
    <cellStyle name="Note 10 5 5" xfId="11533"/>
    <cellStyle name="Note 10 5 6" xfId="11534"/>
    <cellStyle name="Note 10 5 7" xfId="11535"/>
    <cellStyle name="Note 10 5_DeltaViewer" xfId="11536"/>
    <cellStyle name="Note 10 6" xfId="11537"/>
    <cellStyle name="Note 10 7" xfId="11538"/>
    <cellStyle name="Note 10 8" xfId="11539"/>
    <cellStyle name="Note 10 9" xfId="11540"/>
    <cellStyle name="Note 10_DeltaViewer" xfId="11541"/>
    <cellStyle name="Note 11" xfId="11542"/>
    <cellStyle name="Note 11 10" xfId="11543"/>
    <cellStyle name="Note 11 2" xfId="11544"/>
    <cellStyle name="Note 11 2 2" xfId="11545"/>
    <cellStyle name="Note 11 2 2 2" xfId="11546"/>
    <cellStyle name="Note 11 2 2 3" xfId="11547"/>
    <cellStyle name="Note 11 2 2 4" xfId="11548"/>
    <cellStyle name="Note 11 2 2 5" xfId="11549"/>
    <cellStyle name="Note 11 2 2 6" xfId="11550"/>
    <cellStyle name="Note 11 2 2_DeltaViewer" xfId="11551"/>
    <cellStyle name="Note 11 2 3" xfId="11552"/>
    <cellStyle name="Note 11 2 4" xfId="11553"/>
    <cellStyle name="Note 11 2 5" xfId="11554"/>
    <cellStyle name="Note 11 2 6" xfId="11555"/>
    <cellStyle name="Note 11 2 7" xfId="11556"/>
    <cellStyle name="Note 11 2_DeltaViewer" xfId="11557"/>
    <cellStyle name="Note 11 3" xfId="11558"/>
    <cellStyle name="Note 11 3 2" xfId="11559"/>
    <cellStyle name="Note 11 3 2 2" xfId="11560"/>
    <cellStyle name="Note 11 3 2 3" xfId="11561"/>
    <cellStyle name="Note 11 3 2 4" xfId="11562"/>
    <cellStyle name="Note 11 3 2 5" xfId="11563"/>
    <cellStyle name="Note 11 3 2 6" xfId="11564"/>
    <cellStyle name="Note 11 3 2_DeltaViewer" xfId="11565"/>
    <cellStyle name="Note 11 3 3" xfId="11566"/>
    <cellStyle name="Note 11 3 4" xfId="11567"/>
    <cellStyle name="Note 11 3 5" xfId="11568"/>
    <cellStyle name="Note 11 3 6" xfId="11569"/>
    <cellStyle name="Note 11 3 7" xfId="11570"/>
    <cellStyle name="Note 11 3_DeltaViewer" xfId="11571"/>
    <cellStyle name="Note 11 4" xfId="11572"/>
    <cellStyle name="Note 11 4 2" xfId="11573"/>
    <cellStyle name="Note 11 4 2 2" xfId="11574"/>
    <cellStyle name="Note 11 4 2_DeltaViewer" xfId="11575"/>
    <cellStyle name="Note 11 4 3" xfId="11576"/>
    <cellStyle name="Note 11 4_DeltaViewer" xfId="11577"/>
    <cellStyle name="Note 11 5" xfId="11578"/>
    <cellStyle name="Note 11 5 2" xfId="11579"/>
    <cellStyle name="Note 11 5 2 2" xfId="11580"/>
    <cellStyle name="Note 11 5 2_DeltaViewer" xfId="11581"/>
    <cellStyle name="Note 11 5 3" xfId="11582"/>
    <cellStyle name="Note 11 5 4" xfId="11583"/>
    <cellStyle name="Note 11 5 5" xfId="11584"/>
    <cellStyle name="Note 11 5 6" xfId="11585"/>
    <cellStyle name="Note 11 5 7" xfId="11586"/>
    <cellStyle name="Note 11 5_DeltaViewer" xfId="11587"/>
    <cellStyle name="Note 11 6" xfId="11588"/>
    <cellStyle name="Note 11 7" xfId="11589"/>
    <cellStyle name="Note 11 8" xfId="11590"/>
    <cellStyle name="Note 11 9" xfId="11591"/>
    <cellStyle name="Note 11_DeltaViewer" xfId="11592"/>
    <cellStyle name="Note 12" xfId="11593"/>
    <cellStyle name="Note 12 2" xfId="11594"/>
    <cellStyle name="Note 12 2 2" xfId="11595"/>
    <cellStyle name="Note 12 2 3" xfId="11596"/>
    <cellStyle name="Note 12 2 4" xfId="11597"/>
    <cellStyle name="Note 12 2 5" xfId="11598"/>
    <cellStyle name="Note 12 2 6" xfId="11599"/>
    <cellStyle name="Note 12 2_DeltaViewer" xfId="11600"/>
    <cellStyle name="Note 12 3" xfId="11601"/>
    <cellStyle name="Note 12 4" xfId="11602"/>
    <cellStyle name="Note 12 5" xfId="11603"/>
    <cellStyle name="Note 12 6" xfId="11604"/>
    <cellStyle name="Note 12 7" xfId="11605"/>
    <cellStyle name="Note 12_DeltaViewer" xfId="11606"/>
    <cellStyle name="Note 13" xfId="11607"/>
    <cellStyle name="Note 13 2" xfId="11608"/>
    <cellStyle name="Note 13 2 2" xfId="11609"/>
    <cellStyle name="Note 13 2_DeltaViewer" xfId="11610"/>
    <cellStyle name="Note 13 3" xfId="11611"/>
    <cellStyle name="Note 13_DeltaViewer" xfId="11612"/>
    <cellStyle name="Note 14" xfId="11613"/>
    <cellStyle name="Note 14 2" xfId="11614"/>
    <cellStyle name="Note 14_DeltaViewer" xfId="11615"/>
    <cellStyle name="Note 15" xfId="11616"/>
    <cellStyle name="Note 15 2" xfId="11617"/>
    <cellStyle name="Note 15_DeltaViewer" xfId="11618"/>
    <cellStyle name="Note 16" xfId="147"/>
    <cellStyle name="Note 17" xfId="11619"/>
    <cellStyle name="Note 18" xfId="11620"/>
    <cellStyle name="Note 19" xfId="148"/>
    <cellStyle name="Note 2" xfId="2"/>
    <cellStyle name="Note 2 10" xfId="11621"/>
    <cellStyle name="Note 2 10 10" xfId="11622"/>
    <cellStyle name="Note 2 10 2" xfId="11623"/>
    <cellStyle name="Note 2 10 2 2" xfId="11624"/>
    <cellStyle name="Note 2 10 2 2 2" xfId="11625"/>
    <cellStyle name="Note 2 10 2 2 2 2" xfId="11626"/>
    <cellStyle name="Note 2 10 2 2 2 3" xfId="11627"/>
    <cellStyle name="Note 2 10 2 2 2 4" xfId="11628"/>
    <cellStyle name="Note 2 10 2 2 2 5" xfId="11629"/>
    <cellStyle name="Note 2 10 2 2 2 6" xfId="11630"/>
    <cellStyle name="Note 2 10 2 2 2_DeltaViewer" xfId="11631"/>
    <cellStyle name="Note 2 10 2 2 3" xfId="11632"/>
    <cellStyle name="Note 2 10 2 2 4" xfId="11633"/>
    <cellStyle name="Note 2 10 2 2 5" xfId="11634"/>
    <cellStyle name="Note 2 10 2 2 6" xfId="11635"/>
    <cellStyle name="Note 2 10 2 2 7" xfId="11636"/>
    <cellStyle name="Note 2 10 2 2_DeltaViewer" xfId="11637"/>
    <cellStyle name="Note 2 10 2 3" xfId="11638"/>
    <cellStyle name="Note 2 10 2 3 2" xfId="11639"/>
    <cellStyle name="Note 2 10 2 3 3" xfId="11640"/>
    <cellStyle name="Note 2 10 2 3 4" xfId="11641"/>
    <cellStyle name="Note 2 10 2 3 5" xfId="11642"/>
    <cellStyle name="Note 2 10 2 3 6" xfId="11643"/>
    <cellStyle name="Note 2 10 2 3_DeltaViewer" xfId="11644"/>
    <cellStyle name="Note 2 10 2 4" xfId="11645"/>
    <cellStyle name="Note 2 10 2 5" xfId="11646"/>
    <cellStyle name="Note 2 10 2 6" xfId="11647"/>
    <cellStyle name="Note 2 10 2 7" xfId="11648"/>
    <cellStyle name="Note 2 10 2 8" xfId="11649"/>
    <cellStyle name="Note 2 10 2_DeltaViewer" xfId="11650"/>
    <cellStyle name="Note 2 10 3" xfId="11651"/>
    <cellStyle name="Note 2 10 3 2" xfId="11652"/>
    <cellStyle name="Note 2 10 3 2 2" xfId="11653"/>
    <cellStyle name="Note 2 10 3 2 2 2" xfId="11654"/>
    <cellStyle name="Note 2 10 3 2 2 3" xfId="11655"/>
    <cellStyle name="Note 2 10 3 2 2 4" xfId="11656"/>
    <cellStyle name="Note 2 10 3 2 2 5" xfId="11657"/>
    <cellStyle name="Note 2 10 3 2 2 6" xfId="11658"/>
    <cellStyle name="Note 2 10 3 2 2_DeltaViewer" xfId="11659"/>
    <cellStyle name="Note 2 10 3 2 3" xfId="11660"/>
    <cellStyle name="Note 2 10 3 2 4" xfId="11661"/>
    <cellStyle name="Note 2 10 3 2 5" xfId="11662"/>
    <cellStyle name="Note 2 10 3 2 6" xfId="11663"/>
    <cellStyle name="Note 2 10 3 2 7" xfId="11664"/>
    <cellStyle name="Note 2 10 3 2_DeltaViewer" xfId="11665"/>
    <cellStyle name="Note 2 10 3 3" xfId="11666"/>
    <cellStyle name="Note 2 10 3 3 2" xfId="11667"/>
    <cellStyle name="Note 2 10 3 3 3" xfId="11668"/>
    <cellStyle name="Note 2 10 3 3 4" xfId="11669"/>
    <cellStyle name="Note 2 10 3 3 5" xfId="11670"/>
    <cellStyle name="Note 2 10 3 3 6" xfId="11671"/>
    <cellStyle name="Note 2 10 3 3_DeltaViewer" xfId="11672"/>
    <cellStyle name="Note 2 10 3 4" xfId="11673"/>
    <cellStyle name="Note 2 10 3 5" xfId="11674"/>
    <cellStyle name="Note 2 10 3 6" xfId="11675"/>
    <cellStyle name="Note 2 10 3 7" xfId="11676"/>
    <cellStyle name="Note 2 10 3 8" xfId="11677"/>
    <cellStyle name="Note 2 10 3_DeltaViewer" xfId="11678"/>
    <cellStyle name="Note 2 10 4" xfId="11679"/>
    <cellStyle name="Note 2 10 4 2" xfId="11680"/>
    <cellStyle name="Note 2 10 4 2 2" xfId="11681"/>
    <cellStyle name="Note 2 10 4 2 3" xfId="11682"/>
    <cellStyle name="Note 2 10 4 2 4" xfId="11683"/>
    <cellStyle name="Note 2 10 4 2 5" xfId="11684"/>
    <cellStyle name="Note 2 10 4 2 6" xfId="11685"/>
    <cellStyle name="Note 2 10 4 2_DeltaViewer" xfId="11686"/>
    <cellStyle name="Note 2 10 4 3" xfId="11687"/>
    <cellStyle name="Note 2 10 4 4" xfId="11688"/>
    <cellStyle name="Note 2 10 4 5" xfId="11689"/>
    <cellStyle name="Note 2 10 4 6" xfId="11690"/>
    <cellStyle name="Note 2 10 4 7" xfId="11691"/>
    <cellStyle name="Note 2 10 4_DeltaViewer" xfId="11692"/>
    <cellStyle name="Note 2 10 5" xfId="11693"/>
    <cellStyle name="Note 2 10 5 2" xfId="11694"/>
    <cellStyle name="Note 2 10 5 3" xfId="11695"/>
    <cellStyle name="Note 2 10 5 4" xfId="11696"/>
    <cellStyle name="Note 2 10 5 5" xfId="11697"/>
    <cellStyle name="Note 2 10 5 6" xfId="11698"/>
    <cellStyle name="Note 2 10 5_DeltaViewer" xfId="11699"/>
    <cellStyle name="Note 2 10 6" xfId="11700"/>
    <cellStyle name="Note 2 10 7" xfId="11701"/>
    <cellStyle name="Note 2 10 8" xfId="11702"/>
    <cellStyle name="Note 2 10 9" xfId="11703"/>
    <cellStyle name="Note 2 10_DeltaViewer" xfId="11704"/>
    <cellStyle name="Note 2 11" xfId="11705"/>
    <cellStyle name="Note 2 11 10" xfId="11706"/>
    <cellStyle name="Note 2 11 2" xfId="11707"/>
    <cellStyle name="Note 2 11 2 2" xfId="11708"/>
    <cellStyle name="Note 2 11 2 2 2" xfId="11709"/>
    <cellStyle name="Note 2 11 2 2 2 2" xfId="11710"/>
    <cellStyle name="Note 2 11 2 2 2 3" xfId="11711"/>
    <cellStyle name="Note 2 11 2 2 2 4" xfId="11712"/>
    <cellStyle name="Note 2 11 2 2 2 5" xfId="11713"/>
    <cellStyle name="Note 2 11 2 2 2 6" xfId="11714"/>
    <cellStyle name="Note 2 11 2 2 2_DeltaViewer" xfId="11715"/>
    <cellStyle name="Note 2 11 2 2 3" xfId="11716"/>
    <cellStyle name="Note 2 11 2 2 4" xfId="11717"/>
    <cellStyle name="Note 2 11 2 2 5" xfId="11718"/>
    <cellStyle name="Note 2 11 2 2 6" xfId="11719"/>
    <cellStyle name="Note 2 11 2 2 7" xfId="11720"/>
    <cellStyle name="Note 2 11 2 2_DeltaViewer" xfId="11721"/>
    <cellStyle name="Note 2 11 2 3" xfId="11722"/>
    <cellStyle name="Note 2 11 2 3 2" xfId="11723"/>
    <cellStyle name="Note 2 11 2 3 3" xfId="11724"/>
    <cellStyle name="Note 2 11 2 3 4" xfId="11725"/>
    <cellStyle name="Note 2 11 2 3 5" xfId="11726"/>
    <cellStyle name="Note 2 11 2 3 6" xfId="11727"/>
    <cellStyle name="Note 2 11 2 3_DeltaViewer" xfId="11728"/>
    <cellStyle name="Note 2 11 2 4" xfId="11729"/>
    <cellStyle name="Note 2 11 2 5" xfId="11730"/>
    <cellStyle name="Note 2 11 2 6" xfId="11731"/>
    <cellStyle name="Note 2 11 2 7" xfId="11732"/>
    <cellStyle name="Note 2 11 2 8" xfId="11733"/>
    <cellStyle name="Note 2 11 2_DeltaViewer" xfId="11734"/>
    <cellStyle name="Note 2 11 3" xfId="11735"/>
    <cellStyle name="Note 2 11 3 2" xfId="11736"/>
    <cellStyle name="Note 2 11 3 2 2" xfId="11737"/>
    <cellStyle name="Note 2 11 3 2 2 2" xfId="11738"/>
    <cellStyle name="Note 2 11 3 2 2 3" xfId="11739"/>
    <cellStyle name="Note 2 11 3 2 2 4" xfId="11740"/>
    <cellStyle name="Note 2 11 3 2 2 5" xfId="11741"/>
    <cellStyle name="Note 2 11 3 2 2 6" xfId="11742"/>
    <cellStyle name="Note 2 11 3 2 2_DeltaViewer" xfId="11743"/>
    <cellStyle name="Note 2 11 3 2 3" xfId="11744"/>
    <cellStyle name="Note 2 11 3 2 4" xfId="11745"/>
    <cellStyle name="Note 2 11 3 2 5" xfId="11746"/>
    <cellStyle name="Note 2 11 3 2 6" xfId="11747"/>
    <cellStyle name="Note 2 11 3 2 7" xfId="11748"/>
    <cellStyle name="Note 2 11 3 2_DeltaViewer" xfId="11749"/>
    <cellStyle name="Note 2 11 3 3" xfId="11750"/>
    <cellStyle name="Note 2 11 3 3 2" xfId="11751"/>
    <cellStyle name="Note 2 11 3 3 3" xfId="11752"/>
    <cellStyle name="Note 2 11 3 3 4" xfId="11753"/>
    <cellStyle name="Note 2 11 3 3 5" xfId="11754"/>
    <cellStyle name="Note 2 11 3 3 6" xfId="11755"/>
    <cellStyle name="Note 2 11 3 3_DeltaViewer" xfId="11756"/>
    <cellStyle name="Note 2 11 3 4" xfId="11757"/>
    <cellStyle name="Note 2 11 3 5" xfId="11758"/>
    <cellStyle name="Note 2 11 3 6" xfId="11759"/>
    <cellStyle name="Note 2 11 3 7" xfId="11760"/>
    <cellStyle name="Note 2 11 3 8" xfId="11761"/>
    <cellStyle name="Note 2 11 3_DeltaViewer" xfId="11762"/>
    <cellStyle name="Note 2 11 4" xfId="11763"/>
    <cellStyle name="Note 2 11 4 2" xfId="11764"/>
    <cellStyle name="Note 2 11 4 2 2" xfId="11765"/>
    <cellStyle name="Note 2 11 4 2 3" xfId="11766"/>
    <cellStyle name="Note 2 11 4 2 4" xfId="11767"/>
    <cellStyle name="Note 2 11 4 2 5" xfId="11768"/>
    <cellStyle name="Note 2 11 4 2 6" xfId="11769"/>
    <cellStyle name="Note 2 11 4 2_DeltaViewer" xfId="11770"/>
    <cellStyle name="Note 2 11 4 3" xfId="11771"/>
    <cellStyle name="Note 2 11 4 4" xfId="11772"/>
    <cellStyle name="Note 2 11 4 5" xfId="11773"/>
    <cellStyle name="Note 2 11 4 6" xfId="11774"/>
    <cellStyle name="Note 2 11 4 7" xfId="11775"/>
    <cellStyle name="Note 2 11 4_DeltaViewer" xfId="11776"/>
    <cellStyle name="Note 2 11 5" xfId="11777"/>
    <cellStyle name="Note 2 11 5 2" xfId="11778"/>
    <cellStyle name="Note 2 11 5 3" xfId="11779"/>
    <cellStyle name="Note 2 11 5 4" xfId="11780"/>
    <cellStyle name="Note 2 11 5 5" xfId="11781"/>
    <cellStyle name="Note 2 11 5 6" xfId="11782"/>
    <cellStyle name="Note 2 11 5_DeltaViewer" xfId="11783"/>
    <cellStyle name="Note 2 11 6" xfId="11784"/>
    <cellStyle name="Note 2 11 7" xfId="11785"/>
    <cellStyle name="Note 2 11 8" xfId="11786"/>
    <cellStyle name="Note 2 11 9" xfId="11787"/>
    <cellStyle name="Note 2 11_DeltaViewer" xfId="11788"/>
    <cellStyle name="Note 2 12" xfId="11789"/>
    <cellStyle name="Note 2 12 10" xfId="11790"/>
    <cellStyle name="Note 2 12 2" xfId="11791"/>
    <cellStyle name="Note 2 12 2 2" xfId="11792"/>
    <cellStyle name="Note 2 12 2 2 2" xfId="11793"/>
    <cellStyle name="Note 2 12 2 2 2 2" xfId="11794"/>
    <cellStyle name="Note 2 12 2 2 2 3" xfId="11795"/>
    <cellStyle name="Note 2 12 2 2 2 4" xfId="11796"/>
    <cellStyle name="Note 2 12 2 2 2 5" xfId="11797"/>
    <cellStyle name="Note 2 12 2 2 2 6" xfId="11798"/>
    <cellStyle name="Note 2 12 2 2 2_DeltaViewer" xfId="11799"/>
    <cellStyle name="Note 2 12 2 2 3" xfId="11800"/>
    <cellStyle name="Note 2 12 2 2 4" xfId="11801"/>
    <cellStyle name="Note 2 12 2 2 5" xfId="11802"/>
    <cellStyle name="Note 2 12 2 2 6" xfId="11803"/>
    <cellStyle name="Note 2 12 2 2 7" xfId="11804"/>
    <cellStyle name="Note 2 12 2 2_DeltaViewer" xfId="11805"/>
    <cellStyle name="Note 2 12 2 3" xfId="11806"/>
    <cellStyle name="Note 2 12 2 3 2" xfId="11807"/>
    <cellStyle name="Note 2 12 2 3 3" xfId="11808"/>
    <cellStyle name="Note 2 12 2 3 4" xfId="11809"/>
    <cellStyle name="Note 2 12 2 3 5" xfId="11810"/>
    <cellStyle name="Note 2 12 2 3 6" xfId="11811"/>
    <cellStyle name="Note 2 12 2 3_DeltaViewer" xfId="11812"/>
    <cellStyle name="Note 2 12 2 4" xfId="11813"/>
    <cellStyle name="Note 2 12 2 5" xfId="11814"/>
    <cellStyle name="Note 2 12 2 6" xfId="11815"/>
    <cellStyle name="Note 2 12 2 7" xfId="11816"/>
    <cellStyle name="Note 2 12 2 8" xfId="11817"/>
    <cellStyle name="Note 2 12 2_DeltaViewer" xfId="11818"/>
    <cellStyle name="Note 2 12 3" xfId="11819"/>
    <cellStyle name="Note 2 12 3 2" xfId="11820"/>
    <cellStyle name="Note 2 12 3 2 2" xfId="11821"/>
    <cellStyle name="Note 2 12 3 2 2 2" xfId="11822"/>
    <cellStyle name="Note 2 12 3 2 2 3" xfId="11823"/>
    <cellStyle name="Note 2 12 3 2 2 4" xfId="11824"/>
    <cellStyle name="Note 2 12 3 2 2 5" xfId="11825"/>
    <cellStyle name="Note 2 12 3 2 2 6" xfId="11826"/>
    <cellStyle name="Note 2 12 3 2 2_DeltaViewer" xfId="11827"/>
    <cellStyle name="Note 2 12 3 2 3" xfId="11828"/>
    <cellStyle name="Note 2 12 3 2 4" xfId="11829"/>
    <cellStyle name="Note 2 12 3 2 5" xfId="11830"/>
    <cellStyle name="Note 2 12 3 2 6" xfId="11831"/>
    <cellStyle name="Note 2 12 3 2 7" xfId="11832"/>
    <cellStyle name="Note 2 12 3 2_DeltaViewer" xfId="11833"/>
    <cellStyle name="Note 2 12 3 3" xfId="11834"/>
    <cellStyle name="Note 2 12 3 3 2" xfId="11835"/>
    <cellStyle name="Note 2 12 3 3 3" xfId="11836"/>
    <cellStyle name="Note 2 12 3 3 4" xfId="11837"/>
    <cellStyle name="Note 2 12 3 3 5" xfId="11838"/>
    <cellStyle name="Note 2 12 3 3 6" xfId="11839"/>
    <cellStyle name="Note 2 12 3 3_DeltaViewer" xfId="11840"/>
    <cellStyle name="Note 2 12 3 4" xfId="11841"/>
    <cellStyle name="Note 2 12 3 5" xfId="11842"/>
    <cellStyle name="Note 2 12 3 6" xfId="11843"/>
    <cellStyle name="Note 2 12 3 7" xfId="11844"/>
    <cellStyle name="Note 2 12 3 8" xfId="11845"/>
    <cellStyle name="Note 2 12 3_DeltaViewer" xfId="11846"/>
    <cellStyle name="Note 2 12 4" xfId="11847"/>
    <cellStyle name="Note 2 12 4 2" xfId="11848"/>
    <cellStyle name="Note 2 12 4 2 2" xfId="11849"/>
    <cellStyle name="Note 2 12 4 2 3" xfId="11850"/>
    <cellStyle name="Note 2 12 4 2 4" xfId="11851"/>
    <cellStyle name="Note 2 12 4 2 5" xfId="11852"/>
    <cellStyle name="Note 2 12 4 2 6" xfId="11853"/>
    <cellStyle name="Note 2 12 4 2_DeltaViewer" xfId="11854"/>
    <cellStyle name="Note 2 12 4 3" xfId="11855"/>
    <cellStyle name="Note 2 12 4 4" xfId="11856"/>
    <cellStyle name="Note 2 12 4 5" xfId="11857"/>
    <cellStyle name="Note 2 12 4 6" xfId="11858"/>
    <cellStyle name="Note 2 12 4 7" xfId="11859"/>
    <cellStyle name="Note 2 12 4_DeltaViewer" xfId="11860"/>
    <cellStyle name="Note 2 12 5" xfId="11861"/>
    <cellStyle name="Note 2 12 5 2" xfId="11862"/>
    <cellStyle name="Note 2 12 5 3" xfId="11863"/>
    <cellStyle name="Note 2 12 5 4" xfId="11864"/>
    <cellStyle name="Note 2 12 5 5" xfId="11865"/>
    <cellStyle name="Note 2 12 5 6" xfId="11866"/>
    <cellStyle name="Note 2 12 5_DeltaViewer" xfId="11867"/>
    <cellStyle name="Note 2 12 6" xfId="11868"/>
    <cellStyle name="Note 2 12 7" xfId="11869"/>
    <cellStyle name="Note 2 12 8" xfId="11870"/>
    <cellStyle name="Note 2 12 9" xfId="11871"/>
    <cellStyle name="Note 2 12_DeltaViewer" xfId="11872"/>
    <cellStyle name="Note 2 13" xfId="11873"/>
    <cellStyle name="Note 2 13 10" xfId="11874"/>
    <cellStyle name="Note 2 13 2" xfId="11875"/>
    <cellStyle name="Note 2 13 2 2" xfId="11876"/>
    <cellStyle name="Note 2 13 2 2 2" xfId="11877"/>
    <cellStyle name="Note 2 13 2 2 2 2" xfId="11878"/>
    <cellStyle name="Note 2 13 2 2 2 3" xfId="11879"/>
    <cellStyle name="Note 2 13 2 2 2 4" xfId="11880"/>
    <cellStyle name="Note 2 13 2 2 2 5" xfId="11881"/>
    <cellStyle name="Note 2 13 2 2 2 6" xfId="11882"/>
    <cellStyle name="Note 2 13 2 2 2_DeltaViewer" xfId="11883"/>
    <cellStyle name="Note 2 13 2 2 3" xfId="11884"/>
    <cellStyle name="Note 2 13 2 2 4" xfId="11885"/>
    <cellStyle name="Note 2 13 2 2 5" xfId="11886"/>
    <cellStyle name="Note 2 13 2 2 6" xfId="11887"/>
    <cellStyle name="Note 2 13 2 2 7" xfId="11888"/>
    <cellStyle name="Note 2 13 2 2_DeltaViewer" xfId="11889"/>
    <cellStyle name="Note 2 13 2 3" xfId="11890"/>
    <cellStyle name="Note 2 13 2 3 2" xfId="11891"/>
    <cellStyle name="Note 2 13 2 3 3" xfId="11892"/>
    <cellStyle name="Note 2 13 2 3 4" xfId="11893"/>
    <cellStyle name="Note 2 13 2 3 5" xfId="11894"/>
    <cellStyle name="Note 2 13 2 3 6" xfId="11895"/>
    <cellStyle name="Note 2 13 2 3_DeltaViewer" xfId="11896"/>
    <cellStyle name="Note 2 13 2 4" xfId="11897"/>
    <cellStyle name="Note 2 13 2 5" xfId="11898"/>
    <cellStyle name="Note 2 13 2 6" xfId="11899"/>
    <cellStyle name="Note 2 13 2 7" xfId="11900"/>
    <cellStyle name="Note 2 13 2 8" xfId="11901"/>
    <cellStyle name="Note 2 13 2_DeltaViewer" xfId="11902"/>
    <cellStyle name="Note 2 13 3" xfId="11903"/>
    <cellStyle name="Note 2 13 3 2" xfId="11904"/>
    <cellStyle name="Note 2 13 3 2 2" xfId="11905"/>
    <cellStyle name="Note 2 13 3 2 2 2" xfId="11906"/>
    <cellStyle name="Note 2 13 3 2 2 3" xfId="11907"/>
    <cellStyle name="Note 2 13 3 2 2 4" xfId="11908"/>
    <cellStyle name="Note 2 13 3 2 2 5" xfId="11909"/>
    <cellStyle name="Note 2 13 3 2 2 6" xfId="11910"/>
    <cellStyle name="Note 2 13 3 2 2_DeltaViewer" xfId="11911"/>
    <cellStyle name="Note 2 13 3 2 3" xfId="11912"/>
    <cellStyle name="Note 2 13 3 2 4" xfId="11913"/>
    <cellStyle name="Note 2 13 3 2 5" xfId="11914"/>
    <cellStyle name="Note 2 13 3 2 6" xfId="11915"/>
    <cellStyle name="Note 2 13 3 2 7" xfId="11916"/>
    <cellStyle name="Note 2 13 3 2_DeltaViewer" xfId="11917"/>
    <cellStyle name="Note 2 13 3 3" xfId="11918"/>
    <cellStyle name="Note 2 13 3 3 2" xfId="11919"/>
    <cellStyle name="Note 2 13 3 3 3" xfId="11920"/>
    <cellStyle name="Note 2 13 3 3 4" xfId="11921"/>
    <cellStyle name="Note 2 13 3 3 5" xfId="11922"/>
    <cellStyle name="Note 2 13 3 3 6" xfId="11923"/>
    <cellStyle name="Note 2 13 3 3_DeltaViewer" xfId="11924"/>
    <cellStyle name="Note 2 13 3 4" xfId="11925"/>
    <cellStyle name="Note 2 13 3 5" xfId="11926"/>
    <cellStyle name="Note 2 13 3 6" xfId="11927"/>
    <cellStyle name="Note 2 13 3 7" xfId="11928"/>
    <cellStyle name="Note 2 13 3 8" xfId="11929"/>
    <cellStyle name="Note 2 13 3_DeltaViewer" xfId="11930"/>
    <cellStyle name="Note 2 13 4" xfId="11931"/>
    <cellStyle name="Note 2 13 4 2" xfId="11932"/>
    <cellStyle name="Note 2 13 4 2 2" xfId="11933"/>
    <cellStyle name="Note 2 13 4 2 3" xfId="11934"/>
    <cellStyle name="Note 2 13 4 2 4" xfId="11935"/>
    <cellStyle name="Note 2 13 4 2 5" xfId="11936"/>
    <cellStyle name="Note 2 13 4 2 6" xfId="11937"/>
    <cellStyle name="Note 2 13 4 2_DeltaViewer" xfId="11938"/>
    <cellStyle name="Note 2 13 4 3" xfId="11939"/>
    <cellStyle name="Note 2 13 4 4" xfId="11940"/>
    <cellStyle name="Note 2 13 4 5" xfId="11941"/>
    <cellStyle name="Note 2 13 4 6" xfId="11942"/>
    <cellStyle name="Note 2 13 4 7" xfId="11943"/>
    <cellStyle name="Note 2 13 4_DeltaViewer" xfId="11944"/>
    <cellStyle name="Note 2 13 5" xfId="11945"/>
    <cellStyle name="Note 2 13 5 2" xfId="11946"/>
    <cellStyle name="Note 2 13 5 3" xfId="11947"/>
    <cellStyle name="Note 2 13 5 4" xfId="11948"/>
    <cellStyle name="Note 2 13 5 5" xfId="11949"/>
    <cellStyle name="Note 2 13 5 6" xfId="11950"/>
    <cellStyle name="Note 2 13 5_DeltaViewer" xfId="11951"/>
    <cellStyle name="Note 2 13 6" xfId="11952"/>
    <cellStyle name="Note 2 13 7" xfId="11953"/>
    <cellStyle name="Note 2 13 8" xfId="11954"/>
    <cellStyle name="Note 2 13 9" xfId="11955"/>
    <cellStyle name="Note 2 13_DeltaViewer" xfId="11956"/>
    <cellStyle name="Note 2 14" xfId="11957"/>
    <cellStyle name="Note 2 14 10" xfId="11958"/>
    <cellStyle name="Note 2 14 2" xfId="11959"/>
    <cellStyle name="Note 2 14 2 2" xfId="11960"/>
    <cellStyle name="Note 2 14 2 2 2" xfId="11961"/>
    <cellStyle name="Note 2 14 2 2 2 2" xfId="11962"/>
    <cellStyle name="Note 2 14 2 2 2 3" xfId="11963"/>
    <cellStyle name="Note 2 14 2 2 2 4" xfId="11964"/>
    <cellStyle name="Note 2 14 2 2 2 5" xfId="11965"/>
    <cellStyle name="Note 2 14 2 2 2 6" xfId="11966"/>
    <cellStyle name="Note 2 14 2 2 2_DeltaViewer" xfId="11967"/>
    <cellStyle name="Note 2 14 2 2 3" xfId="11968"/>
    <cellStyle name="Note 2 14 2 2 4" xfId="11969"/>
    <cellStyle name="Note 2 14 2 2 5" xfId="11970"/>
    <cellStyle name="Note 2 14 2 2 6" xfId="11971"/>
    <cellStyle name="Note 2 14 2 2 7" xfId="11972"/>
    <cellStyle name="Note 2 14 2 2_DeltaViewer" xfId="11973"/>
    <cellStyle name="Note 2 14 2 3" xfId="11974"/>
    <cellStyle name="Note 2 14 2 3 2" xfId="11975"/>
    <cellStyle name="Note 2 14 2 3 3" xfId="11976"/>
    <cellStyle name="Note 2 14 2 3 4" xfId="11977"/>
    <cellStyle name="Note 2 14 2 3 5" xfId="11978"/>
    <cellStyle name="Note 2 14 2 3 6" xfId="11979"/>
    <cellStyle name="Note 2 14 2 3_DeltaViewer" xfId="11980"/>
    <cellStyle name="Note 2 14 2 4" xfId="11981"/>
    <cellStyle name="Note 2 14 2 5" xfId="11982"/>
    <cellStyle name="Note 2 14 2 6" xfId="11983"/>
    <cellStyle name="Note 2 14 2 7" xfId="11984"/>
    <cellStyle name="Note 2 14 2 8" xfId="11985"/>
    <cellStyle name="Note 2 14 2_DeltaViewer" xfId="11986"/>
    <cellStyle name="Note 2 14 3" xfId="11987"/>
    <cellStyle name="Note 2 14 3 2" xfId="11988"/>
    <cellStyle name="Note 2 14 3 2 2" xfId="11989"/>
    <cellStyle name="Note 2 14 3 2 2 2" xfId="11990"/>
    <cellStyle name="Note 2 14 3 2 2 3" xfId="11991"/>
    <cellStyle name="Note 2 14 3 2 2 4" xfId="11992"/>
    <cellStyle name="Note 2 14 3 2 2 5" xfId="11993"/>
    <cellStyle name="Note 2 14 3 2 2 6" xfId="11994"/>
    <cellStyle name="Note 2 14 3 2 2_DeltaViewer" xfId="11995"/>
    <cellStyle name="Note 2 14 3 2 3" xfId="11996"/>
    <cellStyle name="Note 2 14 3 2 4" xfId="11997"/>
    <cellStyle name="Note 2 14 3 2 5" xfId="11998"/>
    <cellStyle name="Note 2 14 3 2 6" xfId="11999"/>
    <cellStyle name="Note 2 14 3 2 7" xfId="12000"/>
    <cellStyle name="Note 2 14 3 2_DeltaViewer" xfId="12001"/>
    <cellStyle name="Note 2 14 3 3" xfId="12002"/>
    <cellStyle name="Note 2 14 3 3 2" xfId="12003"/>
    <cellStyle name="Note 2 14 3 3 3" xfId="12004"/>
    <cellStyle name="Note 2 14 3 3 4" xfId="12005"/>
    <cellStyle name="Note 2 14 3 3 5" xfId="12006"/>
    <cellStyle name="Note 2 14 3 3 6" xfId="12007"/>
    <cellStyle name="Note 2 14 3 3_DeltaViewer" xfId="12008"/>
    <cellStyle name="Note 2 14 3 4" xfId="12009"/>
    <cellStyle name="Note 2 14 3 5" xfId="12010"/>
    <cellStyle name="Note 2 14 3 6" xfId="12011"/>
    <cellStyle name="Note 2 14 3 7" xfId="12012"/>
    <cellStyle name="Note 2 14 3 8" xfId="12013"/>
    <cellStyle name="Note 2 14 3_DeltaViewer" xfId="12014"/>
    <cellStyle name="Note 2 14 4" xfId="12015"/>
    <cellStyle name="Note 2 14 4 2" xfId="12016"/>
    <cellStyle name="Note 2 14 4 2 2" xfId="12017"/>
    <cellStyle name="Note 2 14 4 2 3" xfId="12018"/>
    <cellStyle name="Note 2 14 4 2 4" xfId="12019"/>
    <cellStyle name="Note 2 14 4 2 5" xfId="12020"/>
    <cellStyle name="Note 2 14 4 2 6" xfId="12021"/>
    <cellStyle name="Note 2 14 4 2_DeltaViewer" xfId="12022"/>
    <cellStyle name="Note 2 14 4 3" xfId="12023"/>
    <cellStyle name="Note 2 14 4 4" xfId="12024"/>
    <cellStyle name="Note 2 14 4 5" xfId="12025"/>
    <cellStyle name="Note 2 14 4 6" xfId="12026"/>
    <cellStyle name="Note 2 14 4 7" xfId="12027"/>
    <cellStyle name="Note 2 14 4_DeltaViewer" xfId="12028"/>
    <cellStyle name="Note 2 14 5" xfId="12029"/>
    <cellStyle name="Note 2 14 5 2" xfId="12030"/>
    <cellStyle name="Note 2 14 5 3" xfId="12031"/>
    <cellStyle name="Note 2 14 5 4" xfId="12032"/>
    <cellStyle name="Note 2 14 5 5" xfId="12033"/>
    <cellStyle name="Note 2 14 5 6" xfId="12034"/>
    <cellStyle name="Note 2 14 5_DeltaViewer" xfId="12035"/>
    <cellStyle name="Note 2 14 6" xfId="12036"/>
    <cellStyle name="Note 2 14 7" xfId="12037"/>
    <cellStyle name="Note 2 14 8" xfId="12038"/>
    <cellStyle name="Note 2 14 9" xfId="12039"/>
    <cellStyle name="Note 2 14_DeltaViewer" xfId="12040"/>
    <cellStyle name="Note 2 15" xfId="12041"/>
    <cellStyle name="Note 2 15 2" xfId="12042"/>
    <cellStyle name="Note 2 15 2 2" xfId="12043"/>
    <cellStyle name="Note 2 15 2 2 2" xfId="12044"/>
    <cellStyle name="Note 2 15 2 2 3" xfId="12045"/>
    <cellStyle name="Note 2 15 2 2 4" xfId="12046"/>
    <cellStyle name="Note 2 15 2 2 5" xfId="12047"/>
    <cellStyle name="Note 2 15 2 2 6" xfId="12048"/>
    <cellStyle name="Note 2 15 2 2_DeltaViewer" xfId="12049"/>
    <cellStyle name="Note 2 15 2 3" xfId="12050"/>
    <cellStyle name="Note 2 15 2 4" xfId="12051"/>
    <cellStyle name="Note 2 15 2 5" xfId="12052"/>
    <cellStyle name="Note 2 15 2 6" xfId="12053"/>
    <cellStyle name="Note 2 15 2 7" xfId="12054"/>
    <cellStyle name="Note 2 15 2_DeltaViewer" xfId="12055"/>
    <cellStyle name="Note 2 15 3" xfId="12056"/>
    <cellStyle name="Note 2 15 3 2" xfId="12057"/>
    <cellStyle name="Note 2 15 3 3" xfId="12058"/>
    <cellStyle name="Note 2 15 3 4" xfId="12059"/>
    <cellStyle name="Note 2 15 3 5" xfId="12060"/>
    <cellStyle name="Note 2 15 3 6" xfId="12061"/>
    <cellStyle name="Note 2 15 3_DeltaViewer" xfId="12062"/>
    <cellStyle name="Note 2 15 4" xfId="12063"/>
    <cellStyle name="Note 2 15 5" xfId="12064"/>
    <cellStyle name="Note 2 15 6" xfId="12065"/>
    <cellStyle name="Note 2 15 7" xfId="12066"/>
    <cellStyle name="Note 2 15 8" xfId="12067"/>
    <cellStyle name="Note 2 15_DeltaViewer" xfId="12068"/>
    <cellStyle name="Note 2 16" xfId="12069"/>
    <cellStyle name="Note 2 16 2" xfId="12070"/>
    <cellStyle name="Note 2 16 2 2" xfId="12071"/>
    <cellStyle name="Note 2 16 2 2 2" xfId="12072"/>
    <cellStyle name="Note 2 16 2 2 3" xfId="12073"/>
    <cellStyle name="Note 2 16 2 2 4" xfId="12074"/>
    <cellStyle name="Note 2 16 2 2 5" xfId="12075"/>
    <cellStyle name="Note 2 16 2 2 6" xfId="12076"/>
    <cellStyle name="Note 2 16 2 2_DeltaViewer" xfId="12077"/>
    <cellStyle name="Note 2 16 2 3" xfId="12078"/>
    <cellStyle name="Note 2 16 2 4" xfId="12079"/>
    <cellStyle name="Note 2 16 2 5" xfId="12080"/>
    <cellStyle name="Note 2 16 2 6" xfId="12081"/>
    <cellStyle name="Note 2 16 2 7" xfId="12082"/>
    <cellStyle name="Note 2 16 2_DeltaViewer" xfId="12083"/>
    <cellStyle name="Note 2 16 3" xfId="12084"/>
    <cellStyle name="Note 2 16 3 2" xfId="12085"/>
    <cellStyle name="Note 2 16 3 3" xfId="12086"/>
    <cellStyle name="Note 2 16 3 4" xfId="12087"/>
    <cellStyle name="Note 2 16 3 5" xfId="12088"/>
    <cellStyle name="Note 2 16 3 6" xfId="12089"/>
    <cellStyle name="Note 2 16 3_DeltaViewer" xfId="12090"/>
    <cellStyle name="Note 2 16 4" xfId="12091"/>
    <cellStyle name="Note 2 16 5" xfId="12092"/>
    <cellStyle name="Note 2 16 6" xfId="12093"/>
    <cellStyle name="Note 2 16 7" xfId="12094"/>
    <cellStyle name="Note 2 16 8" xfId="12095"/>
    <cellStyle name="Note 2 16_DeltaViewer" xfId="12096"/>
    <cellStyle name="Note 2 17" xfId="12097"/>
    <cellStyle name="Note 2 17 2" xfId="12098"/>
    <cellStyle name="Note 2 17 2 2" xfId="12099"/>
    <cellStyle name="Note 2 17 2 3" xfId="12100"/>
    <cellStyle name="Note 2 17 2 4" xfId="12101"/>
    <cellStyle name="Note 2 17 2 5" xfId="12102"/>
    <cellStyle name="Note 2 17 2 6" xfId="12103"/>
    <cellStyle name="Note 2 17 2_DeltaViewer" xfId="12104"/>
    <cellStyle name="Note 2 17 3" xfId="12105"/>
    <cellStyle name="Note 2 17 4" xfId="12106"/>
    <cellStyle name="Note 2 17 5" xfId="12107"/>
    <cellStyle name="Note 2 17 6" xfId="12108"/>
    <cellStyle name="Note 2 17 7" xfId="12109"/>
    <cellStyle name="Note 2 17_DeltaViewer" xfId="12110"/>
    <cellStyle name="Note 2 18" xfId="12111"/>
    <cellStyle name="Note 2 18 2" xfId="12112"/>
    <cellStyle name="Note 2 18 2 2" xfId="12113"/>
    <cellStyle name="Note 2 18 2 2 2" xfId="12114"/>
    <cellStyle name="Note 2 18 2 2 3" xfId="12115"/>
    <cellStyle name="Note 2 18 2 2 4" xfId="12116"/>
    <cellStyle name="Note 2 18 2 2 5" xfId="12117"/>
    <cellStyle name="Note 2 18 2 2 6" xfId="12118"/>
    <cellStyle name="Note 2 18 2 2_DeltaViewer" xfId="12119"/>
    <cellStyle name="Note 2 18 2 3" xfId="12120"/>
    <cellStyle name="Note 2 18 2 4" xfId="12121"/>
    <cellStyle name="Note 2 18 2 5" xfId="12122"/>
    <cellStyle name="Note 2 18 2 6" xfId="12123"/>
    <cellStyle name="Note 2 18 2 7" xfId="12124"/>
    <cellStyle name="Note 2 18 2_DeltaViewer" xfId="12125"/>
    <cellStyle name="Note 2 18 3" xfId="12126"/>
    <cellStyle name="Note 2 18 3 2" xfId="12127"/>
    <cellStyle name="Note 2 18 3 3" xfId="12128"/>
    <cellStyle name="Note 2 18 3 4" xfId="12129"/>
    <cellStyle name="Note 2 18 3 5" xfId="12130"/>
    <cellStyle name="Note 2 18 3 6" xfId="12131"/>
    <cellStyle name="Note 2 18 3_DeltaViewer" xfId="12132"/>
    <cellStyle name="Note 2 18 4" xfId="12133"/>
    <cellStyle name="Note 2 18 5" xfId="12134"/>
    <cellStyle name="Note 2 18 6" xfId="12135"/>
    <cellStyle name="Note 2 18 7" xfId="12136"/>
    <cellStyle name="Note 2 18 8" xfId="12137"/>
    <cellStyle name="Note 2 18_DeltaViewer" xfId="12138"/>
    <cellStyle name="Note 2 19" xfId="12139"/>
    <cellStyle name="Note 2 19 2" xfId="12140"/>
    <cellStyle name="Note 2 19 2 2" xfId="12141"/>
    <cellStyle name="Note 2 19 2 2 2" xfId="12142"/>
    <cellStyle name="Note 2 19 2 2 3" xfId="12143"/>
    <cellStyle name="Note 2 19 2 2 4" xfId="12144"/>
    <cellStyle name="Note 2 19 2 2 5" xfId="12145"/>
    <cellStyle name="Note 2 19 2 2 6" xfId="12146"/>
    <cellStyle name="Note 2 19 2 2_DeltaViewer" xfId="12147"/>
    <cellStyle name="Note 2 19 2 3" xfId="12148"/>
    <cellStyle name="Note 2 19 2 4" xfId="12149"/>
    <cellStyle name="Note 2 19 2 5" xfId="12150"/>
    <cellStyle name="Note 2 19 2 6" xfId="12151"/>
    <cellStyle name="Note 2 19 2 7" xfId="12152"/>
    <cellStyle name="Note 2 19 2_DeltaViewer" xfId="12153"/>
    <cellStyle name="Note 2 19 3" xfId="12154"/>
    <cellStyle name="Note 2 19 3 2" xfId="12155"/>
    <cellStyle name="Note 2 19 3 3" xfId="12156"/>
    <cellStyle name="Note 2 19 3 4" xfId="12157"/>
    <cellStyle name="Note 2 19 3 5" xfId="12158"/>
    <cellStyle name="Note 2 19 3 6" xfId="12159"/>
    <cellStyle name="Note 2 19 3_DeltaViewer" xfId="12160"/>
    <cellStyle name="Note 2 19 4" xfId="12161"/>
    <cellStyle name="Note 2 19 5" xfId="12162"/>
    <cellStyle name="Note 2 19 6" xfId="12163"/>
    <cellStyle name="Note 2 19 7" xfId="12164"/>
    <cellStyle name="Note 2 19 8" xfId="12165"/>
    <cellStyle name="Note 2 19_DeltaViewer" xfId="12166"/>
    <cellStyle name="Note 2 2" xfId="12167"/>
    <cellStyle name="Note 2 2 10" xfId="12168"/>
    <cellStyle name="Note 2 2 11" xfId="12169"/>
    <cellStyle name="Note 2 2 12" xfId="12170"/>
    <cellStyle name="Note 2 2 2" xfId="12171"/>
    <cellStyle name="Note 2 2 2 2" xfId="12172"/>
    <cellStyle name="Note 2 2 2 2 2" xfId="12173"/>
    <cellStyle name="Note 2 2 2 2 2 2" xfId="12174"/>
    <cellStyle name="Note 2 2 2 2 2 3" xfId="12175"/>
    <cellStyle name="Note 2 2 2 2 2 4" xfId="12176"/>
    <cellStyle name="Note 2 2 2 2 2 5" xfId="12177"/>
    <cellStyle name="Note 2 2 2 2 2 6" xfId="12178"/>
    <cellStyle name="Note 2 2 2 2 2_DeltaViewer" xfId="12179"/>
    <cellStyle name="Note 2 2 2 2 3" xfId="12180"/>
    <cellStyle name="Note 2 2 2 2 4" xfId="12181"/>
    <cellStyle name="Note 2 2 2 2 5" xfId="12182"/>
    <cellStyle name="Note 2 2 2 2 6" xfId="12183"/>
    <cellStyle name="Note 2 2 2 2 7" xfId="12184"/>
    <cellStyle name="Note 2 2 2 2_DeltaViewer" xfId="12185"/>
    <cellStyle name="Note 2 2 2 3" xfId="12186"/>
    <cellStyle name="Note 2 2 2 3 2" xfId="12187"/>
    <cellStyle name="Note 2 2 2 3 2 2" xfId="12188"/>
    <cellStyle name="Note 2 2 2 3 2 3" xfId="12189"/>
    <cellStyle name="Note 2 2 2 3 2 4" xfId="12190"/>
    <cellStyle name="Note 2 2 2 3 2 5" xfId="12191"/>
    <cellStyle name="Note 2 2 2 3 2 6" xfId="12192"/>
    <cellStyle name="Note 2 2 2 3 2_DeltaViewer" xfId="12193"/>
    <cellStyle name="Note 2 2 2 3 3" xfId="12194"/>
    <cellStyle name="Note 2 2 2 3 4" xfId="12195"/>
    <cellStyle name="Note 2 2 2 3 5" xfId="12196"/>
    <cellStyle name="Note 2 2 2 3 6" xfId="12197"/>
    <cellStyle name="Note 2 2 2 3 7" xfId="12198"/>
    <cellStyle name="Note 2 2 2 3_DeltaViewer" xfId="12199"/>
    <cellStyle name="Note 2 2 2 4" xfId="12200"/>
    <cellStyle name="Note 2 2 2 4 2" xfId="12201"/>
    <cellStyle name="Note 2 2 2 4 3" xfId="12202"/>
    <cellStyle name="Note 2 2 2 4 4" xfId="12203"/>
    <cellStyle name="Note 2 2 2 4 5" xfId="12204"/>
    <cellStyle name="Note 2 2 2 4 6" xfId="12205"/>
    <cellStyle name="Note 2 2 2 4_DeltaViewer" xfId="12206"/>
    <cellStyle name="Note 2 2 2 5" xfId="12207"/>
    <cellStyle name="Note 2 2 2 6" xfId="12208"/>
    <cellStyle name="Note 2 2 2 7" xfId="12209"/>
    <cellStyle name="Note 2 2 2 8" xfId="12210"/>
    <cellStyle name="Note 2 2 2 9" xfId="12211"/>
    <cellStyle name="Note 2 2 2_DeltaViewer" xfId="12212"/>
    <cellStyle name="Note 2 2 3" xfId="12213"/>
    <cellStyle name="Note 2 2 3 2" xfId="12214"/>
    <cellStyle name="Note 2 2 3 2 2" xfId="12215"/>
    <cellStyle name="Note 2 2 3 2 2 2" xfId="12216"/>
    <cellStyle name="Note 2 2 3 2 2 3" xfId="12217"/>
    <cellStyle name="Note 2 2 3 2 2 4" xfId="12218"/>
    <cellStyle name="Note 2 2 3 2 2 5" xfId="12219"/>
    <cellStyle name="Note 2 2 3 2 2 6" xfId="12220"/>
    <cellStyle name="Note 2 2 3 2 2_DeltaViewer" xfId="12221"/>
    <cellStyle name="Note 2 2 3 2 3" xfId="12222"/>
    <cellStyle name="Note 2 2 3 2 4" xfId="12223"/>
    <cellStyle name="Note 2 2 3 2 5" xfId="12224"/>
    <cellStyle name="Note 2 2 3 2 6" xfId="12225"/>
    <cellStyle name="Note 2 2 3 2 7" xfId="12226"/>
    <cellStyle name="Note 2 2 3 2_DeltaViewer" xfId="12227"/>
    <cellStyle name="Note 2 2 3 3" xfId="12228"/>
    <cellStyle name="Note 2 2 3 3 2" xfId="12229"/>
    <cellStyle name="Note 2 2 3 3 3" xfId="12230"/>
    <cellStyle name="Note 2 2 3 3 4" xfId="12231"/>
    <cellStyle name="Note 2 2 3 3 5" xfId="12232"/>
    <cellStyle name="Note 2 2 3 3 6" xfId="12233"/>
    <cellStyle name="Note 2 2 3 3_DeltaViewer" xfId="12234"/>
    <cellStyle name="Note 2 2 3 4" xfId="12235"/>
    <cellStyle name="Note 2 2 3 5" xfId="12236"/>
    <cellStyle name="Note 2 2 3 6" xfId="12237"/>
    <cellStyle name="Note 2 2 3 7" xfId="12238"/>
    <cellStyle name="Note 2 2 3 8" xfId="12239"/>
    <cellStyle name="Note 2 2 3_DeltaViewer" xfId="12240"/>
    <cellStyle name="Note 2 2 4" xfId="12241"/>
    <cellStyle name="Note 2 2 4 2" xfId="12242"/>
    <cellStyle name="Note 2 2 4 2 2" xfId="12243"/>
    <cellStyle name="Note 2 2 4 2 3" xfId="12244"/>
    <cellStyle name="Note 2 2 4 2 4" xfId="12245"/>
    <cellStyle name="Note 2 2 4 2 5" xfId="12246"/>
    <cellStyle name="Note 2 2 4 2 6" xfId="12247"/>
    <cellStyle name="Note 2 2 4 2_DeltaViewer" xfId="12248"/>
    <cellStyle name="Note 2 2 4 3" xfId="12249"/>
    <cellStyle name="Note 2 2 4 4" xfId="12250"/>
    <cellStyle name="Note 2 2 4 5" xfId="12251"/>
    <cellStyle name="Note 2 2 4 6" xfId="12252"/>
    <cellStyle name="Note 2 2 4 7" xfId="12253"/>
    <cellStyle name="Note 2 2 4_DeltaViewer" xfId="12254"/>
    <cellStyle name="Note 2 2 5" xfId="12255"/>
    <cellStyle name="Note 2 2 5 2" xfId="12256"/>
    <cellStyle name="Note 2 2 5 2 2" xfId="12257"/>
    <cellStyle name="Note 2 2 5 2 3" xfId="12258"/>
    <cellStyle name="Note 2 2 5 2 4" xfId="12259"/>
    <cellStyle name="Note 2 2 5 2 5" xfId="12260"/>
    <cellStyle name="Note 2 2 5 2 6" xfId="12261"/>
    <cellStyle name="Note 2 2 5 2_DeltaViewer" xfId="12262"/>
    <cellStyle name="Note 2 2 5 3" xfId="12263"/>
    <cellStyle name="Note 2 2 5 4" xfId="12264"/>
    <cellStyle name="Note 2 2 5 5" xfId="12265"/>
    <cellStyle name="Note 2 2 5 6" xfId="12266"/>
    <cellStyle name="Note 2 2 5 7" xfId="12267"/>
    <cellStyle name="Note 2 2 5_DeltaViewer" xfId="12268"/>
    <cellStyle name="Note 2 2 6" xfId="12269"/>
    <cellStyle name="Note 2 2 6 2" xfId="12270"/>
    <cellStyle name="Note 2 2 6 3" xfId="12271"/>
    <cellStyle name="Note 2 2 6 4" xfId="12272"/>
    <cellStyle name="Note 2 2 6 5" xfId="12273"/>
    <cellStyle name="Note 2 2 6 6" xfId="12274"/>
    <cellStyle name="Note 2 2 6_DeltaViewer" xfId="12275"/>
    <cellStyle name="Note 2 2 7" xfId="12276"/>
    <cellStyle name="Note 2 2 8" xfId="12277"/>
    <cellStyle name="Note 2 2 9" xfId="12278"/>
    <cellStyle name="Note 2 2_DeltaViewer" xfId="12279"/>
    <cellStyle name="Note 2 20" xfId="12280"/>
    <cellStyle name="Note 2 20 2" xfId="12281"/>
    <cellStyle name="Note 2 20 2 2" xfId="12282"/>
    <cellStyle name="Note 2 20 2 2 2" xfId="12283"/>
    <cellStyle name="Note 2 20 2 2 3" xfId="12284"/>
    <cellStyle name="Note 2 20 2 2 4" xfId="12285"/>
    <cellStyle name="Note 2 20 2 2 5" xfId="12286"/>
    <cellStyle name="Note 2 20 2 2 6" xfId="12287"/>
    <cellStyle name="Note 2 20 2 2_DeltaViewer" xfId="12288"/>
    <cellStyle name="Note 2 20 2 3" xfId="12289"/>
    <cellStyle name="Note 2 20 2 4" xfId="12290"/>
    <cellStyle name="Note 2 20 2 5" xfId="12291"/>
    <cellStyle name="Note 2 20 2 6" xfId="12292"/>
    <cellStyle name="Note 2 20 2 7" xfId="12293"/>
    <cellStyle name="Note 2 20 2_DeltaViewer" xfId="12294"/>
    <cellStyle name="Note 2 20 3" xfId="12295"/>
    <cellStyle name="Note 2 20 3 2" xfId="12296"/>
    <cellStyle name="Note 2 20 3 3" xfId="12297"/>
    <cellStyle name="Note 2 20 3 4" xfId="12298"/>
    <cellStyle name="Note 2 20 3 5" xfId="12299"/>
    <cellStyle name="Note 2 20 3 6" xfId="12300"/>
    <cellStyle name="Note 2 20 3_DeltaViewer" xfId="12301"/>
    <cellStyle name="Note 2 20 4" xfId="12302"/>
    <cellStyle name="Note 2 20 5" xfId="12303"/>
    <cellStyle name="Note 2 20 6" xfId="12304"/>
    <cellStyle name="Note 2 20 7" xfId="12305"/>
    <cellStyle name="Note 2 20 8" xfId="12306"/>
    <cellStyle name="Note 2 20_DeltaViewer" xfId="12307"/>
    <cellStyle name="Note 2 21" xfId="12308"/>
    <cellStyle name="Note 2 21 2" xfId="12309"/>
    <cellStyle name="Note 2 21 2 2" xfId="12310"/>
    <cellStyle name="Note 2 21 2 3" xfId="12311"/>
    <cellStyle name="Note 2 21 2 4" xfId="12312"/>
    <cellStyle name="Note 2 21 2 5" xfId="12313"/>
    <cellStyle name="Note 2 21 2 6" xfId="12314"/>
    <cellStyle name="Note 2 21 2_DeltaViewer" xfId="12315"/>
    <cellStyle name="Note 2 21 3" xfId="12316"/>
    <cellStyle name="Note 2 21 4" xfId="12317"/>
    <cellStyle name="Note 2 21 5" xfId="12318"/>
    <cellStyle name="Note 2 21 6" xfId="12319"/>
    <cellStyle name="Note 2 21 7" xfId="12320"/>
    <cellStyle name="Note 2 21_DeltaViewer" xfId="12321"/>
    <cellStyle name="Note 2 22" xfId="12322"/>
    <cellStyle name="Note 2 22 2" xfId="12323"/>
    <cellStyle name="Note 2 22 3" xfId="12324"/>
    <cellStyle name="Note 2 22 4" xfId="12325"/>
    <cellStyle name="Note 2 22 5" xfId="12326"/>
    <cellStyle name="Note 2 22 6" xfId="12327"/>
    <cellStyle name="Note 2 22_DeltaViewer" xfId="12328"/>
    <cellStyle name="Note 2 23" xfId="12329"/>
    <cellStyle name="Note 2 24" xfId="12330"/>
    <cellStyle name="Note 2 25" xfId="12331"/>
    <cellStyle name="Note 2 26" xfId="12332"/>
    <cellStyle name="Note 2 27" xfId="12333"/>
    <cellStyle name="Note 2 28" xfId="12334"/>
    <cellStyle name="Note 2 29" xfId="12335"/>
    <cellStyle name="Note 2 3" xfId="12336"/>
    <cellStyle name="Note 2 3 2" xfId="12337"/>
    <cellStyle name="Note 2 3 2 2" xfId="12338"/>
    <cellStyle name="Note 2 3 2 2 2" xfId="12339"/>
    <cellStyle name="Note 2 3 2 2 2 2" xfId="12340"/>
    <cellStyle name="Note 2 3 2 2 2_DeltaViewer" xfId="12341"/>
    <cellStyle name="Note 2 3 2 2 3" xfId="12342"/>
    <cellStyle name="Note 2 3 2 2 3 2" xfId="12343"/>
    <cellStyle name="Note 2 3 2 2 3_DeltaViewer" xfId="12344"/>
    <cellStyle name="Note 2 3 2 2 4" xfId="12345"/>
    <cellStyle name="Note 2 3 2 2_DeltaViewer" xfId="12346"/>
    <cellStyle name="Note 2 3 2 3" xfId="12347"/>
    <cellStyle name="Note 2 3 2 3 2" xfId="12348"/>
    <cellStyle name="Note 2 3 2 3_DeltaViewer" xfId="12349"/>
    <cellStyle name="Note 2 3 2 4" xfId="12350"/>
    <cellStyle name="Note 2 3 2 4 2" xfId="12351"/>
    <cellStyle name="Note 2 3 2 4_DeltaViewer" xfId="12352"/>
    <cellStyle name="Note 2 3 2 5" xfId="12353"/>
    <cellStyle name="Note 2 3 2_DeltaViewer" xfId="12354"/>
    <cellStyle name="Note 2 3 3" xfId="12355"/>
    <cellStyle name="Note 2 3 3 2" xfId="12356"/>
    <cellStyle name="Note 2 3 3 2 2" xfId="12357"/>
    <cellStyle name="Note 2 3 3 2 2 2" xfId="12358"/>
    <cellStyle name="Note 2 3 3 2 2_DeltaViewer" xfId="12359"/>
    <cellStyle name="Note 2 3 3 2 3" xfId="12360"/>
    <cellStyle name="Note 2 3 3 2 3 2" xfId="12361"/>
    <cellStyle name="Note 2 3 3 2 3_DeltaViewer" xfId="12362"/>
    <cellStyle name="Note 2 3 3 2 4" xfId="12363"/>
    <cellStyle name="Note 2 3 3 2_DeltaViewer" xfId="12364"/>
    <cellStyle name="Note 2 3 3 3" xfId="12365"/>
    <cellStyle name="Note 2 3 3 3 2" xfId="12366"/>
    <cellStyle name="Note 2 3 3 3_DeltaViewer" xfId="12367"/>
    <cellStyle name="Note 2 3 3 4" xfId="12368"/>
    <cellStyle name="Note 2 3 3 4 2" xfId="12369"/>
    <cellStyle name="Note 2 3 3 4_DeltaViewer" xfId="12370"/>
    <cellStyle name="Note 2 3 3 5" xfId="12371"/>
    <cellStyle name="Note 2 3 3_DeltaViewer" xfId="12372"/>
    <cellStyle name="Note 2 3 4" xfId="12373"/>
    <cellStyle name="Note 2 3 4 2" xfId="12374"/>
    <cellStyle name="Note 2 3 4 2 2" xfId="12375"/>
    <cellStyle name="Note 2 3 4 2_DeltaViewer" xfId="12376"/>
    <cellStyle name="Note 2 3 4 3" xfId="12377"/>
    <cellStyle name="Note 2 3 4 3 2" xfId="12378"/>
    <cellStyle name="Note 2 3 4 3_DeltaViewer" xfId="12379"/>
    <cellStyle name="Note 2 3 4 4" xfId="12380"/>
    <cellStyle name="Note 2 3 4_DeltaViewer" xfId="12381"/>
    <cellStyle name="Note 2 3 5" xfId="12382"/>
    <cellStyle name="Note 2 3 5 2" xfId="12383"/>
    <cellStyle name="Note 2 3 5_DeltaViewer" xfId="12384"/>
    <cellStyle name="Note 2 3 6" xfId="12385"/>
    <cellStyle name="Note 2 3 6 2" xfId="12386"/>
    <cellStyle name="Note 2 3 6_DeltaViewer" xfId="12387"/>
    <cellStyle name="Note 2 3 7" xfId="12388"/>
    <cellStyle name="Note 2 3 8" xfId="12389"/>
    <cellStyle name="Note 2 3_DeltaViewer" xfId="12390"/>
    <cellStyle name="Note 2 4" xfId="12391"/>
    <cellStyle name="Note 2 4 10" xfId="12392"/>
    <cellStyle name="Note 2 4 11" xfId="12393"/>
    <cellStyle name="Note 2 4 12" xfId="12394"/>
    <cellStyle name="Note 2 4 13" xfId="12395"/>
    <cellStyle name="Note 2 4 2" xfId="12396"/>
    <cellStyle name="Note 2 4 2 10" xfId="12397"/>
    <cellStyle name="Note 2 4 2 11" xfId="12398"/>
    <cellStyle name="Note 2 4 2 2" xfId="12399"/>
    <cellStyle name="Note 2 4 2 2 2" xfId="12400"/>
    <cellStyle name="Note 2 4 2 2 2 2" xfId="12401"/>
    <cellStyle name="Note 2 4 2 2 2 2 2" xfId="12402"/>
    <cellStyle name="Note 2 4 2 2 2 2 3" xfId="12403"/>
    <cellStyle name="Note 2 4 2 2 2 2 4" xfId="12404"/>
    <cellStyle name="Note 2 4 2 2 2 2 5" xfId="12405"/>
    <cellStyle name="Note 2 4 2 2 2 2 6" xfId="12406"/>
    <cellStyle name="Note 2 4 2 2 2 2_DeltaViewer" xfId="12407"/>
    <cellStyle name="Note 2 4 2 2 2 3" xfId="12408"/>
    <cellStyle name="Note 2 4 2 2 2 4" xfId="12409"/>
    <cellStyle name="Note 2 4 2 2 2 5" xfId="12410"/>
    <cellStyle name="Note 2 4 2 2 2 6" xfId="12411"/>
    <cellStyle name="Note 2 4 2 2 2 7" xfId="12412"/>
    <cellStyle name="Note 2 4 2 2 2_DeltaViewer" xfId="12413"/>
    <cellStyle name="Note 2 4 2 2 3" xfId="12414"/>
    <cellStyle name="Note 2 4 2 2 3 2" xfId="12415"/>
    <cellStyle name="Note 2 4 2 2 3 3" xfId="12416"/>
    <cellStyle name="Note 2 4 2 2 3 4" xfId="12417"/>
    <cellStyle name="Note 2 4 2 2 3 5" xfId="12418"/>
    <cellStyle name="Note 2 4 2 2 3 6" xfId="12419"/>
    <cellStyle name="Note 2 4 2 2 3_DeltaViewer" xfId="12420"/>
    <cellStyle name="Note 2 4 2 2 4" xfId="12421"/>
    <cellStyle name="Note 2 4 2 2 5" xfId="12422"/>
    <cellStyle name="Note 2 4 2 2 6" xfId="12423"/>
    <cellStyle name="Note 2 4 2 2 7" xfId="12424"/>
    <cellStyle name="Note 2 4 2 2 8" xfId="12425"/>
    <cellStyle name="Note 2 4 2 2_DeltaViewer" xfId="12426"/>
    <cellStyle name="Note 2 4 2 3" xfId="12427"/>
    <cellStyle name="Note 2 4 2 3 2" xfId="12428"/>
    <cellStyle name="Note 2 4 2 3 2 2" xfId="12429"/>
    <cellStyle name="Note 2 4 2 3 2 2 2" xfId="12430"/>
    <cellStyle name="Note 2 4 2 3 2 2 3" xfId="12431"/>
    <cellStyle name="Note 2 4 2 3 2 2 4" xfId="12432"/>
    <cellStyle name="Note 2 4 2 3 2 2 5" xfId="12433"/>
    <cellStyle name="Note 2 4 2 3 2 2 6" xfId="12434"/>
    <cellStyle name="Note 2 4 2 3 2 2_DeltaViewer" xfId="12435"/>
    <cellStyle name="Note 2 4 2 3 2 3" xfId="12436"/>
    <cellStyle name="Note 2 4 2 3 2 4" xfId="12437"/>
    <cellStyle name="Note 2 4 2 3 2 5" xfId="12438"/>
    <cellStyle name="Note 2 4 2 3 2 6" xfId="12439"/>
    <cellStyle name="Note 2 4 2 3 2 7" xfId="12440"/>
    <cellStyle name="Note 2 4 2 3 2_DeltaViewer" xfId="12441"/>
    <cellStyle name="Note 2 4 2 3 3" xfId="12442"/>
    <cellStyle name="Note 2 4 2 3 3 2" xfId="12443"/>
    <cellStyle name="Note 2 4 2 3 3 3" xfId="12444"/>
    <cellStyle name="Note 2 4 2 3 3 4" xfId="12445"/>
    <cellStyle name="Note 2 4 2 3 3 5" xfId="12446"/>
    <cellStyle name="Note 2 4 2 3 3 6" xfId="12447"/>
    <cellStyle name="Note 2 4 2 3 3_DeltaViewer" xfId="12448"/>
    <cellStyle name="Note 2 4 2 3 4" xfId="12449"/>
    <cellStyle name="Note 2 4 2 3 5" xfId="12450"/>
    <cellStyle name="Note 2 4 2 3 6" xfId="12451"/>
    <cellStyle name="Note 2 4 2 3 7" xfId="12452"/>
    <cellStyle name="Note 2 4 2 3 8" xfId="12453"/>
    <cellStyle name="Note 2 4 2 3_DeltaViewer" xfId="12454"/>
    <cellStyle name="Note 2 4 2 4" xfId="12455"/>
    <cellStyle name="Note 2 4 2 4 2" xfId="12456"/>
    <cellStyle name="Note 2 4 2 4 2 2" xfId="12457"/>
    <cellStyle name="Note 2 4 2 4 2 3" xfId="12458"/>
    <cellStyle name="Note 2 4 2 4 2 4" xfId="12459"/>
    <cellStyle name="Note 2 4 2 4 2 5" xfId="12460"/>
    <cellStyle name="Note 2 4 2 4 2 6" xfId="12461"/>
    <cellStyle name="Note 2 4 2 4 2_DeltaViewer" xfId="12462"/>
    <cellStyle name="Note 2 4 2 4 3" xfId="12463"/>
    <cellStyle name="Note 2 4 2 4 4" xfId="12464"/>
    <cellStyle name="Note 2 4 2 4 5" xfId="12465"/>
    <cellStyle name="Note 2 4 2 4 6" xfId="12466"/>
    <cellStyle name="Note 2 4 2 4 7" xfId="12467"/>
    <cellStyle name="Note 2 4 2 4_DeltaViewer" xfId="12468"/>
    <cellStyle name="Note 2 4 2 5" xfId="12469"/>
    <cellStyle name="Note 2 4 2 5 2" xfId="12470"/>
    <cellStyle name="Note 2 4 2 5 2 2" xfId="12471"/>
    <cellStyle name="Note 2 4 2 5 2 3" xfId="12472"/>
    <cellStyle name="Note 2 4 2 5 2 4" xfId="12473"/>
    <cellStyle name="Note 2 4 2 5 2 5" xfId="12474"/>
    <cellStyle name="Note 2 4 2 5 2 6" xfId="12475"/>
    <cellStyle name="Note 2 4 2 5 2_DeltaViewer" xfId="12476"/>
    <cellStyle name="Note 2 4 2 5 3" xfId="12477"/>
    <cellStyle name="Note 2 4 2 5 4" xfId="12478"/>
    <cellStyle name="Note 2 4 2 5 5" xfId="12479"/>
    <cellStyle name="Note 2 4 2 5 6" xfId="12480"/>
    <cellStyle name="Note 2 4 2 5 7" xfId="12481"/>
    <cellStyle name="Note 2 4 2 5_DeltaViewer" xfId="12482"/>
    <cellStyle name="Note 2 4 2 6" xfId="12483"/>
    <cellStyle name="Note 2 4 2 6 2" xfId="12484"/>
    <cellStyle name="Note 2 4 2 6 3" xfId="12485"/>
    <cellStyle name="Note 2 4 2 6 4" xfId="12486"/>
    <cellStyle name="Note 2 4 2 6 5" xfId="12487"/>
    <cellStyle name="Note 2 4 2 6 6" xfId="12488"/>
    <cellStyle name="Note 2 4 2 6_DeltaViewer" xfId="12489"/>
    <cellStyle name="Note 2 4 2 7" xfId="12490"/>
    <cellStyle name="Note 2 4 2 8" xfId="12491"/>
    <cellStyle name="Note 2 4 2 9" xfId="12492"/>
    <cellStyle name="Note 2 4 2_DeltaViewer" xfId="12493"/>
    <cellStyle name="Note 2 4 3" xfId="12494"/>
    <cellStyle name="Note 2 4 3 2" xfId="12495"/>
    <cellStyle name="Note 2 4 3 2 2" xfId="12496"/>
    <cellStyle name="Note 2 4 3 2 2 2" xfId="12497"/>
    <cellStyle name="Note 2 4 3 2 2 3" xfId="12498"/>
    <cellStyle name="Note 2 4 3 2 2 4" xfId="12499"/>
    <cellStyle name="Note 2 4 3 2 2 5" xfId="12500"/>
    <cellStyle name="Note 2 4 3 2 2 6" xfId="12501"/>
    <cellStyle name="Note 2 4 3 2 2_DeltaViewer" xfId="12502"/>
    <cellStyle name="Note 2 4 3 2 3" xfId="12503"/>
    <cellStyle name="Note 2 4 3 2 4" xfId="12504"/>
    <cellStyle name="Note 2 4 3 2 5" xfId="12505"/>
    <cellStyle name="Note 2 4 3 2 6" xfId="12506"/>
    <cellStyle name="Note 2 4 3 2 7" xfId="12507"/>
    <cellStyle name="Note 2 4 3 2_DeltaViewer" xfId="12508"/>
    <cellStyle name="Note 2 4 3 3" xfId="12509"/>
    <cellStyle name="Note 2 4 3 3 2" xfId="12510"/>
    <cellStyle name="Note 2 4 3 3 2 2" xfId="12511"/>
    <cellStyle name="Note 2 4 3 3 2 3" xfId="12512"/>
    <cellStyle name="Note 2 4 3 3 2 4" xfId="12513"/>
    <cellStyle name="Note 2 4 3 3 2 5" xfId="12514"/>
    <cellStyle name="Note 2 4 3 3 2 6" xfId="12515"/>
    <cellStyle name="Note 2 4 3 3 2_DeltaViewer" xfId="12516"/>
    <cellStyle name="Note 2 4 3 3 3" xfId="12517"/>
    <cellStyle name="Note 2 4 3 3 4" xfId="12518"/>
    <cellStyle name="Note 2 4 3 3 5" xfId="12519"/>
    <cellStyle name="Note 2 4 3 3 6" xfId="12520"/>
    <cellStyle name="Note 2 4 3 3 7" xfId="12521"/>
    <cellStyle name="Note 2 4 3 3_DeltaViewer" xfId="12522"/>
    <cellStyle name="Note 2 4 3 4" xfId="12523"/>
    <cellStyle name="Note 2 4 3 4 2" xfId="12524"/>
    <cellStyle name="Note 2 4 3 4 3" xfId="12525"/>
    <cellStyle name="Note 2 4 3 4 4" xfId="12526"/>
    <cellStyle name="Note 2 4 3 4 5" xfId="12527"/>
    <cellStyle name="Note 2 4 3 4 6" xfId="12528"/>
    <cellStyle name="Note 2 4 3 4_DeltaViewer" xfId="12529"/>
    <cellStyle name="Note 2 4 3 5" xfId="12530"/>
    <cellStyle name="Note 2 4 3 6" xfId="12531"/>
    <cellStyle name="Note 2 4 3 7" xfId="12532"/>
    <cellStyle name="Note 2 4 3 8" xfId="12533"/>
    <cellStyle name="Note 2 4 3 9" xfId="12534"/>
    <cellStyle name="Note 2 4 3_DeltaViewer" xfId="12535"/>
    <cellStyle name="Note 2 4 4" xfId="12536"/>
    <cellStyle name="Note 2 4 4 2" xfId="12537"/>
    <cellStyle name="Note 2 4 4 2 2" xfId="12538"/>
    <cellStyle name="Note 2 4 4 2 2 2" xfId="12539"/>
    <cellStyle name="Note 2 4 4 2 2 3" xfId="12540"/>
    <cellStyle name="Note 2 4 4 2 2 4" xfId="12541"/>
    <cellStyle name="Note 2 4 4 2 2 5" xfId="12542"/>
    <cellStyle name="Note 2 4 4 2 2 6" xfId="12543"/>
    <cellStyle name="Note 2 4 4 2 2_DeltaViewer" xfId="12544"/>
    <cellStyle name="Note 2 4 4 2 3" xfId="12545"/>
    <cellStyle name="Note 2 4 4 2 4" xfId="12546"/>
    <cellStyle name="Note 2 4 4 2 5" xfId="12547"/>
    <cellStyle name="Note 2 4 4 2 6" xfId="12548"/>
    <cellStyle name="Note 2 4 4 2 7" xfId="12549"/>
    <cellStyle name="Note 2 4 4 2_DeltaViewer" xfId="12550"/>
    <cellStyle name="Note 2 4 4 3" xfId="12551"/>
    <cellStyle name="Note 2 4 4 3 2" xfId="12552"/>
    <cellStyle name="Note 2 4 4 3 2 2" xfId="12553"/>
    <cellStyle name="Note 2 4 4 3 2 3" xfId="12554"/>
    <cellStyle name="Note 2 4 4 3 2 4" xfId="12555"/>
    <cellStyle name="Note 2 4 4 3 2 5" xfId="12556"/>
    <cellStyle name="Note 2 4 4 3 2 6" xfId="12557"/>
    <cellStyle name="Note 2 4 4 3 2_DeltaViewer" xfId="12558"/>
    <cellStyle name="Note 2 4 4 3 3" xfId="12559"/>
    <cellStyle name="Note 2 4 4 3 4" xfId="12560"/>
    <cellStyle name="Note 2 4 4 3 5" xfId="12561"/>
    <cellStyle name="Note 2 4 4 3 6" xfId="12562"/>
    <cellStyle name="Note 2 4 4 3 7" xfId="12563"/>
    <cellStyle name="Note 2 4 4 3_DeltaViewer" xfId="12564"/>
    <cellStyle name="Note 2 4 4 4" xfId="12565"/>
    <cellStyle name="Note 2 4 4 4 2" xfId="12566"/>
    <cellStyle name="Note 2 4 4 4 3" xfId="12567"/>
    <cellStyle name="Note 2 4 4 4 4" xfId="12568"/>
    <cellStyle name="Note 2 4 4 4 5" xfId="12569"/>
    <cellStyle name="Note 2 4 4 4 6" xfId="12570"/>
    <cellStyle name="Note 2 4 4 4_DeltaViewer" xfId="12571"/>
    <cellStyle name="Note 2 4 4 5" xfId="12572"/>
    <cellStyle name="Note 2 4 4 6" xfId="12573"/>
    <cellStyle name="Note 2 4 4 7" xfId="12574"/>
    <cellStyle name="Note 2 4 4 8" xfId="12575"/>
    <cellStyle name="Note 2 4 4 9" xfId="12576"/>
    <cellStyle name="Note 2 4 4_DeltaViewer" xfId="12577"/>
    <cellStyle name="Note 2 4 5" xfId="12578"/>
    <cellStyle name="Note 2 4 5 2" xfId="12579"/>
    <cellStyle name="Note 2 4 5 2 2" xfId="12580"/>
    <cellStyle name="Note 2 4 5 2 3" xfId="12581"/>
    <cellStyle name="Note 2 4 5 2 4" xfId="12582"/>
    <cellStyle name="Note 2 4 5 2 5" xfId="12583"/>
    <cellStyle name="Note 2 4 5 2 6" xfId="12584"/>
    <cellStyle name="Note 2 4 5 2_DeltaViewer" xfId="12585"/>
    <cellStyle name="Note 2 4 5 3" xfId="12586"/>
    <cellStyle name="Note 2 4 5 4" xfId="12587"/>
    <cellStyle name="Note 2 4 5 5" xfId="12588"/>
    <cellStyle name="Note 2 4 5 6" xfId="12589"/>
    <cellStyle name="Note 2 4 5 7" xfId="12590"/>
    <cellStyle name="Note 2 4 5_DeltaViewer" xfId="12591"/>
    <cellStyle name="Note 2 4 6" xfId="12592"/>
    <cellStyle name="Note 2 4 6 2" xfId="12593"/>
    <cellStyle name="Note 2 4 6 2 2" xfId="12594"/>
    <cellStyle name="Note 2 4 6 2 3" xfId="12595"/>
    <cellStyle name="Note 2 4 6 2 4" xfId="12596"/>
    <cellStyle name="Note 2 4 6 2 5" xfId="12597"/>
    <cellStyle name="Note 2 4 6 2 6" xfId="12598"/>
    <cellStyle name="Note 2 4 6 2_DeltaViewer" xfId="12599"/>
    <cellStyle name="Note 2 4 6 3" xfId="12600"/>
    <cellStyle name="Note 2 4 6 4" xfId="12601"/>
    <cellStyle name="Note 2 4 6 5" xfId="12602"/>
    <cellStyle name="Note 2 4 6 6" xfId="12603"/>
    <cellStyle name="Note 2 4 6 7" xfId="12604"/>
    <cellStyle name="Note 2 4 6_DeltaViewer" xfId="12605"/>
    <cellStyle name="Note 2 4 7" xfId="12606"/>
    <cellStyle name="Note 2 4 7 2" xfId="12607"/>
    <cellStyle name="Note 2 4 7 2 2" xfId="12608"/>
    <cellStyle name="Note 2 4 7 2 3" xfId="12609"/>
    <cellStyle name="Note 2 4 7 2 4" xfId="12610"/>
    <cellStyle name="Note 2 4 7 2 5" xfId="12611"/>
    <cellStyle name="Note 2 4 7 2 6" xfId="12612"/>
    <cellStyle name="Note 2 4 7 2_DeltaViewer" xfId="12613"/>
    <cellStyle name="Note 2 4 7 3" xfId="12614"/>
    <cellStyle name="Note 2 4 7 4" xfId="12615"/>
    <cellStyle name="Note 2 4 7 5" xfId="12616"/>
    <cellStyle name="Note 2 4 7 6" xfId="12617"/>
    <cellStyle name="Note 2 4 7 7" xfId="12618"/>
    <cellStyle name="Note 2 4 7_DeltaViewer" xfId="12619"/>
    <cellStyle name="Note 2 4 8" xfId="12620"/>
    <cellStyle name="Note 2 4 8 2" xfId="12621"/>
    <cellStyle name="Note 2 4 8 3" xfId="12622"/>
    <cellStyle name="Note 2 4 8 4" xfId="12623"/>
    <cellStyle name="Note 2 4 8 5" xfId="12624"/>
    <cellStyle name="Note 2 4 8 6" xfId="12625"/>
    <cellStyle name="Note 2 4 8_DeltaViewer" xfId="12626"/>
    <cellStyle name="Note 2 4 9" xfId="12627"/>
    <cellStyle name="Note 2 4_DeltaViewer" xfId="12628"/>
    <cellStyle name="Note 2 5" xfId="12629"/>
    <cellStyle name="Note 2 5 10" xfId="12630"/>
    <cellStyle name="Note 2 5 11" xfId="12631"/>
    <cellStyle name="Note 2 5 12" xfId="12632"/>
    <cellStyle name="Note 2 5 13" xfId="12633"/>
    <cellStyle name="Note 2 5 2" xfId="12634"/>
    <cellStyle name="Note 2 5 2 10" xfId="12635"/>
    <cellStyle name="Note 2 5 2 11" xfId="12636"/>
    <cellStyle name="Note 2 5 2 2" xfId="12637"/>
    <cellStyle name="Note 2 5 2 2 2" xfId="12638"/>
    <cellStyle name="Note 2 5 2 2 2 2" xfId="12639"/>
    <cellStyle name="Note 2 5 2 2 2 2 2" xfId="12640"/>
    <cellStyle name="Note 2 5 2 2 2 2 3" xfId="12641"/>
    <cellStyle name="Note 2 5 2 2 2 2 4" xfId="12642"/>
    <cellStyle name="Note 2 5 2 2 2 2 5" xfId="12643"/>
    <cellStyle name="Note 2 5 2 2 2 2 6" xfId="12644"/>
    <cellStyle name="Note 2 5 2 2 2 2_DeltaViewer" xfId="12645"/>
    <cellStyle name="Note 2 5 2 2 2 3" xfId="12646"/>
    <cellStyle name="Note 2 5 2 2 2 4" xfId="12647"/>
    <cellStyle name="Note 2 5 2 2 2 5" xfId="12648"/>
    <cellStyle name="Note 2 5 2 2 2 6" xfId="12649"/>
    <cellStyle name="Note 2 5 2 2 2 7" xfId="12650"/>
    <cellStyle name="Note 2 5 2 2 2_DeltaViewer" xfId="12651"/>
    <cellStyle name="Note 2 5 2 2 3" xfId="12652"/>
    <cellStyle name="Note 2 5 2 2 3 2" xfId="12653"/>
    <cellStyle name="Note 2 5 2 2 3 3" xfId="12654"/>
    <cellStyle name="Note 2 5 2 2 3 4" xfId="12655"/>
    <cellStyle name="Note 2 5 2 2 3 5" xfId="12656"/>
    <cellStyle name="Note 2 5 2 2 3 6" xfId="12657"/>
    <cellStyle name="Note 2 5 2 2 3_DeltaViewer" xfId="12658"/>
    <cellStyle name="Note 2 5 2 2 4" xfId="12659"/>
    <cellStyle name="Note 2 5 2 2 5" xfId="12660"/>
    <cellStyle name="Note 2 5 2 2 6" xfId="12661"/>
    <cellStyle name="Note 2 5 2 2 7" xfId="12662"/>
    <cellStyle name="Note 2 5 2 2 8" xfId="12663"/>
    <cellStyle name="Note 2 5 2 2_DeltaViewer" xfId="12664"/>
    <cellStyle name="Note 2 5 2 3" xfId="12665"/>
    <cellStyle name="Note 2 5 2 3 2" xfId="12666"/>
    <cellStyle name="Note 2 5 2 3 2 2" xfId="12667"/>
    <cellStyle name="Note 2 5 2 3 2 2 2" xfId="12668"/>
    <cellStyle name="Note 2 5 2 3 2 2 3" xfId="12669"/>
    <cellStyle name="Note 2 5 2 3 2 2 4" xfId="12670"/>
    <cellStyle name="Note 2 5 2 3 2 2 5" xfId="12671"/>
    <cellStyle name="Note 2 5 2 3 2 2 6" xfId="12672"/>
    <cellStyle name="Note 2 5 2 3 2 2_DeltaViewer" xfId="12673"/>
    <cellStyle name="Note 2 5 2 3 2 3" xfId="12674"/>
    <cellStyle name="Note 2 5 2 3 2 4" xfId="12675"/>
    <cellStyle name="Note 2 5 2 3 2 5" xfId="12676"/>
    <cellStyle name="Note 2 5 2 3 2 6" xfId="12677"/>
    <cellStyle name="Note 2 5 2 3 2 7" xfId="12678"/>
    <cellStyle name="Note 2 5 2 3 2_DeltaViewer" xfId="12679"/>
    <cellStyle name="Note 2 5 2 3 3" xfId="12680"/>
    <cellStyle name="Note 2 5 2 3 3 2" xfId="12681"/>
    <cellStyle name="Note 2 5 2 3 3 3" xfId="12682"/>
    <cellStyle name="Note 2 5 2 3 3 4" xfId="12683"/>
    <cellStyle name="Note 2 5 2 3 3 5" xfId="12684"/>
    <cellStyle name="Note 2 5 2 3 3 6" xfId="12685"/>
    <cellStyle name="Note 2 5 2 3 3_DeltaViewer" xfId="12686"/>
    <cellStyle name="Note 2 5 2 3 4" xfId="12687"/>
    <cellStyle name="Note 2 5 2 3 5" xfId="12688"/>
    <cellStyle name="Note 2 5 2 3 6" xfId="12689"/>
    <cellStyle name="Note 2 5 2 3 7" xfId="12690"/>
    <cellStyle name="Note 2 5 2 3 8" xfId="12691"/>
    <cellStyle name="Note 2 5 2 3_DeltaViewer" xfId="12692"/>
    <cellStyle name="Note 2 5 2 4" xfId="12693"/>
    <cellStyle name="Note 2 5 2 4 2" xfId="12694"/>
    <cellStyle name="Note 2 5 2 4 2 2" xfId="12695"/>
    <cellStyle name="Note 2 5 2 4 2 3" xfId="12696"/>
    <cellStyle name="Note 2 5 2 4 2 4" xfId="12697"/>
    <cellStyle name="Note 2 5 2 4 2 5" xfId="12698"/>
    <cellStyle name="Note 2 5 2 4 2 6" xfId="12699"/>
    <cellStyle name="Note 2 5 2 4 2_DeltaViewer" xfId="12700"/>
    <cellStyle name="Note 2 5 2 4 3" xfId="12701"/>
    <cellStyle name="Note 2 5 2 4 4" xfId="12702"/>
    <cellStyle name="Note 2 5 2 4 5" xfId="12703"/>
    <cellStyle name="Note 2 5 2 4 6" xfId="12704"/>
    <cellStyle name="Note 2 5 2 4 7" xfId="12705"/>
    <cellStyle name="Note 2 5 2 4_DeltaViewer" xfId="12706"/>
    <cellStyle name="Note 2 5 2 5" xfId="12707"/>
    <cellStyle name="Note 2 5 2 5 2" xfId="12708"/>
    <cellStyle name="Note 2 5 2 5 2 2" xfId="12709"/>
    <cellStyle name="Note 2 5 2 5 2 3" xfId="12710"/>
    <cellStyle name="Note 2 5 2 5 2 4" xfId="12711"/>
    <cellStyle name="Note 2 5 2 5 2 5" xfId="12712"/>
    <cellStyle name="Note 2 5 2 5 2 6" xfId="12713"/>
    <cellStyle name="Note 2 5 2 5 2_DeltaViewer" xfId="12714"/>
    <cellStyle name="Note 2 5 2 5 3" xfId="12715"/>
    <cellStyle name="Note 2 5 2 5 4" xfId="12716"/>
    <cellStyle name="Note 2 5 2 5 5" xfId="12717"/>
    <cellStyle name="Note 2 5 2 5 6" xfId="12718"/>
    <cellStyle name="Note 2 5 2 5 7" xfId="12719"/>
    <cellStyle name="Note 2 5 2 5_DeltaViewer" xfId="12720"/>
    <cellStyle name="Note 2 5 2 6" xfId="12721"/>
    <cellStyle name="Note 2 5 2 6 2" xfId="12722"/>
    <cellStyle name="Note 2 5 2 6 3" xfId="12723"/>
    <cellStyle name="Note 2 5 2 6 4" xfId="12724"/>
    <cellStyle name="Note 2 5 2 6 5" xfId="12725"/>
    <cellStyle name="Note 2 5 2 6 6" xfId="12726"/>
    <cellStyle name="Note 2 5 2 6_DeltaViewer" xfId="12727"/>
    <cellStyle name="Note 2 5 2 7" xfId="12728"/>
    <cellStyle name="Note 2 5 2 8" xfId="12729"/>
    <cellStyle name="Note 2 5 2 9" xfId="12730"/>
    <cellStyle name="Note 2 5 2_DeltaViewer" xfId="12731"/>
    <cellStyle name="Note 2 5 3" xfId="12732"/>
    <cellStyle name="Note 2 5 3 2" xfId="12733"/>
    <cellStyle name="Note 2 5 3 2 2" xfId="12734"/>
    <cellStyle name="Note 2 5 3 2 2 2" xfId="12735"/>
    <cellStyle name="Note 2 5 3 2 2 3" xfId="12736"/>
    <cellStyle name="Note 2 5 3 2 2 4" xfId="12737"/>
    <cellStyle name="Note 2 5 3 2 2 5" xfId="12738"/>
    <cellStyle name="Note 2 5 3 2 2 6" xfId="12739"/>
    <cellStyle name="Note 2 5 3 2 2_DeltaViewer" xfId="12740"/>
    <cellStyle name="Note 2 5 3 2 3" xfId="12741"/>
    <cellStyle name="Note 2 5 3 2 4" xfId="12742"/>
    <cellStyle name="Note 2 5 3 2 5" xfId="12743"/>
    <cellStyle name="Note 2 5 3 2 6" xfId="12744"/>
    <cellStyle name="Note 2 5 3 2 7" xfId="12745"/>
    <cellStyle name="Note 2 5 3 2_DeltaViewer" xfId="12746"/>
    <cellStyle name="Note 2 5 3 3" xfId="12747"/>
    <cellStyle name="Note 2 5 3 3 2" xfId="12748"/>
    <cellStyle name="Note 2 5 3 3 2 2" xfId="12749"/>
    <cellStyle name="Note 2 5 3 3 2 3" xfId="12750"/>
    <cellStyle name="Note 2 5 3 3 2 4" xfId="12751"/>
    <cellStyle name="Note 2 5 3 3 2 5" xfId="12752"/>
    <cellStyle name="Note 2 5 3 3 2 6" xfId="12753"/>
    <cellStyle name="Note 2 5 3 3 2_DeltaViewer" xfId="12754"/>
    <cellStyle name="Note 2 5 3 3 3" xfId="12755"/>
    <cellStyle name="Note 2 5 3 3 4" xfId="12756"/>
    <cellStyle name="Note 2 5 3 3 5" xfId="12757"/>
    <cellStyle name="Note 2 5 3 3 6" xfId="12758"/>
    <cellStyle name="Note 2 5 3 3 7" xfId="12759"/>
    <cellStyle name="Note 2 5 3 3_DeltaViewer" xfId="12760"/>
    <cellStyle name="Note 2 5 3 4" xfId="12761"/>
    <cellStyle name="Note 2 5 3 4 2" xfId="12762"/>
    <cellStyle name="Note 2 5 3 4 3" xfId="12763"/>
    <cellStyle name="Note 2 5 3 4 4" xfId="12764"/>
    <cellStyle name="Note 2 5 3 4 5" xfId="12765"/>
    <cellStyle name="Note 2 5 3 4 6" xfId="12766"/>
    <cellStyle name="Note 2 5 3 4_DeltaViewer" xfId="12767"/>
    <cellStyle name="Note 2 5 3 5" xfId="12768"/>
    <cellStyle name="Note 2 5 3 6" xfId="12769"/>
    <cellStyle name="Note 2 5 3 7" xfId="12770"/>
    <cellStyle name="Note 2 5 3 8" xfId="12771"/>
    <cellStyle name="Note 2 5 3 9" xfId="12772"/>
    <cellStyle name="Note 2 5 3_DeltaViewer" xfId="12773"/>
    <cellStyle name="Note 2 5 4" xfId="12774"/>
    <cellStyle name="Note 2 5 4 2" xfId="12775"/>
    <cellStyle name="Note 2 5 4 2 2" xfId="12776"/>
    <cellStyle name="Note 2 5 4 2 2 2" xfId="12777"/>
    <cellStyle name="Note 2 5 4 2 2 3" xfId="12778"/>
    <cellStyle name="Note 2 5 4 2 2 4" xfId="12779"/>
    <cellStyle name="Note 2 5 4 2 2 5" xfId="12780"/>
    <cellStyle name="Note 2 5 4 2 2 6" xfId="12781"/>
    <cellStyle name="Note 2 5 4 2 2_DeltaViewer" xfId="12782"/>
    <cellStyle name="Note 2 5 4 2 3" xfId="12783"/>
    <cellStyle name="Note 2 5 4 2 4" xfId="12784"/>
    <cellStyle name="Note 2 5 4 2 5" xfId="12785"/>
    <cellStyle name="Note 2 5 4 2 6" xfId="12786"/>
    <cellStyle name="Note 2 5 4 2 7" xfId="12787"/>
    <cellStyle name="Note 2 5 4 2_DeltaViewer" xfId="12788"/>
    <cellStyle name="Note 2 5 4 3" xfId="12789"/>
    <cellStyle name="Note 2 5 4 3 2" xfId="12790"/>
    <cellStyle name="Note 2 5 4 3 2 2" xfId="12791"/>
    <cellStyle name="Note 2 5 4 3 2 3" xfId="12792"/>
    <cellStyle name="Note 2 5 4 3 2 4" xfId="12793"/>
    <cellStyle name="Note 2 5 4 3 2 5" xfId="12794"/>
    <cellStyle name="Note 2 5 4 3 2 6" xfId="12795"/>
    <cellStyle name="Note 2 5 4 3 2_DeltaViewer" xfId="12796"/>
    <cellStyle name="Note 2 5 4 3 3" xfId="12797"/>
    <cellStyle name="Note 2 5 4 3 4" xfId="12798"/>
    <cellStyle name="Note 2 5 4 3 5" xfId="12799"/>
    <cellStyle name="Note 2 5 4 3 6" xfId="12800"/>
    <cellStyle name="Note 2 5 4 3 7" xfId="12801"/>
    <cellStyle name="Note 2 5 4 3_DeltaViewer" xfId="12802"/>
    <cellStyle name="Note 2 5 4 4" xfId="12803"/>
    <cellStyle name="Note 2 5 4 4 2" xfId="12804"/>
    <cellStyle name="Note 2 5 4 4 3" xfId="12805"/>
    <cellStyle name="Note 2 5 4 4 4" xfId="12806"/>
    <cellStyle name="Note 2 5 4 4 5" xfId="12807"/>
    <cellStyle name="Note 2 5 4 4 6" xfId="12808"/>
    <cellStyle name="Note 2 5 4 4_DeltaViewer" xfId="12809"/>
    <cellStyle name="Note 2 5 4 5" xfId="12810"/>
    <cellStyle name="Note 2 5 4 6" xfId="12811"/>
    <cellStyle name="Note 2 5 4 7" xfId="12812"/>
    <cellStyle name="Note 2 5 4 8" xfId="12813"/>
    <cellStyle name="Note 2 5 4 9" xfId="12814"/>
    <cellStyle name="Note 2 5 4_DeltaViewer" xfId="12815"/>
    <cellStyle name="Note 2 5 5" xfId="12816"/>
    <cellStyle name="Note 2 5 5 2" xfId="12817"/>
    <cellStyle name="Note 2 5 5 2 2" xfId="12818"/>
    <cellStyle name="Note 2 5 5 2 3" xfId="12819"/>
    <cellStyle name="Note 2 5 5 2 4" xfId="12820"/>
    <cellStyle name="Note 2 5 5 2 5" xfId="12821"/>
    <cellStyle name="Note 2 5 5 2 6" xfId="12822"/>
    <cellStyle name="Note 2 5 5 2_DeltaViewer" xfId="12823"/>
    <cellStyle name="Note 2 5 5 3" xfId="12824"/>
    <cellStyle name="Note 2 5 5 4" xfId="12825"/>
    <cellStyle name="Note 2 5 5 5" xfId="12826"/>
    <cellStyle name="Note 2 5 5 6" xfId="12827"/>
    <cellStyle name="Note 2 5 5 7" xfId="12828"/>
    <cellStyle name="Note 2 5 5_DeltaViewer" xfId="12829"/>
    <cellStyle name="Note 2 5 6" xfId="12830"/>
    <cellStyle name="Note 2 5 6 2" xfId="12831"/>
    <cellStyle name="Note 2 5 6 2 2" xfId="12832"/>
    <cellStyle name="Note 2 5 6 2 3" xfId="12833"/>
    <cellStyle name="Note 2 5 6 2 4" xfId="12834"/>
    <cellStyle name="Note 2 5 6 2 5" xfId="12835"/>
    <cellStyle name="Note 2 5 6 2 6" xfId="12836"/>
    <cellStyle name="Note 2 5 6 2_DeltaViewer" xfId="12837"/>
    <cellStyle name="Note 2 5 6 3" xfId="12838"/>
    <cellStyle name="Note 2 5 6 4" xfId="12839"/>
    <cellStyle name="Note 2 5 6 5" xfId="12840"/>
    <cellStyle name="Note 2 5 6 6" xfId="12841"/>
    <cellStyle name="Note 2 5 6 7" xfId="12842"/>
    <cellStyle name="Note 2 5 6_DeltaViewer" xfId="12843"/>
    <cellStyle name="Note 2 5 7" xfId="12844"/>
    <cellStyle name="Note 2 5 7 2" xfId="12845"/>
    <cellStyle name="Note 2 5 7 2 2" xfId="12846"/>
    <cellStyle name="Note 2 5 7 2 3" xfId="12847"/>
    <cellStyle name="Note 2 5 7 2 4" xfId="12848"/>
    <cellStyle name="Note 2 5 7 2 5" xfId="12849"/>
    <cellStyle name="Note 2 5 7 2 6" xfId="12850"/>
    <cellStyle name="Note 2 5 7 2_DeltaViewer" xfId="12851"/>
    <cellStyle name="Note 2 5 7 3" xfId="12852"/>
    <cellStyle name="Note 2 5 7 4" xfId="12853"/>
    <cellStyle name="Note 2 5 7 5" xfId="12854"/>
    <cellStyle name="Note 2 5 7 6" xfId="12855"/>
    <cellStyle name="Note 2 5 7 7" xfId="12856"/>
    <cellStyle name="Note 2 5 7_DeltaViewer" xfId="12857"/>
    <cellStyle name="Note 2 5 8" xfId="12858"/>
    <cellStyle name="Note 2 5 8 2" xfId="12859"/>
    <cellStyle name="Note 2 5 8 3" xfId="12860"/>
    <cellStyle name="Note 2 5 8 4" xfId="12861"/>
    <cellStyle name="Note 2 5 8 5" xfId="12862"/>
    <cellStyle name="Note 2 5 8 6" xfId="12863"/>
    <cellStyle name="Note 2 5 8_DeltaViewer" xfId="12864"/>
    <cellStyle name="Note 2 5 9" xfId="12865"/>
    <cellStyle name="Note 2 5_DeltaViewer" xfId="12866"/>
    <cellStyle name="Note 2 6" xfId="12867"/>
    <cellStyle name="Note 2 6 10" xfId="12868"/>
    <cellStyle name="Note 2 6 11" xfId="12869"/>
    <cellStyle name="Note 2 6 12" xfId="12870"/>
    <cellStyle name="Note 2 6 2" xfId="12871"/>
    <cellStyle name="Note 2 6 2 10" xfId="12872"/>
    <cellStyle name="Note 2 6 2 11" xfId="12873"/>
    <cellStyle name="Note 2 6 2 2" xfId="12874"/>
    <cellStyle name="Note 2 6 2 2 2" xfId="12875"/>
    <cellStyle name="Note 2 6 2 2 2 2" xfId="12876"/>
    <cellStyle name="Note 2 6 2 2 2 2 2" xfId="12877"/>
    <cellStyle name="Note 2 6 2 2 2 2 3" xfId="12878"/>
    <cellStyle name="Note 2 6 2 2 2 2 4" xfId="12879"/>
    <cellStyle name="Note 2 6 2 2 2 2 5" xfId="12880"/>
    <cellStyle name="Note 2 6 2 2 2 2 6" xfId="12881"/>
    <cellStyle name="Note 2 6 2 2 2 2_DeltaViewer" xfId="12882"/>
    <cellStyle name="Note 2 6 2 2 2 3" xfId="12883"/>
    <cellStyle name="Note 2 6 2 2 2 4" xfId="12884"/>
    <cellStyle name="Note 2 6 2 2 2 5" xfId="12885"/>
    <cellStyle name="Note 2 6 2 2 2 6" xfId="12886"/>
    <cellStyle name="Note 2 6 2 2 2 7" xfId="12887"/>
    <cellStyle name="Note 2 6 2 2 2_DeltaViewer" xfId="12888"/>
    <cellStyle name="Note 2 6 2 2 3" xfId="12889"/>
    <cellStyle name="Note 2 6 2 2 3 2" xfId="12890"/>
    <cellStyle name="Note 2 6 2 2 3 3" xfId="12891"/>
    <cellStyle name="Note 2 6 2 2 3 4" xfId="12892"/>
    <cellStyle name="Note 2 6 2 2 3 5" xfId="12893"/>
    <cellStyle name="Note 2 6 2 2 3 6" xfId="12894"/>
    <cellStyle name="Note 2 6 2 2 3_DeltaViewer" xfId="12895"/>
    <cellStyle name="Note 2 6 2 2 4" xfId="12896"/>
    <cellStyle name="Note 2 6 2 2 5" xfId="12897"/>
    <cellStyle name="Note 2 6 2 2 6" xfId="12898"/>
    <cellStyle name="Note 2 6 2 2 7" xfId="12899"/>
    <cellStyle name="Note 2 6 2 2 8" xfId="12900"/>
    <cellStyle name="Note 2 6 2 2_DeltaViewer" xfId="12901"/>
    <cellStyle name="Note 2 6 2 3" xfId="12902"/>
    <cellStyle name="Note 2 6 2 3 2" xfId="12903"/>
    <cellStyle name="Note 2 6 2 3 2 2" xfId="12904"/>
    <cellStyle name="Note 2 6 2 3 2 2 2" xfId="12905"/>
    <cellStyle name="Note 2 6 2 3 2 2 3" xfId="12906"/>
    <cellStyle name="Note 2 6 2 3 2 2 4" xfId="12907"/>
    <cellStyle name="Note 2 6 2 3 2 2 5" xfId="12908"/>
    <cellStyle name="Note 2 6 2 3 2 2 6" xfId="12909"/>
    <cellStyle name="Note 2 6 2 3 2 2_DeltaViewer" xfId="12910"/>
    <cellStyle name="Note 2 6 2 3 2 3" xfId="12911"/>
    <cellStyle name="Note 2 6 2 3 2 4" xfId="12912"/>
    <cellStyle name="Note 2 6 2 3 2 5" xfId="12913"/>
    <cellStyle name="Note 2 6 2 3 2 6" xfId="12914"/>
    <cellStyle name="Note 2 6 2 3 2 7" xfId="12915"/>
    <cellStyle name="Note 2 6 2 3 2_DeltaViewer" xfId="12916"/>
    <cellStyle name="Note 2 6 2 3 3" xfId="12917"/>
    <cellStyle name="Note 2 6 2 3 3 2" xfId="12918"/>
    <cellStyle name="Note 2 6 2 3 3 3" xfId="12919"/>
    <cellStyle name="Note 2 6 2 3 3 4" xfId="12920"/>
    <cellStyle name="Note 2 6 2 3 3 5" xfId="12921"/>
    <cellStyle name="Note 2 6 2 3 3 6" xfId="12922"/>
    <cellStyle name="Note 2 6 2 3 3_DeltaViewer" xfId="12923"/>
    <cellStyle name="Note 2 6 2 3 4" xfId="12924"/>
    <cellStyle name="Note 2 6 2 3 5" xfId="12925"/>
    <cellStyle name="Note 2 6 2 3 6" xfId="12926"/>
    <cellStyle name="Note 2 6 2 3 7" xfId="12927"/>
    <cellStyle name="Note 2 6 2 3 8" xfId="12928"/>
    <cellStyle name="Note 2 6 2 3_DeltaViewer" xfId="12929"/>
    <cellStyle name="Note 2 6 2 4" xfId="12930"/>
    <cellStyle name="Note 2 6 2 4 2" xfId="12931"/>
    <cellStyle name="Note 2 6 2 4 2 2" xfId="12932"/>
    <cellStyle name="Note 2 6 2 4 2 3" xfId="12933"/>
    <cellStyle name="Note 2 6 2 4 2 4" xfId="12934"/>
    <cellStyle name="Note 2 6 2 4 2 5" xfId="12935"/>
    <cellStyle name="Note 2 6 2 4 2 6" xfId="12936"/>
    <cellStyle name="Note 2 6 2 4 2_DeltaViewer" xfId="12937"/>
    <cellStyle name="Note 2 6 2 4 3" xfId="12938"/>
    <cellStyle name="Note 2 6 2 4 4" xfId="12939"/>
    <cellStyle name="Note 2 6 2 4 5" xfId="12940"/>
    <cellStyle name="Note 2 6 2 4 6" xfId="12941"/>
    <cellStyle name="Note 2 6 2 4 7" xfId="12942"/>
    <cellStyle name="Note 2 6 2 4_DeltaViewer" xfId="12943"/>
    <cellStyle name="Note 2 6 2 5" xfId="12944"/>
    <cellStyle name="Note 2 6 2 5 2" xfId="12945"/>
    <cellStyle name="Note 2 6 2 5 2 2" xfId="12946"/>
    <cellStyle name="Note 2 6 2 5 2 3" xfId="12947"/>
    <cellStyle name="Note 2 6 2 5 2 4" xfId="12948"/>
    <cellStyle name="Note 2 6 2 5 2 5" xfId="12949"/>
    <cellStyle name="Note 2 6 2 5 2 6" xfId="12950"/>
    <cellStyle name="Note 2 6 2 5 2_DeltaViewer" xfId="12951"/>
    <cellStyle name="Note 2 6 2 5 3" xfId="12952"/>
    <cellStyle name="Note 2 6 2 5 4" xfId="12953"/>
    <cellStyle name="Note 2 6 2 5 5" xfId="12954"/>
    <cellStyle name="Note 2 6 2 5 6" xfId="12955"/>
    <cellStyle name="Note 2 6 2 5 7" xfId="12956"/>
    <cellStyle name="Note 2 6 2 5_DeltaViewer" xfId="12957"/>
    <cellStyle name="Note 2 6 2 6" xfId="12958"/>
    <cellStyle name="Note 2 6 2 6 2" xfId="12959"/>
    <cellStyle name="Note 2 6 2 6 3" xfId="12960"/>
    <cellStyle name="Note 2 6 2 6 4" xfId="12961"/>
    <cellStyle name="Note 2 6 2 6 5" xfId="12962"/>
    <cellStyle name="Note 2 6 2 6 6" xfId="12963"/>
    <cellStyle name="Note 2 6 2 6_DeltaViewer" xfId="12964"/>
    <cellStyle name="Note 2 6 2 7" xfId="12965"/>
    <cellStyle name="Note 2 6 2 8" xfId="12966"/>
    <cellStyle name="Note 2 6 2 9" xfId="12967"/>
    <cellStyle name="Note 2 6 2_DeltaViewer" xfId="12968"/>
    <cellStyle name="Note 2 6 3" xfId="12969"/>
    <cellStyle name="Note 2 6 3 2" xfId="12970"/>
    <cellStyle name="Note 2 6 3 2 2" xfId="12971"/>
    <cellStyle name="Note 2 6 3 2 2 2" xfId="12972"/>
    <cellStyle name="Note 2 6 3 2 2 3" xfId="12973"/>
    <cellStyle name="Note 2 6 3 2 2 4" xfId="12974"/>
    <cellStyle name="Note 2 6 3 2 2 5" xfId="12975"/>
    <cellStyle name="Note 2 6 3 2 2 6" xfId="12976"/>
    <cellStyle name="Note 2 6 3 2 2_DeltaViewer" xfId="12977"/>
    <cellStyle name="Note 2 6 3 2 3" xfId="12978"/>
    <cellStyle name="Note 2 6 3 2 4" xfId="12979"/>
    <cellStyle name="Note 2 6 3 2 5" xfId="12980"/>
    <cellStyle name="Note 2 6 3 2 6" xfId="12981"/>
    <cellStyle name="Note 2 6 3 2 7" xfId="12982"/>
    <cellStyle name="Note 2 6 3 2_DeltaViewer" xfId="12983"/>
    <cellStyle name="Note 2 6 3 3" xfId="12984"/>
    <cellStyle name="Note 2 6 3 3 2" xfId="12985"/>
    <cellStyle name="Note 2 6 3 3 3" xfId="12986"/>
    <cellStyle name="Note 2 6 3 3 4" xfId="12987"/>
    <cellStyle name="Note 2 6 3 3 5" xfId="12988"/>
    <cellStyle name="Note 2 6 3 3 6" xfId="12989"/>
    <cellStyle name="Note 2 6 3 3_DeltaViewer" xfId="12990"/>
    <cellStyle name="Note 2 6 3 4" xfId="12991"/>
    <cellStyle name="Note 2 6 3 5" xfId="12992"/>
    <cellStyle name="Note 2 6 3 6" xfId="12993"/>
    <cellStyle name="Note 2 6 3 7" xfId="12994"/>
    <cellStyle name="Note 2 6 3 8" xfId="12995"/>
    <cellStyle name="Note 2 6 3_DeltaViewer" xfId="12996"/>
    <cellStyle name="Note 2 6 4" xfId="12997"/>
    <cellStyle name="Note 2 6 4 2" xfId="12998"/>
    <cellStyle name="Note 2 6 4 2 2" xfId="12999"/>
    <cellStyle name="Note 2 6 4 2 2 2" xfId="13000"/>
    <cellStyle name="Note 2 6 4 2 2 3" xfId="13001"/>
    <cellStyle name="Note 2 6 4 2 2 4" xfId="13002"/>
    <cellStyle name="Note 2 6 4 2 2 5" xfId="13003"/>
    <cellStyle name="Note 2 6 4 2 2 6" xfId="13004"/>
    <cellStyle name="Note 2 6 4 2 2_DeltaViewer" xfId="13005"/>
    <cellStyle name="Note 2 6 4 2 3" xfId="13006"/>
    <cellStyle name="Note 2 6 4 2 4" xfId="13007"/>
    <cellStyle name="Note 2 6 4 2 5" xfId="13008"/>
    <cellStyle name="Note 2 6 4 2 6" xfId="13009"/>
    <cellStyle name="Note 2 6 4 2 7" xfId="13010"/>
    <cellStyle name="Note 2 6 4 2_DeltaViewer" xfId="13011"/>
    <cellStyle name="Note 2 6 4 3" xfId="13012"/>
    <cellStyle name="Note 2 6 4 3 2" xfId="13013"/>
    <cellStyle name="Note 2 6 4 3 3" xfId="13014"/>
    <cellStyle name="Note 2 6 4 3 4" xfId="13015"/>
    <cellStyle name="Note 2 6 4 3 5" xfId="13016"/>
    <cellStyle name="Note 2 6 4 3 6" xfId="13017"/>
    <cellStyle name="Note 2 6 4 3_DeltaViewer" xfId="13018"/>
    <cellStyle name="Note 2 6 4 4" xfId="13019"/>
    <cellStyle name="Note 2 6 4 5" xfId="13020"/>
    <cellStyle name="Note 2 6 4 6" xfId="13021"/>
    <cellStyle name="Note 2 6 4 7" xfId="13022"/>
    <cellStyle name="Note 2 6 4 8" xfId="13023"/>
    <cellStyle name="Note 2 6 4_DeltaViewer" xfId="13024"/>
    <cellStyle name="Note 2 6 5" xfId="13025"/>
    <cellStyle name="Note 2 6 5 2" xfId="13026"/>
    <cellStyle name="Note 2 6 5 2 2" xfId="13027"/>
    <cellStyle name="Note 2 6 5 2 3" xfId="13028"/>
    <cellStyle name="Note 2 6 5 2 4" xfId="13029"/>
    <cellStyle name="Note 2 6 5 2 5" xfId="13030"/>
    <cellStyle name="Note 2 6 5 2 6" xfId="13031"/>
    <cellStyle name="Note 2 6 5 2_DeltaViewer" xfId="13032"/>
    <cellStyle name="Note 2 6 5 3" xfId="13033"/>
    <cellStyle name="Note 2 6 5 4" xfId="13034"/>
    <cellStyle name="Note 2 6 5 5" xfId="13035"/>
    <cellStyle name="Note 2 6 5 6" xfId="13036"/>
    <cellStyle name="Note 2 6 5 7" xfId="13037"/>
    <cellStyle name="Note 2 6 5_DeltaViewer" xfId="13038"/>
    <cellStyle name="Note 2 6 6" xfId="13039"/>
    <cellStyle name="Note 2 6 6 2" xfId="13040"/>
    <cellStyle name="Note 2 6 6 2 2" xfId="13041"/>
    <cellStyle name="Note 2 6 6 2 3" xfId="13042"/>
    <cellStyle name="Note 2 6 6 2 4" xfId="13043"/>
    <cellStyle name="Note 2 6 6 2 5" xfId="13044"/>
    <cellStyle name="Note 2 6 6 2 6" xfId="13045"/>
    <cellStyle name="Note 2 6 6 2_DeltaViewer" xfId="13046"/>
    <cellStyle name="Note 2 6 6 3" xfId="13047"/>
    <cellStyle name="Note 2 6 6 4" xfId="13048"/>
    <cellStyle name="Note 2 6 6 5" xfId="13049"/>
    <cellStyle name="Note 2 6 6 6" xfId="13050"/>
    <cellStyle name="Note 2 6 6 7" xfId="13051"/>
    <cellStyle name="Note 2 6 6_DeltaViewer" xfId="13052"/>
    <cellStyle name="Note 2 6 7" xfId="13053"/>
    <cellStyle name="Note 2 6 7 2" xfId="13054"/>
    <cellStyle name="Note 2 6 7 3" xfId="13055"/>
    <cellStyle name="Note 2 6 7 4" xfId="13056"/>
    <cellStyle name="Note 2 6 7 5" xfId="13057"/>
    <cellStyle name="Note 2 6 7 6" xfId="13058"/>
    <cellStyle name="Note 2 6 7_DeltaViewer" xfId="13059"/>
    <cellStyle name="Note 2 6 8" xfId="13060"/>
    <cellStyle name="Note 2 6 9" xfId="13061"/>
    <cellStyle name="Note 2 6_DeltaViewer" xfId="13062"/>
    <cellStyle name="Note 2 7" xfId="13063"/>
    <cellStyle name="Note 2 7 10" xfId="13064"/>
    <cellStyle name="Note 2 7 11" xfId="13065"/>
    <cellStyle name="Note 2 7 2" xfId="13066"/>
    <cellStyle name="Note 2 7 2 2" xfId="13067"/>
    <cellStyle name="Note 2 7 2 2 2" xfId="13068"/>
    <cellStyle name="Note 2 7 2 2 2 2" xfId="13069"/>
    <cellStyle name="Note 2 7 2 2 2 3" xfId="13070"/>
    <cellStyle name="Note 2 7 2 2 2 4" xfId="13071"/>
    <cellStyle name="Note 2 7 2 2 2 5" xfId="13072"/>
    <cellStyle name="Note 2 7 2 2 2 6" xfId="13073"/>
    <cellStyle name="Note 2 7 2 2 2_DeltaViewer" xfId="13074"/>
    <cellStyle name="Note 2 7 2 2 3" xfId="13075"/>
    <cellStyle name="Note 2 7 2 2 4" xfId="13076"/>
    <cellStyle name="Note 2 7 2 2 5" xfId="13077"/>
    <cellStyle name="Note 2 7 2 2 6" xfId="13078"/>
    <cellStyle name="Note 2 7 2 2 7" xfId="13079"/>
    <cellStyle name="Note 2 7 2 2_DeltaViewer" xfId="13080"/>
    <cellStyle name="Note 2 7 2 3" xfId="13081"/>
    <cellStyle name="Note 2 7 2 3 2" xfId="13082"/>
    <cellStyle name="Note 2 7 2 3 3" xfId="13083"/>
    <cellStyle name="Note 2 7 2 3 4" xfId="13084"/>
    <cellStyle name="Note 2 7 2 3 5" xfId="13085"/>
    <cellStyle name="Note 2 7 2 3 6" xfId="13086"/>
    <cellStyle name="Note 2 7 2 3_DeltaViewer" xfId="13087"/>
    <cellStyle name="Note 2 7 2 4" xfId="13088"/>
    <cellStyle name="Note 2 7 2 5" xfId="13089"/>
    <cellStyle name="Note 2 7 2 6" xfId="13090"/>
    <cellStyle name="Note 2 7 2 7" xfId="13091"/>
    <cellStyle name="Note 2 7 2 8" xfId="13092"/>
    <cellStyle name="Note 2 7 2_DeltaViewer" xfId="13093"/>
    <cellStyle name="Note 2 7 3" xfId="13094"/>
    <cellStyle name="Note 2 7 3 2" xfId="13095"/>
    <cellStyle name="Note 2 7 3 2 2" xfId="13096"/>
    <cellStyle name="Note 2 7 3 2 2 2" xfId="13097"/>
    <cellStyle name="Note 2 7 3 2 2 3" xfId="13098"/>
    <cellStyle name="Note 2 7 3 2 2 4" xfId="13099"/>
    <cellStyle name="Note 2 7 3 2 2 5" xfId="13100"/>
    <cellStyle name="Note 2 7 3 2 2 6" xfId="13101"/>
    <cellStyle name="Note 2 7 3 2 2_DeltaViewer" xfId="13102"/>
    <cellStyle name="Note 2 7 3 2 3" xfId="13103"/>
    <cellStyle name="Note 2 7 3 2 4" xfId="13104"/>
    <cellStyle name="Note 2 7 3 2 5" xfId="13105"/>
    <cellStyle name="Note 2 7 3 2 6" xfId="13106"/>
    <cellStyle name="Note 2 7 3 2 7" xfId="13107"/>
    <cellStyle name="Note 2 7 3 2_DeltaViewer" xfId="13108"/>
    <cellStyle name="Note 2 7 3 3" xfId="13109"/>
    <cellStyle name="Note 2 7 3 3 2" xfId="13110"/>
    <cellStyle name="Note 2 7 3 3 3" xfId="13111"/>
    <cellStyle name="Note 2 7 3 3 4" xfId="13112"/>
    <cellStyle name="Note 2 7 3 3 5" xfId="13113"/>
    <cellStyle name="Note 2 7 3 3 6" xfId="13114"/>
    <cellStyle name="Note 2 7 3 3_DeltaViewer" xfId="13115"/>
    <cellStyle name="Note 2 7 3 4" xfId="13116"/>
    <cellStyle name="Note 2 7 3 5" xfId="13117"/>
    <cellStyle name="Note 2 7 3 6" xfId="13118"/>
    <cellStyle name="Note 2 7 3 7" xfId="13119"/>
    <cellStyle name="Note 2 7 3 8" xfId="13120"/>
    <cellStyle name="Note 2 7 3_DeltaViewer" xfId="13121"/>
    <cellStyle name="Note 2 7 4" xfId="13122"/>
    <cellStyle name="Note 2 7 4 2" xfId="13123"/>
    <cellStyle name="Note 2 7 4 2 2" xfId="13124"/>
    <cellStyle name="Note 2 7 4 2 3" xfId="13125"/>
    <cellStyle name="Note 2 7 4 2 4" xfId="13126"/>
    <cellStyle name="Note 2 7 4 2 5" xfId="13127"/>
    <cellStyle name="Note 2 7 4 2 6" xfId="13128"/>
    <cellStyle name="Note 2 7 4 2_DeltaViewer" xfId="13129"/>
    <cellStyle name="Note 2 7 4 3" xfId="13130"/>
    <cellStyle name="Note 2 7 4 4" xfId="13131"/>
    <cellStyle name="Note 2 7 4 5" xfId="13132"/>
    <cellStyle name="Note 2 7 4 6" xfId="13133"/>
    <cellStyle name="Note 2 7 4 7" xfId="13134"/>
    <cellStyle name="Note 2 7 4_DeltaViewer" xfId="13135"/>
    <cellStyle name="Note 2 7 5" xfId="13136"/>
    <cellStyle name="Note 2 7 5 2" xfId="13137"/>
    <cellStyle name="Note 2 7 5 2 2" xfId="13138"/>
    <cellStyle name="Note 2 7 5 2 3" xfId="13139"/>
    <cellStyle name="Note 2 7 5 2 4" xfId="13140"/>
    <cellStyle name="Note 2 7 5 2 5" xfId="13141"/>
    <cellStyle name="Note 2 7 5 2 6" xfId="13142"/>
    <cellStyle name="Note 2 7 5 2_DeltaViewer" xfId="13143"/>
    <cellStyle name="Note 2 7 5 3" xfId="13144"/>
    <cellStyle name="Note 2 7 5 4" xfId="13145"/>
    <cellStyle name="Note 2 7 5 5" xfId="13146"/>
    <cellStyle name="Note 2 7 5 6" xfId="13147"/>
    <cellStyle name="Note 2 7 5 7" xfId="13148"/>
    <cellStyle name="Note 2 7 5_DeltaViewer" xfId="13149"/>
    <cellStyle name="Note 2 7 6" xfId="13150"/>
    <cellStyle name="Note 2 7 6 2" xfId="13151"/>
    <cellStyle name="Note 2 7 6 3" xfId="13152"/>
    <cellStyle name="Note 2 7 6 4" xfId="13153"/>
    <cellStyle name="Note 2 7 6 5" xfId="13154"/>
    <cellStyle name="Note 2 7 6 6" xfId="13155"/>
    <cellStyle name="Note 2 7 6_DeltaViewer" xfId="13156"/>
    <cellStyle name="Note 2 7 7" xfId="13157"/>
    <cellStyle name="Note 2 7 8" xfId="13158"/>
    <cellStyle name="Note 2 7 9" xfId="13159"/>
    <cellStyle name="Note 2 7_DeltaViewer" xfId="13160"/>
    <cellStyle name="Note 2 8" xfId="13161"/>
    <cellStyle name="Note 2 8 10" xfId="13162"/>
    <cellStyle name="Note 2 8 11" xfId="13163"/>
    <cellStyle name="Note 2 8 2" xfId="13164"/>
    <cellStyle name="Note 2 8 2 2" xfId="13165"/>
    <cellStyle name="Note 2 8 2 2 2" xfId="13166"/>
    <cellStyle name="Note 2 8 2 2 2 2" xfId="13167"/>
    <cellStyle name="Note 2 8 2 2 2 3" xfId="13168"/>
    <cellStyle name="Note 2 8 2 2 2 4" xfId="13169"/>
    <cellStyle name="Note 2 8 2 2 2 5" xfId="13170"/>
    <cellStyle name="Note 2 8 2 2 2 6" xfId="13171"/>
    <cellStyle name="Note 2 8 2 2 2_DeltaViewer" xfId="13172"/>
    <cellStyle name="Note 2 8 2 2 3" xfId="13173"/>
    <cellStyle name="Note 2 8 2 2 4" xfId="13174"/>
    <cellStyle name="Note 2 8 2 2 5" xfId="13175"/>
    <cellStyle name="Note 2 8 2 2 6" xfId="13176"/>
    <cellStyle name="Note 2 8 2 2 7" xfId="13177"/>
    <cellStyle name="Note 2 8 2 2_DeltaViewer" xfId="13178"/>
    <cellStyle name="Note 2 8 2 3" xfId="13179"/>
    <cellStyle name="Note 2 8 2 3 2" xfId="13180"/>
    <cellStyle name="Note 2 8 2 3 3" xfId="13181"/>
    <cellStyle name="Note 2 8 2 3 4" xfId="13182"/>
    <cellStyle name="Note 2 8 2 3 5" xfId="13183"/>
    <cellStyle name="Note 2 8 2 3 6" xfId="13184"/>
    <cellStyle name="Note 2 8 2 3_DeltaViewer" xfId="13185"/>
    <cellStyle name="Note 2 8 2 4" xfId="13186"/>
    <cellStyle name="Note 2 8 2 5" xfId="13187"/>
    <cellStyle name="Note 2 8 2 6" xfId="13188"/>
    <cellStyle name="Note 2 8 2 7" xfId="13189"/>
    <cellStyle name="Note 2 8 2 8" xfId="13190"/>
    <cellStyle name="Note 2 8 2_DeltaViewer" xfId="13191"/>
    <cellStyle name="Note 2 8 3" xfId="13192"/>
    <cellStyle name="Note 2 8 3 2" xfId="13193"/>
    <cellStyle name="Note 2 8 3 2 2" xfId="13194"/>
    <cellStyle name="Note 2 8 3 2 2 2" xfId="13195"/>
    <cellStyle name="Note 2 8 3 2 2 3" xfId="13196"/>
    <cellStyle name="Note 2 8 3 2 2 4" xfId="13197"/>
    <cellStyle name="Note 2 8 3 2 2 5" xfId="13198"/>
    <cellStyle name="Note 2 8 3 2 2 6" xfId="13199"/>
    <cellStyle name="Note 2 8 3 2 2_DeltaViewer" xfId="13200"/>
    <cellStyle name="Note 2 8 3 2 3" xfId="13201"/>
    <cellStyle name="Note 2 8 3 2 4" xfId="13202"/>
    <cellStyle name="Note 2 8 3 2 5" xfId="13203"/>
    <cellStyle name="Note 2 8 3 2 6" xfId="13204"/>
    <cellStyle name="Note 2 8 3 2 7" xfId="13205"/>
    <cellStyle name="Note 2 8 3 2_DeltaViewer" xfId="13206"/>
    <cellStyle name="Note 2 8 3 3" xfId="13207"/>
    <cellStyle name="Note 2 8 3 3 2" xfId="13208"/>
    <cellStyle name="Note 2 8 3 3 3" xfId="13209"/>
    <cellStyle name="Note 2 8 3 3 4" xfId="13210"/>
    <cellStyle name="Note 2 8 3 3 5" xfId="13211"/>
    <cellStyle name="Note 2 8 3 3 6" xfId="13212"/>
    <cellStyle name="Note 2 8 3 3_DeltaViewer" xfId="13213"/>
    <cellStyle name="Note 2 8 3 4" xfId="13214"/>
    <cellStyle name="Note 2 8 3 5" xfId="13215"/>
    <cellStyle name="Note 2 8 3 6" xfId="13216"/>
    <cellStyle name="Note 2 8 3 7" xfId="13217"/>
    <cellStyle name="Note 2 8 3 8" xfId="13218"/>
    <cellStyle name="Note 2 8 3_DeltaViewer" xfId="13219"/>
    <cellStyle name="Note 2 8 4" xfId="13220"/>
    <cellStyle name="Note 2 8 4 2" xfId="13221"/>
    <cellStyle name="Note 2 8 4 2 2" xfId="13222"/>
    <cellStyle name="Note 2 8 4 2 3" xfId="13223"/>
    <cellStyle name="Note 2 8 4 2 4" xfId="13224"/>
    <cellStyle name="Note 2 8 4 2 5" xfId="13225"/>
    <cellStyle name="Note 2 8 4 2 6" xfId="13226"/>
    <cellStyle name="Note 2 8 4 2_DeltaViewer" xfId="13227"/>
    <cellStyle name="Note 2 8 4 3" xfId="13228"/>
    <cellStyle name="Note 2 8 4 4" xfId="13229"/>
    <cellStyle name="Note 2 8 4 5" xfId="13230"/>
    <cellStyle name="Note 2 8 4 6" xfId="13231"/>
    <cellStyle name="Note 2 8 4 7" xfId="13232"/>
    <cellStyle name="Note 2 8 4_DeltaViewer" xfId="13233"/>
    <cellStyle name="Note 2 8 5" xfId="13234"/>
    <cellStyle name="Note 2 8 5 2" xfId="13235"/>
    <cellStyle name="Note 2 8 5 2 2" xfId="13236"/>
    <cellStyle name="Note 2 8 5 2 3" xfId="13237"/>
    <cellStyle name="Note 2 8 5 2 4" xfId="13238"/>
    <cellStyle name="Note 2 8 5 2 5" xfId="13239"/>
    <cellStyle name="Note 2 8 5 2 6" xfId="13240"/>
    <cellStyle name="Note 2 8 5 2_DeltaViewer" xfId="13241"/>
    <cellStyle name="Note 2 8 5 3" xfId="13242"/>
    <cellStyle name="Note 2 8 5 4" xfId="13243"/>
    <cellStyle name="Note 2 8 5 5" xfId="13244"/>
    <cellStyle name="Note 2 8 5 6" xfId="13245"/>
    <cellStyle name="Note 2 8 5 7" xfId="13246"/>
    <cellStyle name="Note 2 8 5_DeltaViewer" xfId="13247"/>
    <cellStyle name="Note 2 8 6" xfId="13248"/>
    <cellStyle name="Note 2 8 6 2" xfId="13249"/>
    <cellStyle name="Note 2 8 6 3" xfId="13250"/>
    <cellStyle name="Note 2 8 6 4" xfId="13251"/>
    <cellStyle name="Note 2 8 6 5" xfId="13252"/>
    <cellStyle name="Note 2 8 6 6" xfId="13253"/>
    <cellStyle name="Note 2 8 6_DeltaViewer" xfId="13254"/>
    <cellStyle name="Note 2 8 7" xfId="13255"/>
    <cellStyle name="Note 2 8 8" xfId="13256"/>
    <cellStyle name="Note 2 8 9" xfId="13257"/>
    <cellStyle name="Note 2 8_DeltaViewer" xfId="13258"/>
    <cellStyle name="Note 2 9" xfId="13259"/>
    <cellStyle name="Note 2 9 10" xfId="13260"/>
    <cellStyle name="Note 2 9 11" xfId="13261"/>
    <cellStyle name="Note 2 9 2" xfId="13262"/>
    <cellStyle name="Note 2 9 2 2" xfId="13263"/>
    <cellStyle name="Note 2 9 2 2 2" xfId="13264"/>
    <cellStyle name="Note 2 9 2 2 2 2" xfId="13265"/>
    <cellStyle name="Note 2 9 2 2 2 3" xfId="13266"/>
    <cellStyle name="Note 2 9 2 2 2 4" xfId="13267"/>
    <cellStyle name="Note 2 9 2 2 2 5" xfId="13268"/>
    <cellStyle name="Note 2 9 2 2 2 6" xfId="13269"/>
    <cellStyle name="Note 2 9 2 2 2_DeltaViewer" xfId="13270"/>
    <cellStyle name="Note 2 9 2 2 3" xfId="13271"/>
    <cellStyle name="Note 2 9 2 2 4" xfId="13272"/>
    <cellStyle name="Note 2 9 2 2 5" xfId="13273"/>
    <cellStyle name="Note 2 9 2 2 6" xfId="13274"/>
    <cellStyle name="Note 2 9 2 2 7" xfId="13275"/>
    <cellStyle name="Note 2 9 2 2_DeltaViewer" xfId="13276"/>
    <cellStyle name="Note 2 9 2 3" xfId="13277"/>
    <cellStyle name="Note 2 9 2 3 2" xfId="13278"/>
    <cellStyle name="Note 2 9 2 3 3" xfId="13279"/>
    <cellStyle name="Note 2 9 2 3 4" xfId="13280"/>
    <cellStyle name="Note 2 9 2 3 5" xfId="13281"/>
    <cellStyle name="Note 2 9 2 3 6" xfId="13282"/>
    <cellStyle name="Note 2 9 2 3_DeltaViewer" xfId="13283"/>
    <cellStyle name="Note 2 9 2 4" xfId="13284"/>
    <cellStyle name="Note 2 9 2 5" xfId="13285"/>
    <cellStyle name="Note 2 9 2 6" xfId="13286"/>
    <cellStyle name="Note 2 9 2 7" xfId="13287"/>
    <cellStyle name="Note 2 9 2 8" xfId="13288"/>
    <cellStyle name="Note 2 9 2_DeltaViewer" xfId="13289"/>
    <cellStyle name="Note 2 9 3" xfId="13290"/>
    <cellStyle name="Note 2 9 3 2" xfId="13291"/>
    <cellStyle name="Note 2 9 3 2 2" xfId="13292"/>
    <cellStyle name="Note 2 9 3 2 2 2" xfId="13293"/>
    <cellStyle name="Note 2 9 3 2 2 3" xfId="13294"/>
    <cellStyle name="Note 2 9 3 2 2 4" xfId="13295"/>
    <cellStyle name="Note 2 9 3 2 2 5" xfId="13296"/>
    <cellStyle name="Note 2 9 3 2 2 6" xfId="13297"/>
    <cellStyle name="Note 2 9 3 2 2_DeltaViewer" xfId="13298"/>
    <cellStyle name="Note 2 9 3 2 3" xfId="13299"/>
    <cellStyle name="Note 2 9 3 2 4" xfId="13300"/>
    <cellStyle name="Note 2 9 3 2 5" xfId="13301"/>
    <cellStyle name="Note 2 9 3 2 6" xfId="13302"/>
    <cellStyle name="Note 2 9 3 2 7" xfId="13303"/>
    <cellStyle name="Note 2 9 3 2_DeltaViewer" xfId="13304"/>
    <cellStyle name="Note 2 9 3 3" xfId="13305"/>
    <cellStyle name="Note 2 9 3 3 2" xfId="13306"/>
    <cellStyle name="Note 2 9 3 3 3" xfId="13307"/>
    <cellStyle name="Note 2 9 3 3 4" xfId="13308"/>
    <cellStyle name="Note 2 9 3 3 5" xfId="13309"/>
    <cellStyle name="Note 2 9 3 3 6" xfId="13310"/>
    <cellStyle name="Note 2 9 3 3_DeltaViewer" xfId="13311"/>
    <cellStyle name="Note 2 9 3 4" xfId="13312"/>
    <cellStyle name="Note 2 9 3 5" xfId="13313"/>
    <cellStyle name="Note 2 9 3 6" xfId="13314"/>
    <cellStyle name="Note 2 9 3 7" xfId="13315"/>
    <cellStyle name="Note 2 9 3 8" xfId="13316"/>
    <cellStyle name="Note 2 9 3_DeltaViewer" xfId="13317"/>
    <cellStyle name="Note 2 9 4" xfId="13318"/>
    <cellStyle name="Note 2 9 4 2" xfId="13319"/>
    <cellStyle name="Note 2 9 4 2 2" xfId="13320"/>
    <cellStyle name="Note 2 9 4 2 3" xfId="13321"/>
    <cellStyle name="Note 2 9 4 2 4" xfId="13322"/>
    <cellStyle name="Note 2 9 4 2 5" xfId="13323"/>
    <cellStyle name="Note 2 9 4 2 6" xfId="13324"/>
    <cellStyle name="Note 2 9 4 2_DeltaViewer" xfId="13325"/>
    <cellStyle name="Note 2 9 4 3" xfId="13326"/>
    <cellStyle name="Note 2 9 4 4" xfId="13327"/>
    <cellStyle name="Note 2 9 4 5" xfId="13328"/>
    <cellStyle name="Note 2 9 4 6" xfId="13329"/>
    <cellStyle name="Note 2 9 4 7" xfId="13330"/>
    <cellStyle name="Note 2 9 4_DeltaViewer" xfId="13331"/>
    <cellStyle name="Note 2 9 5" xfId="13332"/>
    <cellStyle name="Note 2 9 5 2" xfId="13333"/>
    <cellStyle name="Note 2 9 5 2 2" xfId="13334"/>
    <cellStyle name="Note 2 9 5 2 3" xfId="13335"/>
    <cellStyle name="Note 2 9 5 2 4" xfId="13336"/>
    <cellStyle name="Note 2 9 5 2 5" xfId="13337"/>
    <cellStyle name="Note 2 9 5 2 6" xfId="13338"/>
    <cellStyle name="Note 2 9 5 2_DeltaViewer" xfId="13339"/>
    <cellStyle name="Note 2 9 5 3" xfId="13340"/>
    <cellStyle name="Note 2 9 5 4" xfId="13341"/>
    <cellStyle name="Note 2 9 5 5" xfId="13342"/>
    <cellStyle name="Note 2 9 5 6" xfId="13343"/>
    <cellStyle name="Note 2 9 5 7" xfId="13344"/>
    <cellStyle name="Note 2 9 5_DeltaViewer" xfId="13345"/>
    <cellStyle name="Note 2 9 6" xfId="13346"/>
    <cellStyle name="Note 2 9 6 2" xfId="13347"/>
    <cellStyle name="Note 2 9 6 3" xfId="13348"/>
    <cellStyle name="Note 2 9 6 4" xfId="13349"/>
    <cellStyle name="Note 2 9 6 5" xfId="13350"/>
    <cellStyle name="Note 2 9 6 6" xfId="13351"/>
    <cellStyle name="Note 2 9 6_DeltaViewer" xfId="13352"/>
    <cellStyle name="Note 2 9 7" xfId="13353"/>
    <cellStyle name="Note 2 9 8" xfId="13354"/>
    <cellStyle name="Note 2 9 9" xfId="13355"/>
    <cellStyle name="Note 2 9_DeltaViewer" xfId="13356"/>
    <cellStyle name="Note 2_DeltaViewer" xfId="13357"/>
    <cellStyle name="Note 3" xfId="149"/>
    <cellStyle name="Note 3 10" xfId="13358"/>
    <cellStyle name="Note 3 10 10" xfId="13359"/>
    <cellStyle name="Note 3 10 2" xfId="13360"/>
    <cellStyle name="Note 3 10 2 2" xfId="13361"/>
    <cellStyle name="Note 3 10 2 2 2" xfId="13362"/>
    <cellStyle name="Note 3 10 2 2 2 2" xfId="13363"/>
    <cellStyle name="Note 3 10 2 2 2 3" xfId="13364"/>
    <cellStyle name="Note 3 10 2 2 2 4" xfId="13365"/>
    <cellStyle name="Note 3 10 2 2 2 5" xfId="13366"/>
    <cellStyle name="Note 3 10 2 2 2 6" xfId="13367"/>
    <cellStyle name="Note 3 10 2 2 2_DeltaViewer" xfId="13368"/>
    <cellStyle name="Note 3 10 2 2 3" xfId="13369"/>
    <cellStyle name="Note 3 10 2 2 4" xfId="13370"/>
    <cellStyle name="Note 3 10 2 2 5" xfId="13371"/>
    <cellStyle name="Note 3 10 2 2 6" xfId="13372"/>
    <cellStyle name="Note 3 10 2 2 7" xfId="13373"/>
    <cellStyle name="Note 3 10 2 2_DeltaViewer" xfId="13374"/>
    <cellStyle name="Note 3 10 2 3" xfId="13375"/>
    <cellStyle name="Note 3 10 2 3 2" xfId="13376"/>
    <cellStyle name="Note 3 10 2 3 3" xfId="13377"/>
    <cellStyle name="Note 3 10 2 3 4" xfId="13378"/>
    <cellStyle name="Note 3 10 2 3 5" xfId="13379"/>
    <cellStyle name="Note 3 10 2 3 6" xfId="13380"/>
    <cellStyle name="Note 3 10 2 3_DeltaViewer" xfId="13381"/>
    <cellStyle name="Note 3 10 2 4" xfId="13382"/>
    <cellStyle name="Note 3 10 2 5" xfId="13383"/>
    <cellStyle name="Note 3 10 2 6" xfId="13384"/>
    <cellStyle name="Note 3 10 2 7" xfId="13385"/>
    <cellStyle name="Note 3 10 2 8" xfId="13386"/>
    <cellStyle name="Note 3 10 2_DeltaViewer" xfId="13387"/>
    <cellStyle name="Note 3 10 3" xfId="13388"/>
    <cellStyle name="Note 3 10 3 2" xfId="13389"/>
    <cellStyle name="Note 3 10 3 2 2" xfId="13390"/>
    <cellStyle name="Note 3 10 3 2 2 2" xfId="13391"/>
    <cellStyle name="Note 3 10 3 2 2 3" xfId="13392"/>
    <cellStyle name="Note 3 10 3 2 2 4" xfId="13393"/>
    <cellStyle name="Note 3 10 3 2 2 5" xfId="13394"/>
    <cellStyle name="Note 3 10 3 2 2 6" xfId="13395"/>
    <cellStyle name="Note 3 10 3 2 2_DeltaViewer" xfId="13396"/>
    <cellStyle name="Note 3 10 3 2 3" xfId="13397"/>
    <cellStyle name="Note 3 10 3 2 4" xfId="13398"/>
    <cellStyle name="Note 3 10 3 2 5" xfId="13399"/>
    <cellStyle name="Note 3 10 3 2 6" xfId="13400"/>
    <cellStyle name="Note 3 10 3 2 7" xfId="13401"/>
    <cellStyle name="Note 3 10 3 2_DeltaViewer" xfId="13402"/>
    <cellStyle name="Note 3 10 3 3" xfId="13403"/>
    <cellStyle name="Note 3 10 3 3 2" xfId="13404"/>
    <cellStyle name="Note 3 10 3 3 3" xfId="13405"/>
    <cellStyle name="Note 3 10 3 3 4" xfId="13406"/>
    <cellStyle name="Note 3 10 3 3 5" xfId="13407"/>
    <cellStyle name="Note 3 10 3 3 6" xfId="13408"/>
    <cellStyle name="Note 3 10 3 3_DeltaViewer" xfId="13409"/>
    <cellStyle name="Note 3 10 3 4" xfId="13410"/>
    <cellStyle name="Note 3 10 3 5" xfId="13411"/>
    <cellStyle name="Note 3 10 3 6" xfId="13412"/>
    <cellStyle name="Note 3 10 3 7" xfId="13413"/>
    <cellStyle name="Note 3 10 3 8" xfId="13414"/>
    <cellStyle name="Note 3 10 3_DeltaViewer" xfId="13415"/>
    <cellStyle name="Note 3 10 4" xfId="13416"/>
    <cellStyle name="Note 3 10 4 2" xfId="13417"/>
    <cellStyle name="Note 3 10 4 2 2" xfId="13418"/>
    <cellStyle name="Note 3 10 4 2 3" xfId="13419"/>
    <cellStyle name="Note 3 10 4 2 4" xfId="13420"/>
    <cellStyle name="Note 3 10 4 2 5" xfId="13421"/>
    <cellStyle name="Note 3 10 4 2 6" xfId="13422"/>
    <cellStyle name="Note 3 10 4 2_DeltaViewer" xfId="13423"/>
    <cellStyle name="Note 3 10 4 3" xfId="13424"/>
    <cellStyle name="Note 3 10 4 4" xfId="13425"/>
    <cellStyle name="Note 3 10 4 5" xfId="13426"/>
    <cellStyle name="Note 3 10 4 6" xfId="13427"/>
    <cellStyle name="Note 3 10 4 7" xfId="13428"/>
    <cellStyle name="Note 3 10 4_DeltaViewer" xfId="13429"/>
    <cellStyle name="Note 3 10 5" xfId="13430"/>
    <cellStyle name="Note 3 10 5 2" xfId="13431"/>
    <cellStyle name="Note 3 10 5 3" xfId="13432"/>
    <cellStyle name="Note 3 10 5 4" xfId="13433"/>
    <cellStyle name="Note 3 10 5 5" xfId="13434"/>
    <cellStyle name="Note 3 10 5 6" xfId="13435"/>
    <cellStyle name="Note 3 10 5_DeltaViewer" xfId="13436"/>
    <cellStyle name="Note 3 10 6" xfId="13437"/>
    <cellStyle name="Note 3 10 7" xfId="13438"/>
    <cellStyle name="Note 3 10 8" xfId="13439"/>
    <cellStyle name="Note 3 10 9" xfId="13440"/>
    <cellStyle name="Note 3 10_DeltaViewer" xfId="13441"/>
    <cellStyle name="Note 3 11" xfId="13442"/>
    <cellStyle name="Note 3 11 10" xfId="13443"/>
    <cellStyle name="Note 3 11 2" xfId="13444"/>
    <cellStyle name="Note 3 11 2 2" xfId="13445"/>
    <cellStyle name="Note 3 11 2 2 2" xfId="13446"/>
    <cellStyle name="Note 3 11 2 2 2 2" xfId="13447"/>
    <cellStyle name="Note 3 11 2 2 2 3" xfId="13448"/>
    <cellStyle name="Note 3 11 2 2 2 4" xfId="13449"/>
    <cellStyle name="Note 3 11 2 2 2 5" xfId="13450"/>
    <cellStyle name="Note 3 11 2 2 2 6" xfId="13451"/>
    <cellStyle name="Note 3 11 2 2 2_DeltaViewer" xfId="13452"/>
    <cellStyle name="Note 3 11 2 2 3" xfId="13453"/>
    <cellStyle name="Note 3 11 2 2 4" xfId="13454"/>
    <cellStyle name="Note 3 11 2 2 5" xfId="13455"/>
    <cellStyle name="Note 3 11 2 2 6" xfId="13456"/>
    <cellStyle name="Note 3 11 2 2 7" xfId="13457"/>
    <cellStyle name="Note 3 11 2 2_DeltaViewer" xfId="13458"/>
    <cellStyle name="Note 3 11 2 3" xfId="13459"/>
    <cellStyle name="Note 3 11 2 3 2" xfId="13460"/>
    <cellStyle name="Note 3 11 2 3 3" xfId="13461"/>
    <cellStyle name="Note 3 11 2 3 4" xfId="13462"/>
    <cellStyle name="Note 3 11 2 3 5" xfId="13463"/>
    <cellStyle name="Note 3 11 2 3 6" xfId="13464"/>
    <cellStyle name="Note 3 11 2 3_DeltaViewer" xfId="13465"/>
    <cellStyle name="Note 3 11 2 4" xfId="13466"/>
    <cellStyle name="Note 3 11 2 5" xfId="13467"/>
    <cellStyle name="Note 3 11 2 6" xfId="13468"/>
    <cellStyle name="Note 3 11 2 7" xfId="13469"/>
    <cellStyle name="Note 3 11 2 8" xfId="13470"/>
    <cellStyle name="Note 3 11 2_DeltaViewer" xfId="13471"/>
    <cellStyle name="Note 3 11 3" xfId="13472"/>
    <cellStyle name="Note 3 11 3 2" xfId="13473"/>
    <cellStyle name="Note 3 11 3 2 2" xfId="13474"/>
    <cellStyle name="Note 3 11 3 2 2 2" xfId="13475"/>
    <cellStyle name="Note 3 11 3 2 2 3" xfId="13476"/>
    <cellStyle name="Note 3 11 3 2 2 4" xfId="13477"/>
    <cellStyle name="Note 3 11 3 2 2 5" xfId="13478"/>
    <cellStyle name="Note 3 11 3 2 2 6" xfId="13479"/>
    <cellStyle name="Note 3 11 3 2 2_DeltaViewer" xfId="13480"/>
    <cellStyle name="Note 3 11 3 2 3" xfId="13481"/>
    <cellStyle name="Note 3 11 3 2 4" xfId="13482"/>
    <cellStyle name="Note 3 11 3 2 5" xfId="13483"/>
    <cellStyle name="Note 3 11 3 2 6" xfId="13484"/>
    <cellStyle name="Note 3 11 3 2 7" xfId="13485"/>
    <cellStyle name="Note 3 11 3 2_DeltaViewer" xfId="13486"/>
    <cellStyle name="Note 3 11 3 3" xfId="13487"/>
    <cellStyle name="Note 3 11 3 3 2" xfId="13488"/>
    <cellStyle name="Note 3 11 3 3 3" xfId="13489"/>
    <cellStyle name="Note 3 11 3 3 4" xfId="13490"/>
    <cellStyle name="Note 3 11 3 3 5" xfId="13491"/>
    <cellStyle name="Note 3 11 3 3 6" xfId="13492"/>
    <cellStyle name="Note 3 11 3 3_DeltaViewer" xfId="13493"/>
    <cellStyle name="Note 3 11 3 4" xfId="13494"/>
    <cellStyle name="Note 3 11 3 5" xfId="13495"/>
    <cellStyle name="Note 3 11 3 6" xfId="13496"/>
    <cellStyle name="Note 3 11 3 7" xfId="13497"/>
    <cellStyle name="Note 3 11 3 8" xfId="13498"/>
    <cellStyle name="Note 3 11 3_DeltaViewer" xfId="13499"/>
    <cellStyle name="Note 3 11 4" xfId="13500"/>
    <cellStyle name="Note 3 11 4 2" xfId="13501"/>
    <cellStyle name="Note 3 11 4 2 2" xfId="13502"/>
    <cellStyle name="Note 3 11 4 2 3" xfId="13503"/>
    <cellStyle name="Note 3 11 4 2 4" xfId="13504"/>
    <cellStyle name="Note 3 11 4 2 5" xfId="13505"/>
    <cellStyle name="Note 3 11 4 2 6" xfId="13506"/>
    <cellStyle name="Note 3 11 4 2_DeltaViewer" xfId="13507"/>
    <cellStyle name="Note 3 11 4 3" xfId="13508"/>
    <cellStyle name="Note 3 11 4 4" xfId="13509"/>
    <cellStyle name="Note 3 11 4 5" xfId="13510"/>
    <cellStyle name="Note 3 11 4 6" xfId="13511"/>
    <cellStyle name="Note 3 11 4 7" xfId="13512"/>
    <cellStyle name="Note 3 11 4_DeltaViewer" xfId="13513"/>
    <cellStyle name="Note 3 11 5" xfId="13514"/>
    <cellStyle name="Note 3 11 5 2" xfId="13515"/>
    <cellStyle name="Note 3 11 5 3" xfId="13516"/>
    <cellStyle name="Note 3 11 5 4" xfId="13517"/>
    <cellStyle name="Note 3 11 5 5" xfId="13518"/>
    <cellStyle name="Note 3 11 5 6" xfId="13519"/>
    <cellStyle name="Note 3 11 5_DeltaViewer" xfId="13520"/>
    <cellStyle name="Note 3 11 6" xfId="13521"/>
    <cellStyle name="Note 3 11 7" xfId="13522"/>
    <cellStyle name="Note 3 11 8" xfId="13523"/>
    <cellStyle name="Note 3 11 9" xfId="13524"/>
    <cellStyle name="Note 3 11_DeltaViewer" xfId="13525"/>
    <cellStyle name="Note 3 12" xfId="13526"/>
    <cellStyle name="Note 3 12 10" xfId="13527"/>
    <cellStyle name="Note 3 12 2" xfId="13528"/>
    <cellStyle name="Note 3 12 2 2" xfId="13529"/>
    <cellStyle name="Note 3 12 2 2 2" xfId="13530"/>
    <cellStyle name="Note 3 12 2 2 2 2" xfId="13531"/>
    <cellStyle name="Note 3 12 2 2 2 3" xfId="13532"/>
    <cellStyle name="Note 3 12 2 2 2 4" xfId="13533"/>
    <cellStyle name="Note 3 12 2 2 2 5" xfId="13534"/>
    <cellStyle name="Note 3 12 2 2 2 6" xfId="13535"/>
    <cellStyle name="Note 3 12 2 2 2_DeltaViewer" xfId="13536"/>
    <cellStyle name="Note 3 12 2 2 3" xfId="13537"/>
    <cellStyle name="Note 3 12 2 2 4" xfId="13538"/>
    <cellStyle name="Note 3 12 2 2 5" xfId="13539"/>
    <cellStyle name="Note 3 12 2 2 6" xfId="13540"/>
    <cellStyle name="Note 3 12 2 2 7" xfId="13541"/>
    <cellStyle name="Note 3 12 2 2_DeltaViewer" xfId="13542"/>
    <cellStyle name="Note 3 12 2 3" xfId="13543"/>
    <cellStyle name="Note 3 12 2 3 2" xfId="13544"/>
    <cellStyle name="Note 3 12 2 3 3" xfId="13545"/>
    <cellStyle name="Note 3 12 2 3 4" xfId="13546"/>
    <cellStyle name="Note 3 12 2 3 5" xfId="13547"/>
    <cellStyle name="Note 3 12 2 3 6" xfId="13548"/>
    <cellStyle name="Note 3 12 2 3_DeltaViewer" xfId="13549"/>
    <cellStyle name="Note 3 12 2 4" xfId="13550"/>
    <cellStyle name="Note 3 12 2 5" xfId="13551"/>
    <cellStyle name="Note 3 12 2 6" xfId="13552"/>
    <cellStyle name="Note 3 12 2 7" xfId="13553"/>
    <cellStyle name="Note 3 12 2 8" xfId="13554"/>
    <cellStyle name="Note 3 12 2_DeltaViewer" xfId="13555"/>
    <cellStyle name="Note 3 12 3" xfId="13556"/>
    <cellStyle name="Note 3 12 3 2" xfId="13557"/>
    <cellStyle name="Note 3 12 3 2 2" xfId="13558"/>
    <cellStyle name="Note 3 12 3 2 2 2" xfId="13559"/>
    <cellStyle name="Note 3 12 3 2 2 3" xfId="13560"/>
    <cellStyle name="Note 3 12 3 2 2 4" xfId="13561"/>
    <cellStyle name="Note 3 12 3 2 2 5" xfId="13562"/>
    <cellStyle name="Note 3 12 3 2 2 6" xfId="13563"/>
    <cellStyle name="Note 3 12 3 2 2_DeltaViewer" xfId="13564"/>
    <cellStyle name="Note 3 12 3 2 3" xfId="13565"/>
    <cellStyle name="Note 3 12 3 2 4" xfId="13566"/>
    <cellStyle name="Note 3 12 3 2 5" xfId="13567"/>
    <cellStyle name="Note 3 12 3 2 6" xfId="13568"/>
    <cellStyle name="Note 3 12 3 2 7" xfId="13569"/>
    <cellStyle name="Note 3 12 3 2_DeltaViewer" xfId="13570"/>
    <cellStyle name="Note 3 12 3 3" xfId="13571"/>
    <cellStyle name="Note 3 12 3 3 2" xfId="13572"/>
    <cellStyle name="Note 3 12 3 3 3" xfId="13573"/>
    <cellStyle name="Note 3 12 3 3 4" xfId="13574"/>
    <cellStyle name="Note 3 12 3 3 5" xfId="13575"/>
    <cellStyle name="Note 3 12 3 3 6" xfId="13576"/>
    <cellStyle name="Note 3 12 3 3_DeltaViewer" xfId="13577"/>
    <cellStyle name="Note 3 12 3 4" xfId="13578"/>
    <cellStyle name="Note 3 12 3 5" xfId="13579"/>
    <cellStyle name="Note 3 12 3 6" xfId="13580"/>
    <cellStyle name="Note 3 12 3 7" xfId="13581"/>
    <cellStyle name="Note 3 12 3 8" xfId="13582"/>
    <cellStyle name="Note 3 12 3_DeltaViewer" xfId="13583"/>
    <cellStyle name="Note 3 12 4" xfId="13584"/>
    <cellStyle name="Note 3 12 4 2" xfId="13585"/>
    <cellStyle name="Note 3 12 4 2 2" xfId="13586"/>
    <cellStyle name="Note 3 12 4 2 3" xfId="13587"/>
    <cellStyle name="Note 3 12 4 2 4" xfId="13588"/>
    <cellStyle name="Note 3 12 4 2 5" xfId="13589"/>
    <cellStyle name="Note 3 12 4 2 6" xfId="13590"/>
    <cellStyle name="Note 3 12 4 2_DeltaViewer" xfId="13591"/>
    <cellStyle name="Note 3 12 4 3" xfId="13592"/>
    <cellStyle name="Note 3 12 4 4" xfId="13593"/>
    <cellStyle name="Note 3 12 4 5" xfId="13594"/>
    <cellStyle name="Note 3 12 4 6" xfId="13595"/>
    <cellStyle name="Note 3 12 4 7" xfId="13596"/>
    <cellStyle name="Note 3 12 4_DeltaViewer" xfId="13597"/>
    <cellStyle name="Note 3 12 5" xfId="13598"/>
    <cellStyle name="Note 3 12 5 2" xfId="13599"/>
    <cellStyle name="Note 3 12 5 3" xfId="13600"/>
    <cellStyle name="Note 3 12 5 4" xfId="13601"/>
    <cellStyle name="Note 3 12 5 5" xfId="13602"/>
    <cellStyle name="Note 3 12 5 6" xfId="13603"/>
    <cellStyle name="Note 3 12 5_DeltaViewer" xfId="13604"/>
    <cellStyle name="Note 3 12 6" xfId="13605"/>
    <cellStyle name="Note 3 12 7" xfId="13606"/>
    <cellStyle name="Note 3 12 8" xfId="13607"/>
    <cellStyle name="Note 3 12 9" xfId="13608"/>
    <cellStyle name="Note 3 12_DeltaViewer" xfId="13609"/>
    <cellStyle name="Note 3 13" xfId="13610"/>
    <cellStyle name="Note 3 13 10" xfId="13611"/>
    <cellStyle name="Note 3 13 2" xfId="13612"/>
    <cellStyle name="Note 3 13 2 2" xfId="13613"/>
    <cellStyle name="Note 3 13 2 2 2" xfId="13614"/>
    <cellStyle name="Note 3 13 2 2 2 2" xfId="13615"/>
    <cellStyle name="Note 3 13 2 2 2 3" xfId="13616"/>
    <cellStyle name="Note 3 13 2 2 2 4" xfId="13617"/>
    <cellStyle name="Note 3 13 2 2 2 5" xfId="13618"/>
    <cellStyle name="Note 3 13 2 2 2 6" xfId="13619"/>
    <cellStyle name="Note 3 13 2 2 2_DeltaViewer" xfId="13620"/>
    <cellStyle name="Note 3 13 2 2 3" xfId="13621"/>
    <cellStyle name="Note 3 13 2 2 4" xfId="13622"/>
    <cellStyle name="Note 3 13 2 2 5" xfId="13623"/>
    <cellStyle name="Note 3 13 2 2 6" xfId="13624"/>
    <cellStyle name="Note 3 13 2 2 7" xfId="13625"/>
    <cellStyle name="Note 3 13 2 2_DeltaViewer" xfId="13626"/>
    <cellStyle name="Note 3 13 2 3" xfId="13627"/>
    <cellStyle name="Note 3 13 2 3 2" xfId="13628"/>
    <cellStyle name="Note 3 13 2 3 3" xfId="13629"/>
    <cellStyle name="Note 3 13 2 3 4" xfId="13630"/>
    <cellStyle name="Note 3 13 2 3 5" xfId="13631"/>
    <cellStyle name="Note 3 13 2 3 6" xfId="13632"/>
    <cellStyle name="Note 3 13 2 3_DeltaViewer" xfId="13633"/>
    <cellStyle name="Note 3 13 2 4" xfId="13634"/>
    <cellStyle name="Note 3 13 2 5" xfId="13635"/>
    <cellStyle name="Note 3 13 2 6" xfId="13636"/>
    <cellStyle name="Note 3 13 2 7" xfId="13637"/>
    <cellStyle name="Note 3 13 2 8" xfId="13638"/>
    <cellStyle name="Note 3 13 2_DeltaViewer" xfId="13639"/>
    <cellStyle name="Note 3 13 3" xfId="13640"/>
    <cellStyle name="Note 3 13 3 2" xfId="13641"/>
    <cellStyle name="Note 3 13 3 2 2" xfId="13642"/>
    <cellStyle name="Note 3 13 3 2 2 2" xfId="13643"/>
    <cellStyle name="Note 3 13 3 2 2 3" xfId="13644"/>
    <cellStyle name="Note 3 13 3 2 2 4" xfId="13645"/>
    <cellStyle name="Note 3 13 3 2 2 5" xfId="13646"/>
    <cellStyle name="Note 3 13 3 2 2 6" xfId="13647"/>
    <cellStyle name="Note 3 13 3 2 2_DeltaViewer" xfId="13648"/>
    <cellStyle name="Note 3 13 3 2 3" xfId="13649"/>
    <cellStyle name="Note 3 13 3 2 4" xfId="13650"/>
    <cellStyle name="Note 3 13 3 2 5" xfId="13651"/>
    <cellStyle name="Note 3 13 3 2 6" xfId="13652"/>
    <cellStyle name="Note 3 13 3 2 7" xfId="13653"/>
    <cellStyle name="Note 3 13 3 2_DeltaViewer" xfId="13654"/>
    <cellStyle name="Note 3 13 3 3" xfId="13655"/>
    <cellStyle name="Note 3 13 3 3 2" xfId="13656"/>
    <cellStyle name="Note 3 13 3 3 3" xfId="13657"/>
    <cellStyle name="Note 3 13 3 3 4" xfId="13658"/>
    <cellStyle name="Note 3 13 3 3 5" xfId="13659"/>
    <cellStyle name="Note 3 13 3 3 6" xfId="13660"/>
    <cellStyle name="Note 3 13 3 3_DeltaViewer" xfId="13661"/>
    <cellStyle name="Note 3 13 3 4" xfId="13662"/>
    <cellStyle name="Note 3 13 3 5" xfId="13663"/>
    <cellStyle name="Note 3 13 3 6" xfId="13664"/>
    <cellStyle name="Note 3 13 3 7" xfId="13665"/>
    <cellStyle name="Note 3 13 3 8" xfId="13666"/>
    <cellStyle name="Note 3 13 3_DeltaViewer" xfId="13667"/>
    <cellStyle name="Note 3 13 4" xfId="13668"/>
    <cellStyle name="Note 3 13 4 2" xfId="13669"/>
    <cellStyle name="Note 3 13 4 2 2" xfId="13670"/>
    <cellStyle name="Note 3 13 4 2 3" xfId="13671"/>
    <cellStyle name="Note 3 13 4 2 4" xfId="13672"/>
    <cellStyle name="Note 3 13 4 2 5" xfId="13673"/>
    <cellStyle name="Note 3 13 4 2 6" xfId="13674"/>
    <cellStyle name="Note 3 13 4 2_DeltaViewer" xfId="13675"/>
    <cellStyle name="Note 3 13 4 3" xfId="13676"/>
    <cellStyle name="Note 3 13 4 4" xfId="13677"/>
    <cellStyle name="Note 3 13 4 5" xfId="13678"/>
    <cellStyle name="Note 3 13 4 6" xfId="13679"/>
    <cellStyle name="Note 3 13 4 7" xfId="13680"/>
    <cellStyle name="Note 3 13 4_DeltaViewer" xfId="13681"/>
    <cellStyle name="Note 3 13 5" xfId="13682"/>
    <cellStyle name="Note 3 13 5 2" xfId="13683"/>
    <cellStyle name="Note 3 13 5 3" xfId="13684"/>
    <cellStyle name="Note 3 13 5 4" xfId="13685"/>
    <cellStyle name="Note 3 13 5 5" xfId="13686"/>
    <cellStyle name="Note 3 13 5 6" xfId="13687"/>
    <cellStyle name="Note 3 13 5_DeltaViewer" xfId="13688"/>
    <cellStyle name="Note 3 13 6" xfId="13689"/>
    <cellStyle name="Note 3 13 7" xfId="13690"/>
    <cellStyle name="Note 3 13 8" xfId="13691"/>
    <cellStyle name="Note 3 13 9" xfId="13692"/>
    <cellStyle name="Note 3 13_DeltaViewer" xfId="13693"/>
    <cellStyle name="Note 3 14" xfId="13694"/>
    <cellStyle name="Note 3 14 2" xfId="13695"/>
    <cellStyle name="Note 3 14 2 2" xfId="13696"/>
    <cellStyle name="Note 3 14 2 2 2" xfId="13697"/>
    <cellStyle name="Note 3 14 2 2 3" xfId="13698"/>
    <cellStyle name="Note 3 14 2 2 4" xfId="13699"/>
    <cellStyle name="Note 3 14 2 2 5" xfId="13700"/>
    <cellStyle name="Note 3 14 2 2 6" xfId="13701"/>
    <cellStyle name="Note 3 14 2 2_DeltaViewer" xfId="13702"/>
    <cellStyle name="Note 3 14 2 3" xfId="13703"/>
    <cellStyle name="Note 3 14 2 4" xfId="13704"/>
    <cellStyle name="Note 3 14 2 5" xfId="13705"/>
    <cellStyle name="Note 3 14 2 6" xfId="13706"/>
    <cellStyle name="Note 3 14 2 7" xfId="13707"/>
    <cellStyle name="Note 3 14 2_DeltaViewer" xfId="13708"/>
    <cellStyle name="Note 3 14 3" xfId="13709"/>
    <cellStyle name="Note 3 14 3 2" xfId="13710"/>
    <cellStyle name="Note 3 14 3 3" xfId="13711"/>
    <cellStyle name="Note 3 14 3 4" xfId="13712"/>
    <cellStyle name="Note 3 14 3 5" xfId="13713"/>
    <cellStyle name="Note 3 14 3 6" xfId="13714"/>
    <cellStyle name="Note 3 14 3_DeltaViewer" xfId="13715"/>
    <cellStyle name="Note 3 14 4" xfId="13716"/>
    <cellStyle name="Note 3 14 5" xfId="13717"/>
    <cellStyle name="Note 3 14 6" xfId="13718"/>
    <cellStyle name="Note 3 14 7" xfId="13719"/>
    <cellStyle name="Note 3 14 8" xfId="13720"/>
    <cellStyle name="Note 3 14_DeltaViewer" xfId="13721"/>
    <cellStyle name="Note 3 15" xfId="13722"/>
    <cellStyle name="Note 3 15 2" xfId="13723"/>
    <cellStyle name="Note 3 15 2 2" xfId="13724"/>
    <cellStyle name="Note 3 15 2 2 2" xfId="13725"/>
    <cellStyle name="Note 3 15 2 2 3" xfId="13726"/>
    <cellStyle name="Note 3 15 2 2 4" xfId="13727"/>
    <cellStyle name="Note 3 15 2 2 5" xfId="13728"/>
    <cellStyle name="Note 3 15 2 2 6" xfId="13729"/>
    <cellStyle name="Note 3 15 2 2_DeltaViewer" xfId="13730"/>
    <cellStyle name="Note 3 15 2 3" xfId="13731"/>
    <cellStyle name="Note 3 15 2 4" xfId="13732"/>
    <cellStyle name="Note 3 15 2 5" xfId="13733"/>
    <cellStyle name="Note 3 15 2 6" xfId="13734"/>
    <cellStyle name="Note 3 15 2 7" xfId="13735"/>
    <cellStyle name="Note 3 15 2_DeltaViewer" xfId="13736"/>
    <cellStyle name="Note 3 15 3" xfId="13737"/>
    <cellStyle name="Note 3 15 3 2" xfId="13738"/>
    <cellStyle name="Note 3 15 3 3" xfId="13739"/>
    <cellStyle name="Note 3 15 3 4" xfId="13740"/>
    <cellStyle name="Note 3 15 3 5" xfId="13741"/>
    <cellStyle name="Note 3 15 3 6" xfId="13742"/>
    <cellStyle name="Note 3 15 3_DeltaViewer" xfId="13743"/>
    <cellStyle name="Note 3 15 4" xfId="13744"/>
    <cellStyle name="Note 3 15 5" xfId="13745"/>
    <cellStyle name="Note 3 15 6" xfId="13746"/>
    <cellStyle name="Note 3 15 7" xfId="13747"/>
    <cellStyle name="Note 3 15 8" xfId="13748"/>
    <cellStyle name="Note 3 15_DeltaViewer" xfId="13749"/>
    <cellStyle name="Note 3 16" xfId="13750"/>
    <cellStyle name="Note 3 16 2" xfId="13751"/>
    <cellStyle name="Note 3 16 2 2" xfId="13752"/>
    <cellStyle name="Note 3 16 2 3" xfId="13753"/>
    <cellStyle name="Note 3 16 2 4" xfId="13754"/>
    <cellStyle name="Note 3 16 2 5" xfId="13755"/>
    <cellStyle name="Note 3 16 2 6" xfId="13756"/>
    <cellStyle name="Note 3 16 2_DeltaViewer" xfId="13757"/>
    <cellStyle name="Note 3 16 3" xfId="13758"/>
    <cellStyle name="Note 3 16 4" xfId="13759"/>
    <cellStyle name="Note 3 16 5" xfId="13760"/>
    <cellStyle name="Note 3 16 6" xfId="13761"/>
    <cellStyle name="Note 3 16 7" xfId="13762"/>
    <cellStyle name="Note 3 16_DeltaViewer" xfId="13763"/>
    <cellStyle name="Note 3 17" xfId="13764"/>
    <cellStyle name="Note 3 17 2" xfId="13765"/>
    <cellStyle name="Note 3 17 2 2" xfId="13766"/>
    <cellStyle name="Note 3 17 2 2 2" xfId="13767"/>
    <cellStyle name="Note 3 17 2 2 3" xfId="13768"/>
    <cellStyle name="Note 3 17 2 2 4" xfId="13769"/>
    <cellStyle name="Note 3 17 2 2 5" xfId="13770"/>
    <cellStyle name="Note 3 17 2 2 6" xfId="13771"/>
    <cellStyle name="Note 3 17 2 2_DeltaViewer" xfId="13772"/>
    <cellStyle name="Note 3 17 2 3" xfId="13773"/>
    <cellStyle name="Note 3 17 2 4" xfId="13774"/>
    <cellStyle name="Note 3 17 2 5" xfId="13775"/>
    <cellStyle name="Note 3 17 2 6" xfId="13776"/>
    <cellStyle name="Note 3 17 2 7" xfId="13777"/>
    <cellStyle name="Note 3 17 2_DeltaViewer" xfId="13778"/>
    <cellStyle name="Note 3 17 3" xfId="13779"/>
    <cellStyle name="Note 3 17 3 2" xfId="13780"/>
    <cellStyle name="Note 3 17 3 3" xfId="13781"/>
    <cellStyle name="Note 3 17 3 4" xfId="13782"/>
    <cellStyle name="Note 3 17 3 5" xfId="13783"/>
    <cellStyle name="Note 3 17 3 6" xfId="13784"/>
    <cellStyle name="Note 3 17 3_DeltaViewer" xfId="13785"/>
    <cellStyle name="Note 3 17 4" xfId="13786"/>
    <cellStyle name="Note 3 17 5" xfId="13787"/>
    <cellStyle name="Note 3 17 6" xfId="13788"/>
    <cellStyle name="Note 3 17 7" xfId="13789"/>
    <cellStyle name="Note 3 17 8" xfId="13790"/>
    <cellStyle name="Note 3 17_DeltaViewer" xfId="13791"/>
    <cellStyle name="Note 3 18" xfId="13792"/>
    <cellStyle name="Note 3 18 2" xfId="13793"/>
    <cellStyle name="Note 3 18 2 2" xfId="13794"/>
    <cellStyle name="Note 3 18 2 2 2" xfId="13795"/>
    <cellStyle name="Note 3 18 2 2 3" xfId="13796"/>
    <cellStyle name="Note 3 18 2 2 4" xfId="13797"/>
    <cellStyle name="Note 3 18 2 2 5" xfId="13798"/>
    <cellStyle name="Note 3 18 2 2 6" xfId="13799"/>
    <cellStyle name="Note 3 18 2 2_DeltaViewer" xfId="13800"/>
    <cellStyle name="Note 3 18 2 3" xfId="13801"/>
    <cellStyle name="Note 3 18 2 4" xfId="13802"/>
    <cellStyle name="Note 3 18 2 5" xfId="13803"/>
    <cellStyle name="Note 3 18 2 6" xfId="13804"/>
    <cellStyle name="Note 3 18 2 7" xfId="13805"/>
    <cellStyle name="Note 3 18 2_DeltaViewer" xfId="13806"/>
    <cellStyle name="Note 3 18 3" xfId="13807"/>
    <cellStyle name="Note 3 18 3 2" xfId="13808"/>
    <cellStyle name="Note 3 18 3 3" xfId="13809"/>
    <cellStyle name="Note 3 18 3 4" xfId="13810"/>
    <cellStyle name="Note 3 18 3 5" xfId="13811"/>
    <cellStyle name="Note 3 18 3 6" xfId="13812"/>
    <cellStyle name="Note 3 18 3_DeltaViewer" xfId="13813"/>
    <cellStyle name="Note 3 18 4" xfId="13814"/>
    <cellStyle name="Note 3 18 5" xfId="13815"/>
    <cellStyle name="Note 3 18 6" xfId="13816"/>
    <cellStyle name="Note 3 18 7" xfId="13817"/>
    <cellStyle name="Note 3 18 8" xfId="13818"/>
    <cellStyle name="Note 3 18_DeltaViewer" xfId="13819"/>
    <cellStyle name="Note 3 19" xfId="13820"/>
    <cellStyle name="Note 3 19 2" xfId="13821"/>
    <cellStyle name="Note 3 19 2 2" xfId="13822"/>
    <cellStyle name="Note 3 19 2 2 2" xfId="13823"/>
    <cellStyle name="Note 3 19 2 2 3" xfId="13824"/>
    <cellStyle name="Note 3 19 2 2 4" xfId="13825"/>
    <cellStyle name="Note 3 19 2 2 5" xfId="13826"/>
    <cellStyle name="Note 3 19 2 2 6" xfId="13827"/>
    <cellStyle name="Note 3 19 2 2_DeltaViewer" xfId="13828"/>
    <cellStyle name="Note 3 19 2 3" xfId="13829"/>
    <cellStyle name="Note 3 19 2 4" xfId="13830"/>
    <cellStyle name="Note 3 19 2 5" xfId="13831"/>
    <cellStyle name="Note 3 19 2 6" xfId="13832"/>
    <cellStyle name="Note 3 19 2 7" xfId="13833"/>
    <cellStyle name="Note 3 19 2_DeltaViewer" xfId="13834"/>
    <cellStyle name="Note 3 19 3" xfId="13835"/>
    <cellStyle name="Note 3 19 3 2" xfId="13836"/>
    <cellStyle name="Note 3 19 3 3" xfId="13837"/>
    <cellStyle name="Note 3 19 3 4" xfId="13838"/>
    <cellStyle name="Note 3 19 3 5" xfId="13839"/>
    <cellStyle name="Note 3 19 3 6" xfId="13840"/>
    <cellStyle name="Note 3 19 3_DeltaViewer" xfId="13841"/>
    <cellStyle name="Note 3 19 4" xfId="13842"/>
    <cellStyle name="Note 3 19 5" xfId="13843"/>
    <cellStyle name="Note 3 19 6" xfId="13844"/>
    <cellStyle name="Note 3 19 7" xfId="13845"/>
    <cellStyle name="Note 3 19 8" xfId="13846"/>
    <cellStyle name="Note 3 19_DeltaViewer" xfId="13847"/>
    <cellStyle name="Note 3 2" xfId="13848"/>
    <cellStyle name="Note 3 2 10" xfId="13849"/>
    <cellStyle name="Note 3 2 11" xfId="13850"/>
    <cellStyle name="Note 3 2 2" xfId="13851"/>
    <cellStyle name="Note 3 2 2 2" xfId="13852"/>
    <cellStyle name="Note 3 2 2 2 2" xfId="13853"/>
    <cellStyle name="Note 3 2 2 2 2 2" xfId="13854"/>
    <cellStyle name="Note 3 2 2 2 2 3" xfId="13855"/>
    <cellStyle name="Note 3 2 2 2 2 4" xfId="13856"/>
    <cellStyle name="Note 3 2 2 2 2 5" xfId="13857"/>
    <cellStyle name="Note 3 2 2 2 2 6" xfId="13858"/>
    <cellStyle name="Note 3 2 2 2 2_DeltaViewer" xfId="13859"/>
    <cellStyle name="Note 3 2 2 2 3" xfId="13860"/>
    <cellStyle name="Note 3 2 2 2 4" xfId="13861"/>
    <cellStyle name="Note 3 2 2 2 5" xfId="13862"/>
    <cellStyle name="Note 3 2 2 2 6" xfId="13863"/>
    <cellStyle name="Note 3 2 2 2 7" xfId="13864"/>
    <cellStyle name="Note 3 2 2 2_DeltaViewer" xfId="13865"/>
    <cellStyle name="Note 3 2 2 3" xfId="13866"/>
    <cellStyle name="Note 3 2 2 3 2" xfId="13867"/>
    <cellStyle name="Note 3 2 2 3 2 2" xfId="13868"/>
    <cellStyle name="Note 3 2 2 3 2 3" xfId="13869"/>
    <cellStyle name="Note 3 2 2 3 2 4" xfId="13870"/>
    <cellStyle name="Note 3 2 2 3 2 5" xfId="13871"/>
    <cellStyle name="Note 3 2 2 3 2 6" xfId="13872"/>
    <cellStyle name="Note 3 2 2 3 2_DeltaViewer" xfId="13873"/>
    <cellStyle name="Note 3 2 2 3 3" xfId="13874"/>
    <cellStyle name="Note 3 2 2 3 4" xfId="13875"/>
    <cellStyle name="Note 3 2 2 3 5" xfId="13876"/>
    <cellStyle name="Note 3 2 2 3 6" xfId="13877"/>
    <cellStyle name="Note 3 2 2 3 7" xfId="13878"/>
    <cellStyle name="Note 3 2 2 3_DeltaViewer" xfId="13879"/>
    <cellStyle name="Note 3 2 2 4" xfId="13880"/>
    <cellStyle name="Note 3 2 2 4 2" xfId="13881"/>
    <cellStyle name="Note 3 2 2 4 3" xfId="13882"/>
    <cellStyle name="Note 3 2 2 4 4" xfId="13883"/>
    <cellStyle name="Note 3 2 2 4 5" xfId="13884"/>
    <cellStyle name="Note 3 2 2 4 6" xfId="13885"/>
    <cellStyle name="Note 3 2 2 4_DeltaViewer" xfId="13886"/>
    <cellStyle name="Note 3 2 2 5" xfId="13887"/>
    <cellStyle name="Note 3 2 2 6" xfId="13888"/>
    <cellStyle name="Note 3 2 2 7" xfId="13889"/>
    <cellStyle name="Note 3 2 2 8" xfId="13890"/>
    <cellStyle name="Note 3 2 2 9" xfId="13891"/>
    <cellStyle name="Note 3 2 2_DeltaViewer" xfId="13892"/>
    <cellStyle name="Note 3 2 3" xfId="13893"/>
    <cellStyle name="Note 3 2 3 2" xfId="13894"/>
    <cellStyle name="Note 3 2 3 2 2" xfId="13895"/>
    <cellStyle name="Note 3 2 3 2 2 2" xfId="13896"/>
    <cellStyle name="Note 3 2 3 2 2 3" xfId="13897"/>
    <cellStyle name="Note 3 2 3 2 2 4" xfId="13898"/>
    <cellStyle name="Note 3 2 3 2 2 5" xfId="13899"/>
    <cellStyle name="Note 3 2 3 2 2 6" xfId="13900"/>
    <cellStyle name="Note 3 2 3 2 2_DeltaViewer" xfId="13901"/>
    <cellStyle name="Note 3 2 3 2 3" xfId="13902"/>
    <cellStyle name="Note 3 2 3 2 4" xfId="13903"/>
    <cellStyle name="Note 3 2 3 2 5" xfId="13904"/>
    <cellStyle name="Note 3 2 3 2 6" xfId="13905"/>
    <cellStyle name="Note 3 2 3 2 7" xfId="13906"/>
    <cellStyle name="Note 3 2 3 2_DeltaViewer" xfId="13907"/>
    <cellStyle name="Note 3 2 3 3" xfId="13908"/>
    <cellStyle name="Note 3 2 3 3 2" xfId="13909"/>
    <cellStyle name="Note 3 2 3 3 3" xfId="13910"/>
    <cellStyle name="Note 3 2 3 3 4" xfId="13911"/>
    <cellStyle name="Note 3 2 3 3 5" xfId="13912"/>
    <cellStyle name="Note 3 2 3 3 6" xfId="13913"/>
    <cellStyle name="Note 3 2 3 3_DeltaViewer" xfId="13914"/>
    <cellStyle name="Note 3 2 3 4" xfId="13915"/>
    <cellStyle name="Note 3 2 3 5" xfId="13916"/>
    <cellStyle name="Note 3 2 3 6" xfId="13917"/>
    <cellStyle name="Note 3 2 3 7" xfId="13918"/>
    <cellStyle name="Note 3 2 3 8" xfId="13919"/>
    <cellStyle name="Note 3 2 3_DeltaViewer" xfId="13920"/>
    <cellStyle name="Note 3 2 4" xfId="13921"/>
    <cellStyle name="Note 3 2 4 2" xfId="13922"/>
    <cellStyle name="Note 3 2 4 2 2" xfId="13923"/>
    <cellStyle name="Note 3 2 4 2 3" xfId="13924"/>
    <cellStyle name="Note 3 2 4 2 4" xfId="13925"/>
    <cellStyle name="Note 3 2 4 2 5" xfId="13926"/>
    <cellStyle name="Note 3 2 4 2 6" xfId="13927"/>
    <cellStyle name="Note 3 2 4 2_DeltaViewer" xfId="13928"/>
    <cellStyle name="Note 3 2 4 3" xfId="13929"/>
    <cellStyle name="Note 3 2 4 4" xfId="13930"/>
    <cellStyle name="Note 3 2 4 5" xfId="13931"/>
    <cellStyle name="Note 3 2 4 6" xfId="13932"/>
    <cellStyle name="Note 3 2 4 7" xfId="13933"/>
    <cellStyle name="Note 3 2 4_DeltaViewer" xfId="13934"/>
    <cellStyle name="Note 3 2 5" xfId="13935"/>
    <cellStyle name="Note 3 2 5 2" xfId="13936"/>
    <cellStyle name="Note 3 2 5 2 2" xfId="13937"/>
    <cellStyle name="Note 3 2 5 2 3" xfId="13938"/>
    <cellStyle name="Note 3 2 5 2 4" xfId="13939"/>
    <cellStyle name="Note 3 2 5 2 5" xfId="13940"/>
    <cellStyle name="Note 3 2 5 2 6" xfId="13941"/>
    <cellStyle name="Note 3 2 5 2_DeltaViewer" xfId="13942"/>
    <cellStyle name="Note 3 2 5 3" xfId="13943"/>
    <cellStyle name="Note 3 2 5 4" xfId="13944"/>
    <cellStyle name="Note 3 2 5 5" xfId="13945"/>
    <cellStyle name="Note 3 2 5 6" xfId="13946"/>
    <cellStyle name="Note 3 2 5 7" xfId="13947"/>
    <cellStyle name="Note 3 2 5_DeltaViewer" xfId="13948"/>
    <cellStyle name="Note 3 2 6" xfId="13949"/>
    <cellStyle name="Note 3 2 6 2" xfId="13950"/>
    <cellStyle name="Note 3 2 6 3" xfId="13951"/>
    <cellStyle name="Note 3 2 6 4" xfId="13952"/>
    <cellStyle name="Note 3 2 6 5" xfId="13953"/>
    <cellStyle name="Note 3 2 6 6" xfId="13954"/>
    <cellStyle name="Note 3 2 6_DeltaViewer" xfId="13955"/>
    <cellStyle name="Note 3 2 7" xfId="13956"/>
    <cellStyle name="Note 3 2 8" xfId="13957"/>
    <cellStyle name="Note 3 2 9" xfId="13958"/>
    <cellStyle name="Note 3 2_DeltaViewer" xfId="13959"/>
    <cellStyle name="Note 3 20" xfId="13960"/>
    <cellStyle name="Note 3 20 2" xfId="13961"/>
    <cellStyle name="Note 3 20 2 2" xfId="13962"/>
    <cellStyle name="Note 3 20 2 3" xfId="13963"/>
    <cellStyle name="Note 3 20 2 4" xfId="13964"/>
    <cellStyle name="Note 3 20 2 5" xfId="13965"/>
    <cellStyle name="Note 3 20 2 6" xfId="13966"/>
    <cellStyle name="Note 3 20 2_DeltaViewer" xfId="13967"/>
    <cellStyle name="Note 3 20 3" xfId="13968"/>
    <cellStyle name="Note 3 20 4" xfId="13969"/>
    <cellStyle name="Note 3 20 5" xfId="13970"/>
    <cellStyle name="Note 3 20 6" xfId="13971"/>
    <cellStyle name="Note 3 20 7" xfId="13972"/>
    <cellStyle name="Note 3 20_DeltaViewer" xfId="13973"/>
    <cellStyle name="Note 3 21" xfId="13974"/>
    <cellStyle name="Note 3 21 2" xfId="13975"/>
    <cellStyle name="Note 3 21 3" xfId="13976"/>
    <cellStyle name="Note 3 21 4" xfId="13977"/>
    <cellStyle name="Note 3 21 5" xfId="13978"/>
    <cellStyle name="Note 3 21 6" xfId="13979"/>
    <cellStyle name="Note 3 21_DeltaViewer" xfId="13980"/>
    <cellStyle name="Note 3 22" xfId="13981"/>
    <cellStyle name="Note 3 23" xfId="13982"/>
    <cellStyle name="Note 3 24" xfId="13983"/>
    <cellStyle name="Note 3 25" xfId="13984"/>
    <cellStyle name="Note 3 26" xfId="13985"/>
    <cellStyle name="Note 3 27" xfId="21699"/>
    <cellStyle name="Note 3 28" xfId="24065"/>
    <cellStyle name="Note 3 29" xfId="24375"/>
    <cellStyle name="Note 3 3" xfId="13986"/>
    <cellStyle name="Note 3 3 10" xfId="13987"/>
    <cellStyle name="Note 3 3 11" xfId="13988"/>
    <cellStyle name="Note 3 3 12" xfId="13989"/>
    <cellStyle name="Note 3 3 13" xfId="13990"/>
    <cellStyle name="Note 3 3 2" xfId="13991"/>
    <cellStyle name="Note 3 3 2 10" xfId="13992"/>
    <cellStyle name="Note 3 3 2 11" xfId="13993"/>
    <cellStyle name="Note 3 3 2 2" xfId="13994"/>
    <cellStyle name="Note 3 3 2 2 2" xfId="13995"/>
    <cellStyle name="Note 3 3 2 2 2 2" xfId="13996"/>
    <cellStyle name="Note 3 3 2 2 2 2 2" xfId="13997"/>
    <cellStyle name="Note 3 3 2 2 2 2 3" xfId="13998"/>
    <cellStyle name="Note 3 3 2 2 2 2 4" xfId="13999"/>
    <cellStyle name="Note 3 3 2 2 2 2 5" xfId="14000"/>
    <cellStyle name="Note 3 3 2 2 2 2 6" xfId="14001"/>
    <cellStyle name="Note 3 3 2 2 2 2_DeltaViewer" xfId="14002"/>
    <cellStyle name="Note 3 3 2 2 2 3" xfId="14003"/>
    <cellStyle name="Note 3 3 2 2 2 4" xfId="14004"/>
    <cellStyle name="Note 3 3 2 2 2 5" xfId="14005"/>
    <cellStyle name="Note 3 3 2 2 2 6" xfId="14006"/>
    <cellStyle name="Note 3 3 2 2 2 7" xfId="14007"/>
    <cellStyle name="Note 3 3 2 2 2_DeltaViewer" xfId="14008"/>
    <cellStyle name="Note 3 3 2 2 3" xfId="14009"/>
    <cellStyle name="Note 3 3 2 2 3 2" xfId="14010"/>
    <cellStyle name="Note 3 3 2 2 3 3" xfId="14011"/>
    <cellStyle name="Note 3 3 2 2 3 4" xfId="14012"/>
    <cellStyle name="Note 3 3 2 2 3 5" xfId="14013"/>
    <cellStyle name="Note 3 3 2 2 3 6" xfId="14014"/>
    <cellStyle name="Note 3 3 2 2 3_DeltaViewer" xfId="14015"/>
    <cellStyle name="Note 3 3 2 2 4" xfId="14016"/>
    <cellStyle name="Note 3 3 2 2 5" xfId="14017"/>
    <cellStyle name="Note 3 3 2 2 6" xfId="14018"/>
    <cellStyle name="Note 3 3 2 2 7" xfId="14019"/>
    <cellStyle name="Note 3 3 2 2 8" xfId="14020"/>
    <cellStyle name="Note 3 3 2 2_DeltaViewer" xfId="14021"/>
    <cellStyle name="Note 3 3 2 3" xfId="14022"/>
    <cellStyle name="Note 3 3 2 3 2" xfId="14023"/>
    <cellStyle name="Note 3 3 2 3 2 2" xfId="14024"/>
    <cellStyle name="Note 3 3 2 3 2 2 2" xfId="14025"/>
    <cellStyle name="Note 3 3 2 3 2 2 3" xfId="14026"/>
    <cellStyle name="Note 3 3 2 3 2 2 4" xfId="14027"/>
    <cellStyle name="Note 3 3 2 3 2 2 5" xfId="14028"/>
    <cellStyle name="Note 3 3 2 3 2 2 6" xfId="14029"/>
    <cellStyle name="Note 3 3 2 3 2 2_DeltaViewer" xfId="14030"/>
    <cellStyle name="Note 3 3 2 3 2 3" xfId="14031"/>
    <cellStyle name="Note 3 3 2 3 2 4" xfId="14032"/>
    <cellStyle name="Note 3 3 2 3 2 5" xfId="14033"/>
    <cellStyle name="Note 3 3 2 3 2 6" xfId="14034"/>
    <cellStyle name="Note 3 3 2 3 2 7" xfId="14035"/>
    <cellStyle name="Note 3 3 2 3 2_DeltaViewer" xfId="14036"/>
    <cellStyle name="Note 3 3 2 3 3" xfId="14037"/>
    <cellStyle name="Note 3 3 2 3 3 2" xfId="14038"/>
    <cellStyle name="Note 3 3 2 3 3 3" xfId="14039"/>
    <cellStyle name="Note 3 3 2 3 3 4" xfId="14040"/>
    <cellStyle name="Note 3 3 2 3 3 5" xfId="14041"/>
    <cellStyle name="Note 3 3 2 3 3 6" xfId="14042"/>
    <cellStyle name="Note 3 3 2 3 3_DeltaViewer" xfId="14043"/>
    <cellStyle name="Note 3 3 2 3 4" xfId="14044"/>
    <cellStyle name="Note 3 3 2 3 5" xfId="14045"/>
    <cellStyle name="Note 3 3 2 3 6" xfId="14046"/>
    <cellStyle name="Note 3 3 2 3 7" xfId="14047"/>
    <cellStyle name="Note 3 3 2 3 8" xfId="14048"/>
    <cellStyle name="Note 3 3 2 3_DeltaViewer" xfId="14049"/>
    <cellStyle name="Note 3 3 2 4" xfId="14050"/>
    <cellStyle name="Note 3 3 2 4 2" xfId="14051"/>
    <cellStyle name="Note 3 3 2 4 2 2" xfId="14052"/>
    <cellStyle name="Note 3 3 2 4 2 3" xfId="14053"/>
    <cellStyle name="Note 3 3 2 4 2 4" xfId="14054"/>
    <cellStyle name="Note 3 3 2 4 2 5" xfId="14055"/>
    <cellStyle name="Note 3 3 2 4 2 6" xfId="14056"/>
    <cellStyle name="Note 3 3 2 4 2_DeltaViewer" xfId="14057"/>
    <cellStyle name="Note 3 3 2 4 3" xfId="14058"/>
    <cellStyle name="Note 3 3 2 4 4" xfId="14059"/>
    <cellStyle name="Note 3 3 2 4 5" xfId="14060"/>
    <cellStyle name="Note 3 3 2 4 6" xfId="14061"/>
    <cellStyle name="Note 3 3 2 4 7" xfId="14062"/>
    <cellStyle name="Note 3 3 2 4_DeltaViewer" xfId="14063"/>
    <cellStyle name="Note 3 3 2 5" xfId="14064"/>
    <cellStyle name="Note 3 3 2 5 2" xfId="14065"/>
    <cellStyle name="Note 3 3 2 5 2 2" xfId="14066"/>
    <cellStyle name="Note 3 3 2 5 2 3" xfId="14067"/>
    <cellStyle name="Note 3 3 2 5 2 4" xfId="14068"/>
    <cellStyle name="Note 3 3 2 5 2 5" xfId="14069"/>
    <cellStyle name="Note 3 3 2 5 2 6" xfId="14070"/>
    <cellStyle name="Note 3 3 2 5 2_DeltaViewer" xfId="14071"/>
    <cellStyle name="Note 3 3 2 5 3" xfId="14072"/>
    <cellStyle name="Note 3 3 2 5 4" xfId="14073"/>
    <cellStyle name="Note 3 3 2 5 5" xfId="14074"/>
    <cellStyle name="Note 3 3 2 5 6" xfId="14075"/>
    <cellStyle name="Note 3 3 2 5 7" xfId="14076"/>
    <cellStyle name="Note 3 3 2 5_DeltaViewer" xfId="14077"/>
    <cellStyle name="Note 3 3 2 6" xfId="14078"/>
    <cellStyle name="Note 3 3 2 6 2" xfId="14079"/>
    <cellStyle name="Note 3 3 2 6 3" xfId="14080"/>
    <cellStyle name="Note 3 3 2 6 4" xfId="14081"/>
    <cellStyle name="Note 3 3 2 6 5" xfId="14082"/>
    <cellStyle name="Note 3 3 2 6 6" xfId="14083"/>
    <cellStyle name="Note 3 3 2 6_DeltaViewer" xfId="14084"/>
    <cellStyle name="Note 3 3 2 7" xfId="14085"/>
    <cellStyle name="Note 3 3 2 8" xfId="14086"/>
    <cellStyle name="Note 3 3 2 9" xfId="14087"/>
    <cellStyle name="Note 3 3 2_DeltaViewer" xfId="14088"/>
    <cellStyle name="Note 3 3 3" xfId="14089"/>
    <cellStyle name="Note 3 3 3 2" xfId="14090"/>
    <cellStyle name="Note 3 3 3 2 2" xfId="14091"/>
    <cellStyle name="Note 3 3 3 2 2 2" xfId="14092"/>
    <cellStyle name="Note 3 3 3 2 2 3" xfId="14093"/>
    <cellStyle name="Note 3 3 3 2 2 4" xfId="14094"/>
    <cellStyle name="Note 3 3 3 2 2 5" xfId="14095"/>
    <cellStyle name="Note 3 3 3 2 2 6" xfId="14096"/>
    <cellStyle name="Note 3 3 3 2 2_DeltaViewer" xfId="14097"/>
    <cellStyle name="Note 3 3 3 2 3" xfId="14098"/>
    <cellStyle name="Note 3 3 3 2 4" xfId="14099"/>
    <cellStyle name="Note 3 3 3 2 5" xfId="14100"/>
    <cellStyle name="Note 3 3 3 2 6" xfId="14101"/>
    <cellStyle name="Note 3 3 3 2 7" xfId="14102"/>
    <cellStyle name="Note 3 3 3 2_DeltaViewer" xfId="14103"/>
    <cellStyle name="Note 3 3 3 3" xfId="14104"/>
    <cellStyle name="Note 3 3 3 3 2" xfId="14105"/>
    <cellStyle name="Note 3 3 3 3 2 2" xfId="14106"/>
    <cellStyle name="Note 3 3 3 3 2 3" xfId="14107"/>
    <cellStyle name="Note 3 3 3 3 2 4" xfId="14108"/>
    <cellStyle name="Note 3 3 3 3 2 5" xfId="14109"/>
    <cellStyle name="Note 3 3 3 3 2 6" xfId="14110"/>
    <cellStyle name="Note 3 3 3 3 2_DeltaViewer" xfId="14111"/>
    <cellStyle name="Note 3 3 3 3 3" xfId="14112"/>
    <cellStyle name="Note 3 3 3 3 4" xfId="14113"/>
    <cellStyle name="Note 3 3 3 3 5" xfId="14114"/>
    <cellStyle name="Note 3 3 3 3 6" xfId="14115"/>
    <cellStyle name="Note 3 3 3 3 7" xfId="14116"/>
    <cellStyle name="Note 3 3 3 3_DeltaViewer" xfId="14117"/>
    <cellStyle name="Note 3 3 3 4" xfId="14118"/>
    <cellStyle name="Note 3 3 3 4 2" xfId="14119"/>
    <cellStyle name="Note 3 3 3 4 3" xfId="14120"/>
    <cellStyle name="Note 3 3 3 4 4" xfId="14121"/>
    <cellStyle name="Note 3 3 3 4 5" xfId="14122"/>
    <cellStyle name="Note 3 3 3 4 6" xfId="14123"/>
    <cellStyle name="Note 3 3 3 4_DeltaViewer" xfId="14124"/>
    <cellStyle name="Note 3 3 3 5" xfId="14125"/>
    <cellStyle name="Note 3 3 3 6" xfId="14126"/>
    <cellStyle name="Note 3 3 3 7" xfId="14127"/>
    <cellStyle name="Note 3 3 3 8" xfId="14128"/>
    <cellStyle name="Note 3 3 3 9" xfId="14129"/>
    <cellStyle name="Note 3 3 3_DeltaViewer" xfId="14130"/>
    <cellStyle name="Note 3 3 4" xfId="14131"/>
    <cellStyle name="Note 3 3 4 2" xfId="14132"/>
    <cellStyle name="Note 3 3 4 2 2" xfId="14133"/>
    <cellStyle name="Note 3 3 4 2 2 2" xfId="14134"/>
    <cellStyle name="Note 3 3 4 2 2 3" xfId="14135"/>
    <cellStyle name="Note 3 3 4 2 2 4" xfId="14136"/>
    <cellStyle name="Note 3 3 4 2 2 5" xfId="14137"/>
    <cellStyle name="Note 3 3 4 2 2 6" xfId="14138"/>
    <cellStyle name="Note 3 3 4 2 2_DeltaViewer" xfId="14139"/>
    <cellStyle name="Note 3 3 4 2 3" xfId="14140"/>
    <cellStyle name="Note 3 3 4 2 4" xfId="14141"/>
    <cellStyle name="Note 3 3 4 2 5" xfId="14142"/>
    <cellStyle name="Note 3 3 4 2 6" xfId="14143"/>
    <cellStyle name="Note 3 3 4 2 7" xfId="14144"/>
    <cellStyle name="Note 3 3 4 2_DeltaViewer" xfId="14145"/>
    <cellStyle name="Note 3 3 4 3" xfId="14146"/>
    <cellStyle name="Note 3 3 4 3 2" xfId="14147"/>
    <cellStyle name="Note 3 3 4 3 2 2" xfId="14148"/>
    <cellStyle name="Note 3 3 4 3 2 3" xfId="14149"/>
    <cellStyle name="Note 3 3 4 3 2 4" xfId="14150"/>
    <cellStyle name="Note 3 3 4 3 2 5" xfId="14151"/>
    <cellStyle name="Note 3 3 4 3 2 6" xfId="14152"/>
    <cellStyle name="Note 3 3 4 3 2_DeltaViewer" xfId="14153"/>
    <cellStyle name="Note 3 3 4 3 3" xfId="14154"/>
    <cellStyle name="Note 3 3 4 3 4" xfId="14155"/>
    <cellStyle name="Note 3 3 4 3 5" xfId="14156"/>
    <cellStyle name="Note 3 3 4 3 6" xfId="14157"/>
    <cellStyle name="Note 3 3 4 3 7" xfId="14158"/>
    <cellStyle name="Note 3 3 4 3_DeltaViewer" xfId="14159"/>
    <cellStyle name="Note 3 3 4 4" xfId="14160"/>
    <cellStyle name="Note 3 3 4 4 2" xfId="14161"/>
    <cellStyle name="Note 3 3 4 4 3" xfId="14162"/>
    <cellStyle name="Note 3 3 4 4 4" xfId="14163"/>
    <cellStyle name="Note 3 3 4 4 5" xfId="14164"/>
    <cellStyle name="Note 3 3 4 4 6" xfId="14165"/>
    <cellStyle name="Note 3 3 4 4_DeltaViewer" xfId="14166"/>
    <cellStyle name="Note 3 3 4 5" xfId="14167"/>
    <cellStyle name="Note 3 3 4 6" xfId="14168"/>
    <cellStyle name="Note 3 3 4 7" xfId="14169"/>
    <cellStyle name="Note 3 3 4 8" xfId="14170"/>
    <cellStyle name="Note 3 3 4 9" xfId="14171"/>
    <cellStyle name="Note 3 3 4_DeltaViewer" xfId="14172"/>
    <cellStyle name="Note 3 3 5" xfId="14173"/>
    <cellStyle name="Note 3 3 5 2" xfId="14174"/>
    <cellStyle name="Note 3 3 5 2 2" xfId="14175"/>
    <cellStyle name="Note 3 3 5 2 3" xfId="14176"/>
    <cellStyle name="Note 3 3 5 2 4" xfId="14177"/>
    <cellStyle name="Note 3 3 5 2 5" xfId="14178"/>
    <cellStyle name="Note 3 3 5 2 6" xfId="14179"/>
    <cellStyle name="Note 3 3 5 2_DeltaViewer" xfId="14180"/>
    <cellStyle name="Note 3 3 5 3" xfId="14181"/>
    <cellStyle name="Note 3 3 5 4" xfId="14182"/>
    <cellStyle name="Note 3 3 5 5" xfId="14183"/>
    <cellStyle name="Note 3 3 5 6" xfId="14184"/>
    <cellStyle name="Note 3 3 5 7" xfId="14185"/>
    <cellStyle name="Note 3 3 5_DeltaViewer" xfId="14186"/>
    <cellStyle name="Note 3 3 6" xfId="14187"/>
    <cellStyle name="Note 3 3 6 2" xfId="14188"/>
    <cellStyle name="Note 3 3 6 2 2" xfId="14189"/>
    <cellStyle name="Note 3 3 6 2 3" xfId="14190"/>
    <cellStyle name="Note 3 3 6 2 4" xfId="14191"/>
    <cellStyle name="Note 3 3 6 2 5" xfId="14192"/>
    <cellStyle name="Note 3 3 6 2 6" xfId="14193"/>
    <cellStyle name="Note 3 3 6 2_DeltaViewer" xfId="14194"/>
    <cellStyle name="Note 3 3 6 3" xfId="14195"/>
    <cellStyle name="Note 3 3 6 4" xfId="14196"/>
    <cellStyle name="Note 3 3 6 5" xfId="14197"/>
    <cellStyle name="Note 3 3 6 6" xfId="14198"/>
    <cellStyle name="Note 3 3 6 7" xfId="14199"/>
    <cellStyle name="Note 3 3 6_DeltaViewer" xfId="14200"/>
    <cellStyle name="Note 3 3 7" xfId="14201"/>
    <cellStyle name="Note 3 3 7 2" xfId="14202"/>
    <cellStyle name="Note 3 3 7 2 2" xfId="14203"/>
    <cellStyle name="Note 3 3 7 2 3" xfId="14204"/>
    <cellStyle name="Note 3 3 7 2 4" xfId="14205"/>
    <cellStyle name="Note 3 3 7 2 5" xfId="14206"/>
    <cellStyle name="Note 3 3 7 2 6" xfId="14207"/>
    <cellStyle name="Note 3 3 7 2_DeltaViewer" xfId="14208"/>
    <cellStyle name="Note 3 3 7 3" xfId="14209"/>
    <cellStyle name="Note 3 3 7 4" xfId="14210"/>
    <cellStyle name="Note 3 3 7 5" xfId="14211"/>
    <cellStyle name="Note 3 3 7 6" xfId="14212"/>
    <cellStyle name="Note 3 3 7 7" xfId="14213"/>
    <cellStyle name="Note 3 3 7_DeltaViewer" xfId="14214"/>
    <cellStyle name="Note 3 3 8" xfId="14215"/>
    <cellStyle name="Note 3 3 8 2" xfId="14216"/>
    <cellStyle name="Note 3 3 8 3" xfId="14217"/>
    <cellStyle name="Note 3 3 8 4" xfId="14218"/>
    <cellStyle name="Note 3 3 8 5" xfId="14219"/>
    <cellStyle name="Note 3 3 8 6" xfId="14220"/>
    <cellStyle name="Note 3 3 8_DeltaViewer" xfId="14221"/>
    <cellStyle name="Note 3 3 9" xfId="14222"/>
    <cellStyle name="Note 3 3_DeltaViewer" xfId="14223"/>
    <cellStyle name="Note 3 4" xfId="14224"/>
    <cellStyle name="Note 3 4 10" xfId="14225"/>
    <cellStyle name="Note 3 4 11" xfId="14226"/>
    <cellStyle name="Note 3 4 12" xfId="14227"/>
    <cellStyle name="Note 3 4 13" xfId="14228"/>
    <cellStyle name="Note 3 4 2" xfId="14229"/>
    <cellStyle name="Note 3 4 2 10" xfId="14230"/>
    <cellStyle name="Note 3 4 2 11" xfId="14231"/>
    <cellStyle name="Note 3 4 2 2" xfId="14232"/>
    <cellStyle name="Note 3 4 2 2 2" xfId="14233"/>
    <cellStyle name="Note 3 4 2 2 2 2" xfId="14234"/>
    <cellStyle name="Note 3 4 2 2 2 2 2" xfId="14235"/>
    <cellStyle name="Note 3 4 2 2 2 2 3" xfId="14236"/>
    <cellStyle name="Note 3 4 2 2 2 2 4" xfId="14237"/>
    <cellStyle name="Note 3 4 2 2 2 2 5" xfId="14238"/>
    <cellStyle name="Note 3 4 2 2 2 2 6" xfId="14239"/>
    <cellStyle name="Note 3 4 2 2 2 2_DeltaViewer" xfId="14240"/>
    <cellStyle name="Note 3 4 2 2 2 3" xfId="14241"/>
    <cellStyle name="Note 3 4 2 2 2 4" xfId="14242"/>
    <cellStyle name="Note 3 4 2 2 2 5" xfId="14243"/>
    <cellStyle name="Note 3 4 2 2 2 6" xfId="14244"/>
    <cellStyle name="Note 3 4 2 2 2 7" xfId="14245"/>
    <cellStyle name="Note 3 4 2 2 2_DeltaViewer" xfId="14246"/>
    <cellStyle name="Note 3 4 2 2 3" xfId="14247"/>
    <cellStyle name="Note 3 4 2 2 3 2" xfId="14248"/>
    <cellStyle name="Note 3 4 2 2 3 3" xfId="14249"/>
    <cellStyle name="Note 3 4 2 2 3 4" xfId="14250"/>
    <cellStyle name="Note 3 4 2 2 3 5" xfId="14251"/>
    <cellStyle name="Note 3 4 2 2 3 6" xfId="14252"/>
    <cellStyle name="Note 3 4 2 2 3_DeltaViewer" xfId="14253"/>
    <cellStyle name="Note 3 4 2 2 4" xfId="14254"/>
    <cellStyle name="Note 3 4 2 2 5" xfId="14255"/>
    <cellStyle name="Note 3 4 2 2 6" xfId="14256"/>
    <cellStyle name="Note 3 4 2 2 7" xfId="14257"/>
    <cellStyle name="Note 3 4 2 2 8" xfId="14258"/>
    <cellStyle name="Note 3 4 2 2_DeltaViewer" xfId="14259"/>
    <cellStyle name="Note 3 4 2 3" xfId="14260"/>
    <cellStyle name="Note 3 4 2 3 2" xfId="14261"/>
    <cellStyle name="Note 3 4 2 3 2 2" xfId="14262"/>
    <cellStyle name="Note 3 4 2 3 2 2 2" xfId="14263"/>
    <cellStyle name="Note 3 4 2 3 2 2 3" xfId="14264"/>
    <cellStyle name="Note 3 4 2 3 2 2 4" xfId="14265"/>
    <cellStyle name="Note 3 4 2 3 2 2 5" xfId="14266"/>
    <cellStyle name="Note 3 4 2 3 2 2 6" xfId="14267"/>
    <cellStyle name="Note 3 4 2 3 2 2_DeltaViewer" xfId="14268"/>
    <cellStyle name="Note 3 4 2 3 2 3" xfId="14269"/>
    <cellStyle name="Note 3 4 2 3 2 4" xfId="14270"/>
    <cellStyle name="Note 3 4 2 3 2 5" xfId="14271"/>
    <cellStyle name="Note 3 4 2 3 2 6" xfId="14272"/>
    <cellStyle name="Note 3 4 2 3 2 7" xfId="14273"/>
    <cellStyle name="Note 3 4 2 3 2_DeltaViewer" xfId="14274"/>
    <cellStyle name="Note 3 4 2 3 3" xfId="14275"/>
    <cellStyle name="Note 3 4 2 3 3 2" xfId="14276"/>
    <cellStyle name="Note 3 4 2 3 3 3" xfId="14277"/>
    <cellStyle name="Note 3 4 2 3 3 4" xfId="14278"/>
    <cellStyle name="Note 3 4 2 3 3 5" xfId="14279"/>
    <cellStyle name="Note 3 4 2 3 3 6" xfId="14280"/>
    <cellStyle name="Note 3 4 2 3 3_DeltaViewer" xfId="14281"/>
    <cellStyle name="Note 3 4 2 3 4" xfId="14282"/>
    <cellStyle name="Note 3 4 2 3 5" xfId="14283"/>
    <cellStyle name="Note 3 4 2 3 6" xfId="14284"/>
    <cellStyle name="Note 3 4 2 3 7" xfId="14285"/>
    <cellStyle name="Note 3 4 2 3 8" xfId="14286"/>
    <cellStyle name="Note 3 4 2 3_DeltaViewer" xfId="14287"/>
    <cellStyle name="Note 3 4 2 4" xfId="14288"/>
    <cellStyle name="Note 3 4 2 4 2" xfId="14289"/>
    <cellStyle name="Note 3 4 2 4 2 2" xfId="14290"/>
    <cellStyle name="Note 3 4 2 4 2 3" xfId="14291"/>
    <cellStyle name="Note 3 4 2 4 2 4" xfId="14292"/>
    <cellStyle name="Note 3 4 2 4 2 5" xfId="14293"/>
    <cellStyle name="Note 3 4 2 4 2 6" xfId="14294"/>
    <cellStyle name="Note 3 4 2 4 2_DeltaViewer" xfId="14295"/>
    <cellStyle name="Note 3 4 2 4 3" xfId="14296"/>
    <cellStyle name="Note 3 4 2 4 4" xfId="14297"/>
    <cellStyle name="Note 3 4 2 4 5" xfId="14298"/>
    <cellStyle name="Note 3 4 2 4 6" xfId="14299"/>
    <cellStyle name="Note 3 4 2 4 7" xfId="14300"/>
    <cellStyle name="Note 3 4 2 4_DeltaViewer" xfId="14301"/>
    <cellStyle name="Note 3 4 2 5" xfId="14302"/>
    <cellStyle name="Note 3 4 2 5 2" xfId="14303"/>
    <cellStyle name="Note 3 4 2 5 2 2" xfId="14304"/>
    <cellStyle name="Note 3 4 2 5 2 3" xfId="14305"/>
    <cellStyle name="Note 3 4 2 5 2 4" xfId="14306"/>
    <cellStyle name="Note 3 4 2 5 2 5" xfId="14307"/>
    <cellStyle name="Note 3 4 2 5 2 6" xfId="14308"/>
    <cellStyle name="Note 3 4 2 5 2_DeltaViewer" xfId="14309"/>
    <cellStyle name="Note 3 4 2 5 3" xfId="14310"/>
    <cellStyle name="Note 3 4 2 5 4" xfId="14311"/>
    <cellStyle name="Note 3 4 2 5 5" xfId="14312"/>
    <cellStyle name="Note 3 4 2 5 6" xfId="14313"/>
    <cellStyle name="Note 3 4 2 5 7" xfId="14314"/>
    <cellStyle name="Note 3 4 2 5_DeltaViewer" xfId="14315"/>
    <cellStyle name="Note 3 4 2 6" xfId="14316"/>
    <cellStyle name="Note 3 4 2 6 2" xfId="14317"/>
    <cellStyle name="Note 3 4 2 6 3" xfId="14318"/>
    <cellStyle name="Note 3 4 2 6 4" xfId="14319"/>
    <cellStyle name="Note 3 4 2 6 5" xfId="14320"/>
    <cellStyle name="Note 3 4 2 6 6" xfId="14321"/>
    <cellStyle name="Note 3 4 2 6_DeltaViewer" xfId="14322"/>
    <cellStyle name="Note 3 4 2 7" xfId="14323"/>
    <cellStyle name="Note 3 4 2 8" xfId="14324"/>
    <cellStyle name="Note 3 4 2 9" xfId="14325"/>
    <cellStyle name="Note 3 4 2_DeltaViewer" xfId="14326"/>
    <cellStyle name="Note 3 4 3" xfId="14327"/>
    <cellStyle name="Note 3 4 3 2" xfId="14328"/>
    <cellStyle name="Note 3 4 3 2 2" xfId="14329"/>
    <cellStyle name="Note 3 4 3 2 2 2" xfId="14330"/>
    <cellStyle name="Note 3 4 3 2 2 3" xfId="14331"/>
    <cellStyle name="Note 3 4 3 2 2 4" xfId="14332"/>
    <cellStyle name="Note 3 4 3 2 2 5" xfId="14333"/>
    <cellStyle name="Note 3 4 3 2 2 6" xfId="14334"/>
    <cellStyle name="Note 3 4 3 2 2_DeltaViewer" xfId="14335"/>
    <cellStyle name="Note 3 4 3 2 3" xfId="14336"/>
    <cellStyle name="Note 3 4 3 2 4" xfId="14337"/>
    <cellStyle name="Note 3 4 3 2 5" xfId="14338"/>
    <cellStyle name="Note 3 4 3 2 6" xfId="14339"/>
    <cellStyle name="Note 3 4 3 2 7" xfId="14340"/>
    <cellStyle name="Note 3 4 3 2_DeltaViewer" xfId="14341"/>
    <cellStyle name="Note 3 4 3 3" xfId="14342"/>
    <cellStyle name="Note 3 4 3 3 2" xfId="14343"/>
    <cellStyle name="Note 3 4 3 3 2 2" xfId="14344"/>
    <cellStyle name="Note 3 4 3 3 2 3" xfId="14345"/>
    <cellStyle name="Note 3 4 3 3 2 4" xfId="14346"/>
    <cellStyle name="Note 3 4 3 3 2 5" xfId="14347"/>
    <cellStyle name="Note 3 4 3 3 2 6" xfId="14348"/>
    <cellStyle name="Note 3 4 3 3 2_DeltaViewer" xfId="14349"/>
    <cellStyle name="Note 3 4 3 3 3" xfId="14350"/>
    <cellStyle name="Note 3 4 3 3 4" xfId="14351"/>
    <cellStyle name="Note 3 4 3 3 5" xfId="14352"/>
    <cellStyle name="Note 3 4 3 3 6" xfId="14353"/>
    <cellStyle name="Note 3 4 3 3 7" xfId="14354"/>
    <cellStyle name="Note 3 4 3 3_DeltaViewer" xfId="14355"/>
    <cellStyle name="Note 3 4 3 4" xfId="14356"/>
    <cellStyle name="Note 3 4 3 4 2" xfId="14357"/>
    <cellStyle name="Note 3 4 3 4 3" xfId="14358"/>
    <cellStyle name="Note 3 4 3 4 4" xfId="14359"/>
    <cellStyle name="Note 3 4 3 4 5" xfId="14360"/>
    <cellStyle name="Note 3 4 3 4 6" xfId="14361"/>
    <cellStyle name="Note 3 4 3 4_DeltaViewer" xfId="14362"/>
    <cellStyle name="Note 3 4 3 5" xfId="14363"/>
    <cellStyle name="Note 3 4 3 6" xfId="14364"/>
    <cellStyle name="Note 3 4 3 7" xfId="14365"/>
    <cellStyle name="Note 3 4 3 8" xfId="14366"/>
    <cellStyle name="Note 3 4 3 9" xfId="14367"/>
    <cellStyle name="Note 3 4 3_DeltaViewer" xfId="14368"/>
    <cellStyle name="Note 3 4 4" xfId="14369"/>
    <cellStyle name="Note 3 4 4 2" xfId="14370"/>
    <cellStyle name="Note 3 4 4 2 2" xfId="14371"/>
    <cellStyle name="Note 3 4 4 2 2 2" xfId="14372"/>
    <cellStyle name="Note 3 4 4 2 2 3" xfId="14373"/>
    <cellStyle name="Note 3 4 4 2 2 4" xfId="14374"/>
    <cellStyle name="Note 3 4 4 2 2 5" xfId="14375"/>
    <cellStyle name="Note 3 4 4 2 2 6" xfId="14376"/>
    <cellStyle name="Note 3 4 4 2 2_DeltaViewer" xfId="14377"/>
    <cellStyle name="Note 3 4 4 2 3" xfId="14378"/>
    <cellStyle name="Note 3 4 4 2 4" xfId="14379"/>
    <cellStyle name="Note 3 4 4 2 5" xfId="14380"/>
    <cellStyle name="Note 3 4 4 2 6" xfId="14381"/>
    <cellStyle name="Note 3 4 4 2 7" xfId="14382"/>
    <cellStyle name="Note 3 4 4 2_DeltaViewer" xfId="14383"/>
    <cellStyle name="Note 3 4 4 3" xfId="14384"/>
    <cellStyle name="Note 3 4 4 3 2" xfId="14385"/>
    <cellStyle name="Note 3 4 4 3 2 2" xfId="14386"/>
    <cellStyle name="Note 3 4 4 3 2 3" xfId="14387"/>
    <cellStyle name="Note 3 4 4 3 2 4" xfId="14388"/>
    <cellStyle name="Note 3 4 4 3 2 5" xfId="14389"/>
    <cellStyle name="Note 3 4 4 3 2 6" xfId="14390"/>
    <cellStyle name="Note 3 4 4 3 2_DeltaViewer" xfId="14391"/>
    <cellStyle name="Note 3 4 4 3 3" xfId="14392"/>
    <cellStyle name="Note 3 4 4 3 4" xfId="14393"/>
    <cellStyle name="Note 3 4 4 3 5" xfId="14394"/>
    <cellStyle name="Note 3 4 4 3 6" xfId="14395"/>
    <cellStyle name="Note 3 4 4 3 7" xfId="14396"/>
    <cellStyle name="Note 3 4 4 3_DeltaViewer" xfId="14397"/>
    <cellStyle name="Note 3 4 4 4" xfId="14398"/>
    <cellStyle name="Note 3 4 4 4 2" xfId="14399"/>
    <cellStyle name="Note 3 4 4 4 3" xfId="14400"/>
    <cellStyle name="Note 3 4 4 4 4" xfId="14401"/>
    <cellStyle name="Note 3 4 4 4 5" xfId="14402"/>
    <cellStyle name="Note 3 4 4 4 6" xfId="14403"/>
    <cellStyle name="Note 3 4 4 4_DeltaViewer" xfId="14404"/>
    <cellStyle name="Note 3 4 4 5" xfId="14405"/>
    <cellStyle name="Note 3 4 4 6" xfId="14406"/>
    <cellStyle name="Note 3 4 4 7" xfId="14407"/>
    <cellStyle name="Note 3 4 4 8" xfId="14408"/>
    <cellStyle name="Note 3 4 4 9" xfId="14409"/>
    <cellStyle name="Note 3 4 4_DeltaViewer" xfId="14410"/>
    <cellStyle name="Note 3 4 5" xfId="14411"/>
    <cellStyle name="Note 3 4 5 2" xfId="14412"/>
    <cellStyle name="Note 3 4 5 2 2" xfId="14413"/>
    <cellStyle name="Note 3 4 5 2 3" xfId="14414"/>
    <cellStyle name="Note 3 4 5 2 4" xfId="14415"/>
    <cellStyle name="Note 3 4 5 2 5" xfId="14416"/>
    <cellStyle name="Note 3 4 5 2 6" xfId="14417"/>
    <cellStyle name="Note 3 4 5 2_DeltaViewer" xfId="14418"/>
    <cellStyle name="Note 3 4 5 3" xfId="14419"/>
    <cellStyle name="Note 3 4 5 4" xfId="14420"/>
    <cellStyle name="Note 3 4 5 5" xfId="14421"/>
    <cellStyle name="Note 3 4 5 6" xfId="14422"/>
    <cellStyle name="Note 3 4 5 7" xfId="14423"/>
    <cellStyle name="Note 3 4 5_DeltaViewer" xfId="14424"/>
    <cellStyle name="Note 3 4 6" xfId="14425"/>
    <cellStyle name="Note 3 4 6 2" xfId="14426"/>
    <cellStyle name="Note 3 4 6 2 2" xfId="14427"/>
    <cellStyle name="Note 3 4 6 2 3" xfId="14428"/>
    <cellStyle name="Note 3 4 6 2 4" xfId="14429"/>
    <cellStyle name="Note 3 4 6 2 5" xfId="14430"/>
    <cellStyle name="Note 3 4 6 2 6" xfId="14431"/>
    <cellStyle name="Note 3 4 6 2_DeltaViewer" xfId="14432"/>
    <cellStyle name="Note 3 4 6 3" xfId="14433"/>
    <cellStyle name="Note 3 4 6 4" xfId="14434"/>
    <cellStyle name="Note 3 4 6 5" xfId="14435"/>
    <cellStyle name="Note 3 4 6 6" xfId="14436"/>
    <cellStyle name="Note 3 4 6 7" xfId="14437"/>
    <cellStyle name="Note 3 4 6_DeltaViewer" xfId="14438"/>
    <cellStyle name="Note 3 4 7" xfId="14439"/>
    <cellStyle name="Note 3 4 7 2" xfId="14440"/>
    <cellStyle name="Note 3 4 7 2 2" xfId="14441"/>
    <cellStyle name="Note 3 4 7 2 3" xfId="14442"/>
    <cellStyle name="Note 3 4 7 2 4" xfId="14443"/>
    <cellStyle name="Note 3 4 7 2 5" xfId="14444"/>
    <cellStyle name="Note 3 4 7 2 6" xfId="14445"/>
    <cellStyle name="Note 3 4 7 2_DeltaViewer" xfId="14446"/>
    <cellStyle name="Note 3 4 7 3" xfId="14447"/>
    <cellStyle name="Note 3 4 7 4" xfId="14448"/>
    <cellStyle name="Note 3 4 7 5" xfId="14449"/>
    <cellStyle name="Note 3 4 7 6" xfId="14450"/>
    <cellStyle name="Note 3 4 7 7" xfId="14451"/>
    <cellStyle name="Note 3 4 7_DeltaViewer" xfId="14452"/>
    <cellStyle name="Note 3 4 8" xfId="14453"/>
    <cellStyle name="Note 3 4 8 2" xfId="14454"/>
    <cellStyle name="Note 3 4 8 3" xfId="14455"/>
    <cellStyle name="Note 3 4 8 4" xfId="14456"/>
    <cellStyle name="Note 3 4 8 5" xfId="14457"/>
    <cellStyle name="Note 3 4 8 6" xfId="14458"/>
    <cellStyle name="Note 3 4 8_DeltaViewer" xfId="14459"/>
    <cellStyle name="Note 3 4 9" xfId="14460"/>
    <cellStyle name="Note 3 4_DeltaViewer" xfId="14461"/>
    <cellStyle name="Note 3 5" xfId="14462"/>
    <cellStyle name="Note 3 5 10" xfId="14463"/>
    <cellStyle name="Note 3 5 11" xfId="14464"/>
    <cellStyle name="Note 3 5 12" xfId="14465"/>
    <cellStyle name="Note 3 5 2" xfId="14466"/>
    <cellStyle name="Note 3 5 2 10" xfId="14467"/>
    <cellStyle name="Note 3 5 2 11" xfId="14468"/>
    <cellStyle name="Note 3 5 2 2" xfId="14469"/>
    <cellStyle name="Note 3 5 2 2 2" xfId="14470"/>
    <cellStyle name="Note 3 5 2 2 2 2" xfId="14471"/>
    <cellStyle name="Note 3 5 2 2 2 2 2" xfId="14472"/>
    <cellStyle name="Note 3 5 2 2 2 2 3" xfId="14473"/>
    <cellStyle name="Note 3 5 2 2 2 2 4" xfId="14474"/>
    <cellStyle name="Note 3 5 2 2 2 2 5" xfId="14475"/>
    <cellStyle name="Note 3 5 2 2 2 2 6" xfId="14476"/>
    <cellStyle name="Note 3 5 2 2 2 2_DeltaViewer" xfId="14477"/>
    <cellStyle name="Note 3 5 2 2 2 3" xfId="14478"/>
    <cellStyle name="Note 3 5 2 2 2 4" xfId="14479"/>
    <cellStyle name="Note 3 5 2 2 2 5" xfId="14480"/>
    <cellStyle name="Note 3 5 2 2 2 6" xfId="14481"/>
    <cellStyle name="Note 3 5 2 2 2 7" xfId="14482"/>
    <cellStyle name="Note 3 5 2 2 2_DeltaViewer" xfId="14483"/>
    <cellStyle name="Note 3 5 2 2 3" xfId="14484"/>
    <cellStyle name="Note 3 5 2 2 3 2" xfId="14485"/>
    <cellStyle name="Note 3 5 2 2 3 3" xfId="14486"/>
    <cellStyle name="Note 3 5 2 2 3 4" xfId="14487"/>
    <cellStyle name="Note 3 5 2 2 3 5" xfId="14488"/>
    <cellStyle name="Note 3 5 2 2 3 6" xfId="14489"/>
    <cellStyle name="Note 3 5 2 2 3_DeltaViewer" xfId="14490"/>
    <cellStyle name="Note 3 5 2 2 4" xfId="14491"/>
    <cellStyle name="Note 3 5 2 2 5" xfId="14492"/>
    <cellStyle name="Note 3 5 2 2 6" xfId="14493"/>
    <cellStyle name="Note 3 5 2 2 7" xfId="14494"/>
    <cellStyle name="Note 3 5 2 2 8" xfId="14495"/>
    <cellStyle name="Note 3 5 2 2_DeltaViewer" xfId="14496"/>
    <cellStyle name="Note 3 5 2 3" xfId="14497"/>
    <cellStyle name="Note 3 5 2 3 2" xfId="14498"/>
    <cellStyle name="Note 3 5 2 3 2 2" xfId="14499"/>
    <cellStyle name="Note 3 5 2 3 2 2 2" xfId="14500"/>
    <cellStyle name="Note 3 5 2 3 2 2 3" xfId="14501"/>
    <cellStyle name="Note 3 5 2 3 2 2 4" xfId="14502"/>
    <cellStyle name="Note 3 5 2 3 2 2 5" xfId="14503"/>
    <cellStyle name="Note 3 5 2 3 2 2 6" xfId="14504"/>
    <cellStyle name="Note 3 5 2 3 2 2_DeltaViewer" xfId="14505"/>
    <cellStyle name="Note 3 5 2 3 2 3" xfId="14506"/>
    <cellStyle name="Note 3 5 2 3 2 4" xfId="14507"/>
    <cellStyle name="Note 3 5 2 3 2 5" xfId="14508"/>
    <cellStyle name="Note 3 5 2 3 2 6" xfId="14509"/>
    <cellStyle name="Note 3 5 2 3 2 7" xfId="14510"/>
    <cellStyle name="Note 3 5 2 3 2_DeltaViewer" xfId="14511"/>
    <cellStyle name="Note 3 5 2 3 3" xfId="14512"/>
    <cellStyle name="Note 3 5 2 3 3 2" xfId="14513"/>
    <cellStyle name="Note 3 5 2 3 3 3" xfId="14514"/>
    <cellStyle name="Note 3 5 2 3 3 4" xfId="14515"/>
    <cellStyle name="Note 3 5 2 3 3 5" xfId="14516"/>
    <cellStyle name="Note 3 5 2 3 3 6" xfId="14517"/>
    <cellStyle name="Note 3 5 2 3 3_DeltaViewer" xfId="14518"/>
    <cellStyle name="Note 3 5 2 3 4" xfId="14519"/>
    <cellStyle name="Note 3 5 2 3 5" xfId="14520"/>
    <cellStyle name="Note 3 5 2 3 6" xfId="14521"/>
    <cellStyle name="Note 3 5 2 3 7" xfId="14522"/>
    <cellStyle name="Note 3 5 2 3 8" xfId="14523"/>
    <cellStyle name="Note 3 5 2 3_DeltaViewer" xfId="14524"/>
    <cellStyle name="Note 3 5 2 4" xfId="14525"/>
    <cellStyle name="Note 3 5 2 4 2" xfId="14526"/>
    <cellStyle name="Note 3 5 2 4 2 2" xfId="14527"/>
    <cellStyle name="Note 3 5 2 4 2 3" xfId="14528"/>
    <cellStyle name="Note 3 5 2 4 2 4" xfId="14529"/>
    <cellStyle name="Note 3 5 2 4 2 5" xfId="14530"/>
    <cellStyle name="Note 3 5 2 4 2 6" xfId="14531"/>
    <cellStyle name="Note 3 5 2 4 2_DeltaViewer" xfId="14532"/>
    <cellStyle name="Note 3 5 2 4 3" xfId="14533"/>
    <cellStyle name="Note 3 5 2 4 4" xfId="14534"/>
    <cellStyle name="Note 3 5 2 4 5" xfId="14535"/>
    <cellStyle name="Note 3 5 2 4 6" xfId="14536"/>
    <cellStyle name="Note 3 5 2 4 7" xfId="14537"/>
    <cellStyle name="Note 3 5 2 4_DeltaViewer" xfId="14538"/>
    <cellStyle name="Note 3 5 2 5" xfId="14539"/>
    <cellStyle name="Note 3 5 2 5 2" xfId="14540"/>
    <cellStyle name="Note 3 5 2 5 2 2" xfId="14541"/>
    <cellStyle name="Note 3 5 2 5 2 3" xfId="14542"/>
    <cellStyle name="Note 3 5 2 5 2 4" xfId="14543"/>
    <cellStyle name="Note 3 5 2 5 2 5" xfId="14544"/>
    <cellStyle name="Note 3 5 2 5 2 6" xfId="14545"/>
    <cellStyle name="Note 3 5 2 5 2_DeltaViewer" xfId="14546"/>
    <cellStyle name="Note 3 5 2 5 3" xfId="14547"/>
    <cellStyle name="Note 3 5 2 5 4" xfId="14548"/>
    <cellStyle name="Note 3 5 2 5 5" xfId="14549"/>
    <cellStyle name="Note 3 5 2 5 6" xfId="14550"/>
    <cellStyle name="Note 3 5 2 5 7" xfId="14551"/>
    <cellStyle name="Note 3 5 2 5_DeltaViewer" xfId="14552"/>
    <cellStyle name="Note 3 5 2 6" xfId="14553"/>
    <cellStyle name="Note 3 5 2 6 2" xfId="14554"/>
    <cellStyle name="Note 3 5 2 6 3" xfId="14555"/>
    <cellStyle name="Note 3 5 2 6 4" xfId="14556"/>
    <cellStyle name="Note 3 5 2 6 5" xfId="14557"/>
    <cellStyle name="Note 3 5 2 6 6" xfId="14558"/>
    <cellStyle name="Note 3 5 2 6_DeltaViewer" xfId="14559"/>
    <cellStyle name="Note 3 5 2 7" xfId="14560"/>
    <cellStyle name="Note 3 5 2 8" xfId="14561"/>
    <cellStyle name="Note 3 5 2 9" xfId="14562"/>
    <cellStyle name="Note 3 5 2_DeltaViewer" xfId="14563"/>
    <cellStyle name="Note 3 5 3" xfId="14564"/>
    <cellStyle name="Note 3 5 3 2" xfId="14565"/>
    <cellStyle name="Note 3 5 3 2 2" xfId="14566"/>
    <cellStyle name="Note 3 5 3 2 2 2" xfId="14567"/>
    <cellStyle name="Note 3 5 3 2 2 3" xfId="14568"/>
    <cellStyle name="Note 3 5 3 2 2 4" xfId="14569"/>
    <cellStyle name="Note 3 5 3 2 2 5" xfId="14570"/>
    <cellStyle name="Note 3 5 3 2 2 6" xfId="14571"/>
    <cellStyle name="Note 3 5 3 2 2_DeltaViewer" xfId="14572"/>
    <cellStyle name="Note 3 5 3 2 3" xfId="14573"/>
    <cellStyle name="Note 3 5 3 2 4" xfId="14574"/>
    <cellStyle name="Note 3 5 3 2 5" xfId="14575"/>
    <cellStyle name="Note 3 5 3 2 6" xfId="14576"/>
    <cellStyle name="Note 3 5 3 2 7" xfId="14577"/>
    <cellStyle name="Note 3 5 3 2_DeltaViewer" xfId="14578"/>
    <cellStyle name="Note 3 5 3 3" xfId="14579"/>
    <cellStyle name="Note 3 5 3 3 2" xfId="14580"/>
    <cellStyle name="Note 3 5 3 3 3" xfId="14581"/>
    <cellStyle name="Note 3 5 3 3 4" xfId="14582"/>
    <cellStyle name="Note 3 5 3 3 5" xfId="14583"/>
    <cellStyle name="Note 3 5 3 3 6" xfId="14584"/>
    <cellStyle name="Note 3 5 3 3_DeltaViewer" xfId="14585"/>
    <cellStyle name="Note 3 5 3 4" xfId="14586"/>
    <cellStyle name="Note 3 5 3 5" xfId="14587"/>
    <cellStyle name="Note 3 5 3 6" xfId="14588"/>
    <cellStyle name="Note 3 5 3 7" xfId="14589"/>
    <cellStyle name="Note 3 5 3 8" xfId="14590"/>
    <cellStyle name="Note 3 5 3_DeltaViewer" xfId="14591"/>
    <cellStyle name="Note 3 5 4" xfId="14592"/>
    <cellStyle name="Note 3 5 4 2" xfId="14593"/>
    <cellStyle name="Note 3 5 4 2 2" xfId="14594"/>
    <cellStyle name="Note 3 5 4 2 2 2" xfId="14595"/>
    <cellStyle name="Note 3 5 4 2 2 3" xfId="14596"/>
    <cellStyle name="Note 3 5 4 2 2 4" xfId="14597"/>
    <cellStyle name="Note 3 5 4 2 2 5" xfId="14598"/>
    <cellStyle name="Note 3 5 4 2 2 6" xfId="14599"/>
    <cellStyle name="Note 3 5 4 2 2_DeltaViewer" xfId="14600"/>
    <cellStyle name="Note 3 5 4 2 3" xfId="14601"/>
    <cellStyle name="Note 3 5 4 2 4" xfId="14602"/>
    <cellStyle name="Note 3 5 4 2 5" xfId="14603"/>
    <cellStyle name="Note 3 5 4 2 6" xfId="14604"/>
    <cellStyle name="Note 3 5 4 2 7" xfId="14605"/>
    <cellStyle name="Note 3 5 4 2_DeltaViewer" xfId="14606"/>
    <cellStyle name="Note 3 5 4 3" xfId="14607"/>
    <cellStyle name="Note 3 5 4 3 2" xfId="14608"/>
    <cellStyle name="Note 3 5 4 3 3" xfId="14609"/>
    <cellStyle name="Note 3 5 4 3 4" xfId="14610"/>
    <cellStyle name="Note 3 5 4 3 5" xfId="14611"/>
    <cellStyle name="Note 3 5 4 3 6" xfId="14612"/>
    <cellStyle name="Note 3 5 4 3_DeltaViewer" xfId="14613"/>
    <cellStyle name="Note 3 5 4 4" xfId="14614"/>
    <cellStyle name="Note 3 5 4 5" xfId="14615"/>
    <cellStyle name="Note 3 5 4 6" xfId="14616"/>
    <cellStyle name="Note 3 5 4 7" xfId="14617"/>
    <cellStyle name="Note 3 5 4 8" xfId="14618"/>
    <cellStyle name="Note 3 5 4_DeltaViewer" xfId="14619"/>
    <cellStyle name="Note 3 5 5" xfId="14620"/>
    <cellStyle name="Note 3 5 5 2" xfId="14621"/>
    <cellStyle name="Note 3 5 5 2 2" xfId="14622"/>
    <cellStyle name="Note 3 5 5 2 3" xfId="14623"/>
    <cellStyle name="Note 3 5 5 2 4" xfId="14624"/>
    <cellStyle name="Note 3 5 5 2 5" xfId="14625"/>
    <cellStyle name="Note 3 5 5 2 6" xfId="14626"/>
    <cellStyle name="Note 3 5 5 2_DeltaViewer" xfId="14627"/>
    <cellStyle name="Note 3 5 5 3" xfId="14628"/>
    <cellStyle name="Note 3 5 5 4" xfId="14629"/>
    <cellStyle name="Note 3 5 5 5" xfId="14630"/>
    <cellStyle name="Note 3 5 5 6" xfId="14631"/>
    <cellStyle name="Note 3 5 5 7" xfId="14632"/>
    <cellStyle name="Note 3 5 5_DeltaViewer" xfId="14633"/>
    <cellStyle name="Note 3 5 6" xfId="14634"/>
    <cellStyle name="Note 3 5 6 2" xfId="14635"/>
    <cellStyle name="Note 3 5 6 2 2" xfId="14636"/>
    <cellStyle name="Note 3 5 6 2 3" xfId="14637"/>
    <cellStyle name="Note 3 5 6 2 4" xfId="14638"/>
    <cellStyle name="Note 3 5 6 2 5" xfId="14639"/>
    <cellStyle name="Note 3 5 6 2 6" xfId="14640"/>
    <cellStyle name="Note 3 5 6 2_DeltaViewer" xfId="14641"/>
    <cellStyle name="Note 3 5 6 3" xfId="14642"/>
    <cellStyle name="Note 3 5 6 4" xfId="14643"/>
    <cellStyle name="Note 3 5 6 5" xfId="14644"/>
    <cellStyle name="Note 3 5 6 6" xfId="14645"/>
    <cellStyle name="Note 3 5 6 7" xfId="14646"/>
    <cellStyle name="Note 3 5 6_DeltaViewer" xfId="14647"/>
    <cellStyle name="Note 3 5 7" xfId="14648"/>
    <cellStyle name="Note 3 5 7 2" xfId="14649"/>
    <cellStyle name="Note 3 5 7 3" xfId="14650"/>
    <cellStyle name="Note 3 5 7 4" xfId="14651"/>
    <cellStyle name="Note 3 5 7 5" xfId="14652"/>
    <cellStyle name="Note 3 5 7 6" xfId="14653"/>
    <cellStyle name="Note 3 5 7_DeltaViewer" xfId="14654"/>
    <cellStyle name="Note 3 5 8" xfId="14655"/>
    <cellStyle name="Note 3 5 9" xfId="14656"/>
    <cellStyle name="Note 3 5_DeltaViewer" xfId="14657"/>
    <cellStyle name="Note 3 6" xfId="14658"/>
    <cellStyle name="Note 3 6 10" xfId="14659"/>
    <cellStyle name="Note 3 6 11" xfId="14660"/>
    <cellStyle name="Note 3 6 2" xfId="14661"/>
    <cellStyle name="Note 3 6 2 2" xfId="14662"/>
    <cellStyle name="Note 3 6 2 2 2" xfId="14663"/>
    <cellStyle name="Note 3 6 2 2 2 2" xfId="14664"/>
    <cellStyle name="Note 3 6 2 2 2 3" xfId="14665"/>
    <cellStyle name="Note 3 6 2 2 2 4" xfId="14666"/>
    <cellStyle name="Note 3 6 2 2 2 5" xfId="14667"/>
    <cellStyle name="Note 3 6 2 2 2 6" xfId="14668"/>
    <cellStyle name="Note 3 6 2 2 2_DeltaViewer" xfId="14669"/>
    <cellStyle name="Note 3 6 2 2 3" xfId="14670"/>
    <cellStyle name="Note 3 6 2 2 4" xfId="14671"/>
    <cellStyle name="Note 3 6 2 2 5" xfId="14672"/>
    <cellStyle name="Note 3 6 2 2 6" xfId="14673"/>
    <cellStyle name="Note 3 6 2 2 7" xfId="14674"/>
    <cellStyle name="Note 3 6 2 2_DeltaViewer" xfId="14675"/>
    <cellStyle name="Note 3 6 2 3" xfId="14676"/>
    <cellStyle name="Note 3 6 2 3 2" xfId="14677"/>
    <cellStyle name="Note 3 6 2 3 3" xfId="14678"/>
    <cellStyle name="Note 3 6 2 3 4" xfId="14679"/>
    <cellStyle name="Note 3 6 2 3 5" xfId="14680"/>
    <cellStyle name="Note 3 6 2 3 6" xfId="14681"/>
    <cellStyle name="Note 3 6 2 3_DeltaViewer" xfId="14682"/>
    <cellStyle name="Note 3 6 2 4" xfId="14683"/>
    <cellStyle name="Note 3 6 2 5" xfId="14684"/>
    <cellStyle name="Note 3 6 2 6" xfId="14685"/>
    <cellStyle name="Note 3 6 2 7" xfId="14686"/>
    <cellStyle name="Note 3 6 2 8" xfId="14687"/>
    <cellStyle name="Note 3 6 2_DeltaViewer" xfId="14688"/>
    <cellStyle name="Note 3 6 3" xfId="14689"/>
    <cellStyle name="Note 3 6 3 2" xfId="14690"/>
    <cellStyle name="Note 3 6 3 2 2" xfId="14691"/>
    <cellStyle name="Note 3 6 3 2 2 2" xfId="14692"/>
    <cellStyle name="Note 3 6 3 2 2 3" xfId="14693"/>
    <cellStyle name="Note 3 6 3 2 2 4" xfId="14694"/>
    <cellStyle name="Note 3 6 3 2 2 5" xfId="14695"/>
    <cellStyle name="Note 3 6 3 2 2 6" xfId="14696"/>
    <cellStyle name="Note 3 6 3 2 2_DeltaViewer" xfId="14697"/>
    <cellStyle name="Note 3 6 3 2 3" xfId="14698"/>
    <cellStyle name="Note 3 6 3 2 4" xfId="14699"/>
    <cellStyle name="Note 3 6 3 2 5" xfId="14700"/>
    <cellStyle name="Note 3 6 3 2 6" xfId="14701"/>
    <cellStyle name="Note 3 6 3 2 7" xfId="14702"/>
    <cellStyle name="Note 3 6 3 2_DeltaViewer" xfId="14703"/>
    <cellStyle name="Note 3 6 3 3" xfId="14704"/>
    <cellStyle name="Note 3 6 3 3 2" xfId="14705"/>
    <cellStyle name="Note 3 6 3 3 3" xfId="14706"/>
    <cellStyle name="Note 3 6 3 3 4" xfId="14707"/>
    <cellStyle name="Note 3 6 3 3 5" xfId="14708"/>
    <cellStyle name="Note 3 6 3 3 6" xfId="14709"/>
    <cellStyle name="Note 3 6 3 3_DeltaViewer" xfId="14710"/>
    <cellStyle name="Note 3 6 3 4" xfId="14711"/>
    <cellStyle name="Note 3 6 3 5" xfId="14712"/>
    <cellStyle name="Note 3 6 3 6" xfId="14713"/>
    <cellStyle name="Note 3 6 3 7" xfId="14714"/>
    <cellStyle name="Note 3 6 3 8" xfId="14715"/>
    <cellStyle name="Note 3 6 3_DeltaViewer" xfId="14716"/>
    <cellStyle name="Note 3 6 4" xfId="14717"/>
    <cellStyle name="Note 3 6 4 2" xfId="14718"/>
    <cellStyle name="Note 3 6 4 2 2" xfId="14719"/>
    <cellStyle name="Note 3 6 4 2 3" xfId="14720"/>
    <cellStyle name="Note 3 6 4 2 4" xfId="14721"/>
    <cellStyle name="Note 3 6 4 2 5" xfId="14722"/>
    <cellStyle name="Note 3 6 4 2 6" xfId="14723"/>
    <cellStyle name="Note 3 6 4 2_DeltaViewer" xfId="14724"/>
    <cellStyle name="Note 3 6 4 3" xfId="14725"/>
    <cellStyle name="Note 3 6 4 4" xfId="14726"/>
    <cellStyle name="Note 3 6 4 5" xfId="14727"/>
    <cellStyle name="Note 3 6 4 6" xfId="14728"/>
    <cellStyle name="Note 3 6 4 7" xfId="14729"/>
    <cellStyle name="Note 3 6 4_DeltaViewer" xfId="14730"/>
    <cellStyle name="Note 3 6 5" xfId="14731"/>
    <cellStyle name="Note 3 6 5 2" xfId="14732"/>
    <cellStyle name="Note 3 6 5 2 2" xfId="14733"/>
    <cellStyle name="Note 3 6 5 2 3" xfId="14734"/>
    <cellStyle name="Note 3 6 5 2 4" xfId="14735"/>
    <cellStyle name="Note 3 6 5 2 5" xfId="14736"/>
    <cellStyle name="Note 3 6 5 2 6" xfId="14737"/>
    <cellStyle name="Note 3 6 5 2_DeltaViewer" xfId="14738"/>
    <cellStyle name="Note 3 6 5 3" xfId="14739"/>
    <cellStyle name="Note 3 6 5 4" xfId="14740"/>
    <cellStyle name="Note 3 6 5 5" xfId="14741"/>
    <cellStyle name="Note 3 6 5 6" xfId="14742"/>
    <cellStyle name="Note 3 6 5 7" xfId="14743"/>
    <cellStyle name="Note 3 6 5_DeltaViewer" xfId="14744"/>
    <cellStyle name="Note 3 6 6" xfId="14745"/>
    <cellStyle name="Note 3 6 6 2" xfId="14746"/>
    <cellStyle name="Note 3 6 6 3" xfId="14747"/>
    <cellStyle name="Note 3 6 6 4" xfId="14748"/>
    <cellStyle name="Note 3 6 6 5" xfId="14749"/>
    <cellStyle name="Note 3 6 6 6" xfId="14750"/>
    <cellStyle name="Note 3 6 6_DeltaViewer" xfId="14751"/>
    <cellStyle name="Note 3 6 7" xfId="14752"/>
    <cellStyle name="Note 3 6 8" xfId="14753"/>
    <cellStyle name="Note 3 6 9" xfId="14754"/>
    <cellStyle name="Note 3 6_DeltaViewer" xfId="14755"/>
    <cellStyle name="Note 3 7" xfId="14756"/>
    <cellStyle name="Note 3 7 10" xfId="14757"/>
    <cellStyle name="Note 3 7 11" xfId="14758"/>
    <cellStyle name="Note 3 7 2" xfId="14759"/>
    <cellStyle name="Note 3 7 2 2" xfId="14760"/>
    <cellStyle name="Note 3 7 2 2 2" xfId="14761"/>
    <cellStyle name="Note 3 7 2 2 2 2" xfId="14762"/>
    <cellStyle name="Note 3 7 2 2 2 3" xfId="14763"/>
    <cellStyle name="Note 3 7 2 2 2 4" xfId="14764"/>
    <cellStyle name="Note 3 7 2 2 2 5" xfId="14765"/>
    <cellStyle name="Note 3 7 2 2 2 6" xfId="14766"/>
    <cellStyle name="Note 3 7 2 2 2_DeltaViewer" xfId="14767"/>
    <cellStyle name="Note 3 7 2 2 3" xfId="14768"/>
    <cellStyle name="Note 3 7 2 2 4" xfId="14769"/>
    <cellStyle name="Note 3 7 2 2 5" xfId="14770"/>
    <cellStyle name="Note 3 7 2 2 6" xfId="14771"/>
    <cellStyle name="Note 3 7 2 2 7" xfId="14772"/>
    <cellStyle name="Note 3 7 2 2_DeltaViewer" xfId="14773"/>
    <cellStyle name="Note 3 7 2 3" xfId="14774"/>
    <cellStyle name="Note 3 7 2 3 2" xfId="14775"/>
    <cellStyle name="Note 3 7 2 3 3" xfId="14776"/>
    <cellStyle name="Note 3 7 2 3 4" xfId="14777"/>
    <cellStyle name="Note 3 7 2 3 5" xfId="14778"/>
    <cellStyle name="Note 3 7 2 3 6" xfId="14779"/>
    <cellStyle name="Note 3 7 2 3_DeltaViewer" xfId="14780"/>
    <cellStyle name="Note 3 7 2 4" xfId="14781"/>
    <cellStyle name="Note 3 7 2 5" xfId="14782"/>
    <cellStyle name="Note 3 7 2 6" xfId="14783"/>
    <cellStyle name="Note 3 7 2 7" xfId="14784"/>
    <cellStyle name="Note 3 7 2 8" xfId="14785"/>
    <cellStyle name="Note 3 7 2_DeltaViewer" xfId="14786"/>
    <cellStyle name="Note 3 7 3" xfId="14787"/>
    <cellStyle name="Note 3 7 3 2" xfId="14788"/>
    <cellStyle name="Note 3 7 3 2 2" xfId="14789"/>
    <cellStyle name="Note 3 7 3 2 2 2" xfId="14790"/>
    <cellStyle name="Note 3 7 3 2 2 3" xfId="14791"/>
    <cellStyle name="Note 3 7 3 2 2 4" xfId="14792"/>
    <cellStyle name="Note 3 7 3 2 2 5" xfId="14793"/>
    <cellStyle name="Note 3 7 3 2 2 6" xfId="14794"/>
    <cellStyle name="Note 3 7 3 2 2_DeltaViewer" xfId="14795"/>
    <cellStyle name="Note 3 7 3 2 3" xfId="14796"/>
    <cellStyle name="Note 3 7 3 2 4" xfId="14797"/>
    <cellStyle name="Note 3 7 3 2 5" xfId="14798"/>
    <cellStyle name="Note 3 7 3 2 6" xfId="14799"/>
    <cellStyle name="Note 3 7 3 2 7" xfId="14800"/>
    <cellStyle name="Note 3 7 3 2_DeltaViewer" xfId="14801"/>
    <cellStyle name="Note 3 7 3 3" xfId="14802"/>
    <cellStyle name="Note 3 7 3 3 2" xfId="14803"/>
    <cellStyle name="Note 3 7 3 3 3" xfId="14804"/>
    <cellStyle name="Note 3 7 3 3 4" xfId="14805"/>
    <cellStyle name="Note 3 7 3 3 5" xfId="14806"/>
    <cellStyle name="Note 3 7 3 3 6" xfId="14807"/>
    <cellStyle name="Note 3 7 3 3_DeltaViewer" xfId="14808"/>
    <cellStyle name="Note 3 7 3 4" xfId="14809"/>
    <cellStyle name="Note 3 7 3 5" xfId="14810"/>
    <cellStyle name="Note 3 7 3 6" xfId="14811"/>
    <cellStyle name="Note 3 7 3 7" xfId="14812"/>
    <cellStyle name="Note 3 7 3 8" xfId="14813"/>
    <cellStyle name="Note 3 7 3_DeltaViewer" xfId="14814"/>
    <cellStyle name="Note 3 7 4" xfId="14815"/>
    <cellStyle name="Note 3 7 4 2" xfId="14816"/>
    <cellStyle name="Note 3 7 4 2 2" xfId="14817"/>
    <cellStyle name="Note 3 7 4 2 3" xfId="14818"/>
    <cellStyle name="Note 3 7 4 2 4" xfId="14819"/>
    <cellStyle name="Note 3 7 4 2 5" xfId="14820"/>
    <cellStyle name="Note 3 7 4 2 6" xfId="14821"/>
    <cellStyle name="Note 3 7 4 2_DeltaViewer" xfId="14822"/>
    <cellStyle name="Note 3 7 4 3" xfId="14823"/>
    <cellStyle name="Note 3 7 4 4" xfId="14824"/>
    <cellStyle name="Note 3 7 4 5" xfId="14825"/>
    <cellStyle name="Note 3 7 4 6" xfId="14826"/>
    <cellStyle name="Note 3 7 4 7" xfId="14827"/>
    <cellStyle name="Note 3 7 4_DeltaViewer" xfId="14828"/>
    <cellStyle name="Note 3 7 5" xfId="14829"/>
    <cellStyle name="Note 3 7 5 2" xfId="14830"/>
    <cellStyle name="Note 3 7 5 2 2" xfId="14831"/>
    <cellStyle name="Note 3 7 5 2 3" xfId="14832"/>
    <cellStyle name="Note 3 7 5 2 4" xfId="14833"/>
    <cellStyle name="Note 3 7 5 2 5" xfId="14834"/>
    <cellStyle name="Note 3 7 5 2 6" xfId="14835"/>
    <cellStyle name="Note 3 7 5 2_DeltaViewer" xfId="14836"/>
    <cellStyle name="Note 3 7 5 3" xfId="14837"/>
    <cellStyle name="Note 3 7 5 4" xfId="14838"/>
    <cellStyle name="Note 3 7 5 5" xfId="14839"/>
    <cellStyle name="Note 3 7 5 6" xfId="14840"/>
    <cellStyle name="Note 3 7 5 7" xfId="14841"/>
    <cellStyle name="Note 3 7 5_DeltaViewer" xfId="14842"/>
    <cellStyle name="Note 3 7 6" xfId="14843"/>
    <cellStyle name="Note 3 7 6 2" xfId="14844"/>
    <cellStyle name="Note 3 7 6 3" xfId="14845"/>
    <cellStyle name="Note 3 7 6 4" xfId="14846"/>
    <cellStyle name="Note 3 7 6 5" xfId="14847"/>
    <cellStyle name="Note 3 7 6 6" xfId="14848"/>
    <cellStyle name="Note 3 7 6_DeltaViewer" xfId="14849"/>
    <cellStyle name="Note 3 7 7" xfId="14850"/>
    <cellStyle name="Note 3 7 8" xfId="14851"/>
    <cellStyle name="Note 3 7 9" xfId="14852"/>
    <cellStyle name="Note 3 7_DeltaViewer" xfId="14853"/>
    <cellStyle name="Note 3 8" xfId="14854"/>
    <cellStyle name="Note 3 8 10" xfId="14855"/>
    <cellStyle name="Note 3 8 11" xfId="14856"/>
    <cellStyle name="Note 3 8 2" xfId="14857"/>
    <cellStyle name="Note 3 8 2 2" xfId="14858"/>
    <cellStyle name="Note 3 8 2 2 2" xfId="14859"/>
    <cellStyle name="Note 3 8 2 2 2 2" xfId="14860"/>
    <cellStyle name="Note 3 8 2 2 2 3" xfId="14861"/>
    <cellStyle name="Note 3 8 2 2 2 4" xfId="14862"/>
    <cellStyle name="Note 3 8 2 2 2 5" xfId="14863"/>
    <cellStyle name="Note 3 8 2 2 2 6" xfId="14864"/>
    <cellStyle name="Note 3 8 2 2 2_DeltaViewer" xfId="14865"/>
    <cellStyle name="Note 3 8 2 2 3" xfId="14866"/>
    <cellStyle name="Note 3 8 2 2 4" xfId="14867"/>
    <cellStyle name="Note 3 8 2 2 5" xfId="14868"/>
    <cellStyle name="Note 3 8 2 2 6" xfId="14869"/>
    <cellStyle name="Note 3 8 2 2 7" xfId="14870"/>
    <cellStyle name="Note 3 8 2 2_DeltaViewer" xfId="14871"/>
    <cellStyle name="Note 3 8 2 3" xfId="14872"/>
    <cellStyle name="Note 3 8 2 3 2" xfId="14873"/>
    <cellStyle name="Note 3 8 2 3 3" xfId="14874"/>
    <cellStyle name="Note 3 8 2 3 4" xfId="14875"/>
    <cellStyle name="Note 3 8 2 3 5" xfId="14876"/>
    <cellStyle name="Note 3 8 2 3 6" xfId="14877"/>
    <cellStyle name="Note 3 8 2 3_DeltaViewer" xfId="14878"/>
    <cellStyle name="Note 3 8 2 4" xfId="14879"/>
    <cellStyle name="Note 3 8 2 5" xfId="14880"/>
    <cellStyle name="Note 3 8 2 6" xfId="14881"/>
    <cellStyle name="Note 3 8 2 7" xfId="14882"/>
    <cellStyle name="Note 3 8 2 8" xfId="14883"/>
    <cellStyle name="Note 3 8 2_DeltaViewer" xfId="14884"/>
    <cellStyle name="Note 3 8 3" xfId="14885"/>
    <cellStyle name="Note 3 8 3 2" xfId="14886"/>
    <cellStyle name="Note 3 8 3 2 2" xfId="14887"/>
    <cellStyle name="Note 3 8 3 2 2 2" xfId="14888"/>
    <cellStyle name="Note 3 8 3 2 2 3" xfId="14889"/>
    <cellStyle name="Note 3 8 3 2 2 4" xfId="14890"/>
    <cellStyle name="Note 3 8 3 2 2 5" xfId="14891"/>
    <cellStyle name="Note 3 8 3 2 2 6" xfId="14892"/>
    <cellStyle name="Note 3 8 3 2 2_DeltaViewer" xfId="14893"/>
    <cellStyle name="Note 3 8 3 2 3" xfId="14894"/>
    <cellStyle name="Note 3 8 3 2 4" xfId="14895"/>
    <cellStyle name="Note 3 8 3 2 5" xfId="14896"/>
    <cellStyle name="Note 3 8 3 2 6" xfId="14897"/>
    <cellStyle name="Note 3 8 3 2 7" xfId="14898"/>
    <cellStyle name="Note 3 8 3 2_DeltaViewer" xfId="14899"/>
    <cellStyle name="Note 3 8 3 3" xfId="14900"/>
    <cellStyle name="Note 3 8 3 3 2" xfId="14901"/>
    <cellStyle name="Note 3 8 3 3 3" xfId="14902"/>
    <cellStyle name="Note 3 8 3 3 4" xfId="14903"/>
    <cellStyle name="Note 3 8 3 3 5" xfId="14904"/>
    <cellStyle name="Note 3 8 3 3 6" xfId="14905"/>
    <cellStyle name="Note 3 8 3 3_DeltaViewer" xfId="14906"/>
    <cellStyle name="Note 3 8 3 4" xfId="14907"/>
    <cellStyle name="Note 3 8 3 5" xfId="14908"/>
    <cellStyle name="Note 3 8 3 6" xfId="14909"/>
    <cellStyle name="Note 3 8 3 7" xfId="14910"/>
    <cellStyle name="Note 3 8 3 8" xfId="14911"/>
    <cellStyle name="Note 3 8 3_DeltaViewer" xfId="14912"/>
    <cellStyle name="Note 3 8 4" xfId="14913"/>
    <cellStyle name="Note 3 8 4 2" xfId="14914"/>
    <cellStyle name="Note 3 8 4 2 2" xfId="14915"/>
    <cellStyle name="Note 3 8 4 2 3" xfId="14916"/>
    <cellStyle name="Note 3 8 4 2 4" xfId="14917"/>
    <cellStyle name="Note 3 8 4 2 5" xfId="14918"/>
    <cellStyle name="Note 3 8 4 2 6" xfId="14919"/>
    <cellStyle name="Note 3 8 4 2_DeltaViewer" xfId="14920"/>
    <cellStyle name="Note 3 8 4 3" xfId="14921"/>
    <cellStyle name="Note 3 8 4 4" xfId="14922"/>
    <cellStyle name="Note 3 8 4 5" xfId="14923"/>
    <cellStyle name="Note 3 8 4 6" xfId="14924"/>
    <cellStyle name="Note 3 8 4 7" xfId="14925"/>
    <cellStyle name="Note 3 8 4_DeltaViewer" xfId="14926"/>
    <cellStyle name="Note 3 8 5" xfId="14927"/>
    <cellStyle name="Note 3 8 5 2" xfId="14928"/>
    <cellStyle name="Note 3 8 5 2 2" xfId="14929"/>
    <cellStyle name="Note 3 8 5 2 3" xfId="14930"/>
    <cellStyle name="Note 3 8 5 2 4" xfId="14931"/>
    <cellStyle name="Note 3 8 5 2 5" xfId="14932"/>
    <cellStyle name="Note 3 8 5 2 6" xfId="14933"/>
    <cellStyle name="Note 3 8 5 2_DeltaViewer" xfId="14934"/>
    <cellStyle name="Note 3 8 5 3" xfId="14935"/>
    <cellStyle name="Note 3 8 5 4" xfId="14936"/>
    <cellStyle name="Note 3 8 5 5" xfId="14937"/>
    <cellStyle name="Note 3 8 5 6" xfId="14938"/>
    <cellStyle name="Note 3 8 5 7" xfId="14939"/>
    <cellStyle name="Note 3 8 5_DeltaViewer" xfId="14940"/>
    <cellStyle name="Note 3 8 6" xfId="14941"/>
    <cellStyle name="Note 3 8 6 2" xfId="14942"/>
    <cellStyle name="Note 3 8 6 3" xfId="14943"/>
    <cellStyle name="Note 3 8 6 4" xfId="14944"/>
    <cellStyle name="Note 3 8 6 5" xfId="14945"/>
    <cellStyle name="Note 3 8 6 6" xfId="14946"/>
    <cellStyle name="Note 3 8 6_DeltaViewer" xfId="14947"/>
    <cellStyle name="Note 3 8 7" xfId="14948"/>
    <cellStyle name="Note 3 8 8" xfId="14949"/>
    <cellStyle name="Note 3 8 9" xfId="14950"/>
    <cellStyle name="Note 3 8_DeltaViewer" xfId="14951"/>
    <cellStyle name="Note 3 9" xfId="14952"/>
    <cellStyle name="Note 3 9 10" xfId="14953"/>
    <cellStyle name="Note 3 9 2" xfId="14954"/>
    <cellStyle name="Note 3 9 2 2" xfId="14955"/>
    <cellStyle name="Note 3 9 2 2 2" xfId="14956"/>
    <cellStyle name="Note 3 9 2 2 2 2" xfId="14957"/>
    <cellStyle name="Note 3 9 2 2 2 3" xfId="14958"/>
    <cellStyle name="Note 3 9 2 2 2 4" xfId="14959"/>
    <cellStyle name="Note 3 9 2 2 2 5" xfId="14960"/>
    <cellStyle name="Note 3 9 2 2 2 6" xfId="14961"/>
    <cellStyle name="Note 3 9 2 2 2_DeltaViewer" xfId="14962"/>
    <cellStyle name="Note 3 9 2 2 3" xfId="14963"/>
    <cellStyle name="Note 3 9 2 2 4" xfId="14964"/>
    <cellStyle name="Note 3 9 2 2 5" xfId="14965"/>
    <cellStyle name="Note 3 9 2 2 6" xfId="14966"/>
    <cellStyle name="Note 3 9 2 2 7" xfId="14967"/>
    <cellStyle name="Note 3 9 2 2_DeltaViewer" xfId="14968"/>
    <cellStyle name="Note 3 9 2 3" xfId="14969"/>
    <cellStyle name="Note 3 9 2 3 2" xfId="14970"/>
    <cellStyle name="Note 3 9 2 3 3" xfId="14971"/>
    <cellStyle name="Note 3 9 2 3 4" xfId="14972"/>
    <cellStyle name="Note 3 9 2 3 5" xfId="14973"/>
    <cellStyle name="Note 3 9 2 3 6" xfId="14974"/>
    <cellStyle name="Note 3 9 2 3_DeltaViewer" xfId="14975"/>
    <cellStyle name="Note 3 9 2 4" xfId="14976"/>
    <cellStyle name="Note 3 9 2 5" xfId="14977"/>
    <cellStyle name="Note 3 9 2 6" xfId="14978"/>
    <cellStyle name="Note 3 9 2 7" xfId="14979"/>
    <cellStyle name="Note 3 9 2 8" xfId="14980"/>
    <cellStyle name="Note 3 9 2_DeltaViewer" xfId="14981"/>
    <cellStyle name="Note 3 9 3" xfId="14982"/>
    <cellStyle name="Note 3 9 3 2" xfId="14983"/>
    <cellStyle name="Note 3 9 3 2 2" xfId="14984"/>
    <cellStyle name="Note 3 9 3 2 2 2" xfId="14985"/>
    <cellStyle name="Note 3 9 3 2 2 3" xfId="14986"/>
    <cellStyle name="Note 3 9 3 2 2 4" xfId="14987"/>
    <cellStyle name="Note 3 9 3 2 2 5" xfId="14988"/>
    <cellStyle name="Note 3 9 3 2 2 6" xfId="14989"/>
    <cellStyle name="Note 3 9 3 2 2_DeltaViewer" xfId="14990"/>
    <cellStyle name="Note 3 9 3 2 3" xfId="14991"/>
    <cellStyle name="Note 3 9 3 2 4" xfId="14992"/>
    <cellStyle name="Note 3 9 3 2 5" xfId="14993"/>
    <cellStyle name="Note 3 9 3 2 6" xfId="14994"/>
    <cellStyle name="Note 3 9 3 2 7" xfId="14995"/>
    <cellStyle name="Note 3 9 3 2_DeltaViewer" xfId="14996"/>
    <cellStyle name="Note 3 9 3 3" xfId="14997"/>
    <cellStyle name="Note 3 9 3 3 2" xfId="14998"/>
    <cellStyle name="Note 3 9 3 3 3" xfId="14999"/>
    <cellStyle name="Note 3 9 3 3 4" xfId="15000"/>
    <cellStyle name="Note 3 9 3 3 5" xfId="15001"/>
    <cellStyle name="Note 3 9 3 3 6" xfId="15002"/>
    <cellStyle name="Note 3 9 3 3_DeltaViewer" xfId="15003"/>
    <cellStyle name="Note 3 9 3 4" xfId="15004"/>
    <cellStyle name="Note 3 9 3 5" xfId="15005"/>
    <cellStyle name="Note 3 9 3 6" xfId="15006"/>
    <cellStyle name="Note 3 9 3 7" xfId="15007"/>
    <cellStyle name="Note 3 9 3 8" xfId="15008"/>
    <cellStyle name="Note 3 9 3_DeltaViewer" xfId="15009"/>
    <cellStyle name="Note 3 9 4" xfId="15010"/>
    <cellStyle name="Note 3 9 4 2" xfId="15011"/>
    <cellStyle name="Note 3 9 4 2 2" xfId="15012"/>
    <cellStyle name="Note 3 9 4 2 3" xfId="15013"/>
    <cellStyle name="Note 3 9 4 2 4" xfId="15014"/>
    <cellStyle name="Note 3 9 4 2 5" xfId="15015"/>
    <cellStyle name="Note 3 9 4 2 6" xfId="15016"/>
    <cellStyle name="Note 3 9 4 2_DeltaViewer" xfId="15017"/>
    <cellStyle name="Note 3 9 4 3" xfId="15018"/>
    <cellStyle name="Note 3 9 4 4" xfId="15019"/>
    <cellStyle name="Note 3 9 4 5" xfId="15020"/>
    <cellStyle name="Note 3 9 4 6" xfId="15021"/>
    <cellStyle name="Note 3 9 4 7" xfId="15022"/>
    <cellStyle name="Note 3 9 4_DeltaViewer" xfId="15023"/>
    <cellStyle name="Note 3 9 5" xfId="15024"/>
    <cellStyle name="Note 3 9 5 2" xfId="15025"/>
    <cellStyle name="Note 3 9 5 3" xfId="15026"/>
    <cellStyle name="Note 3 9 5 4" xfId="15027"/>
    <cellStyle name="Note 3 9 5 5" xfId="15028"/>
    <cellStyle name="Note 3 9 5 6" xfId="15029"/>
    <cellStyle name="Note 3 9 5_DeltaViewer" xfId="15030"/>
    <cellStyle name="Note 3 9 6" xfId="15031"/>
    <cellStyle name="Note 3 9 7" xfId="15032"/>
    <cellStyle name="Note 3 9 8" xfId="15033"/>
    <cellStyle name="Note 3 9 9" xfId="15034"/>
    <cellStyle name="Note 3 9_DeltaViewer" xfId="15035"/>
    <cellStyle name="Note 3_DeltaViewer" xfId="15036"/>
    <cellStyle name="Note 4" xfId="15037"/>
    <cellStyle name="Note 4 10" xfId="15038"/>
    <cellStyle name="Note 4 10 10" xfId="15039"/>
    <cellStyle name="Note 4 10 2" xfId="15040"/>
    <cellStyle name="Note 4 10 2 2" xfId="15041"/>
    <cellStyle name="Note 4 10 2 2 2" xfId="15042"/>
    <cellStyle name="Note 4 10 2 2 2 2" xfId="15043"/>
    <cellStyle name="Note 4 10 2 2 2 3" xfId="15044"/>
    <cellStyle name="Note 4 10 2 2 2 4" xfId="15045"/>
    <cellStyle name="Note 4 10 2 2 2 5" xfId="15046"/>
    <cellStyle name="Note 4 10 2 2 2 6" xfId="15047"/>
    <cellStyle name="Note 4 10 2 2 2_DeltaViewer" xfId="15048"/>
    <cellStyle name="Note 4 10 2 2 3" xfId="15049"/>
    <cellStyle name="Note 4 10 2 2 4" xfId="15050"/>
    <cellStyle name="Note 4 10 2 2 5" xfId="15051"/>
    <cellStyle name="Note 4 10 2 2 6" xfId="15052"/>
    <cellStyle name="Note 4 10 2 2 7" xfId="15053"/>
    <cellStyle name="Note 4 10 2 2_DeltaViewer" xfId="15054"/>
    <cellStyle name="Note 4 10 2 3" xfId="15055"/>
    <cellStyle name="Note 4 10 2 3 2" xfId="15056"/>
    <cellStyle name="Note 4 10 2 3 3" xfId="15057"/>
    <cellStyle name="Note 4 10 2 3 4" xfId="15058"/>
    <cellStyle name="Note 4 10 2 3 5" xfId="15059"/>
    <cellStyle name="Note 4 10 2 3 6" xfId="15060"/>
    <cellStyle name="Note 4 10 2 3_DeltaViewer" xfId="15061"/>
    <cellStyle name="Note 4 10 2 4" xfId="15062"/>
    <cellStyle name="Note 4 10 2 5" xfId="15063"/>
    <cellStyle name="Note 4 10 2 6" xfId="15064"/>
    <cellStyle name="Note 4 10 2 7" xfId="15065"/>
    <cellStyle name="Note 4 10 2 8" xfId="15066"/>
    <cellStyle name="Note 4 10 2_DeltaViewer" xfId="15067"/>
    <cellStyle name="Note 4 10 3" xfId="15068"/>
    <cellStyle name="Note 4 10 3 2" xfId="15069"/>
    <cellStyle name="Note 4 10 3 2 2" xfId="15070"/>
    <cellStyle name="Note 4 10 3 2 2 2" xfId="15071"/>
    <cellStyle name="Note 4 10 3 2 2 3" xfId="15072"/>
    <cellStyle name="Note 4 10 3 2 2 4" xfId="15073"/>
    <cellStyle name="Note 4 10 3 2 2 5" xfId="15074"/>
    <cellStyle name="Note 4 10 3 2 2 6" xfId="15075"/>
    <cellStyle name="Note 4 10 3 2 2_DeltaViewer" xfId="15076"/>
    <cellStyle name="Note 4 10 3 2 3" xfId="15077"/>
    <cellStyle name="Note 4 10 3 2 4" xfId="15078"/>
    <cellStyle name="Note 4 10 3 2 5" xfId="15079"/>
    <cellStyle name="Note 4 10 3 2 6" xfId="15080"/>
    <cellStyle name="Note 4 10 3 2 7" xfId="15081"/>
    <cellStyle name="Note 4 10 3 2_DeltaViewer" xfId="15082"/>
    <cellStyle name="Note 4 10 3 3" xfId="15083"/>
    <cellStyle name="Note 4 10 3 3 2" xfId="15084"/>
    <cellStyle name="Note 4 10 3 3 3" xfId="15085"/>
    <cellStyle name="Note 4 10 3 3 4" xfId="15086"/>
    <cellStyle name="Note 4 10 3 3 5" xfId="15087"/>
    <cellStyle name="Note 4 10 3 3 6" xfId="15088"/>
    <cellStyle name="Note 4 10 3 3_DeltaViewer" xfId="15089"/>
    <cellStyle name="Note 4 10 3 4" xfId="15090"/>
    <cellStyle name="Note 4 10 3 5" xfId="15091"/>
    <cellStyle name="Note 4 10 3 6" xfId="15092"/>
    <cellStyle name="Note 4 10 3 7" xfId="15093"/>
    <cellStyle name="Note 4 10 3 8" xfId="15094"/>
    <cellStyle name="Note 4 10 3_DeltaViewer" xfId="15095"/>
    <cellStyle name="Note 4 10 4" xfId="15096"/>
    <cellStyle name="Note 4 10 4 2" xfId="15097"/>
    <cellStyle name="Note 4 10 4 2 2" xfId="15098"/>
    <cellStyle name="Note 4 10 4 2 3" xfId="15099"/>
    <cellStyle name="Note 4 10 4 2 4" xfId="15100"/>
    <cellStyle name="Note 4 10 4 2 5" xfId="15101"/>
    <cellStyle name="Note 4 10 4 2 6" xfId="15102"/>
    <cellStyle name="Note 4 10 4 2_DeltaViewer" xfId="15103"/>
    <cellStyle name="Note 4 10 4 3" xfId="15104"/>
    <cellStyle name="Note 4 10 4 4" xfId="15105"/>
    <cellStyle name="Note 4 10 4 5" xfId="15106"/>
    <cellStyle name="Note 4 10 4 6" xfId="15107"/>
    <cellStyle name="Note 4 10 4 7" xfId="15108"/>
    <cellStyle name="Note 4 10 4_DeltaViewer" xfId="15109"/>
    <cellStyle name="Note 4 10 5" xfId="15110"/>
    <cellStyle name="Note 4 10 5 2" xfId="15111"/>
    <cellStyle name="Note 4 10 5 3" xfId="15112"/>
    <cellStyle name="Note 4 10 5 4" xfId="15113"/>
    <cellStyle name="Note 4 10 5 5" xfId="15114"/>
    <cellStyle name="Note 4 10 5 6" xfId="15115"/>
    <cellStyle name="Note 4 10 5_DeltaViewer" xfId="15116"/>
    <cellStyle name="Note 4 10 6" xfId="15117"/>
    <cellStyle name="Note 4 10 7" xfId="15118"/>
    <cellStyle name="Note 4 10 8" xfId="15119"/>
    <cellStyle name="Note 4 10 9" xfId="15120"/>
    <cellStyle name="Note 4 10_DeltaViewer" xfId="15121"/>
    <cellStyle name="Note 4 11" xfId="15122"/>
    <cellStyle name="Note 4 11 10" xfId="15123"/>
    <cellStyle name="Note 4 11 2" xfId="15124"/>
    <cellStyle name="Note 4 11 2 2" xfId="15125"/>
    <cellStyle name="Note 4 11 2 2 2" xfId="15126"/>
    <cellStyle name="Note 4 11 2 2 2 2" xfId="15127"/>
    <cellStyle name="Note 4 11 2 2 2 3" xfId="15128"/>
    <cellStyle name="Note 4 11 2 2 2 4" xfId="15129"/>
    <cellStyle name="Note 4 11 2 2 2 5" xfId="15130"/>
    <cellStyle name="Note 4 11 2 2 2 6" xfId="15131"/>
    <cellStyle name="Note 4 11 2 2 2_DeltaViewer" xfId="15132"/>
    <cellStyle name="Note 4 11 2 2 3" xfId="15133"/>
    <cellStyle name="Note 4 11 2 2 4" xfId="15134"/>
    <cellStyle name="Note 4 11 2 2 5" xfId="15135"/>
    <cellStyle name="Note 4 11 2 2 6" xfId="15136"/>
    <cellStyle name="Note 4 11 2 2 7" xfId="15137"/>
    <cellStyle name="Note 4 11 2 2_DeltaViewer" xfId="15138"/>
    <cellStyle name="Note 4 11 2 3" xfId="15139"/>
    <cellStyle name="Note 4 11 2 3 2" xfId="15140"/>
    <cellStyle name="Note 4 11 2 3 3" xfId="15141"/>
    <cellStyle name="Note 4 11 2 3 4" xfId="15142"/>
    <cellStyle name="Note 4 11 2 3 5" xfId="15143"/>
    <cellStyle name="Note 4 11 2 3 6" xfId="15144"/>
    <cellStyle name="Note 4 11 2 3_DeltaViewer" xfId="15145"/>
    <cellStyle name="Note 4 11 2 4" xfId="15146"/>
    <cellStyle name="Note 4 11 2 5" xfId="15147"/>
    <cellStyle name="Note 4 11 2 6" xfId="15148"/>
    <cellStyle name="Note 4 11 2 7" xfId="15149"/>
    <cellStyle name="Note 4 11 2 8" xfId="15150"/>
    <cellStyle name="Note 4 11 2_DeltaViewer" xfId="15151"/>
    <cellStyle name="Note 4 11 3" xfId="15152"/>
    <cellStyle name="Note 4 11 3 2" xfId="15153"/>
    <cellStyle name="Note 4 11 3 2 2" xfId="15154"/>
    <cellStyle name="Note 4 11 3 2 2 2" xfId="15155"/>
    <cellStyle name="Note 4 11 3 2 2 3" xfId="15156"/>
    <cellStyle name="Note 4 11 3 2 2 4" xfId="15157"/>
    <cellStyle name="Note 4 11 3 2 2 5" xfId="15158"/>
    <cellStyle name="Note 4 11 3 2 2 6" xfId="15159"/>
    <cellStyle name="Note 4 11 3 2 2_DeltaViewer" xfId="15160"/>
    <cellStyle name="Note 4 11 3 2 3" xfId="15161"/>
    <cellStyle name="Note 4 11 3 2 4" xfId="15162"/>
    <cellStyle name="Note 4 11 3 2 5" xfId="15163"/>
    <cellStyle name="Note 4 11 3 2 6" xfId="15164"/>
    <cellStyle name="Note 4 11 3 2 7" xfId="15165"/>
    <cellStyle name="Note 4 11 3 2_DeltaViewer" xfId="15166"/>
    <cellStyle name="Note 4 11 3 3" xfId="15167"/>
    <cellStyle name="Note 4 11 3 3 2" xfId="15168"/>
    <cellStyle name="Note 4 11 3 3 3" xfId="15169"/>
    <cellStyle name="Note 4 11 3 3 4" xfId="15170"/>
    <cellStyle name="Note 4 11 3 3 5" xfId="15171"/>
    <cellStyle name="Note 4 11 3 3 6" xfId="15172"/>
    <cellStyle name="Note 4 11 3 3_DeltaViewer" xfId="15173"/>
    <cellStyle name="Note 4 11 3 4" xfId="15174"/>
    <cellStyle name="Note 4 11 3 5" xfId="15175"/>
    <cellStyle name="Note 4 11 3 6" xfId="15176"/>
    <cellStyle name="Note 4 11 3 7" xfId="15177"/>
    <cellStyle name="Note 4 11 3 8" xfId="15178"/>
    <cellStyle name="Note 4 11 3_DeltaViewer" xfId="15179"/>
    <cellStyle name="Note 4 11 4" xfId="15180"/>
    <cellStyle name="Note 4 11 4 2" xfId="15181"/>
    <cellStyle name="Note 4 11 4 2 2" xfId="15182"/>
    <cellStyle name="Note 4 11 4 2 3" xfId="15183"/>
    <cellStyle name="Note 4 11 4 2 4" xfId="15184"/>
    <cellStyle name="Note 4 11 4 2 5" xfId="15185"/>
    <cellStyle name="Note 4 11 4 2 6" xfId="15186"/>
    <cellStyle name="Note 4 11 4 2_DeltaViewer" xfId="15187"/>
    <cellStyle name="Note 4 11 4 3" xfId="15188"/>
    <cellStyle name="Note 4 11 4 4" xfId="15189"/>
    <cellStyle name="Note 4 11 4 5" xfId="15190"/>
    <cellStyle name="Note 4 11 4 6" xfId="15191"/>
    <cellStyle name="Note 4 11 4 7" xfId="15192"/>
    <cellStyle name="Note 4 11 4_DeltaViewer" xfId="15193"/>
    <cellStyle name="Note 4 11 5" xfId="15194"/>
    <cellStyle name="Note 4 11 5 2" xfId="15195"/>
    <cellStyle name="Note 4 11 5 3" xfId="15196"/>
    <cellStyle name="Note 4 11 5 4" xfId="15197"/>
    <cellStyle name="Note 4 11 5 5" xfId="15198"/>
    <cellStyle name="Note 4 11 5 6" xfId="15199"/>
    <cellStyle name="Note 4 11 5_DeltaViewer" xfId="15200"/>
    <cellStyle name="Note 4 11 6" xfId="15201"/>
    <cellStyle name="Note 4 11 7" xfId="15202"/>
    <cellStyle name="Note 4 11 8" xfId="15203"/>
    <cellStyle name="Note 4 11 9" xfId="15204"/>
    <cellStyle name="Note 4 11_DeltaViewer" xfId="15205"/>
    <cellStyle name="Note 4 12" xfId="15206"/>
    <cellStyle name="Note 4 12 10" xfId="15207"/>
    <cellStyle name="Note 4 12 2" xfId="15208"/>
    <cellStyle name="Note 4 12 2 2" xfId="15209"/>
    <cellStyle name="Note 4 12 2 2 2" xfId="15210"/>
    <cellStyle name="Note 4 12 2 2 2 2" xfId="15211"/>
    <cellStyle name="Note 4 12 2 2 2 3" xfId="15212"/>
    <cellStyle name="Note 4 12 2 2 2 4" xfId="15213"/>
    <cellStyle name="Note 4 12 2 2 2 5" xfId="15214"/>
    <cellStyle name="Note 4 12 2 2 2 6" xfId="15215"/>
    <cellStyle name="Note 4 12 2 2 2_DeltaViewer" xfId="15216"/>
    <cellStyle name="Note 4 12 2 2 3" xfId="15217"/>
    <cellStyle name="Note 4 12 2 2 4" xfId="15218"/>
    <cellStyle name="Note 4 12 2 2 5" xfId="15219"/>
    <cellStyle name="Note 4 12 2 2 6" xfId="15220"/>
    <cellStyle name="Note 4 12 2 2 7" xfId="15221"/>
    <cellStyle name="Note 4 12 2 2_DeltaViewer" xfId="15222"/>
    <cellStyle name="Note 4 12 2 3" xfId="15223"/>
    <cellStyle name="Note 4 12 2 3 2" xfId="15224"/>
    <cellStyle name="Note 4 12 2 3 3" xfId="15225"/>
    <cellStyle name="Note 4 12 2 3 4" xfId="15226"/>
    <cellStyle name="Note 4 12 2 3 5" xfId="15227"/>
    <cellStyle name="Note 4 12 2 3 6" xfId="15228"/>
    <cellStyle name="Note 4 12 2 3_DeltaViewer" xfId="15229"/>
    <cellStyle name="Note 4 12 2 4" xfId="15230"/>
    <cellStyle name="Note 4 12 2 5" xfId="15231"/>
    <cellStyle name="Note 4 12 2 6" xfId="15232"/>
    <cellStyle name="Note 4 12 2 7" xfId="15233"/>
    <cellStyle name="Note 4 12 2 8" xfId="15234"/>
    <cellStyle name="Note 4 12 2_DeltaViewer" xfId="15235"/>
    <cellStyle name="Note 4 12 3" xfId="15236"/>
    <cellStyle name="Note 4 12 3 2" xfId="15237"/>
    <cellStyle name="Note 4 12 3 2 2" xfId="15238"/>
    <cellStyle name="Note 4 12 3 2 2 2" xfId="15239"/>
    <cellStyle name="Note 4 12 3 2 2 3" xfId="15240"/>
    <cellStyle name="Note 4 12 3 2 2 4" xfId="15241"/>
    <cellStyle name="Note 4 12 3 2 2 5" xfId="15242"/>
    <cellStyle name="Note 4 12 3 2 2 6" xfId="15243"/>
    <cellStyle name="Note 4 12 3 2 2_DeltaViewer" xfId="15244"/>
    <cellStyle name="Note 4 12 3 2 3" xfId="15245"/>
    <cellStyle name="Note 4 12 3 2 4" xfId="15246"/>
    <cellStyle name="Note 4 12 3 2 5" xfId="15247"/>
    <cellStyle name="Note 4 12 3 2 6" xfId="15248"/>
    <cellStyle name="Note 4 12 3 2 7" xfId="15249"/>
    <cellStyle name="Note 4 12 3 2_DeltaViewer" xfId="15250"/>
    <cellStyle name="Note 4 12 3 3" xfId="15251"/>
    <cellStyle name="Note 4 12 3 3 2" xfId="15252"/>
    <cellStyle name="Note 4 12 3 3 3" xfId="15253"/>
    <cellStyle name="Note 4 12 3 3 4" xfId="15254"/>
    <cellStyle name="Note 4 12 3 3 5" xfId="15255"/>
    <cellStyle name="Note 4 12 3 3 6" xfId="15256"/>
    <cellStyle name="Note 4 12 3 3_DeltaViewer" xfId="15257"/>
    <cellStyle name="Note 4 12 3 4" xfId="15258"/>
    <cellStyle name="Note 4 12 3 5" xfId="15259"/>
    <cellStyle name="Note 4 12 3 6" xfId="15260"/>
    <cellStyle name="Note 4 12 3 7" xfId="15261"/>
    <cellStyle name="Note 4 12 3 8" xfId="15262"/>
    <cellStyle name="Note 4 12 3_DeltaViewer" xfId="15263"/>
    <cellStyle name="Note 4 12 4" xfId="15264"/>
    <cellStyle name="Note 4 12 4 2" xfId="15265"/>
    <cellStyle name="Note 4 12 4 2 2" xfId="15266"/>
    <cellStyle name="Note 4 12 4 2 3" xfId="15267"/>
    <cellStyle name="Note 4 12 4 2 4" xfId="15268"/>
    <cellStyle name="Note 4 12 4 2 5" xfId="15269"/>
    <cellStyle name="Note 4 12 4 2 6" xfId="15270"/>
    <cellStyle name="Note 4 12 4 2_DeltaViewer" xfId="15271"/>
    <cellStyle name="Note 4 12 4 3" xfId="15272"/>
    <cellStyle name="Note 4 12 4 4" xfId="15273"/>
    <cellStyle name="Note 4 12 4 5" xfId="15274"/>
    <cellStyle name="Note 4 12 4 6" xfId="15275"/>
    <cellStyle name="Note 4 12 4 7" xfId="15276"/>
    <cellStyle name="Note 4 12 4_DeltaViewer" xfId="15277"/>
    <cellStyle name="Note 4 12 5" xfId="15278"/>
    <cellStyle name="Note 4 12 5 2" xfId="15279"/>
    <cellStyle name="Note 4 12 5 3" xfId="15280"/>
    <cellStyle name="Note 4 12 5 4" xfId="15281"/>
    <cellStyle name="Note 4 12 5 5" xfId="15282"/>
    <cellStyle name="Note 4 12 5 6" xfId="15283"/>
    <cellStyle name="Note 4 12 5_DeltaViewer" xfId="15284"/>
    <cellStyle name="Note 4 12 6" xfId="15285"/>
    <cellStyle name="Note 4 12 7" xfId="15286"/>
    <cellStyle name="Note 4 12 8" xfId="15287"/>
    <cellStyle name="Note 4 12 9" xfId="15288"/>
    <cellStyle name="Note 4 12_DeltaViewer" xfId="15289"/>
    <cellStyle name="Note 4 13" xfId="15290"/>
    <cellStyle name="Note 4 13 10" xfId="15291"/>
    <cellStyle name="Note 4 13 2" xfId="15292"/>
    <cellStyle name="Note 4 13 2 2" xfId="15293"/>
    <cellStyle name="Note 4 13 2 2 2" xfId="15294"/>
    <cellStyle name="Note 4 13 2 2 2 2" xfId="15295"/>
    <cellStyle name="Note 4 13 2 2 2 3" xfId="15296"/>
    <cellStyle name="Note 4 13 2 2 2 4" xfId="15297"/>
    <cellStyle name="Note 4 13 2 2 2 5" xfId="15298"/>
    <cellStyle name="Note 4 13 2 2 2 6" xfId="15299"/>
    <cellStyle name="Note 4 13 2 2 2_DeltaViewer" xfId="15300"/>
    <cellStyle name="Note 4 13 2 2 3" xfId="15301"/>
    <cellStyle name="Note 4 13 2 2 4" xfId="15302"/>
    <cellStyle name="Note 4 13 2 2 5" xfId="15303"/>
    <cellStyle name="Note 4 13 2 2 6" xfId="15304"/>
    <cellStyle name="Note 4 13 2 2 7" xfId="15305"/>
    <cellStyle name="Note 4 13 2 2_DeltaViewer" xfId="15306"/>
    <cellStyle name="Note 4 13 2 3" xfId="15307"/>
    <cellStyle name="Note 4 13 2 3 2" xfId="15308"/>
    <cellStyle name="Note 4 13 2 3 3" xfId="15309"/>
    <cellStyle name="Note 4 13 2 3 4" xfId="15310"/>
    <cellStyle name="Note 4 13 2 3 5" xfId="15311"/>
    <cellStyle name="Note 4 13 2 3 6" xfId="15312"/>
    <cellStyle name="Note 4 13 2 3_DeltaViewer" xfId="15313"/>
    <cellStyle name="Note 4 13 2 4" xfId="15314"/>
    <cellStyle name="Note 4 13 2 5" xfId="15315"/>
    <cellStyle name="Note 4 13 2 6" xfId="15316"/>
    <cellStyle name="Note 4 13 2 7" xfId="15317"/>
    <cellStyle name="Note 4 13 2 8" xfId="15318"/>
    <cellStyle name="Note 4 13 2_DeltaViewer" xfId="15319"/>
    <cellStyle name="Note 4 13 3" xfId="15320"/>
    <cellStyle name="Note 4 13 3 2" xfId="15321"/>
    <cellStyle name="Note 4 13 3 2 2" xfId="15322"/>
    <cellStyle name="Note 4 13 3 2 2 2" xfId="15323"/>
    <cellStyle name="Note 4 13 3 2 2 3" xfId="15324"/>
    <cellStyle name="Note 4 13 3 2 2 4" xfId="15325"/>
    <cellStyle name="Note 4 13 3 2 2 5" xfId="15326"/>
    <cellStyle name="Note 4 13 3 2 2 6" xfId="15327"/>
    <cellStyle name="Note 4 13 3 2 2_DeltaViewer" xfId="15328"/>
    <cellStyle name="Note 4 13 3 2 3" xfId="15329"/>
    <cellStyle name="Note 4 13 3 2 4" xfId="15330"/>
    <cellStyle name="Note 4 13 3 2 5" xfId="15331"/>
    <cellStyle name="Note 4 13 3 2 6" xfId="15332"/>
    <cellStyle name="Note 4 13 3 2 7" xfId="15333"/>
    <cellStyle name="Note 4 13 3 2_DeltaViewer" xfId="15334"/>
    <cellStyle name="Note 4 13 3 3" xfId="15335"/>
    <cellStyle name="Note 4 13 3 3 2" xfId="15336"/>
    <cellStyle name="Note 4 13 3 3 3" xfId="15337"/>
    <cellStyle name="Note 4 13 3 3 4" xfId="15338"/>
    <cellStyle name="Note 4 13 3 3 5" xfId="15339"/>
    <cellStyle name="Note 4 13 3 3 6" xfId="15340"/>
    <cellStyle name="Note 4 13 3 3_DeltaViewer" xfId="15341"/>
    <cellStyle name="Note 4 13 3 4" xfId="15342"/>
    <cellStyle name="Note 4 13 3 5" xfId="15343"/>
    <cellStyle name="Note 4 13 3 6" xfId="15344"/>
    <cellStyle name="Note 4 13 3 7" xfId="15345"/>
    <cellStyle name="Note 4 13 3 8" xfId="15346"/>
    <cellStyle name="Note 4 13 3_DeltaViewer" xfId="15347"/>
    <cellStyle name="Note 4 13 4" xfId="15348"/>
    <cellStyle name="Note 4 13 4 2" xfId="15349"/>
    <cellStyle name="Note 4 13 4 2 2" xfId="15350"/>
    <cellStyle name="Note 4 13 4 2 3" xfId="15351"/>
    <cellStyle name="Note 4 13 4 2 4" xfId="15352"/>
    <cellStyle name="Note 4 13 4 2 5" xfId="15353"/>
    <cellStyle name="Note 4 13 4 2 6" xfId="15354"/>
    <cellStyle name="Note 4 13 4 2_DeltaViewer" xfId="15355"/>
    <cellStyle name="Note 4 13 4 3" xfId="15356"/>
    <cellStyle name="Note 4 13 4 4" xfId="15357"/>
    <cellStyle name="Note 4 13 4 5" xfId="15358"/>
    <cellStyle name="Note 4 13 4 6" xfId="15359"/>
    <cellStyle name="Note 4 13 4 7" xfId="15360"/>
    <cellStyle name="Note 4 13 4_DeltaViewer" xfId="15361"/>
    <cellStyle name="Note 4 13 5" xfId="15362"/>
    <cellStyle name="Note 4 13 5 2" xfId="15363"/>
    <cellStyle name="Note 4 13 5 3" xfId="15364"/>
    <cellStyle name="Note 4 13 5 4" xfId="15365"/>
    <cellStyle name="Note 4 13 5 5" xfId="15366"/>
    <cellStyle name="Note 4 13 5 6" xfId="15367"/>
    <cellStyle name="Note 4 13 5_DeltaViewer" xfId="15368"/>
    <cellStyle name="Note 4 13 6" xfId="15369"/>
    <cellStyle name="Note 4 13 7" xfId="15370"/>
    <cellStyle name="Note 4 13 8" xfId="15371"/>
    <cellStyle name="Note 4 13 9" xfId="15372"/>
    <cellStyle name="Note 4 13_DeltaViewer" xfId="15373"/>
    <cellStyle name="Note 4 14" xfId="15374"/>
    <cellStyle name="Note 4 14 2" xfId="15375"/>
    <cellStyle name="Note 4 14 2 2" xfId="15376"/>
    <cellStyle name="Note 4 14 2 2 2" xfId="15377"/>
    <cellStyle name="Note 4 14 2 2 3" xfId="15378"/>
    <cellStyle name="Note 4 14 2 2 4" xfId="15379"/>
    <cellStyle name="Note 4 14 2 2 5" xfId="15380"/>
    <cellStyle name="Note 4 14 2 2 6" xfId="15381"/>
    <cellStyle name="Note 4 14 2 2_DeltaViewer" xfId="15382"/>
    <cellStyle name="Note 4 14 2 3" xfId="15383"/>
    <cellStyle name="Note 4 14 2 4" xfId="15384"/>
    <cellStyle name="Note 4 14 2 5" xfId="15385"/>
    <cellStyle name="Note 4 14 2 6" xfId="15386"/>
    <cellStyle name="Note 4 14 2 7" xfId="15387"/>
    <cellStyle name="Note 4 14 2_DeltaViewer" xfId="15388"/>
    <cellStyle name="Note 4 14 3" xfId="15389"/>
    <cellStyle name="Note 4 14 3 2" xfId="15390"/>
    <cellStyle name="Note 4 14 3 3" xfId="15391"/>
    <cellStyle name="Note 4 14 3 4" xfId="15392"/>
    <cellStyle name="Note 4 14 3 5" xfId="15393"/>
    <cellStyle name="Note 4 14 3 6" xfId="15394"/>
    <cellStyle name="Note 4 14 3_DeltaViewer" xfId="15395"/>
    <cellStyle name="Note 4 14 4" xfId="15396"/>
    <cellStyle name="Note 4 14 5" xfId="15397"/>
    <cellStyle name="Note 4 14 6" xfId="15398"/>
    <cellStyle name="Note 4 14 7" xfId="15399"/>
    <cellStyle name="Note 4 14 8" xfId="15400"/>
    <cellStyle name="Note 4 14_DeltaViewer" xfId="15401"/>
    <cellStyle name="Note 4 15" xfId="15402"/>
    <cellStyle name="Note 4 15 2" xfId="15403"/>
    <cellStyle name="Note 4 15 2 2" xfId="15404"/>
    <cellStyle name="Note 4 15 2 2 2" xfId="15405"/>
    <cellStyle name="Note 4 15 2 2 3" xfId="15406"/>
    <cellStyle name="Note 4 15 2 2 4" xfId="15407"/>
    <cellStyle name="Note 4 15 2 2 5" xfId="15408"/>
    <cellStyle name="Note 4 15 2 2 6" xfId="15409"/>
    <cellStyle name="Note 4 15 2 2_DeltaViewer" xfId="15410"/>
    <cellStyle name="Note 4 15 2 3" xfId="15411"/>
    <cellStyle name="Note 4 15 2 4" xfId="15412"/>
    <cellStyle name="Note 4 15 2 5" xfId="15413"/>
    <cellStyle name="Note 4 15 2 6" xfId="15414"/>
    <cellStyle name="Note 4 15 2 7" xfId="15415"/>
    <cellStyle name="Note 4 15 2_DeltaViewer" xfId="15416"/>
    <cellStyle name="Note 4 15 3" xfId="15417"/>
    <cellStyle name="Note 4 15 3 2" xfId="15418"/>
    <cellStyle name="Note 4 15 3 3" xfId="15419"/>
    <cellStyle name="Note 4 15 3 4" xfId="15420"/>
    <cellStyle name="Note 4 15 3 5" xfId="15421"/>
    <cellStyle name="Note 4 15 3 6" xfId="15422"/>
    <cellStyle name="Note 4 15 3_DeltaViewer" xfId="15423"/>
    <cellStyle name="Note 4 15 4" xfId="15424"/>
    <cellStyle name="Note 4 15 5" xfId="15425"/>
    <cellStyle name="Note 4 15 6" xfId="15426"/>
    <cellStyle name="Note 4 15 7" xfId="15427"/>
    <cellStyle name="Note 4 15 8" xfId="15428"/>
    <cellStyle name="Note 4 15_DeltaViewer" xfId="15429"/>
    <cellStyle name="Note 4 16" xfId="15430"/>
    <cellStyle name="Note 4 16 2" xfId="15431"/>
    <cellStyle name="Note 4 16 2 2" xfId="15432"/>
    <cellStyle name="Note 4 16 2 3" xfId="15433"/>
    <cellStyle name="Note 4 16 2 4" xfId="15434"/>
    <cellStyle name="Note 4 16 2 5" xfId="15435"/>
    <cellStyle name="Note 4 16 2 6" xfId="15436"/>
    <cellStyle name="Note 4 16 2_DeltaViewer" xfId="15437"/>
    <cellStyle name="Note 4 16 3" xfId="15438"/>
    <cellStyle name="Note 4 16 4" xfId="15439"/>
    <cellStyle name="Note 4 16 5" xfId="15440"/>
    <cellStyle name="Note 4 16 6" xfId="15441"/>
    <cellStyle name="Note 4 16 7" xfId="15442"/>
    <cellStyle name="Note 4 16_DeltaViewer" xfId="15443"/>
    <cellStyle name="Note 4 17" xfId="15444"/>
    <cellStyle name="Note 4 17 2" xfId="15445"/>
    <cellStyle name="Note 4 17 2 2" xfId="15446"/>
    <cellStyle name="Note 4 17 2 2 2" xfId="15447"/>
    <cellStyle name="Note 4 17 2 2 3" xfId="15448"/>
    <cellStyle name="Note 4 17 2 2 4" xfId="15449"/>
    <cellStyle name="Note 4 17 2 2 5" xfId="15450"/>
    <cellStyle name="Note 4 17 2 2 6" xfId="15451"/>
    <cellStyle name="Note 4 17 2 2_DeltaViewer" xfId="15452"/>
    <cellStyle name="Note 4 17 2 3" xfId="15453"/>
    <cellStyle name="Note 4 17 2 4" xfId="15454"/>
    <cellStyle name="Note 4 17 2 5" xfId="15455"/>
    <cellStyle name="Note 4 17 2 6" xfId="15456"/>
    <cellStyle name="Note 4 17 2 7" xfId="15457"/>
    <cellStyle name="Note 4 17 2_DeltaViewer" xfId="15458"/>
    <cellStyle name="Note 4 17 3" xfId="15459"/>
    <cellStyle name="Note 4 17 3 2" xfId="15460"/>
    <cellStyle name="Note 4 17 3 3" xfId="15461"/>
    <cellStyle name="Note 4 17 3 4" xfId="15462"/>
    <cellStyle name="Note 4 17 3 5" xfId="15463"/>
    <cellStyle name="Note 4 17 3 6" xfId="15464"/>
    <cellStyle name="Note 4 17 3_DeltaViewer" xfId="15465"/>
    <cellStyle name="Note 4 17 4" xfId="15466"/>
    <cellStyle name="Note 4 17 5" xfId="15467"/>
    <cellStyle name="Note 4 17 6" xfId="15468"/>
    <cellStyle name="Note 4 17 7" xfId="15469"/>
    <cellStyle name="Note 4 17 8" xfId="15470"/>
    <cellStyle name="Note 4 17_DeltaViewer" xfId="15471"/>
    <cellStyle name="Note 4 18" xfId="15472"/>
    <cellStyle name="Note 4 18 2" xfId="15473"/>
    <cellStyle name="Note 4 18 2 2" xfId="15474"/>
    <cellStyle name="Note 4 18 2 2 2" xfId="15475"/>
    <cellStyle name="Note 4 18 2 2 3" xfId="15476"/>
    <cellStyle name="Note 4 18 2 2 4" xfId="15477"/>
    <cellStyle name="Note 4 18 2 2 5" xfId="15478"/>
    <cellStyle name="Note 4 18 2 2 6" xfId="15479"/>
    <cellStyle name="Note 4 18 2 2_DeltaViewer" xfId="15480"/>
    <cellStyle name="Note 4 18 2 3" xfId="15481"/>
    <cellStyle name="Note 4 18 2 4" xfId="15482"/>
    <cellStyle name="Note 4 18 2 5" xfId="15483"/>
    <cellStyle name="Note 4 18 2 6" xfId="15484"/>
    <cellStyle name="Note 4 18 2 7" xfId="15485"/>
    <cellStyle name="Note 4 18 2_DeltaViewer" xfId="15486"/>
    <cellStyle name="Note 4 18 3" xfId="15487"/>
    <cellStyle name="Note 4 18 3 2" xfId="15488"/>
    <cellStyle name="Note 4 18 3 3" xfId="15489"/>
    <cellStyle name="Note 4 18 3 4" xfId="15490"/>
    <cellStyle name="Note 4 18 3 5" xfId="15491"/>
    <cellStyle name="Note 4 18 3 6" xfId="15492"/>
    <cellStyle name="Note 4 18 3_DeltaViewer" xfId="15493"/>
    <cellStyle name="Note 4 18 4" xfId="15494"/>
    <cellStyle name="Note 4 18 5" xfId="15495"/>
    <cellStyle name="Note 4 18 6" xfId="15496"/>
    <cellStyle name="Note 4 18 7" xfId="15497"/>
    <cellStyle name="Note 4 18 8" xfId="15498"/>
    <cellStyle name="Note 4 18_DeltaViewer" xfId="15499"/>
    <cellStyle name="Note 4 19" xfId="15500"/>
    <cellStyle name="Note 4 19 2" xfId="15501"/>
    <cellStyle name="Note 4 19 2 2" xfId="15502"/>
    <cellStyle name="Note 4 19 2 2 2" xfId="15503"/>
    <cellStyle name="Note 4 19 2 2 3" xfId="15504"/>
    <cellStyle name="Note 4 19 2 2 4" xfId="15505"/>
    <cellStyle name="Note 4 19 2 2 5" xfId="15506"/>
    <cellStyle name="Note 4 19 2 2 6" xfId="15507"/>
    <cellStyle name="Note 4 19 2 2_DeltaViewer" xfId="15508"/>
    <cellStyle name="Note 4 19 2 3" xfId="15509"/>
    <cellStyle name="Note 4 19 2 4" xfId="15510"/>
    <cellStyle name="Note 4 19 2 5" xfId="15511"/>
    <cellStyle name="Note 4 19 2 6" xfId="15512"/>
    <cellStyle name="Note 4 19 2 7" xfId="15513"/>
    <cellStyle name="Note 4 19 2_DeltaViewer" xfId="15514"/>
    <cellStyle name="Note 4 19 3" xfId="15515"/>
    <cellStyle name="Note 4 19 3 2" xfId="15516"/>
    <cellStyle name="Note 4 19 3 3" xfId="15517"/>
    <cellStyle name="Note 4 19 3 4" xfId="15518"/>
    <cellStyle name="Note 4 19 3 5" xfId="15519"/>
    <cellStyle name="Note 4 19 3 6" xfId="15520"/>
    <cellStyle name="Note 4 19 3_DeltaViewer" xfId="15521"/>
    <cellStyle name="Note 4 19 4" xfId="15522"/>
    <cellStyle name="Note 4 19 5" xfId="15523"/>
    <cellStyle name="Note 4 19 6" xfId="15524"/>
    <cellStyle name="Note 4 19 7" xfId="15525"/>
    <cellStyle name="Note 4 19 8" xfId="15526"/>
    <cellStyle name="Note 4 19_DeltaViewer" xfId="15527"/>
    <cellStyle name="Note 4 2" xfId="15528"/>
    <cellStyle name="Note 4 2 10" xfId="15529"/>
    <cellStyle name="Note 4 2 11" xfId="15530"/>
    <cellStyle name="Note 4 2 2" xfId="15531"/>
    <cellStyle name="Note 4 2 2 2" xfId="15532"/>
    <cellStyle name="Note 4 2 2 2 2" xfId="15533"/>
    <cellStyle name="Note 4 2 2 2 2 2" xfId="15534"/>
    <cellStyle name="Note 4 2 2 2 2 3" xfId="15535"/>
    <cellStyle name="Note 4 2 2 2 2 4" xfId="15536"/>
    <cellStyle name="Note 4 2 2 2 2 5" xfId="15537"/>
    <cellStyle name="Note 4 2 2 2 2 6" xfId="15538"/>
    <cellStyle name="Note 4 2 2 2 2_DeltaViewer" xfId="15539"/>
    <cellStyle name="Note 4 2 2 2 3" xfId="15540"/>
    <cellStyle name="Note 4 2 2 2 4" xfId="15541"/>
    <cellStyle name="Note 4 2 2 2 5" xfId="15542"/>
    <cellStyle name="Note 4 2 2 2 6" xfId="15543"/>
    <cellStyle name="Note 4 2 2 2 7" xfId="15544"/>
    <cellStyle name="Note 4 2 2 2_DeltaViewer" xfId="15545"/>
    <cellStyle name="Note 4 2 2 3" xfId="15546"/>
    <cellStyle name="Note 4 2 2 3 2" xfId="15547"/>
    <cellStyle name="Note 4 2 2 3 2 2" xfId="15548"/>
    <cellStyle name="Note 4 2 2 3 2 3" xfId="15549"/>
    <cellStyle name="Note 4 2 2 3 2 4" xfId="15550"/>
    <cellStyle name="Note 4 2 2 3 2 5" xfId="15551"/>
    <cellStyle name="Note 4 2 2 3 2 6" xfId="15552"/>
    <cellStyle name="Note 4 2 2 3 2_DeltaViewer" xfId="15553"/>
    <cellStyle name="Note 4 2 2 3 3" xfId="15554"/>
    <cellStyle name="Note 4 2 2 3 4" xfId="15555"/>
    <cellStyle name="Note 4 2 2 3 5" xfId="15556"/>
    <cellStyle name="Note 4 2 2 3 6" xfId="15557"/>
    <cellStyle name="Note 4 2 2 3 7" xfId="15558"/>
    <cellStyle name="Note 4 2 2 3_DeltaViewer" xfId="15559"/>
    <cellStyle name="Note 4 2 2 4" xfId="15560"/>
    <cellStyle name="Note 4 2 2 4 2" xfId="15561"/>
    <cellStyle name="Note 4 2 2 4 3" xfId="15562"/>
    <cellStyle name="Note 4 2 2 4 4" xfId="15563"/>
    <cellStyle name="Note 4 2 2 4 5" xfId="15564"/>
    <cellStyle name="Note 4 2 2 4 6" xfId="15565"/>
    <cellStyle name="Note 4 2 2 4_DeltaViewer" xfId="15566"/>
    <cellStyle name="Note 4 2 2 5" xfId="15567"/>
    <cellStyle name="Note 4 2 2 6" xfId="15568"/>
    <cellStyle name="Note 4 2 2 7" xfId="15569"/>
    <cellStyle name="Note 4 2 2 8" xfId="15570"/>
    <cellStyle name="Note 4 2 2 9" xfId="15571"/>
    <cellStyle name="Note 4 2 2_DeltaViewer" xfId="15572"/>
    <cellStyle name="Note 4 2 3" xfId="15573"/>
    <cellStyle name="Note 4 2 3 2" xfId="15574"/>
    <cellStyle name="Note 4 2 3 2 2" xfId="15575"/>
    <cellStyle name="Note 4 2 3 2 2 2" xfId="15576"/>
    <cellStyle name="Note 4 2 3 2 2 3" xfId="15577"/>
    <cellStyle name="Note 4 2 3 2 2 4" xfId="15578"/>
    <cellStyle name="Note 4 2 3 2 2 5" xfId="15579"/>
    <cellStyle name="Note 4 2 3 2 2 6" xfId="15580"/>
    <cellStyle name="Note 4 2 3 2 2_DeltaViewer" xfId="15581"/>
    <cellStyle name="Note 4 2 3 2 3" xfId="15582"/>
    <cellStyle name="Note 4 2 3 2 4" xfId="15583"/>
    <cellStyle name="Note 4 2 3 2 5" xfId="15584"/>
    <cellStyle name="Note 4 2 3 2 6" xfId="15585"/>
    <cellStyle name="Note 4 2 3 2 7" xfId="15586"/>
    <cellStyle name="Note 4 2 3 2_DeltaViewer" xfId="15587"/>
    <cellStyle name="Note 4 2 3 3" xfId="15588"/>
    <cellStyle name="Note 4 2 3 3 2" xfId="15589"/>
    <cellStyle name="Note 4 2 3 3 3" xfId="15590"/>
    <cellStyle name="Note 4 2 3 3 4" xfId="15591"/>
    <cellStyle name="Note 4 2 3 3 5" xfId="15592"/>
    <cellStyle name="Note 4 2 3 3 6" xfId="15593"/>
    <cellStyle name="Note 4 2 3 3_DeltaViewer" xfId="15594"/>
    <cellStyle name="Note 4 2 3 4" xfId="15595"/>
    <cellStyle name="Note 4 2 3 5" xfId="15596"/>
    <cellStyle name="Note 4 2 3 6" xfId="15597"/>
    <cellStyle name="Note 4 2 3 7" xfId="15598"/>
    <cellStyle name="Note 4 2 3 8" xfId="15599"/>
    <cellStyle name="Note 4 2 3_DeltaViewer" xfId="15600"/>
    <cellStyle name="Note 4 2 4" xfId="15601"/>
    <cellStyle name="Note 4 2 4 2" xfId="15602"/>
    <cellStyle name="Note 4 2 4 2 2" xfId="15603"/>
    <cellStyle name="Note 4 2 4 2 3" xfId="15604"/>
    <cellStyle name="Note 4 2 4 2 4" xfId="15605"/>
    <cellStyle name="Note 4 2 4 2 5" xfId="15606"/>
    <cellStyle name="Note 4 2 4 2 6" xfId="15607"/>
    <cellStyle name="Note 4 2 4 2_DeltaViewer" xfId="15608"/>
    <cellStyle name="Note 4 2 4 3" xfId="15609"/>
    <cellStyle name="Note 4 2 4 4" xfId="15610"/>
    <cellStyle name="Note 4 2 4 5" xfId="15611"/>
    <cellStyle name="Note 4 2 4 6" xfId="15612"/>
    <cellStyle name="Note 4 2 4 7" xfId="15613"/>
    <cellStyle name="Note 4 2 4_DeltaViewer" xfId="15614"/>
    <cellStyle name="Note 4 2 5" xfId="15615"/>
    <cellStyle name="Note 4 2 5 2" xfId="15616"/>
    <cellStyle name="Note 4 2 5 2 2" xfId="15617"/>
    <cellStyle name="Note 4 2 5 2 3" xfId="15618"/>
    <cellStyle name="Note 4 2 5 2 4" xfId="15619"/>
    <cellStyle name="Note 4 2 5 2 5" xfId="15620"/>
    <cellStyle name="Note 4 2 5 2 6" xfId="15621"/>
    <cellStyle name="Note 4 2 5 2_DeltaViewer" xfId="15622"/>
    <cellStyle name="Note 4 2 5 3" xfId="15623"/>
    <cellStyle name="Note 4 2 5 4" xfId="15624"/>
    <cellStyle name="Note 4 2 5 5" xfId="15625"/>
    <cellStyle name="Note 4 2 5 6" xfId="15626"/>
    <cellStyle name="Note 4 2 5 7" xfId="15627"/>
    <cellStyle name="Note 4 2 5_DeltaViewer" xfId="15628"/>
    <cellStyle name="Note 4 2 6" xfId="15629"/>
    <cellStyle name="Note 4 2 6 2" xfId="15630"/>
    <cellStyle name="Note 4 2 6 3" xfId="15631"/>
    <cellStyle name="Note 4 2 6 4" xfId="15632"/>
    <cellStyle name="Note 4 2 6 5" xfId="15633"/>
    <cellStyle name="Note 4 2 6 6" xfId="15634"/>
    <cellStyle name="Note 4 2 6_DeltaViewer" xfId="15635"/>
    <cellStyle name="Note 4 2 7" xfId="15636"/>
    <cellStyle name="Note 4 2 8" xfId="15637"/>
    <cellStyle name="Note 4 2 9" xfId="15638"/>
    <cellStyle name="Note 4 2_DeltaViewer" xfId="15639"/>
    <cellStyle name="Note 4 20" xfId="15640"/>
    <cellStyle name="Note 4 20 2" xfId="15641"/>
    <cellStyle name="Note 4 20 2 2" xfId="15642"/>
    <cellStyle name="Note 4 20 2 3" xfId="15643"/>
    <cellStyle name="Note 4 20 2 4" xfId="15644"/>
    <cellStyle name="Note 4 20 2 5" xfId="15645"/>
    <cellStyle name="Note 4 20 2 6" xfId="15646"/>
    <cellStyle name="Note 4 20 2_DeltaViewer" xfId="15647"/>
    <cellStyle name="Note 4 20 3" xfId="15648"/>
    <cellStyle name="Note 4 20 4" xfId="15649"/>
    <cellStyle name="Note 4 20 5" xfId="15650"/>
    <cellStyle name="Note 4 20 6" xfId="15651"/>
    <cellStyle name="Note 4 20 7" xfId="15652"/>
    <cellStyle name="Note 4 20_DeltaViewer" xfId="15653"/>
    <cellStyle name="Note 4 21" xfId="15654"/>
    <cellStyle name="Note 4 21 2" xfId="15655"/>
    <cellStyle name="Note 4 21 3" xfId="15656"/>
    <cellStyle name="Note 4 21 4" xfId="15657"/>
    <cellStyle name="Note 4 21 5" xfId="15658"/>
    <cellStyle name="Note 4 21 6" xfId="15659"/>
    <cellStyle name="Note 4 21_DeltaViewer" xfId="15660"/>
    <cellStyle name="Note 4 22" xfId="15661"/>
    <cellStyle name="Note 4 23" xfId="15662"/>
    <cellStyle name="Note 4 24" xfId="15663"/>
    <cellStyle name="Note 4 25" xfId="15664"/>
    <cellStyle name="Note 4 26" xfId="15665"/>
    <cellStyle name="Note 4 3" xfId="15666"/>
    <cellStyle name="Note 4 3 10" xfId="15667"/>
    <cellStyle name="Note 4 3 11" xfId="15668"/>
    <cellStyle name="Note 4 3 12" xfId="15669"/>
    <cellStyle name="Note 4 3 13" xfId="15670"/>
    <cellStyle name="Note 4 3 2" xfId="15671"/>
    <cellStyle name="Note 4 3 2 10" xfId="15672"/>
    <cellStyle name="Note 4 3 2 11" xfId="15673"/>
    <cellStyle name="Note 4 3 2 2" xfId="15674"/>
    <cellStyle name="Note 4 3 2 2 2" xfId="15675"/>
    <cellStyle name="Note 4 3 2 2 2 2" xfId="15676"/>
    <cellStyle name="Note 4 3 2 2 2 2 2" xfId="15677"/>
    <cellStyle name="Note 4 3 2 2 2 2 3" xfId="15678"/>
    <cellStyle name="Note 4 3 2 2 2 2 4" xfId="15679"/>
    <cellStyle name="Note 4 3 2 2 2 2 5" xfId="15680"/>
    <cellStyle name="Note 4 3 2 2 2 2 6" xfId="15681"/>
    <cellStyle name="Note 4 3 2 2 2 2_DeltaViewer" xfId="15682"/>
    <cellStyle name="Note 4 3 2 2 2 3" xfId="15683"/>
    <cellStyle name="Note 4 3 2 2 2 4" xfId="15684"/>
    <cellStyle name="Note 4 3 2 2 2 5" xfId="15685"/>
    <cellStyle name="Note 4 3 2 2 2 6" xfId="15686"/>
    <cellStyle name="Note 4 3 2 2 2 7" xfId="15687"/>
    <cellStyle name="Note 4 3 2 2 2_DeltaViewer" xfId="15688"/>
    <cellStyle name="Note 4 3 2 2 3" xfId="15689"/>
    <cellStyle name="Note 4 3 2 2 3 2" xfId="15690"/>
    <cellStyle name="Note 4 3 2 2 3 3" xfId="15691"/>
    <cellStyle name="Note 4 3 2 2 3 4" xfId="15692"/>
    <cellStyle name="Note 4 3 2 2 3 5" xfId="15693"/>
    <cellStyle name="Note 4 3 2 2 3 6" xfId="15694"/>
    <cellStyle name="Note 4 3 2 2 3_DeltaViewer" xfId="15695"/>
    <cellStyle name="Note 4 3 2 2 4" xfId="15696"/>
    <cellStyle name="Note 4 3 2 2 5" xfId="15697"/>
    <cellStyle name="Note 4 3 2 2 6" xfId="15698"/>
    <cellStyle name="Note 4 3 2 2 7" xfId="15699"/>
    <cellStyle name="Note 4 3 2 2 8" xfId="15700"/>
    <cellStyle name="Note 4 3 2 2_DeltaViewer" xfId="15701"/>
    <cellStyle name="Note 4 3 2 3" xfId="15702"/>
    <cellStyle name="Note 4 3 2 3 2" xfId="15703"/>
    <cellStyle name="Note 4 3 2 3 2 2" xfId="15704"/>
    <cellStyle name="Note 4 3 2 3 2 2 2" xfId="15705"/>
    <cellStyle name="Note 4 3 2 3 2 2 3" xfId="15706"/>
    <cellStyle name="Note 4 3 2 3 2 2 4" xfId="15707"/>
    <cellStyle name="Note 4 3 2 3 2 2 5" xfId="15708"/>
    <cellStyle name="Note 4 3 2 3 2 2 6" xfId="15709"/>
    <cellStyle name="Note 4 3 2 3 2 2_DeltaViewer" xfId="15710"/>
    <cellStyle name="Note 4 3 2 3 2 3" xfId="15711"/>
    <cellStyle name="Note 4 3 2 3 2 4" xfId="15712"/>
    <cellStyle name="Note 4 3 2 3 2 5" xfId="15713"/>
    <cellStyle name="Note 4 3 2 3 2 6" xfId="15714"/>
    <cellStyle name="Note 4 3 2 3 2 7" xfId="15715"/>
    <cellStyle name="Note 4 3 2 3 2_DeltaViewer" xfId="15716"/>
    <cellStyle name="Note 4 3 2 3 3" xfId="15717"/>
    <cellStyle name="Note 4 3 2 3 3 2" xfId="15718"/>
    <cellStyle name="Note 4 3 2 3 3 3" xfId="15719"/>
    <cellStyle name="Note 4 3 2 3 3 4" xfId="15720"/>
    <cellStyle name="Note 4 3 2 3 3 5" xfId="15721"/>
    <cellStyle name="Note 4 3 2 3 3 6" xfId="15722"/>
    <cellStyle name="Note 4 3 2 3 3_DeltaViewer" xfId="15723"/>
    <cellStyle name="Note 4 3 2 3 4" xfId="15724"/>
    <cellStyle name="Note 4 3 2 3 5" xfId="15725"/>
    <cellStyle name="Note 4 3 2 3 6" xfId="15726"/>
    <cellStyle name="Note 4 3 2 3 7" xfId="15727"/>
    <cellStyle name="Note 4 3 2 3 8" xfId="15728"/>
    <cellStyle name="Note 4 3 2 3_DeltaViewer" xfId="15729"/>
    <cellStyle name="Note 4 3 2 4" xfId="15730"/>
    <cellStyle name="Note 4 3 2 4 2" xfId="15731"/>
    <cellStyle name="Note 4 3 2 4 2 2" xfId="15732"/>
    <cellStyle name="Note 4 3 2 4 2 3" xfId="15733"/>
    <cellStyle name="Note 4 3 2 4 2 4" xfId="15734"/>
    <cellStyle name="Note 4 3 2 4 2 5" xfId="15735"/>
    <cellStyle name="Note 4 3 2 4 2 6" xfId="15736"/>
    <cellStyle name="Note 4 3 2 4 2_DeltaViewer" xfId="15737"/>
    <cellStyle name="Note 4 3 2 4 3" xfId="15738"/>
    <cellStyle name="Note 4 3 2 4 4" xfId="15739"/>
    <cellStyle name="Note 4 3 2 4 5" xfId="15740"/>
    <cellStyle name="Note 4 3 2 4 6" xfId="15741"/>
    <cellStyle name="Note 4 3 2 4 7" xfId="15742"/>
    <cellStyle name="Note 4 3 2 4_DeltaViewer" xfId="15743"/>
    <cellStyle name="Note 4 3 2 5" xfId="15744"/>
    <cellStyle name="Note 4 3 2 5 2" xfId="15745"/>
    <cellStyle name="Note 4 3 2 5 2 2" xfId="15746"/>
    <cellStyle name="Note 4 3 2 5 2 3" xfId="15747"/>
    <cellStyle name="Note 4 3 2 5 2 4" xfId="15748"/>
    <cellStyle name="Note 4 3 2 5 2 5" xfId="15749"/>
    <cellStyle name="Note 4 3 2 5 2 6" xfId="15750"/>
    <cellStyle name="Note 4 3 2 5 2_DeltaViewer" xfId="15751"/>
    <cellStyle name="Note 4 3 2 5 3" xfId="15752"/>
    <cellStyle name="Note 4 3 2 5 4" xfId="15753"/>
    <cellStyle name="Note 4 3 2 5 5" xfId="15754"/>
    <cellStyle name="Note 4 3 2 5 6" xfId="15755"/>
    <cellStyle name="Note 4 3 2 5 7" xfId="15756"/>
    <cellStyle name="Note 4 3 2 5_DeltaViewer" xfId="15757"/>
    <cellStyle name="Note 4 3 2 6" xfId="15758"/>
    <cellStyle name="Note 4 3 2 6 2" xfId="15759"/>
    <cellStyle name="Note 4 3 2 6 3" xfId="15760"/>
    <cellStyle name="Note 4 3 2 6 4" xfId="15761"/>
    <cellStyle name="Note 4 3 2 6 5" xfId="15762"/>
    <cellStyle name="Note 4 3 2 6 6" xfId="15763"/>
    <cellStyle name="Note 4 3 2 6_DeltaViewer" xfId="15764"/>
    <cellStyle name="Note 4 3 2 7" xfId="15765"/>
    <cellStyle name="Note 4 3 2 8" xfId="15766"/>
    <cellStyle name="Note 4 3 2 9" xfId="15767"/>
    <cellStyle name="Note 4 3 2_DeltaViewer" xfId="15768"/>
    <cellStyle name="Note 4 3 3" xfId="15769"/>
    <cellStyle name="Note 4 3 3 2" xfId="15770"/>
    <cellStyle name="Note 4 3 3 2 2" xfId="15771"/>
    <cellStyle name="Note 4 3 3 2 2 2" xfId="15772"/>
    <cellStyle name="Note 4 3 3 2 2 3" xfId="15773"/>
    <cellStyle name="Note 4 3 3 2 2 4" xfId="15774"/>
    <cellStyle name="Note 4 3 3 2 2 5" xfId="15775"/>
    <cellStyle name="Note 4 3 3 2 2 6" xfId="15776"/>
    <cellStyle name="Note 4 3 3 2 2_DeltaViewer" xfId="15777"/>
    <cellStyle name="Note 4 3 3 2 3" xfId="15778"/>
    <cellStyle name="Note 4 3 3 2 4" xfId="15779"/>
    <cellStyle name="Note 4 3 3 2 5" xfId="15780"/>
    <cellStyle name="Note 4 3 3 2 6" xfId="15781"/>
    <cellStyle name="Note 4 3 3 2 7" xfId="15782"/>
    <cellStyle name="Note 4 3 3 2_DeltaViewer" xfId="15783"/>
    <cellStyle name="Note 4 3 3 3" xfId="15784"/>
    <cellStyle name="Note 4 3 3 3 2" xfId="15785"/>
    <cellStyle name="Note 4 3 3 3 2 2" xfId="15786"/>
    <cellStyle name="Note 4 3 3 3 2 3" xfId="15787"/>
    <cellStyle name="Note 4 3 3 3 2 4" xfId="15788"/>
    <cellStyle name="Note 4 3 3 3 2 5" xfId="15789"/>
    <cellStyle name="Note 4 3 3 3 2 6" xfId="15790"/>
    <cellStyle name="Note 4 3 3 3 2_DeltaViewer" xfId="15791"/>
    <cellStyle name="Note 4 3 3 3 3" xfId="15792"/>
    <cellStyle name="Note 4 3 3 3 4" xfId="15793"/>
    <cellStyle name="Note 4 3 3 3 5" xfId="15794"/>
    <cellStyle name="Note 4 3 3 3 6" xfId="15795"/>
    <cellStyle name="Note 4 3 3 3 7" xfId="15796"/>
    <cellStyle name="Note 4 3 3 3_DeltaViewer" xfId="15797"/>
    <cellStyle name="Note 4 3 3 4" xfId="15798"/>
    <cellStyle name="Note 4 3 3 4 2" xfId="15799"/>
    <cellStyle name="Note 4 3 3 4 3" xfId="15800"/>
    <cellStyle name="Note 4 3 3 4 4" xfId="15801"/>
    <cellStyle name="Note 4 3 3 4 5" xfId="15802"/>
    <cellStyle name="Note 4 3 3 4 6" xfId="15803"/>
    <cellStyle name="Note 4 3 3 4_DeltaViewer" xfId="15804"/>
    <cellStyle name="Note 4 3 3 5" xfId="15805"/>
    <cellStyle name="Note 4 3 3 6" xfId="15806"/>
    <cellStyle name="Note 4 3 3 7" xfId="15807"/>
    <cellStyle name="Note 4 3 3 8" xfId="15808"/>
    <cellStyle name="Note 4 3 3 9" xfId="15809"/>
    <cellStyle name="Note 4 3 3_DeltaViewer" xfId="15810"/>
    <cellStyle name="Note 4 3 4" xfId="15811"/>
    <cellStyle name="Note 4 3 4 2" xfId="15812"/>
    <cellStyle name="Note 4 3 4 2 2" xfId="15813"/>
    <cellStyle name="Note 4 3 4 2 2 2" xfId="15814"/>
    <cellStyle name="Note 4 3 4 2 2 3" xfId="15815"/>
    <cellStyle name="Note 4 3 4 2 2 4" xfId="15816"/>
    <cellStyle name="Note 4 3 4 2 2 5" xfId="15817"/>
    <cellStyle name="Note 4 3 4 2 2 6" xfId="15818"/>
    <cellStyle name="Note 4 3 4 2 2_DeltaViewer" xfId="15819"/>
    <cellStyle name="Note 4 3 4 2 3" xfId="15820"/>
    <cellStyle name="Note 4 3 4 2 4" xfId="15821"/>
    <cellStyle name="Note 4 3 4 2 5" xfId="15822"/>
    <cellStyle name="Note 4 3 4 2 6" xfId="15823"/>
    <cellStyle name="Note 4 3 4 2 7" xfId="15824"/>
    <cellStyle name="Note 4 3 4 2_DeltaViewer" xfId="15825"/>
    <cellStyle name="Note 4 3 4 3" xfId="15826"/>
    <cellStyle name="Note 4 3 4 3 2" xfId="15827"/>
    <cellStyle name="Note 4 3 4 3 2 2" xfId="15828"/>
    <cellStyle name="Note 4 3 4 3 2 3" xfId="15829"/>
    <cellStyle name="Note 4 3 4 3 2 4" xfId="15830"/>
    <cellStyle name="Note 4 3 4 3 2 5" xfId="15831"/>
    <cellStyle name="Note 4 3 4 3 2 6" xfId="15832"/>
    <cellStyle name="Note 4 3 4 3 2_DeltaViewer" xfId="15833"/>
    <cellStyle name="Note 4 3 4 3 3" xfId="15834"/>
    <cellStyle name="Note 4 3 4 3 4" xfId="15835"/>
    <cellStyle name="Note 4 3 4 3 5" xfId="15836"/>
    <cellStyle name="Note 4 3 4 3 6" xfId="15837"/>
    <cellStyle name="Note 4 3 4 3 7" xfId="15838"/>
    <cellStyle name="Note 4 3 4 3_DeltaViewer" xfId="15839"/>
    <cellStyle name="Note 4 3 4 4" xfId="15840"/>
    <cellStyle name="Note 4 3 4 4 2" xfId="15841"/>
    <cellStyle name="Note 4 3 4 4 3" xfId="15842"/>
    <cellStyle name="Note 4 3 4 4 4" xfId="15843"/>
    <cellStyle name="Note 4 3 4 4 5" xfId="15844"/>
    <cellStyle name="Note 4 3 4 4 6" xfId="15845"/>
    <cellStyle name="Note 4 3 4 4_DeltaViewer" xfId="15846"/>
    <cellStyle name="Note 4 3 4 5" xfId="15847"/>
    <cellStyle name="Note 4 3 4 6" xfId="15848"/>
    <cellStyle name="Note 4 3 4 7" xfId="15849"/>
    <cellStyle name="Note 4 3 4 8" xfId="15850"/>
    <cellStyle name="Note 4 3 4 9" xfId="15851"/>
    <cellStyle name="Note 4 3 4_DeltaViewer" xfId="15852"/>
    <cellStyle name="Note 4 3 5" xfId="15853"/>
    <cellStyle name="Note 4 3 5 2" xfId="15854"/>
    <cellStyle name="Note 4 3 5 2 2" xfId="15855"/>
    <cellStyle name="Note 4 3 5 2 3" xfId="15856"/>
    <cellStyle name="Note 4 3 5 2 4" xfId="15857"/>
    <cellStyle name="Note 4 3 5 2 5" xfId="15858"/>
    <cellStyle name="Note 4 3 5 2 6" xfId="15859"/>
    <cellStyle name="Note 4 3 5 2_DeltaViewer" xfId="15860"/>
    <cellStyle name="Note 4 3 5 3" xfId="15861"/>
    <cellStyle name="Note 4 3 5 4" xfId="15862"/>
    <cellStyle name="Note 4 3 5 5" xfId="15863"/>
    <cellStyle name="Note 4 3 5 6" xfId="15864"/>
    <cellStyle name="Note 4 3 5 7" xfId="15865"/>
    <cellStyle name="Note 4 3 5_DeltaViewer" xfId="15866"/>
    <cellStyle name="Note 4 3 6" xfId="15867"/>
    <cellStyle name="Note 4 3 6 2" xfId="15868"/>
    <cellStyle name="Note 4 3 6 2 2" xfId="15869"/>
    <cellStyle name="Note 4 3 6 2 3" xfId="15870"/>
    <cellStyle name="Note 4 3 6 2 4" xfId="15871"/>
    <cellStyle name="Note 4 3 6 2 5" xfId="15872"/>
    <cellStyle name="Note 4 3 6 2 6" xfId="15873"/>
    <cellStyle name="Note 4 3 6 2_DeltaViewer" xfId="15874"/>
    <cellStyle name="Note 4 3 6 3" xfId="15875"/>
    <cellStyle name="Note 4 3 6 4" xfId="15876"/>
    <cellStyle name="Note 4 3 6 5" xfId="15877"/>
    <cellStyle name="Note 4 3 6 6" xfId="15878"/>
    <cellStyle name="Note 4 3 6 7" xfId="15879"/>
    <cellStyle name="Note 4 3 6_DeltaViewer" xfId="15880"/>
    <cellStyle name="Note 4 3 7" xfId="15881"/>
    <cellStyle name="Note 4 3 7 2" xfId="15882"/>
    <cellStyle name="Note 4 3 7 2 2" xfId="15883"/>
    <cellStyle name="Note 4 3 7 2 3" xfId="15884"/>
    <cellStyle name="Note 4 3 7 2 4" xfId="15885"/>
    <cellStyle name="Note 4 3 7 2 5" xfId="15886"/>
    <cellStyle name="Note 4 3 7 2 6" xfId="15887"/>
    <cellStyle name="Note 4 3 7 2_DeltaViewer" xfId="15888"/>
    <cellStyle name="Note 4 3 7 3" xfId="15889"/>
    <cellStyle name="Note 4 3 7 4" xfId="15890"/>
    <cellStyle name="Note 4 3 7 5" xfId="15891"/>
    <cellStyle name="Note 4 3 7 6" xfId="15892"/>
    <cellStyle name="Note 4 3 7 7" xfId="15893"/>
    <cellStyle name="Note 4 3 7_DeltaViewer" xfId="15894"/>
    <cellStyle name="Note 4 3 8" xfId="15895"/>
    <cellStyle name="Note 4 3 8 2" xfId="15896"/>
    <cellStyle name="Note 4 3 8 3" xfId="15897"/>
    <cellStyle name="Note 4 3 8 4" xfId="15898"/>
    <cellStyle name="Note 4 3 8 5" xfId="15899"/>
    <cellStyle name="Note 4 3 8 6" xfId="15900"/>
    <cellStyle name="Note 4 3 8_DeltaViewer" xfId="15901"/>
    <cellStyle name="Note 4 3 9" xfId="15902"/>
    <cellStyle name="Note 4 3_DeltaViewer" xfId="15903"/>
    <cellStyle name="Note 4 4" xfId="15904"/>
    <cellStyle name="Note 4 4 10" xfId="15905"/>
    <cellStyle name="Note 4 4 11" xfId="15906"/>
    <cellStyle name="Note 4 4 12" xfId="15907"/>
    <cellStyle name="Note 4 4 13" xfId="15908"/>
    <cellStyle name="Note 4 4 2" xfId="15909"/>
    <cellStyle name="Note 4 4 2 10" xfId="15910"/>
    <cellStyle name="Note 4 4 2 11" xfId="15911"/>
    <cellStyle name="Note 4 4 2 2" xfId="15912"/>
    <cellStyle name="Note 4 4 2 2 2" xfId="15913"/>
    <cellStyle name="Note 4 4 2 2 2 2" xfId="15914"/>
    <cellStyle name="Note 4 4 2 2 2 2 2" xfId="15915"/>
    <cellStyle name="Note 4 4 2 2 2 2 3" xfId="15916"/>
    <cellStyle name="Note 4 4 2 2 2 2 4" xfId="15917"/>
    <cellStyle name="Note 4 4 2 2 2 2 5" xfId="15918"/>
    <cellStyle name="Note 4 4 2 2 2 2 6" xfId="15919"/>
    <cellStyle name="Note 4 4 2 2 2 2_DeltaViewer" xfId="15920"/>
    <cellStyle name="Note 4 4 2 2 2 3" xfId="15921"/>
    <cellStyle name="Note 4 4 2 2 2 4" xfId="15922"/>
    <cellStyle name="Note 4 4 2 2 2 5" xfId="15923"/>
    <cellStyle name="Note 4 4 2 2 2 6" xfId="15924"/>
    <cellStyle name="Note 4 4 2 2 2 7" xfId="15925"/>
    <cellStyle name="Note 4 4 2 2 2_DeltaViewer" xfId="15926"/>
    <cellStyle name="Note 4 4 2 2 3" xfId="15927"/>
    <cellStyle name="Note 4 4 2 2 3 2" xfId="15928"/>
    <cellStyle name="Note 4 4 2 2 3 3" xfId="15929"/>
    <cellStyle name="Note 4 4 2 2 3 4" xfId="15930"/>
    <cellStyle name="Note 4 4 2 2 3 5" xfId="15931"/>
    <cellStyle name="Note 4 4 2 2 3 6" xfId="15932"/>
    <cellStyle name="Note 4 4 2 2 3_DeltaViewer" xfId="15933"/>
    <cellStyle name="Note 4 4 2 2 4" xfId="15934"/>
    <cellStyle name="Note 4 4 2 2 5" xfId="15935"/>
    <cellStyle name="Note 4 4 2 2 6" xfId="15936"/>
    <cellStyle name="Note 4 4 2 2 7" xfId="15937"/>
    <cellStyle name="Note 4 4 2 2 8" xfId="15938"/>
    <cellStyle name="Note 4 4 2 2_DeltaViewer" xfId="15939"/>
    <cellStyle name="Note 4 4 2 3" xfId="15940"/>
    <cellStyle name="Note 4 4 2 3 2" xfId="15941"/>
    <cellStyle name="Note 4 4 2 3 2 2" xfId="15942"/>
    <cellStyle name="Note 4 4 2 3 2 2 2" xfId="15943"/>
    <cellStyle name="Note 4 4 2 3 2 2 3" xfId="15944"/>
    <cellStyle name="Note 4 4 2 3 2 2 4" xfId="15945"/>
    <cellStyle name="Note 4 4 2 3 2 2 5" xfId="15946"/>
    <cellStyle name="Note 4 4 2 3 2 2 6" xfId="15947"/>
    <cellStyle name="Note 4 4 2 3 2 2_DeltaViewer" xfId="15948"/>
    <cellStyle name="Note 4 4 2 3 2 3" xfId="15949"/>
    <cellStyle name="Note 4 4 2 3 2 4" xfId="15950"/>
    <cellStyle name="Note 4 4 2 3 2 5" xfId="15951"/>
    <cellStyle name="Note 4 4 2 3 2 6" xfId="15952"/>
    <cellStyle name="Note 4 4 2 3 2 7" xfId="15953"/>
    <cellStyle name="Note 4 4 2 3 2_DeltaViewer" xfId="15954"/>
    <cellStyle name="Note 4 4 2 3 3" xfId="15955"/>
    <cellStyle name="Note 4 4 2 3 3 2" xfId="15956"/>
    <cellStyle name="Note 4 4 2 3 3 3" xfId="15957"/>
    <cellStyle name="Note 4 4 2 3 3 4" xfId="15958"/>
    <cellStyle name="Note 4 4 2 3 3 5" xfId="15959"/>
    <cellStyle name="Note 4 4 2 3 3 6" xfId="15960"/>
    <cellStyle name="Note 4 4 2 3 3_DeltaViewer" xfId="15961"/>
    <cellStyle name="Note 4 4 2 3 4" xfId="15962"/>
    <cellStyle name="Note 4 4 2 3 5" xfId="15963"/>
    <cellStyle name="Note 4 4 2 3 6" xfId="15964"/>
    <cellStyle name="Note 4 4 2 3 7" xfId="15965"/>
    <cellStyle name="Note 4 4 2 3 8" xfId="15966"/>
    <cellStyle name="Note 4 4 2 3_DeltaViewer" xfId="15967"/>
    <cellStyle name="Note 4 4 2 4" xfId="15968"/>
    <cellStyle name="Note 4 4 2 4 2" xfId="15969"/>
    <cellStyle name="Note 4 4 2 4 2 2" xfId="15970"/>
    <cellStyle name="Note 4 4 2 4 2 3" xfId="15971"/>
    <cellStyle name="Note 4 4 2 4 2 4" xfId="15972"/>
    <cellStyle name="Note 4 4 2 4 2 5" xfId="15973"/>
    <cellStyle name="Note 4 4 2 4 2 6" xfId="15974"/>
    <cellStyle name="Note 4 4 2 4 2_DeltaViewer" xfId="15975"/>
    <cellStyle name="Note 4 4 2 4 3" xfId="15976"/>
    <cellStyle name="Note 4 4 2 4 4" xfId="15977"/>
    <cellStyle name="Note 4 4 2 4 5" xfId="15978"/>
    <cellStyle name="Note 4 4 2 4 6" xfId="15979"/>
    <cellStyle name="Note 4 4 2 4 7" xfId="15980"/>
    <cellStyle name="Note 4 4 2 4_DeltaViewer" xfId="15981"/>
    <cellStyle name="Note 4 4 2 5" xfId="15982"/>
    <cellStyle name="Note 4 4 2 5 2" xfId="15983"/>
    <cellStyle name="Note 4 4 2 5 2 2" xfId="15984"/>
    <cellStyle name="Note 4 4 2 5 2 3" xfId="15985"/>
    <cellStyle name="Note 4 4 2 5 2 4" xfId="15986"/>
    <cellStyle name="Note 4 4 2 5 2 5" xfId="15987"/>
    <cellStyle name="Note 4 4 2 5 2 6" xfId="15988"/>
    <cellStyle name="Note 4 4 2 5 2_DeltaViewer" xfId="15989"/>
    <cellStyle name="Note 4 4 2 5 3" xfId="15990"/>
    <cellStyle name="Note 4 4 2 5 4" xfId="15991"/>
    <cellStyle name="Note 4 4 2 5 5" xfId="15992"/>
    <cellStyle name="Note 4 4 2 5 6" xfId="15993"/>
    <cellStyle name="Note 4 4 2 5 7" xfId="15994"/>
    <cellStyle name="Note 4 4 2 5_DeltaViewer" xfId="15995"/>
    <cellStyle name="Note 4 4 2 6" xfId="15996"/>
    <cellStyle name="Note 4 4 2 6 2" xfId="15997"/>
    <cellStyle name="Note 4 4 2 6 3" xfId="15998"/>
    <cellStyle name="Note 4 4 2 6 4" xfId="15999"/>
    <cellStyle name="Note 4 4 2 6 5" xfId="16000"/>
    <cellStyle name="Note 4 4 2 6 6" xfId="16001"/>
    <cellStyle name="Note 4 4 2 6_DeltaViewer" xfId="16002"/>
    <cellStyle name="Note 4 4 2 7" xfId="16003"/>
    <cellStyle name="Note 4 4 2 8" xfId="16004"/>
    <cellStyle name="Note 4 4 2 9" xfId="16005"/>
    <cellStyle name="Note 4 4 2_DeltaViewer" xfId="16006"/>
    <cellStyle name="Note 4 4 3" xfId="16007"/>
    <cellStyle name="Note 4 4 3 2" xfId="16008"/>
    <cellStyle name="Note 4 4 3 2 2" xfId="16009"/>
    <cellStyle name="Note 4 4 3 2 2 2" xfId="16010"/>
    <cellStyle name="Note 4 4 3 2 2 3" xfId="16011"/>
    <cellStyle name="Note 4 4 3 2 2 4" xfId="16012"/>
    <cellStyle name="Note 4 4 3 2 2 5" xfId="16013"/>
    <cellStyle name="Note 4 4 3 2 2 6" xfId="16014"/>
    <cellStyle name="Note 4 4 3 2 2_DeltaViewer" xfId="16015"/>
    <cellStyle name="Note 4 4 3 2 3" xfId="16016"/>
    <cellStyle name="Note 4 4 3 2 4" xfId="16017"/>
    <cellStyle name="Note 4 4 3 2 5" xfId="16018"/>
    <cellStyle name="Note 4 4 3 2 6" xfId="16019"/>
    <cellStyle name="Note 4 4 3 2 7" xfId="16020"/>
    <cellStyle name="Note 4 4 3 2_DeltaViewer" xfId="16021"/>
    <cellStyle name="Note 4 4 3 3" xfId="16022"/>
    <cellStyle name="Note 4 4 3 3 2" xfId="16023"/>
    <cellStyle name="Note 4 4 3 3 2 2" xfId="16024"/>
    <cellStyle name="Note 4 4 3 3 2 3" xfId="16025"/>
    <cellStyle name="Note 4 4 3 3 2 4" xfId="16026"/>
    <cellStyle name="Note 4 4 3 3 2 5" xfId="16027"/>
    <cellStyle name="Note 4 4 3 3 2 6" xfId="16028"/>
    <cellStyle name="Note 4 4 3 3 2_DeltaViewer" xfId="16029"/>
    <cellStyle name="Note 4 4 3 3 3" xfId="16030"/>
    <cellStyle name="Note 4 4 3 3 4" xfId="16031"/>
    <cellStyle name="Note 4 4 3 3 5" xfId="16032"/>
    <cellStyle name="Note 4 4 3 3 6" xfId="16033"/>
    <cellStyle name="Note 4 4 3 3 7" xfId="16034"/>
    <cellStyle name="Note 4 4 3 3_DeltaViewer" xfId="16035"/>
    <cellStyle name="Note 4 4 3 4" xfId="16036"/>
    <cellStyle name="Note 4 4 3 4 2" xfId="16037"/>
    <cellStyle name="Note 4 4 3 4 3" xfId="16038"/>
    <cellStyle name="Note 4 4 3 4 4" xfId="16039"/>
    <cellStyle name="Note 4 4 3 4 5" xfId="16040"/>
    <cellStyle name="Note 4 4 3 4 6" xfId="16041"/>
    <cellStyle name="Note 4 4 3 4_DeltaViewer" xfId="16042"/>
    <cellStyle name="Note 4 4 3 5" xfId="16043"/>
    <cellStyle name="Note 4 4 3 6" xfId="16044"/>
    <cellStyle name="Note 4 4 3 7" xfId="16045"/>
    <cellStyle name="Note 4 4 3 8" xfId="16046"/>
    <cellStyle name="Note 4 4 3 9" xfId="16047"/>
    <cellStyle name="Note 4 4 3_DeltaViewer" xfId="16048"/>
    <cellStyle name="Note 4 4 4" xfId="16049"/>
    <cellStyle name="Note 4 4 4 2" xfId="16050"/>
    <cellStyle name="Note 4 4 4 2 2" xfId="16051"/>
    <cellStyle name="Note 4 4 4 2 2 2" xfId="16052"/>
    <cellStyle name="Note 4 4 4 2 2 3" xfId="16053"/>
    <cellStyle name="Note 4 4 4 2 2 4" xfId="16054"/>
    <cellStyle name="Note 4 4 4 2 2 5" xfId="16055"/>
    <cellStyle name="Note 4 4 4 2 2 6" xfId="16056"/>
    <cellStyle name="Note 4 4 4 2 2_DeltaViewer" xfId="16057"/>
    <cellStyle name="Note 4 4 4 2 3" xfId="16058"/>
    <cellStyle name="Note 4 4 4 2 4" xfId="16059"/>
    <cellStyle name="Note 4 4 4 2 5" xfId="16060"/>
    <cellStyle name="Note 4 4 4 2 6" xfId="16061"/>
    <cellStyle name="Note 4 4 4 2 7" xfId="16062"/>
    <cellStyle name="Note 4 4 4 2_DeltaViewer" xfId="16063"/>
    <cellStyle name="Note 4 4 4 3" xfId="16064"/>
    <cellStyle name="Note 4 4 4 3 2" xfId="16065"/>
    <cellStyle name="Note 4 4 4 3 2 2" xfId="16066"/>
    <cellStyle name="Note 4 4 4 3 2 3" xfId="16067"/>
    <cellStyle name="Note 4 4 4 3 2 4" xfId="16068"/>
    <cellStyle name="Note 4 4 4 3 2 5" xfId="16069"/>
    <cellStyle name="Note 4 4 4 3 2 6" xfId="16070"/>
    <cellStyle name="Note 4 4 4 3 2_DeltaViewer" xfId="16071"/>
    <cellStyle name="Note 4 4 4 3 3" xfId="16072"/>
    <cellStyle name="Note 4 4 4 3 4" xfId="16073"/>
    <cellStyle name="Note 4 4 4 3 5" xfId="16074"/>
    <cellStyle name="Note 4 4 4 3 6" xfId="16075"/>
    <cellStyle name="Note 4 4 4 3 7" xfId="16076"/>
    <cellStyle name="Note 4 4 4 3_DeltaViewer" xfId="16077"/>
    <cellStyle name="Note 4 4 4 4" xfId="16078"/>
    <cellStyle name="Note 4 4 4 4 2" xfId="16079"/>
    <cellStyle name="Note 4 4 4 4 3" xfId="16080"/>
    <cellStyle name="Note 4 4 4 4 4" xfId="16081"/>
    <cellStyle name="Note 4 4 4 4 5" xfId="16082"/>
    <cellStyle name="Note 4 4 4 4 6" xfId="16083"/>
    <cellStyle name="Note 4 4 4 4_DeltaViewer" xfId="16084"/>
    <cellStyle name="Note 4 4 4 5" xfId="16085"/>
    <cellStyle name="Note 4 4 4 6" xfId="16086"/>
    <cellStyle name="Note 4 4 4 7" xfId="16087"/>
    <cellStyle name="Note 4 4 4 8" xfId="16088"/>
    <cellStyle name="Note 4 4 4 9" xfId="16089"/>
    <cellStyle name="Note 4 4 4_DeltaViewer" xfId="16090"/>
    <cellStyle name="Note 4 4 5" xfId="16091"/>
    <cellStyle name="Note 4 4 5 2" xfId="16092"/>
    <cellStyle name="Note 4 4 5 2 2" xfId="16093"/>
    <cellStyle name="Note 4 4 5 2 3" xfId="16094"/>
    <cellStyle name="Note 4 4 5 2 4" xfId="16095"/>
    <cellStyle name="Note 4 4 5 2 5" xfId="16096"/>
    <cellStyle name="Note 4 4 5 2 6" xfId="16097"/>
    <cellStyle name="Note 4 4 5 2_DeltaViewer" xfId="16098"/>
    <cellStyle name="Note 4 4 5 3" xfId="16099"/>
    <cellStyle name="Note 4 4 5 4" xfId="16100"/>
    <cellStyle name="Note 4 4 5 5" xfId="16101"/>
    <cellStyle name="Note 4 4 5 6" xfId="16102"/>
    <cellStyle name="Note 4 4 5 7" xfId="16103"/>
    <cellStyle name="Note 4 4 5_DeltaViewer" xfId="16104"/>
    <cellStyle name="Note 4 4 6" xfId="16105"/>
    <cellStyle name="Note 4 4 6 2" xfId="16106"/>
    <cellStyle name="Note 4 4 6 2 2" xfId="16107"/>
    <cellStyle name="Note 4 4 6 2 3" xfId="16108"/>
    <cellStyle name="Note 4 4 6 2 4" xfId="16109"/>
    <cellStyle name="Note 4 4 6 2 5" xfId="16110"/>
    <cellStyle name="Note 4 4 6 2 6" xfId="16111"/>
    <cellStyle name="Note 4 4 6 2_DeltaViewer" xfId="16112"/>
    <cellStyle name="Note 4 4 6 3" xfId="16113"/>
    <cellStyle name="Note 4 4 6 4" xfId="16114"/>
    <cellStyle name="Note 4 4 6 5" xfId="16115"/>
    <cellStyle name="Note 4 4 6 6" xfId="16116"/>
    <cellStyle name="Note 4 4 6 7" xfId="16117"/>
    <cellStyle name="Note 4 4 6_DeltaViewer" xfId="16118"/>
    <cellStyle name="Note 4 4 7" xfId="16119"/>
    <cellStyle name="Note 4 4 7 2" xfId="16120"/>
    <cellStyle name="Note 4 4 7 2 2" xfId="16121"/>
    <cellStyle name="Note 4 4 7 2 3" xfId="16122"/>
    <cellStyle name="Note 4 4 7 2 4" xfId="16123"/>
    <cellStyle name="Note 4 4 7 2 5" xfId="16124"/>
    <cellStyle name="Note 4 4 7 2 6" xfId="16125"/>
    <cellStyle name="Note 4 4 7 2_DeltaViewer" xfId="16126"/>
    <cellStyle name="Note 4 4 7 3" xfId="16127"/>
    <cellStyle name="Note 4 4 7 4" xfId="16128"/>
    <cellStyle name="Note 4 4 7 5" xfId="16129"/>
    <cellStyle name="Note 4 4 7 6" xfId="16130"/>
    <cellStyle name="Note 4 4 7 7" xfId="16131"/>
    <cellStyle name="Note 4 4 7_DeltaViewer" xfId="16132"/>
    <cellStyle name="Note 4 4 8" xfId="16133"/>
    <cellStyle name="Note 4 4 8 2" xfId="16134"/>
    <cellStyle name="Note 4 4 8 3" xfId="16135"/>
    <cellStyle name="Note 4 4 8 4" xfId="16136"/>
    <cellStyle name="Note 4 4 8 5" xfId="16137"/>
    <cellStyle name="Note 4 4 8 6" xfId="16138"/>
    <cellStyle name="Note 4 4 8_DeltaViewer" xfId="16139"/>
    <cellStyle name="Note 4 4 9" xfId="16140"/>
    <cellStyle name="Note 4 4_DeltaViewer" xfId="16141"/>
    <cellStyle name="Note 4 5" xfId="16142"/>
    <cellStyle name="Note 4 5 10" xfId="16143"/>
    <cellStyle name="Note 4 5 11" xfId="16144"/>
    <cellStyle name="Note 4 5 12" xfId="16145"/>
    <cellStyle name="Note 4 5 2" xfId="16146"/>
    <cellStyle name="Note 4 5 2 10" xfId="16147"/>
    <cellStyle name="Note 4 5 2 11" xfId="16148"/>
    <cellStyle name="Note 4 5 2 2" xfId="16149"/>
    <cellStyle name="Note 4 5 2 2 2" xfId="16150"/>
    <cellStyle name="Note 4 5 2 2 2 2" xfId="16151"/>
    <cellStyle name="Note 4 5 2 2 2 2 2" xfId="16152"/>
    <cellStyle name="Note 4 5 2 2 2 2 3" xfId="16153"/>
    <cellStyle name="Note 4 5 2 2 2 2 4" xfId="16154"/>
    <cellStyle name="Note 4 5 2 2 2 2 5" xfId="16155"/>
    <cellStyle name="Note 4 5 2 2 2 2 6" xfId="16156"/>
    <cellStyle name="Note 4 5 2 2 2 2_DeltaViewer" xfId="16157"/>
    <cellStyle name="Note 4 5 2 2 2 3" xfId="16158"/>
    <cellStyle name="Note 4 5 2 2 2 4" xfId="16159"/>
    <cellStyle name="Note 4 5 2 2 2 5" xfId="16160"/>
    <cellStyle name="Note 4 5 2 2 2 6" xfId="16161"/>
    <cellStyle name="Note 4 5 2 2 2 7" xfId="16162"/>
    <cellStyle name="Note 4 5 2 2 2_DeltaViewer" xfId="16163"/>
    <cellStyle name="Note 4 5 2 2 3" xfId="16164"/>
    <cellStyle name="Note 4 5 2 2 3 2" xfId="16165"/>
    <cellStyle name="Note 4 5 2 2 3 3" xfId="16166"/>
    <cellStyle name="Note 4 5 2 2 3 4" xfId="16167"/>
    <cellStyle name="Note 4 5 2 2 3 5" xfId="16168"/>
    <cellStyle name="Note 4 5 2 2 3 6" xfId="16169"/>
    <cellStyle name="Note 4 5 2 2 3_DeltaViewer" xfId="16170"/>
    <cellStyle name="Note 4 5 2 2 4" xfId="16171"/>
    <cellStyle name="Note 4 5 2 2 5" xfId="16172"/>
    <cellStyle name="Note 4 5 2 2 6" xfId="16173"/>
    <cellStyle name="Note 4 5 2 2 7" xfId="16174"/>
    <cellStyle name="Note 4 5 2 2 8" xfId="16175"/>
    <cellStyle name="Note 4 5 2 2_DeltaViewer" xfId="16176"/>
    <cellStyle name="Note 4 5 2 3" xfId="16177"/>
    <cellStyle name="Note 4 5 2 3 2" xfId="16178"/>
    <cellStyle name="Note 4 5 2 3 2 2" xfId="16179"/>
    <cellStyle name="Note 4 5 2 3 2 2 2" xfId="16180"/>
    <cellStyle name="Note 4 5 2 3 2 2 3" xfId="16181"/>
    <cellStyle name="Note 4 5 2 3 2 2 4" xfId="16182"/>
    <cellStyle name="Note 4 5 2 3 2 2 5" xfId="16183"/>
    <cellStyle name="Note 4 5 2 3 2 2 6" xfId="16184"/>
    <cellStyle name="Note 4 5 2 3 2 2_DeltaViewer" xfId="16185"/>
    <cellStyle name="Note 4 5 2 3 2 3" xfId="16186"/>
    <cellStyle name="Note 4 5 2 3 2 4" xfId="16187"/>
    <cellStyle name="Note 4 5 2 3 2 5" xfId="16188"/>
    <cellStyle name="Note 4 5 2 3 2 6" xfId="16189"/>
    <cellStyle name="Note 4 5 2 3 2 7" xfId="16190"/>
    <cellStyle name="Note 4 5 2 3 2_DeltaViewer" xfId="16191"/>
    <cellStyle name="Note 4 5 2 3 3" xfId="16192"/>
    <cellStyle name="Note 4 5 2 3 3 2" xfId="16193"/>
    <cellStyle name="Note 4 5 2 3 3 3" xfId="16194"/>
    <cellStyle name="Note 4 5 2 3 3 4" xfId="16195"/>
    <cellStyle name="Note 4 5 2 3 3 5" xfId="16196"/>
    <cellStyle name="Note 4 5 2 3 3 6" xfId="16197"/>
    <cellStyle name="Note 4 5 2 3 3_DeltaViewer" xfId="16198"/>
    <cellStyle name="Note 4 5 2 3 4" xfId="16199"/>
    <cellStyle name="Note 4 5 2 3 5" xfId="16200"/>
    <cellStyle name="Note 4 5 2 3 6" xfId="16201"/>
    <cellStyle name="Note 4 5 2 3 7" xfId="16202"/>
    <cellStyle name="Note 4 5 2 3 8" xfId="16203"/>
    <cellStyle name="Note 4 5 2 3_DeltaViewer" xfId="16204"/>
    <cellStyle name="Note 4 5 2 4" xfId="16205"/>
    <cellStyle name="Note 4 5 2 4 2" xfId="16206"/>
    <cellStyle name="Note 4 5 2 4 2 2" xfId="16207"/>
    <cellStyle name="Note 4 5 2 4 2 3" xfId="16208"/>
    <cellStyle name="Note 4 5 2 4 2 4" xfId="16209"/>
    <cellStyle name="Note 4 5 2 4 2 5" xfId="16210"/>
    <cellStyle name="Note 4 5 2 4 2 6" xfId="16211"/>
    <cellStyle name="Note 4 5 2 4 2_DeltaViewer" xfId="16212"/>
    <cellStyle name="Note 4 5 2 4 3" xfId="16213"/>
    <cellStyle name="Note 4 5 2 4 4" xfId="16214"/>
    <cellStyle name="Note 4 5 2 4 5" xfId="16215"/>
    <cellStyle name="Note 4 5 2 4 6" xfId="16216"/>
    <cellStyle name="Note 4 5 2 4 7" xfId="16217"/>
    <cellStyle name="Note 4 5 2 4_DeltaViewer" xfId="16218"/>
    <cellStyle name="Note 4 5 2 5" xfId="16219"/>
    <cellStyle name="Note 4 5 2 5 2" xfId="16220"/>
    <cellStyle name="Note 4 5 2 5 2 2" xfId="16221"/>
    <cellStyle name="Note 4 5 2 5 2 3" xfId="16222"/>
    <cellStyle name="Note 4 5 2 5 2 4" xfId="16223"/>
    <cellStyle name="Note 4 5 2 5 2 5" xfId="16224"/>
    <cellStyle name="Note 4 5 2 5 2 6" xfId="16225"/>
    <cellStyle name="Note 4 5 2 5 2_DeltaViewer" xfId="16226"/>
    <cellStyle name="Note 4 5 2 5 3" xfId="16227"/>
    <cellStyle name="Note 4 5 2 5 4" xfId="16228"/>
    <cellStyle name="Note 4 5 2 5 5" xfId="16229"/>
    <cellStyle name="Note 4 5 2 5 6" xfId="16230"/>
    <cellStyle name="Note 4 5 2 5 7" xfId="16231"/>
    <cellStyle name="Note 4 5 2 5_DeltaViewer" xfId="16232"/>
    <cellStyle name="Note 4 5 2 6" xfId="16233"/>
    <cellStyle name="Note 4 5 2 6 2" xfId="16234"/>
    <cellStyle name="Note 4 5 2 6 3" xfId="16235"/>
    <cellStyle name="Note 4 5 2 6 4" xfId="16236"/>
    <cellStyle name="Note 4 5 2 6 5" xfId="16237"/>
    <cellStyle name="Note 4 5 2 6 6" xfId="16238"/>
    <cellStyle name="Note 4 5 2 6_DeltaViewer" xfId="16239"/>
    <cellStyle name="Note 4 5 2 7" xfId="16240"/>
    <cellStyle name="Note 4 5 2 8" xfId="16241"/>
    <cellStyle name="Note 4 5 2 9" xfId="16242"/>
    <cellStyle name="Note 4 5 2_DeltaViewer" xfId="16243"/>
    <cellStyle name="Note 4 5 3" xfId="16244"/>
    <cellStyle name="Note 4 5 3 2" xfId="16245"/>
    <cellStyle name="Note 4 5 3 2 2" xfId="16246"/>
    <cellStyle name="Note 4 5 3 2 2 2" xfId="16247"/>
    <cellStyle name="Note 4 5 3 2 2 3" xfId="16248"/>
    <cellStyle name="Note 4 5 3 2 2 4" xfId="16249"/>
    <cellStyle name="Note 4 5 3 2 2 5" xfId="16250"/>
    <cellStyle name="Note 4 5 3 2 2 6" xfId="16251"/>
    <cellStyle name="Note 4 5 3 2 2_DeltaViewer" xfId="16252"/>
    <cellStyle name="Note 4 5 3 2 3" xfId="16253"/>
    <cellStyle name="Note 4 5 3 2 4" xfId="16254"/>
    <cellStyle name="Note 4 5 3 2 5" xfId="16255"/>
    <cellStyle name="Note 4 5 3 2 6" xfId="16256"/>
    <cellStyle name="Note 4 5 3 2 7" xfId="16257"/>
    <cellStyle name="Note 4 5 3 2_DeltaViewer" xfId="16258"/>
    <cellStyle name="Note 4 5 3 3" xfId="16259"/>
    <cellStyle name="Note 4 5 3 3 2" xfId="16260"/>
    <cellStyle name="Note 4 5 3 3 3" xfId="16261"/>
    <cellStyle name="Note 4 5 3 3 4" xfId="16262"/>
    <cellStyle name="Note 4 5 3 3 5" xfId="16263"/>
    <cellStyle name="Note 4 5 3 3 6" xfId="16264"/>
    <cellStyle name="Note 4 5 3 3_DeltaViewer" xfId="16265"/>
    <cellStyle name="Note 4 5 3 4" xfId="16266"/>
    <cellStyle name="Note 4 5 3 5" xfId="16267"/>
    <cellStyle name="Note 4 5 3 6" xfId="16268"/>
    <cellStyle name="Note 4 5 3 7" xfId="16269"/>
    <cellStyle name="Note 4 5 3 8" xfId="16270"/>
    <cellStyle name="Note 4 5 3_DeltaViewer" xfId="16271"/>
    <cellStyle name="Note 4 5 4" xfId="16272"/>
    <cellStyle name="Note 4 5 4 2" xfId="16273"/>
    <cellStyle name="Note 4 5 4 2 2" xfId="16274"/>
    <cellStyle name="Note 4 5 4 2 2 2" xfId="16275"/>
    <cellStyle name="Note 4 5 4 2 2 3" xfId="16276"/>
    <cellStyle name="Note 4 5 4 2 2 4" xfId="16277"/>
    <cellStyle name="Note 4 5 4 2 2 5" xfId="16278"/>
    <cellStyle name="Note 4 5 4 2 2 6" xfId="16279"/>
    <cellStyle name="Note 4 5 4 2 2_DeltaViewer" xfId="16280"/>
    <cellStyle name="Note 4 5 4 2 3" xfId="16281"/>
    <cellStyle name="Note 4 5 4 2 4" xfId="16282"/>
    <cellStyle name="Note 4 5 4 2 5" xfId="16283"/>
    <cellStyle name="Note 4 5 4 2 6" xfId="16284"/>
    <cellStyle name="Note 4 5 4 2 7" xfId="16285"/>
    <cellStyle name="Note 4 5 4 2_DeltaViewer" xfId="16286"/>
    <cellStyle name="Note 4 5 4 3" xfId="16287"/>
    <cellStyle name="Note 4 5 4 3 2" xfId="16288"/>
    <cellStyle name="Note 4 5 4 3 3" xfId="16289"/>
    <cellStyle name="Note 4 5 4 3 4" xfId="16290"/>
    <cellStyle name="Note 4 5 4 3 5" xfId="16291"/>
    <cellStyle name="Note 4 5 4 3 6" xfId="16292"/>
    <cellStyle name="Note 4 5 4 3_DeltaViewer" xfId="16293"/>
    <cellStyle name="Note 4 5 4 4" xfId="16294"/>
    <cellStyle name="Note 4 5 4 5" xfId="16295"/>
    <cellStyle name="Note 4 5 4 6" xfId="16296"/>
    <cellStyle name="Note 4 5 4 7" xfId="16297"/>
    <cellStyle name="Note 4 5 4 8" xfId="16298"/>
    <cellStyle name="Note 4 5 4_DeltaViewer" xfId="16299"/>
    <cellStyle name="Note 4 5 5" xfId="16300"/>
    <cellStyle name="Note 4 5 5 2" xfId="16301"/>
    <cellStyle name="Note 4 5 5 2 2" xfId="16302"/>
    <cellStyle name="Note 4 5 5 2 3" xfId="16303"/>
    <cellStyle name="Note 4 5 5 2 4" xfId="16304"/>
    <cellStyle name="Note 4 5 5 2 5" xfId="16305"/>
    <cellStyle name="Note 4 5 5 2 6" xfId="16306"/>
    <cellStyle name="Note 4 5 5 2_DeltaViewer" xfId="16307"/>
    <cellStyle name="Note 4 5 5 3" xfId="16308"/>
    <cellStyle name="Note 4 5 5 4" xfId="16309"/>
    <cellStyle name="Note 4 5 5 5" xfId="16310"/>
    <cellStyle name="Note 4 5 5 6" xfId="16311"/>
    <cellStyle name="Note 4 5 5 7" xfId="16312"/>
    <cellStyle name="Note 4 5 5_DeltaViewer" xfId="16313"/>
    <cellStyle name="Note 4 5 6" xfId="16314"/>
    <cellStyle name="Note 4 5 6 2" xfId="16315"/>
    <cellStyle name="Note 4 5 6 2 2" xfId="16316"/>
    <cellStyle name="Note 4 5 6 2 3" xfId="16317"/>
    <cellStyle name="Note 4 5 6 2 4" xfId="16318"/>
    <cellStyle name="Note 4 5 6 2 5" xfId="16319"/>
    <cellStyle name="Note 4 5 6 2 6" xfId="16320"/>
    <cellStyle name="Note 4 5 6 2_DeltaViewer" xfId="16321"/>
    <cellStyle name="Note 4 5 6 3" xfId="16322"/>
    <cellStyle name="Note 4 5 6 4" xfId="16323"/>
    <cellStyle name="Note 4 5 6 5" xfId="16324"/>
    <cellStyle name="Note 4 5 6 6" xfId="16325"/>
    <cellStyle name="Note 4 5 6 7" xfId="16326"/>
    <cellStyle name="Note 4 5 6_DeltaViewer" xfId="16327"/>
    <cellStyle name="Note 4 5 7" xfId="16328"/>
    <cellStyle name="Note 4 5 7 2" xfId="16329"/>
    <cellStyle name="Note 4 5 7 3" xfId="16330"/>
    <cellStyle name="Note 4 5 7 4" xfId="16331"/>
    <cellStyle name="Note 4 5 7 5" xfId="16332"/>
    <cellStyle name="Note 4 5 7 6" xfId="16333"/>
    <cellStyle name="Note 4 5 7_DeltaViewer" xfId="16334"/>
    <cellStyle name="Note 4 5 8" xfId="16335"/>
    <cellStyle name="Note 4 5 9" xfId="16336"/>
    <cellStyle name="Note 4 5_DeltaViewer" xfId="16337"/>
    <cellStyle name="Note 4 6" xfId="16338"/>
    <cellStyle name="Note 4 6 10" xfId="16339"/>
    <cellStyle name="Note 4 6 11" xfId="16340"/>
    <cellStyle name="Note 4 6 2" xfId="16341"/>
    <cellStyle name="Note 4 6 2 2" xfId="16342"/>
    <cellStyle name="Note 4 6 2 2 2" xfId="16343"/>
    <cellStyle name="Note 4 6 2 2 2 2" xfId="16344"/>
    <cellStyle name="Note 4 6 2 2 2 3" xfId="16345"/>
    <cellStyle name="Note 4 6 2 2 2 4" xfId="16346"/>
    <cellStyle name="Note 4 6 2 2 2 5" xfId="16347"/>
    <cellStyle name="Note 4 6 2 2 2 6" xfId="16348"/>
    <cellStyle name="Note 4 6 2 2 2_DeltaViewer" xfId="16349"/>
    <cellStyle name="Note 4 6 2 2 3" xfId="16350"/>
    <cellStyle name="Note 4 6 2 2 4" xfId="16351"/>
    <cellStyle name="Note 4 6 2 2 5" xfId="16352"/>
    <cellStyle name="Note 4 6 2 2 6" xfId="16353"/>
    <cellStyle name="Note 4 6 2 2 7" xfId="16354"/>
    <cellStyle name="Note 4 6 2 2_DeltaViewer" xfId="16355"/>
    <cellStyle name="Note 4 6 2 3" xfId="16356"/>
    <cellStyle name="Note 4 6 2 3 2" xfId="16357"/>
    <cellStyle name="Note 4 6 2 3 3" xfId="16358"/>
    <cellStyle name="Note 4 6 2 3 4" xfId="16359"/>
    <cellStyle name="Note 4 6 2 3 5" xfId="16360"/>
    <cellStyle name="Note 4 6 2 3 6" xfId="16361"/>
    <cellStyle name="Note 4 6 2 3_DeltaViewer" xfId="16362"/>
    <cellStyle name="Note 4 6 2 4" xfId="16363"/>
    <cellStyle name="Note 4 6 2 5" xfId="16364"/>
    <cellStyle name="Note 4 6 2 6" xfId="16365"/>
    <cellStyle name="Note 4 6 2 7" xfId="16366"/>
    <cellStyle name="Note 4 6 2 8" xfId="16367"/>
    <cellStyle name="Note 4 6 2_DeltaViewer" xfId="16368"/>
    <cellStyle name="Note 4 6 3" xfId="16369"/>
    <cellStyle name="Note 4 6 3 2" xfId="16370"/>
    <cellStyle name="Note 4 6 3 2 2" xfId="16371"/>
    <cellStyle name="Note 4 6 3 2 2 2" xfId="16372"/>
    <cellStyle name="Note 4 6 3 2 2 3" xfId="16373"/>
    <cellStyle name="Note 4 6 3 2 2 4" xfId="16374"/>
    <cellStyle name="Note 4 6 3 2 2 5" xfId="16375"/>
    <cellStyle name="Note 4 6 3 2 2 6" xfId="16376"/>
    <cellStyle name="Note 4 6 3 2 2_DeltaViewer" xfId="16377"/>
    <cellStyle name="Note 4 6 3 2 3" xfId="16378"/>
    <cellStyle name="Note 4 6 3 2 4" xfId="16379"/>
    <cellStyle name="Note 4 6 3 2 5" xfId="16380"/>
    <cellStyle name="Note 4 6 3 2 6" xfId="16381"/>
    <cellStyle name="Note 4 6 3 2 7" xfId="16382"/>
    <cellStyle name="Note 4 6 3 2_DeltaViewer" xfId="16383"/>
    <cellStyle name="Note 4 6 3 3" xfId="16384"/>
    <cellStyle name="Note 4 6 3 3 2" xfId="16385"/>
    <cellStyle name="Note 4 6 3 3 3" xfId="16386"/>
    <cellStyle name="Note 4 6 3 3 4" xfId="16387"/>
    <cellStyle name="Note 4 6 3 3 5" xfId="16388"/>
    <cellStyle name="Note 4 6 3 3 6" xfId="16389"/>
    <cellStyle name="Note 4 6 3 3_DeltaViewer" xfId="16390"/>
    <cellStyle name="Note 4 6 3 4" xfId="16391"/>
    <cellStyle name="Note 4 6 3 5" xfId="16392"/>
    <cellStyle name="Note 4 6 3 6" xfId="16393"/>
    <cellStyle name="Note 4 6 3 7" xfId="16394"/>
    <cellStyle name="Note 4 6 3 8" xfId="16395"/>
    <cellStyle name="Note 4 6 3_DeltaViewer" xfId="16396"/>
    <cellStyle name="Note 4 6 4" xfId="16397"/>
    <cellStyle name="Note 4 6 4 2" xfId="16398"/>
    <cellStyle name="Note 4 6 4 2 2" xfId="16399"/>
    <cellStyle name="Note 4 6 4 2 3" xfId="16400"/>
    <cellStyle name="Note 4 6 4 2 4" xfId="16401"/>
    <cellStyle name="Note 4 6 4 2 5" xfId="16402"/>
    <cellStyle name="Note 4 6 4 2 6" xfId="16403"/>
    <cellStyle name="Note 4 6 4 2_DeltaViewer" xfId="16404"/>
    <cellStyle name="Note 4 6 4 3" xfId="16405"/>
    <cellStyle name="Note 4 6 4 4" xfId="16406"/>
    <cellStyle name="Note 4 6 4 5" xfId="16407"/>
    <cellStyle name="Note 4 6 4 6" xfId="16408"/>
    <cellStyle name="Note 4 6 4 7" xfId="16409"/>
    <cellStyle name="Note 4 6 4_DeltaViewer" xfId="16410"/>
    <cellStyle name="Note 4 6 5" xfId="16411"/>
    <cellStyle name="Note 4 6 5 2" xfId="16412"/>
    <cellStyle name="Note 4 6 5 2 2" xfId="16413"/>
    <cellStyle name="Note 4 6 5 2 3" xfId="16414"/>
    <cellStyle name="Note 4 6 5 2 4" xfId="16415"/>
    <cellStyle name="Note 4 6 5 2 5" xfId="16416"/>
    <cellStyle name="Note 4 6 5 2 6" xfId="16417"/>
    <cellStyle name="Note 4 6 5 2_DeltaViewer" xfId="16418"/>
    <cellStyle name="Note 4 6 5 3" xfId="16419"/>
    <cellStyle name="Note 4 6 5 4" xfId="16420"/>
    <cellStyle name="Note 4 6 5 5" xfId="16421"/>
    <cellStyle name="Note 4 6 5 6" xfId="16422"/>
    <cellStyle name="Note 4 6 5 7" xfId="16423"/>
    <cellStyle name="Note 4 6 5_DeltaViewer" xfId="16424"/>
    <cellStyle name="Note 4 6 6" xfId="16425"/>
    <cellStyle name="Note 4 6 6 2" xfId="16426"/>
    <cellStyle name="Note 4 6 6 3" xfId="16427"/>
    <cellStyle name="Note 4 6 6 4" xfId="16428"/>
    <cellStyle name="Note 4 6 6 5" xfId="16429"/>
    <cellStyle name="Note 4 6 6 6" xfId="16430"/>
    <cellStyle name="Note 4 6 6_DeltaViewer" xfId="16431"/>
    <cellStyle name="Note 4 6 7" xfId="16432"/>
    <cellStyle name="Note 4 6 8" xfId="16433"/>
    <cellStyle name="Note 4 6 9" xfId="16434"/>
    <cellStyle name="Note 4 6_DeltaViewer" xfId="16435"/>
    <cellStyle name="Note 4 7" xfId="16436"/>
    <cellStyle name="Note 4 7 10" xfId="16437"/>
    <cellStyle name="Note 4 7 11" xfId="16438"/>
    <cellStyle name="Note 4 7 2" xfId="16439"/>
    <cellStyle name="Note 4 7 2 2" xfId="16440"/>
    <cellStyle name="Note 4 7 2 2 2" xfId="16441"/>
    <cellStyle name="Note 4 7 2 2 2 2" xfId="16442"/>
    <cellStyle name="Note 4 7 2 2 2 3" xfId="16443"/>
    <cellStyle name="Note 4 7 2 2 2 4" xfId="16444"/>
    <cellStyle name="Note 4 7 2 2 2 5" xfId="16445"/>
    <cellStyle name="Note 4 7 2 2 2 6" xfId="16446"/>
    <cellStyle name="Note 4 7 2 2 2_DeltaViewer" xfId="16447"/>
    <cellStyle name="Note 4 7 2 2 3" xfId="16448"/>
    <cellStyle name="Note 4 7 2 2 4" xfId="16449"/>
    <cellStyle name="Note 4 7 2 2 5" xfId="16450"/>
    <cellStyle name="Note 4 7 2 2 6" xfId="16451"/>
    <cellStyle name="Note 4 7 2 2 7" xfId="16452"/>
    <cellStyle name="Note 4 7 2 2_DeltaViewer" xfId="16453"/>
    <cellStyle name="Note 4 7 2 3" xfId="16454"/>
    <cellStyle name="Note 4 7 2 3 2" xfId="16455"/>
    <cellStyle name="Note 4 7 2 3 3" xfId="16456"/>
    <cellStyle name="Note 4 7 2 3 4" xfId="16457"/>
    <cellStyle name="Note 4 7 2 3 5" xfId="16458"/>
    <cellStyle name="Note 4 7 2 3 6" xfId="16459"/>
    <cellStyle name="Note 4 7 2 3_DeltaViewer" xfId="16460"/>
    <cellStyle name="Note 4 7 2 4" xfId="16461"/>
    <cellStyle name="Note 4 7 2 5" xfId="16462"/>
    <cellStyle name="Note 4 7 2 6" xfId="16463"/>
    <cellStyle name="Note 4 7 2 7" xfId="16464"/>
    <cellStyle name="Note 4 7 2 8" xfId="16465"/>
    <cellStyle name="Note 4 7 2_DeltaViewer" xfId="16466"/>
    <cellStyle name="Note 4 7 3" xfId="16467"/>
    <cellStyle name="Note 4 7 3 2" xfId="16468"/>
    <cellStyle name="Note 4 7 3 2 2" xfId="16469"/>
    <cellStyle name="Note 4 7 3 2 2 2" xfId="16470"/>
    <cellStyle name="Note 4 7 3 2 2 3" xfId="16471"/>
    <cellStyle name="Note 4 7 3 2 2 4" xfId="16472"/>
    <cellStyle name="Note 4 7 3 2 2 5" xfId="16473"/>
    <cellStyle name="Note 4 7 3 2 2 6" xfId="16474"/>
    <cellStyle name="Note 4 7 3 2 2_DeltaViewer" xfId="16475"/>
    <cellStyle name="Note 4 7 3 2 3" xfId="16476"/>
    <cellStyle name="Note 4 7 3 2 4" xfId="16477"/>
    <cellStyle name="Note 4 7 3 2 5" xfId="16478"/>
    <cellStyle name="Note 4 7 3 2 6" xfId="16479"/>
    <cellStyle name="Note 4 7 3 2 7" xfId="16480"/>
    <cellStyle name="Note 4 7 3 2_DeltaViewer" xfId="16481"/>
    <cellStyle name="Note 4 7 3 3" xfId="16482"/>
    <cellStyle name="Note 4 7 3 3 2" xfId="16483"/>
    <cellStyle name="Note 4 7 3 3 3" xfId="16484"/>
    <cellStyle name="Note 4 7 3 3 4" xfId="16485"/>
    <cellStyle name="Note 4 7 3 3 5" xfId="16486"/>
    <cellStyle name="Note 4 7 3 3 6" xfId="16487"/>
    <cellStyle name="Note 4 7 3 3_DeltaViewer" xfId="16488"/>
    <cellStyle name="Note 4 7 3 4" xfId="16489"/>
    <cellStyle name="Note 4 7 3 5" xfId="16490"/>
    <cellStyle name="Note 4 7 3 6" xfId="16491"/>
    <cellStyle name="Note 4 7 3 7" xfId="16492"/>
    <cellStyle name="Note 4 7 3 8" xfId="16493"/>
    <cellStyle name="Note 4 7 3_DeltaViewer" xfId="16494"/>
    <cellStyle name="Note 4 7 4" xfId="16495"/>
    <cellStyle name="Note 4 7 4 2" xfId="16496"/>
    <cellStyle name="Note 4 7 4 2 2" xfId="16497"/>
    <cellStyle name="Note 4 7 4 2 3" xfId="16498"/>
    <cellStyle name="Note 4 7 4 2 4" xfId="16499"/>
    <cellStyle name="Note 4 7 4 2 5" xfId="16500"/>
    <cellStyle name="Note 4 7 4 2 6" xfId="16501"/>
    <cellStyle name="Note 4 7 4 2_DeltaViewer" xfId="16502"/>
    <cellStyle name="Note 4 7 4 3" xfId="16503"/>
    <cellStyle name="Note 4 7 4 4" xfId="16504"/>
    <cellStyle name="Note 4 7 4 5" xfId="16505"/>
    <cellStyle name="Note 4 7 4 6" xfId="16506"/>
    <cellStyle name="Note 4 7 4 7" xfId="16507"/>
    <cellStyle name="Note 4 7 4_DeltaViewer" xfId="16508"/>
    <cellStyle name="Note 4 7 5" xfId="16509"/>
    <cellStyle name="Note 4 7 5 2" xfId="16510"/>
    <cellStyle name="Note 4 7 5 2 2" xfId="16511"/>
    <cellStyle name="Note 4 7 5 2 3" xfId="16512"/>
    <cellStyle name="Note 4 7 5 2 4" xfId="16513"/>
    <cellStyle name="Note 4 7 5 2 5" xfId="16514"/>
    <cellStyle name="Note 4 7 5 2 6" xfId="16515"/>
    <cellStyle name="Note 4 7 5 2_DeltaViewer" xfId="16516"/>
    <cellStyle name="Note 4 7 5 3" xfId="16517"/>
    <cellStyle name="Note 4 7 5 4" xfId="16518"/>
    <cellStyle name="Note 4 7 5 5" xfId="16519"/>
    <cellStyle name="Note 4 7 5 6" xfId="16520"/>
    <cellStyle name="Note 4 7 5 7" xfId="16521"/>
    <cellStyle name="Note 4 7 5_DeltaViewer" xfId="16522"/>
    <cellStyle name="Note 4 7 6" xfId="16523"/>
    <cellStyle name="Note 4 7 6 2" xfId="16524"/>
    <cellStyle name="Note 4 7 6 3" xfId="16525"/>
    <cellStyle name="Note 4 7 6 4" xfId="16526"/>
    <cellStyle name="Note 4 7 6 5" xfId="16527"/>
    <cellStyle name="Note 4 7 6 6" xfId="16528"/>
    <cellStyle name="Note 4 7 6_DeltaViewer" xfId="16529"/>
    <cellStyle name="Note 4 7 7" xfId="16530"/>
    <cellStyle name="Note 4 7 8" xfId="16531"/>
    <cellStyle name="Note 4 7 9" xfId="16532"/>
    <cellStyle name="Note 4 7_DeltaViewer" xfId="16533"/>
    <cellStyle name="Note 4 8" xfId="16534"/>
    <cellStyle name="Note 4 8 10" xfId="16535"/>
    <cellStyle name="Note 4 8 11" xfId="16536"/>
    <cellStyle name="Note 4 8 2" xfId="16537"/>
    <cellStyle name="Note 4 8 2 2" xfId="16538"/>
    <cellStyle name="Note 4 8 2 2 2" xfId="16539"/>
    <cellStyle name="Note 4 8 2 2 2 2" xfId="16540"/>
    <cellStyle name="Note 4 8 2 2 2 3" xfId="16541"/>
    <cellStyle name="Note 4 8 2 2 2 4" xfId="16542"/>
    <cellStyle name="Note 4 8 2 2 2 5" xfId="16543"/>
    <cellStyle name="Note 4 8 2 2 2 6" xfId="16544"/>
    <cellStyle name="Note 4 8 2 2 2_DeltaViewer" xfId="16545"/>
    <cellStyle name="Note 4 8 2 2 3" xfId="16546"/>
    <cellStyle name="Note 4 8 2 2 4" xfId="16547"/>
    <cellStyle name="Note 4 8 2 2 5" xfId="16548"/>
    <cellStyle name="Note 4 8 2 2 6" xfId="16549"/>
    <cellStyle name="Note 4 8 2 2 7" xfId="16550"/>
    <cellStyle name="Note 4 8 2 2_DeltaViewer" xfId="16551"/>
    <cellStyle name="Note 4 8 2 3" xfId="16552"/>
    <cellStyle name="Note 4 8 2 3 2" xfId="16553"/>
    <cellStyle name="Note 4 8 2 3 3" xfId="16554"/>
    <cellStyle name="Note 4 8 2 3 4" xfId="16555"/>
    <cellStyle name="Note 4 8 2 3 5" xfId="16556"/>
    <cellStyle name="Note 4 8 2 3 6" xfId="16557"/>
    <cellStyle name="Note 4 8 2 3_DeltaViewer" xfId="16558"/>
    <cellStyle name="Note 4 8 2 4" xfId="16559"/>
    <cellStyle name="Note 4 8 2 5" xfId="16560"/>
    <cellStyle name="Note 4 8 2 6" xfId="16561"/>
    <cellStyle name="Note 4 8 2 7" xfId="16562"/>
    <cellStyle name="Note 4 8 2 8" xfId="16563"/>
    <cellStyle name="Note 4 8 2_DeltaViewer" xfId="16564"/>
    <cellStyle name="Note 4 8 3" xfId="16565"/>
    <cellStyle name="Note 4 8 3 2" xfId="16566"/>
    <cellStyle name="Note 4 8 3 2 2" xfId="16567"/>
    <cellStyle name="Note 4 8 3 2 2 2" xfId="16568"/>
    <cellStyle name="Note 4 8 3 2 2 3" xfId="16569"/>
    <cellStyle name="Note 4 8 3 2 2 4" xfId="16570"/>
    <cellStyle name="Note 4 8 3 2 2 5" xfId="16571"/>
    <cellStyle name="Note 4 8 3 2 2 6" xfId="16572"/>
    <cellStyle name="Note 4 8 3 2 2_DeltaViewer" xfId="16573"/>
    <cellStyle name="Note 4 8 3 2 3" xfId="16574"/>
    <cellStyle name="Note 4 8 3 2 4" xfId="16575"/>
    <cellStyle name="Note 4 8 3 2 5" xfId="16576"/>
    <cellStyle name="Note 4 8 3 2 6" xfId="16577"/>
    <cellStyle name="Note 4 8 3 2 7" xfId="16578"/>
    <cellStyle name="Note 4 8 3 2_DeltaViewer" xfId="16579"/>
    <cellStyle name="Note 4 8 3 3" xfId="16580"/>
    <cellStyle name="Note 4 8 3 3 2" xfId="16581"/>
    <cellStyle name="Note 4 8 3 3 3" xfId="16582"/>
    <cellStyle name="Note 4 8 3 3 4" xfId="16583"/>
    <cellStyle name="Note 4 8 3 3 5" xfId="16584"/>
    <cellStyle name="Note 4 8 3 3 6" xfId="16585"/>
    <cellStyle name="Note 4 8 3 3_DeltaViewer" xfId="16586"/>
    <cellStyle name="Note 4 8 3 4" xfId="16587"/>
    <cellStyle name="Note 4 8 3 5" xfId="16588"/>
    <cellStyle name="Note 4 8 3 6" xfId="16589"/>
    <cellStyle name="Note 4 8 3 7" xfId="16590"/>
    <cellStyle name="Note 4 8 3 8" xfId="16591"/>
    <cellStyle name="Note 4 8 3_DeltaViewer" xfId="16592"/>
    <cellStyle name="Note 4 8 4" xfId="16593"/>
    <cellStyle name="Note 4 8 4 2" xfId="16594"/>
    <cellStyle name="Note 4 8 4 2 2" xfId="16595"/>
    <cellStyle name="Note 4 8 4 2 3" xfId="16596"/>
    <cellStyle name="Note 4 8 4 2 4" xfId="16597"/>
    <cellStyle name="Note 4 8 4 2 5" xfId="16598"/>
    <cellStyle name="Note 4 8 4 2 6" xfId="16599"/>
    <cellStyle name="Note 4 8 4 2_DeltaViewer" xfId="16600"/>
    <cellStyle name="Note 4 8 4 3" xfId="16601"/>
    <cellStyle name="Note 4 8 4 4" xfId="16602"/>
    <cellStyle name="Note 4 8 4 5" xfId="16603"/>
    <cellStyle name="Note 4 8 4 6" xfId="16604"/>
    <cellStyle name="Note 4 8 4 7" xfId="16605"/>
    <cellStyle name="Note 4 8 4_DeltaViewer" xfId="16606"/>
    <cellStyle name="Note 4 8 5" xfId="16607"/>
    <cellStyle name="Note 4 8 5 2" xfId="16608"/>
    <cellStyle name="Note 4 8 5 2 2" xfId="16609"/>
    <cellStyle name="Note 4 8 5 2 3" xfId="16610"/>
    <cellStyle name="Note 4 8 5 2 4" xfId="16611"/>
    <cellStyle name="Note 4 8 5 2 5" xfId="16612"/>
    <cellStyle name="Note 4 8 5 2 6" xfId="16613"/>
    <cellStyle name="Note 4 8 5 2_DeltaViewer" xfId="16614"/>
    <cellStyle name="Note 4 8 5 3" xfId="16615"/>
    <cellStyle name="Note 4 8 5 4" xfId="16616"/>
    <cellStyle name="Note 4 8 5 5" xfId="16617"/>
    <cellStyle name="Note 4 8 5 6" xfId="16618"/>
    <cellStyle name="Note 4 8 5 7" xfId="16619"/>
    <cellStyle name="Note 4 8 5_DeltaViewer" xfId="16620"/>
    <cellStyle name="Note 4 8 6" xfId="16621"/>
    <cellStyle name="Note 4 8 6 2" xfId="16622"/>
    <cellStyle name="Note 4 8 6 3" xfId="16623"/>
    <cellStyle name="Note 4 8 6 4" xfId="16624"/>
    <cellStyle name="Note 4 8 6 5" xfId="16625"/>
    <cellStyle name="Note 4 8 6 6" xfId="16626"/>
    <cellStyle name="Note 4 8 6_DeltaViewer" xfId="16627"/>
    <cellStyle name="Note 4 8 7" xfId="16628"/>
    <cellStyle name="Note 4 8 8" xfId="16629"/>
    <cellStyle name="Note 4 8 9" xfId="16630"/>
    <cellStyle name="Note 4 8_DeltaViewer" xfId="16631"/>
    <cellStyle name="Note 4 9" xfId="16632"/>
    <cellStyle name="Note 4 9 10" xfId="16633"/>
    <cellStyle name="Note 4 9 2" xfId="16634"/>
    <cellStyle name="Note 4 9 2 2" xfId="16635"/>
    <cellStyle name="Note 4 9 2 2 2" xfId="16636"/>
    <cellStyle name="Note 4 9 2 2 2 2" xfId="16637"/>
    <cellStyle name="Note 4 9 2 2 2 3" xfId="16638"/>
    <cellStyle name="Note 4 9 2 2 2 4" xfId="16639"/>
    <cellStyle name="Note 4 9 2 2 2 5" xfId="16640"/>
    <cellStyle name="Note 4 9 2 2 2 6" xfId="16641"/>
    <cellStyle name="Note 4 9 2 2 2_DeltaViewer" xfId="16642"/>
    <cellStyle name="Note 4 9 2 2 3" xfId="16643"/>
    <cellStyle name="Note 4 9 2 2 4" xfId="16644"/>
    <cellStyle name="Note 4 9 2 2 5" xfId="16645"/>
    <cellStyle name="Note 4 9 2 2 6" xfId="16646"/>
    <cellStyle name="Note 4 9 2 2 7" xfId="16647"/>
    <cellStyle name="Note 4 9 2 2_DeltaViewer" xfId="16648"/>
    <cellStyle name="Note 4 9 2 3" xfId="16649"/>
    <cellStyle name="Note 4 9 2 3 2" xfId="16650"/>
    <cellStyle name="Note 4 9 2 3 3" xfId="16651"/>
    <cellStyle name="Note 4 9 2 3 4" xfId="16652"/>
    <cellStyle name="Note 4 9 2 3 5" xfId="16653"/>
    <cellStyle name="Note 4 9 2 3 6" xfId="16654"/>
    <cellStyle name="Note 4 9 2 3_DeltaViewer" xfId="16655"/>
    <cellStyle name="Note 4 9 2 4" xfId="16656"/>
    <cellStyle name="Note 4 9 2 5" xfId="16657"/>
    <cellStyle name="Note 4 9 2 6" xfId="16658"/>
    <cellStyle name="Note 4 9 2 7" xfId="16659"/>
    <cellStyle name="Note 4 9 2 8" xfId="16660"/>
    <cellStyle name="Note 4 9 2_DeltaViewer" xfId="16661"/>
    <cellStyle name="Note 4 9 3" xfId="16662"/>
    <cellStyle name="Note 4 9 3 2" xfId="16663"/>
    <cellStyle name="Note 4 9 3 2 2" xfId="16664"/>
    <cellStyle name="Note 4 9 3 2 2 2" xfId="16665"/>
    <cellStyle name="Note 4 9 3 2 2 3" xfId="16666"/>
    <cellStyle name="Note 4 9 3 2 2 4" xfId="16667"/>
    <cellStyle name="Note 4 9 3 2 2 5" xfId="16668"/>
    <cellStyle name="Note 4 9 3 2 2 6" xfId="16669"/>
    <cellStyle name="Note 4 9 3 2 2_DeltaViewer" xfId="16670"/>
    <cellStyle name="Note 4 9 3 2 3" xfId="16671"/>
    <cellStyle name="Note 4 9 3 2 4" xfId="16672"/>
    <cellStyle name="Note 4 9 3 2 5" xfId="16673"/>
    <cellStyle name="Note 4 9 3 2 6" xfId="16674"/>
    <cellStyle name="Note 4 9 3 2 7" xfId="16675"/>
    <cellStyle name="Note 4 9 3 2_DeltaViewer" xfId="16676"/>
    <cellStyle name="Note 4 9 3 3" xfId="16677"/>
    <cellStyle name="Note 4 9 3 3 2" xfId="16678"/>
    <cellStyle name="Note 4 9 3 3 3" xfId="16679"/>
    <cellStyle name="Note 4 9 3 3 4" xfId="16680"/>
    <cellStyle name="Note 4 9 3 3 5" xfId="16681"/>
    <cellStyle name="Note 4 9 3 3 6" xfId="16682"/>
    <cellStyle name="Note 4 9 3 3_DeltaViewer" xfId="16683"/>
    <cellStyle name="Note 4 9 3 4" xfId="16684"/>
    <cellStyle name="Note 4 9 3 5" xfId="16685"/>
    <cellStyle name="Note 4 9 3 6" xfId="16686"/>
    <cellStyle name="Note 4 9 3 7" xfId="16687"/>
    <cellStyle name="Note 4 9 3 8" xfId="16688"/>
    <cellStyle name="Note 4 9 3_DeltaViewer" xfId="16689"/>
    <cellStyle name="Note 4 9 4" xfId="16690"/>
    <cellStyle name="Note 4 9 4 2" xfId="16691"/>
    <cellStyle name="Note 4 9 4 2 2" xfId="16692"/>
    <cellStyle name="Note 4 9 4 2 3" xfId="16693"/>
    <cellStyle name="Note 4 9 4 2 4" xfId="16694"/>
    <cellStyle name="Note 4 9 4 2 5" xfId="16695"/>
    <cellStyle name="Note 4 9 4 2 6" xfId="16696"/>
    <cellStyle name="Note 4 9 4 2_DeltaViewer" xfId="16697"/>
    <cellStyle name="Note 4 9 4 3" xfId="16698"/>
    <cellStyle name="Note 4 9 4 4" xfId="16699"/>
    <cellStyle name="Note 4 9 4 5" xfId="16700"/>
    <cellStyle name="Note 4 9 4 6" xfId="16701"/>
    <cellStyle name="Note 4 9 4 7" xfId="16702"/>
    <cellStyle name="Note 4 9 4_DeltaViewer" xfId="16703"/>
    <cellStyle name="Note 4 9 5" xfId="16704"/>
    <cellStyle name="Note 4 9 5 2" xfId="16705"/>
    <cellStyle name="Note 4 9 5 3" xfId="16706"/>
    <cellStyle name="Note 4 9 5 4" xfId="16707"/>
    <cellStyle name="Note 4 9 5 5" xfId="16708"/>
    <cellStyle name="Note 4 9 5 6" xfId="16709"/>
    <cellStyle name="Note 4 9 5_DeltaViewer" xfId="16710"/>
    <cellStyle name="Note 4 9 6" xfId="16711"/>
    <cellStyle name="Note 4 9 7" xfId="16712"/>
    <cellStyle name="Note 4 9 8" xfId="16713"/>
    <cellStyle name="Note 4 9 9" xfId="16714"/>
    <cellStyle name="Note 4 9_DeltaViewer" xfId="16715"/>
    <cellStyle name="Note 4_DeltaViewer" xfId="16716"/>
    <cellStyle name="Note 5" xfId="16717"/>
    <cellStyle name="Note 5 10" xfId="16718"/>
    <cellStyle name="Note 5 10 10" xfId="16719"/>
    <cellStyle name="Note 5 10 2" xfId="16720"/>
    <cellStyle name="Note 5 10 2 2" xfId="16721"/>
    <cellStyle name="Note 5 10 2 2 2" xfId="16722"/>
    <cellStyle name="Note 5 10 2 2 2 2" xfId="16723"/>
    <cellStyle name="Note 5 10 2 2 2 3" xfId="16724"/>
    <cellStyle name="Note 5 10 2 2 2 4" xfId="16725"/>
    <cellStyle name="Note 5 10 2 2 2 5" xfId="16726"/>
    <cellStyle name="Note 5 10 2 2 2 6" xfId="16727"/>
    <cellStyle name="Note 5 10 2 2 2_DeltaViewer" xfId="16728"/>
    <cellStyle name="Note 5 10 2 2 3" xfId="16729"/>
    <cellStyle name="Note 5 10 2 2 4" xfId="16730"/>
    <cellStyle name="Note 5 10 2 2 5" xfId="16731"/>
    <cellStyle name="Note 5 10 2 2 6" xfId="16732"/>
    <cellStyle name="Note 5 10 2 2 7" xfId="16733"/>
    <cellStyle name="Note 5 10 2 2_DeltaViewer" xfId="16734"/>
    <cellStyle name="Note 5 10 2 3" xfId="16735"/>
    <cellStyle name="Note 5 10 2 3 2" xfId="16736"/>
    <cellStyle name="Note 5 10 2 3 3" xfId="16737"/>
    <cellStyle name="Note 5 10 2 3 4" xfId="16738"/>
    <cellStyle name="Note 5 10 2 3 5" xfId="16739"/>
    <cellStyle name="Note 5 10 2 3 6" xfId="16740"/>
    <cellStyle name="Note 5 10 2 3_DeltaViewer" xfId="16741"/>
    <cellStyle name="Note 5 10 2 4" xfId="16742"/>
    <cellStyle name="Note 5 10 2 5" xfId="16743"/>
    <cellStyle name="Note 5 10 2 6" xfId="16744"/>
    <cellStyle name="Note 5 10 2 7" xfId="16745"/>
    <cellStyle name="Note 5 10 2 8" xfId="16746"/>
    <cellStyle name="Note 5 10 2_DeltaViewer" xfId="16747"/>
    <cellStyle name="Note 5 10 3" xfId="16748"/>
    <cellStyle name="Note 5 10 3 2" xfId="16749"/>
    <cellStyle name="Note 5 10 3 2 2" xfId="16750"/>
    <cellStyle name="Note 5 10 3 2 2 2" xfId="16751"/>
    <cellStyle name="Note 5 10 3 2 2 3" xfId="16752"/>
    <cellStyle name="Note 5 10 3 2 2 4" xfId="16753"/>
    <cellStyle name="Note 5 10 3 2 2 5" xfId="16754"/>
    <cellStyle name="Note 5 10 3 2 2 6" xfId="16755"/>
    <cellStyle name="Note 5 10 3 2 2_DeltaViewer" xfId="16756"/>
    <cellStyle name="Note 5 10 3 2 3" xfId="16757"/>
    <cellStyle name="Note 5 10 3 2 4" xfId="16758"/>
    <cellStyle name="Note 5 10 3 2 5" xfId="16759"/>
    <cellStyle name="Note 5 10 3 2 6" xfId="16760"/>
    <cellStyle name="Note 5 10 3 2 7" xfId="16761"/>
    <cellStyle name="Note 5 10 3 2_DeltaViewer" xfId="16762"/>
    <cellStyle name="Note 5 10 3 3" xfId="16763"/>
    <cellStyle name="Note 5 10 3 3 2" xfId="16764"/>
    <cellStyle name="Note 5 10 3 3 3" xfId="16765"/>
    <cellStyle name="Note 5 10 3 3 4" xfId="16766"/>
    <cellStyle name="Note 5 10 3 3 5" xfId="16767"/>
    <cellStyle name="Note 5 10 3 3 6" xfId="16768"/>
    <cellStyle name="Note 5 10 3 3_DeltaViewer" xfId="16769"/>
    <cellStyle name="Note 5 10 3 4" xfId="16770"/>
    <cellStyle name="Note 5 10 3 5" xfId="16771"/>
    <cellStyle name="Note 5 10 3 6" xfId="16772"/>
    <cellStyle name="Note 5 10 3 7" xfId="16773"/>
    <cellStyle name="Note 5 10 3 8" xfId="16774"/>
    <cellStyle name="Note 5 10 3_DeltaViewer" xfId="16775"/>
    <cellStyle name="Note 5 10 4" xfId="16776"/>
    <cellStyle name="Note 5 10 4 2" xfId="16777"/>
    <cellStyle name="Note 5 10 4 2 2" xfId="16778"/>
    <cellStyle name="Note 5 10 4 2 3" xfId="16779"/>
    <cellStyle name="Note 5 10 4 2 4" xfId="16780"/>
    <cellStyle name="Note 5 10 4 2 5" xfId="16781"/>
    <cellStyle name="Note 5 10 4 2 6" xfId="16782"/>
    <cellStyle name="Note 5 10 4 2_DeltaViewer" xfId="16783"/>
    <cellStyle name="Note 5 10 4 3" xfId="16784"/>
    <cellStyle name="Note 5 10 4 4" xfId="16785"/>
    <cellStyle name="Note 5 10 4 5" xfId="16786"/>
    <cellStyle name="Note 5 10 4 6" xfId="16787"/>
    <cellStyle name="Note 5 10 4 7" xfId="16788"/>
    <cellStyle name="Note 5 10 4_DeltaViewer" xfId="16789"/>
    <cellStyle name="Note 5 10 5" xfId="16790"/>
    <cellStyle name="Note 5 10 5 2" xfId="16791"/>
    <cellStyle name="Note 5 10 5 3" xfId="16792"/>
    <cellStyle name="Note 5 10 5 4" xfId="16793"/>
    <cellStyle name="Note 5 10 5 5" xfId="16794"/>
    <cellStyle name="Note 5 10 5 6" xfId="16795"/>
    <cellStyle name="Note 5 10 5_DeltaViewer" xfId="16796"/>
    <cellStyle name="Note 5 10 6" xfId="16797"/>
    <cellStyle name="Note 5 10 7" xfId="16798"/>
    <cellStyle name="Note 5 10 8" xfId="16799"/>
    <cellStyle name="Note 5 10 9" xfId="16800"/>
    <cellStyle name="Note 5 10_DeltaViewer" xfId="16801"/>
    <cellStyle name="Note 5 11" xfId="16802"/>
    <cellStyle name="Note 5 11 10" xfId="16803"/>
    <cellStyle name="Note 5 11 2" xfId="16804"/>
    <cellStyle name="Note 5 11 2 2" xfId="16805"/>
    <cellStyle name="Note 5 11 2 2 2" xfId="16806"/>
    <cellStyle name="Note 5 11 2 2 2 2" xfId="16807"/>
    <cellStyle name="Note 5 11 2 2 2 3" xfId="16808"/>
    <cellStyle name="Note 5 11 2 2 2 4" xfId="16809"/>
    <cellStyle name="Note 5 11 2 2 2 5" xfId="16810"/>
    <cellStyle name="Note 5 11 2 2 2 6" xfId="16811"/>
    <cellStyle name="Note 5 11 2 2 2_DeltaViewer" xfId="16812"/>
    <cellStyle name="Note 5 11 2 2 3" xfId="16813"/>
    <cellStyle name="Note 5 11 2 2 4" xfId="16814"/>
    <cellStyle name="Note 5 11 2 2 5" xfId="16815"/>
    <cellStyle name="Note 5 11 2 2 6" xfId="16816"/>
    <cellStyle name="Note 5 11 2 2 7" xfId="16817"/>
    <cellStyle name="Note 5 11 2 2_DeltaViewer" xfId="16818"/>
    <cellStyle name="Note 5 11 2 3" xfId="16819"/>
    <cellStyle name="Note 5 11 2 3 2" xfId="16820"/>
    <cellStyle name="Note 5 11 2 3 3" xfId="16821"/>
    <cellStyle name="Note 5 11 2 3 4" xfId="16822"/>
    <cellStyle name="Note 5 11 2 3 5" xfId="16823"/>
    <cellStyle name="Note 5 11 2 3 6" xfId="16824"/>
    <cellStyle name="Note 5 11 2 3_DeltaViewer" xfId="16825"/>
    <cellStyle name="Note 5 11 2 4" xfId="16826"/>
    <cellStyle name="Note 5 11 2 5" xfId="16827"/>
    <cellStyle name="Note 5 11 2 6" xfId="16828"/>
    <cellStyle name="Note 5 11 2 7" xfId="16829"/>
    <cellStyle name="Note 5 11 2 8" xfId="16830"/>
    <cellStyle name="Note 5 11 2_DeltaViewer" xfId="16831"/>
    <cellStyle name="Note 5 11 3" xfId="16832"/>
    <cellStyle name="Note 5 11 3 2" xfId="16833"/>
    <cellStyle name="Note 5 11 3 2 2" xfId="16834"/>
    <cellStyle name="Note 5 11 3 2 2 2" xfId="16835"/>
    <cellStyle name="Note 5 11 3 2 2 3" xfId="16836"/>
    <cellStyle name="Note 5 11 3 2 2 4" xfId="16837"/>
    <cellStyle name="Note 5 11 3 2 2 5" xfId="16838"/>
    <cellStyle name="Note 5 11 3 2 2 6" xfId="16839"/>
    <cellStyle name="Note 5 11 3 2 2_DeltaViewer" xfId="16840"/>
    <cellStyle name="Note 5 11 3 2 3" xfId="16841"/>
    <cellStyle name="Note 5 11 3 2 4" xfId="16842"/>
    <cellStyle name="Note 5 11 3 2 5" xfId="16843"/>
    <cellStyle name="Note 5 11 3 2 6" xfId="16844"/>
    <cellStyle name="Note 5 11 3 2 7" xfId="16845"/>
    <cellStyle name="Note 5 11 3 2_DeltaViewer" xfId="16846"/>
    <cellStyle name="Note 5 11 3 3" xfId="16847"/>
    <cellStyle name="Note 5 11 3 3 2" xfId="16848"/>
    <cellStyle name="Note 5 11 3 3 3" xfId="16849"/>
    <cellStyle name="Note 5 11 3 3 4" xfId="16850"/>
    <cellStyle name="Note 5 11 3 3 5" xfId="16851"/>
    <cellStyle name="Note 5 11 3 3 6" xfId="16852"/>
    <cellStyle name="Note 5 11 3 3_DeltaViewer" xfId="16853"/>
    <cellStyle name="Note 5 11 3 4" xfId="16854"/>
    <cellStyle name="Note 5 11 3 5" xfId="16855"/>
    <cellStyle name="Note 5 11 3 6" xfId="16856"/>
    <cellStyle name="Note 5 11 3 7" xfId="16857"/>
    <cellStyle name="Note 5 11 3 8" xfId="16858"/>
    <cellStyle name="Note 5 11 3_DeltaViewer" xfId="16859"/>
    <cellStyle name="Note 5 11 4" xfId="16860"/>
    <cellStyle name="Note 5 11 4 2" xfId="16861"/>
    <cellStyle name="Note 5 11 4 2 2" xfId="16862"/>
    <cellStyle name="Note 5 11 4 2 3" xfId="16863"/>
    <cellStyle name="Note 5 11 4 2 4" xfId="16864"/>
    <cellStyle name="Note 5 11 4 2 5" xfId="16865"/>
    <cellStyle name="Note 5 11 4 2 6" xfId="16866"/>
    <cellStyle name="Note 5 11 4 2_DeltaViewer" xfId="16867"/>
    <cellStyle name="Note 5 11 4 3" xfId="16868"/>
    <cellStyle name="Note 5 11 4 4" xfId="16869"/>
    <cellStyle name="Note 5 11 4 5" xfId="16870"/>
    <cellStyle name="Note 5 11 4 6" xfId="16871"/>
    <cellStyle name="Note 5 11 4 7" xfId="16872"/>
    <cellStyle name="Note 5 11 4_DeltaViewer" xfId="16873"/>
    <cellStyle name="Note 5 11 5" xfId="16874"/>
    <cellStyle name="Note 5 11 5 2" xfId="16875"/>
    <cellStyle name="Note 5 11 5 3" xfId="16876"/>
    <cellStyle name="Note 5 11 5 4" xfId="16877"/>
    <cellStyle name="Note 5 11 5 5" xfId="16878"/>
    <cellStyle name="Note 5 11 5 6" xfId="16879"/>
    <cellStyle name="Note 5 11 5_DeltaViewer" xfId="16880"/>
    <cellStyle name="Note 5 11 6" xfId="16881"/>
    <cellStyle name="Note 5 11 7" xfId="16882"/>
    <cellStyle name="Note 5 11 8" xfId="16883"/>
    <cellStyle name="Note 5 11 9" xfId="16884"/>
    <cellStyle name="Note 5 11_DeltaViewer" xfId="16885"/>
    <cellStyle name="Note 5 12" xfId="16886"/>
    <cellStyle name="Note 5 12 10" xfId="16887"/>
    <cellStyle name="Note 5 12 2" xfId="16888"/>
    <cellStyle name="Note 5 12 2 2" xfId="16889"/>
    <cellStyle name="Note 5 12 2 2 2" xfId="16890"/>
    <cellStyle name="Note 5 12 2 2 2 2" xfId="16891"/>
    <cellStyle name="Note 5 12 2 2 2 3" xfId="16892"/>
    <cellStyle name="Note 5 12 2 2 2 4" xfId="16893"/>
    <cellStyle name="Note 5 12 2 2 2 5" xfId="16894"/>
    <cellStyle name="Note 5 12 2 2 2 6" xfId="16895"/>
    <cellStyle name="Note 5 12 2 2 2_DeltaViewer" xfId="16896"/>
    <cellStyle name="Note 5 12 2 2 3" xfId="16897"/>
    <cellStyle name="Note 5 12 2 2 4" xfId="16898"/>
    <cellStyle name="Note 5 12 2 2 5" xfId="16899"/>
    <cellStyle name="Note 5 12 2 2 6" xfId="16900"/>
    <cellStyle name="Note 5 12 2 2 7" xfId="16901"/>
    <cellStyle name="Note 5 12 2 2_DeltaViewer" xfId="16902"/>
    <cellStyle name="Note 5 12 2 3" xfId="16903"/>
    <cellStyle name="Note 5 12 2 3 2" xfId="16904"/>
    <cellStyle name="Note 5 12 2 3 3" xfId="16905"/>
    <cellStyle name="Note 5 12 2 3 4" xfId="16906"/>
    <cellStyle name="Note 5 12 2 3 5" xfId="16907"/>
    <cellStyle name="Note 5 12 2 3 6" xfId="16908"/>
    <cellStyle name="Note 5 12 2 3_DeltaViewer" xfId="16909"/>
    <cellStyle name="Note 5 12 2 4" xfId="16910"/>
    <cellStyle name="Note 5 12 2 5" xfId="16911"/>
    <cellStyle name="Note 5 12 2 6" xfId="16912"/>
    <cellStyle name="Note 5 12 2 7" xfId="16913"/>
    <cellStyle name="Note 5 12 2 8" xfId="16914"/>
    <cellStyle name="Note 5 12 2_DeltaViewer" xfId="16915"/>
    <cellStyle name="Note 5 12 3" xfId="16916"/>
    <cellStyle name="Note 5 12 3 2" xfId="16917"/>
    <cellStyle name="Note 5 12 3 2 2" xfId="16918"/>
    <cellStyle name="Note 5 12 3 2 2 2" xfId="16919"/>
    <cellStyle name="Note 5 12 3 2 2 3" xfId="16920"/>
    <cellStyle name="Note 5 12 3 2 2 4" xfId="16921"/>
    <cellStyle name="Note 5 12 3 2 2 5" xfId="16922"/>
    <cellStyle name="Note 5 12 3 2 2 6" xfId="16923"/>
    <cellStyle name="Note 5 12 3 2 2_DeltaViewer" xfId="16924"/>
    <cellStyle name="Note 5 12 3 2 3" xfId="16925"/>
    <cellStyle name="Note 5 12 3 2 4" xfId="16926"/>
    <cellStyle name="Note 5 12 3 2 5" xfId="16927"/>
    <cellStyle name="Note 5 12 3 2 6" xfId="16928"/>
    <cellStyle name="Note 5 12 3 2 7" xfId="16929"/>
    <cellStyle name="Note 5 12 3 2_DeltaViewer" xfId="16930"/>
    <cellStyle name="Note 5 12 3 3" xfId="16931"/>
    <cellStyle name="Note 5 12 3 3 2" xfId="16932"/>
    <cellStyle name="Note 5 12 3 3 3" xfId="16933"/>
    <cellStyle name="Note 5 12 3 3 4" xfId="16934"/>
    <cellStyle name="Note 5 12 3 3 5" xfId="16935"/>
    <cellStyle name="Note 5 12 3 3 6" xfId="16936"/>
    <cellStyle name="Note 5 12 3 3_DeltaViewer" xfId="16937"/>
    <cellStyle name="Note 5 12 3 4" xfId="16938"/>
    <cellStyle name="Note 5 12 3 5" xfId="16939"/>
    <cellStyle name="Note 5 12 3 6" xfId="16940"/>
    <cellStyle name="Note 5 12 3 7" xfId="16941"/>
    <cellStyle name="Note 5 12 3 8" xfId="16942"/>
    <cellStyle name="Note 5 12 3_DeltaViewer" xfId="16943"/>
    <cellStyle name="Note 5 12 4" xfId="16944"/>
    <cellStyle name="Note 5 12 4 2" xfId="16945"/>
    <cellStyle name="Note 5 12 4 2 2" xfId="16946"/>
    <cellStyle name="Note 5 12 4 2 3" xfId="16947"/>
    <cellStyle name="Note 5 12 4 2 4" xfId="16948"/>
    <cellStyle name="Note 5 12 4 2 5" xfId="16949"/>
    <cellStyle name="Note 5 12 4 2 6" xfId="16950"/>
    <cellStyle name="Note 5 12 4 2_DeltaViewer" xfId="16951"/>
    <cellStyle name="Note 5 12 4 3" xfId="16952"/>
    <cellStyle name="Note 5 12 4 4" xfId="16953"/>
    <cellStyle name="Note 5 12 4 5" xfId="16954"/>
    <cellStyle name="Note 5 12 4 6" xfId="16955"/>
    <cellStyle name="Note 5 12 4 7" xfId="16956"/>
    <cellStyle name="Note 5 12 4_DeltaViewer" xfId="16957"/>
    <cellStyle name="Note 5 12 5" xfId="16958"/>
    <cellStyle name="Note 5 12 5 2" xfId="16959"/>
    <cellStyle name="Note 5 12 5 3" xfId="16960"/>
    <cellStyle name="Note 5 12 5 4" xfId="16961"/>
    <cellStyle name="Note 5 12 5 5" xfId="16962"/>
    <cellStyle name="Note 5 12 5 6" xfId="16963"/>
    <cellStyle name="Note 5 12 5_DeltaViewer" xfId="16964"/>
    <cellStyle name="Note 5 12 6" xfId="16965"/>
    <cellStyle name="Note 5 12 7" xfId="16966"/>
    <cellStyle name="Note 5 12 8" xfId="16967"/>
    <cellStyle name="Note 5 12 9" xfId="16968"/>
    <cellStyle name="Note 5 12_DeltaViewer" xfId="16969"/>
    <cellStyle name="Note 5 13" xfId="16970"/>
    <cellStyle name="Note 5 13 10" xfId="16971"/>
    <cellStyle name="Note 5 13 2" xfId="16972"/>
    <cellStyle name="Note 5 13 2 2" xfId="16973"/>
    <cellStyle name="Note 5 13 2 2 2" xfId="16974"/>
    <cellStyle name="Note 5 13 2 2 2 2" xfId="16975"/>
    <cellStyle name="Note 5 13 2 2 2 3" xfId="16976"/>
    <cellStyle name="Note 5 13 2 2 2 4" xfId="16977"/>
    <cellStyle name="Note 5 13 2 2 2 5" xfId="16978"/>
    <cellStyle name="Note 5 13 2 2 2 6" xfId="16979"/>
    <cellStyle name="Note 5 13 2 2 2_DeltaViewer" xfId="16980"/>
    <cellStyle name="Note 5 13 2 2 3" xfId="16981"/>
    <cellStyle name="Note 5 13 2 2 4" xfId="16982"/>
    <cellStyle name="Note 5 13 2 2 5" xfId="16983"/>
    <cellStyle name="Note 5 13 2 2 6" xfId="16984"/>
    <cellStyle name="Note 5 13 2 2 7" xfId="16985"/>
    <cellStyle name="Note 5 13 2 2_DeltaViewer" xfId="16986"/>
    <cellStyle name="Note 5 13 2 3" xfId="16987"/>
    <cellStyle name="Note 5 13 2 3 2" xfId="16988"/>
    <cellStyle name="Note 5 13 2 3 3" xfId="16989"/>
    <cellStyle name="Note 5 13 2 3 4" xfId="16990"/>
    <cellStyle name="Note 5 13 2 3 5" xfId="16991"/>
    <cellStyle name="Note 5 13 2 3 6" xfId="16992"/>
    <cellStyle name="Note 5 13 2 3_DeltaViewer" xfId="16993"/>
    <cellStyle name="Note 5 13 2 4" xfId="16994"/>
    <cellStyle name="Note 5 13 2 5" xfId="16995"/>
    <cellStyle name="Note 5 13 2 6" xfId="16996"/>
    <cellStyle name="Note 5 13 2 7" xfId="16997"/>
    <cellStyle name="Note 5 13 2 8" xfId="16998"/>
    <cellStyle name="Note 5 13 2_DeltaViewer" xfId="16999"/>
    <cellStyle name="Note 5 13 3" xfId="17000"/>
    <cellStyle name="Note 5 13 3 2" xfId="17001"/>
    <cellStyle name="Note 5 13 3 2 2" xfId="17002"/>
    <cellStyle name="Note 5 13 3 2 2 2" xfId="17003"/>
    <cellStyle name="Note 5 13 3 2 2 3" xfId="17004"/>
    <cellStyle name="Note 5 13 3 2 2 4" xfId="17005"/>
    <cellStyle name="Note 5 13 3 2 2 5" xfId="17006"/>
    <cellStyle name="Note 5 13 3 2 2 6" xfId="17007"/>
    <cellStyle name="Note 5 13 3 2 2_DeltaViewer" xfId="17008"/>
    <cellStyle name="Note 5 13 3 2 3" xfId="17009"/>
    <cellStyle name="Note 5 13 3 2 4" xfId="17010"/>
    <cellStyle name="Note 5 13 3 2 5" xfId="17011"/>
    <cellStyle name="Note 5 13 3 2 6" xfId="17012"/>
    <cellStyle name="Note 5 13 3 2 7" xfId="17013"/>
    <cellStyle name="Note 5 13 3 2_DeltaViewer" xfId="17014"/>
    <cellStyle name="Note 5 13 3 3" xfId="17015"/>
    <cellStyle name="Note 5 13 3 3 2" xfId="17016"/>
    <cellStyle name="Note 5 13 3 3 3" xfId="17017"/>
    <cellStyle name="Note 5 13 3 3 4" xfId="17018"/>
    <cellStyle name="Note 5 13 3 3 5" xfId="17019"/>
    <cellStyle name="Note 5 13 3 3 6" xfId="17020"/>
    <cellStyle name="Note 5 13 3 3_DeltaViewer" xfId="17021"/>
    <cellStyle name="Note 5 13 3 4" xfId="17022"/>
    <cellStyle name="Note 5 13 3 5" xfId="17023"/>
    <cellStyle name="Note 5 13 3 6" xfId="17024"/>
    <cellStyle name="Note 5 13 3 7" xfId="17025"/>
    <cellStyle name="Note 5 13 3 8" xfId="17026"/>
    <cellStyle name="Note 5 13 3_DeltaViewer" xfId="17027"/>
    <cellStyle name="Note 5 13 4" xfId="17028"/>
    <cellStyle name="Note 5 13 4 2" xfId="17029"/>
    <cellStyle name="Note 5 13 4 2 2" xfId="17030"/>
    <cellStyle name="Note 5 13 4 2 3" xfId="17031"/>
    <cellStyle name="Note 5 13 4 2 4" xfId="17032"/>
    <cellStyle name="Note 5 13 4 2 5" xfId="17033"/>
    <cellStyle name="Note 5 13 4 2 6" xfId="17034"/>
    <cellStyle name="Note 5 13 4 2_DeltaViewer" xfId="17035"/>
    <cellStyle name="Note 5 13 4 3" xfId="17036"/>
    <cellStyle name="Note 5 13 4 4" xfId="17037"/>
    <cellStyle name="Note 5 13 4 5" xfId="17038"/>
    <cellStyle name="Note 5 13 4 6" xfId="17039"/>
    <cellStyle name="Note 5 13 4 7" xfId="17040"/>
    <cellStyle name="Note 5 13 4_DeltaViewer" xfId="17041"/>
    <cellStyle name="Note 5 13 5" xfId="17042"/>
    <cellStyle name="Note 5 13 5 2" xfId="17043"/>
    <cellStyle name="Note 5 13 5 3" xfId="17044"/>
    <cellStyle name="Note 5 13 5 4" xfId="17045"/>
    <cellStyle name="Note 5 13 5 5" xfId="17046"/>
    <cellStyle name="Note 5 13 5 6" xfId="17047"/>
    <cellStyle name="Note 5 13 5_DeltaViewer" xfId="17048"/>
    <cellStyle name="Note 5 13 6" xfId="17049"/>
    <cellStyle name="Note 5 13 7" xfId="17050"/>
    <cellStyle name="Note 5 13 8" xfId="17051"/>
    <cellStyle name="Note 5 13 9" xfId="17052"/>
    <cellStyle name="Note 5 13_DeltaViewer" xfId="17053"/>
    <cellStyle name="Note 5 14" xfId="17054"/>
    <cellStyle name="Note 5 14 2" xfId="17055"/>
    <cellStyle name="Note 5 14 2 2" xfId="17056"/>
    <cellStyle name="Note 5 14 2 2 2" xfId="17057"/>
    <cellStyle name="Note 5 14 2 2 3" xfId="17058"/>
    <cellStyle name="Note 5 14 2 2 4" xfId="17059"/>
    <cellStyle name="Note 5 14 2 2 5" xfId="17060"/>
    <cellStyle name="Note 5 14 2 2 6" xfId="17061"/>
    <cellStyle name="Note 5 14 2 2_DeltaViewer" xfId="17062"/>
    <cellStyle name="Note 5 14 2 3" xfId="17063"/>
    <cellStyle name="Note 5 14 2 4" xfId="17064"/>
    <cellStyle name="Note 5 14 2 5" xfId="17065"/>
    <cellStyle name="Note 5 14 2 6" xfId="17066"/>
    <cellStyle name="Note 5 14 2 7" xfId="17067"/>
    <cellStyle name="Note 5 14 2_DeltaViewer" xfId="17068"/>
    <cellStyle name="Note 5 14 3" xfId="17069"/>
    <cellStyle name="Note 5 14 3 2" xfId="17070"/>
    <cellStyle name="Note 5 14 3 3" xfId="17071"/>
    <cellStyle name="Note 5 14 3 4" xfId="17072"/>
    <cellStyle name="Note 5 14 3 5" xfId="17073"/>
    <cellStyle name="Note 5 14 3 6" xfId="17074"/>
    <cellStyle name="Note 5 14 3_DeltaViewer" xfId="17075"/>
    <cellStyle name="Note 5 14 4" xfId="17076"/>
    <cellStyle name="Note 5 14 5" xfId="17077"/>
    <cellStyle name="Note 5 14 6" xfId="17078"/>
    <cellStyle name="Note 5 14 7" xfId="17079"/>
    <cellStyle name="Note 5 14 8" xfId="17080"/>
    <cellStyle name="Note 5 14_DeltaViewer" xfId="17081"/>
    <cellStyle name="Note 5 15" xfId="17082"/>
    <cellStyle name="Note 5 15 2" xfId="17083"/>
    <cellStyle name="Note 5 15 2 2" xfId="17084"/>
    <cellStyle name="Note 5 15 2 2 2" xfId="17085"/>
    <cellStyle name="Note 5 15 2 2 3" xfId="17086"/>
    <cellStyle name="Note 5 15 2 2 4" xfId="17087"/>
    <cellStyle name="Note 5 15 2 2 5" xfId="17088"/>
    <cellStyle name="Note 5 15 2 2 6" xfId="17089"/>
    <cellStyle name="Note 5 15 2 2_DeltaViewer" xfId="17090"/>
    <cellStyle name="Note 5 15 2 3" xfId="17091"/>
    <cellStyle name="Note 5 15 2 4" xfId="17092"/>
    <cellStyle name="Note 5 15 2 5" xfId="17093"/>
    <cellStyle name="Note 5 15 2 6" xfId="17094"/>
    <cellStyle name="Note 5 15 2 7" xfId="17095"/>
    <cellStyle name="Note 5 15 2_DeltaViewer" xfId="17096"/>
    <cellStyle name="Note 5 15 3" xfId="17097"/>
    <cellStyle name="Note 5 15 3 2" xfId="17098"/>
    <cellStyle name="Note 5 15 3 3" xfId="17099"/>
    <cellStyle name="Note 5 15 3 4" xfId="17100"/>
    <cellStyle name="Note 5 15 3 5" xfId="17101"/>
    <cellStyle name="Note 5 15 3 6" xfId="17102"/>
    <cellStyle name="Note 5 15 3_DeltaViewer" xfId="17103"/>
    <cellStyle name="Note 5 15 4" xfId="17104"/>
    <cellStyle name="Note 5 15 5" xfId="17105"/>
    <cellStyle name="Note 5 15 6" xfId="17106"/>
    <cellStyle name="Note 5 15 7" xfId="17107"/>
    <cellStyle name="Note 5 15 8" xfId="17108"/>
    <cellStyle name="Note 5 15_DeltaViewer" xfId="17109"/>
    <cellStyle name="Note 5 16" xfId="17110"/>
    <cellStyle name="Note 5 16 2" xfId="17111"/>
    <cellStyle name="Note 5 16 2 2" xfId="17112"/>
    <cellStyle name="Note 5 16 2 3" xfId="17113"/>
    <cellStyle name="Note 5 16 2 4" xfId="17114"/>
    <cellStyle name="Note 5 16 2 5" xfId="17115"/>
    <cellStyle name="Note 5 16 2 6" xfId="17116"/>
    <cellStyle name="Note 5 16 2_DeltaViewer" xfId="17117"/>
    <cellStyle name="Note 5 16 3" xfId="17118"/>
    <cellStyle name="Note 5 16 4" xfId="17119"/>
    <cellStyle name="Note 5 16 5" xfId="17120"/>
    <cellStyle name="Note 5 16 6" xfId="17121"/>
    <cellStyle name="Note 5 16 7" xfId="17122"/>
    <cellStyle name="Note 5 16_DeltaViewer" xfId="17123"/>
    <cellStyle name="Note 5 17" xfId="17124"/>
    <cellStyle name="Note 5 17 2" xfId="17125"/>
    <cellStyle name="Note 5 17 2 2" xfId="17126"/>
    <cellStyle name="Note 5 17 2 2 2" xfId="17127"/>
    <cellStyle name="Note 5 17 2 2 3" xfId="17128"/>
    <cellStyle name="Note 5 17 2 2 4" xfId="17129"/>
    <cellStyle name="Note 5 17 2 2 5" xfId="17130"/>
    <cellStyle name="Note 5 17 2 2 6" xfId="17131"/>
    <cellStyle name="Note 5 17 2 2_DeltaViewer" xfId="17132"/>
    <cellStyle name="Note 5 17 2 3" xfId="17133"/>
    <cellStyle name="Note 5 17 2 4" xfId="17134"/>
    <cellStyle name="Note 5 17 2 5" xfId="17135"/>
    <cellStyle name="Note 5 17 2 6" xfId="17136"/>
    <cellStyle name="Note 5 17 2 7" xfId="17137"/>
    <cellStyle name="Note 5 17 2_DeltaViewer" xfId="17138"/>
    <cellStyle name="Note 5 17 3" xfId="17139"/>
    <cellStyle name="Note 5 17 3 2" xfId="17140"/>
    <cellStyle name="Note 5 17 3 3" xfId="17141"/>
    <cellStyle name="Note 5 17 3 4" xfId="17142"/>
    <cellStyle name="Note 5 17 3 5" xfId="17143"/>
    <cellStyle name="Note 5 17 3 6" xfId="17144"/>
    <cellStyle name="Note 5 17 3_DeltaViewer" xfId="17145"/>
    <cellStyle name="Note 5 17 4" xfId="17146"/>
    <cellStyle name="Note 5 17 5" xfId="17147"/>
    <cellStyle name="Note 5 17 6" xfId="17148"/>
    <cellStyle name="Note 5 17 7" xfId="17149"/>
    <cellStyle name="Note 5 17 8" xfId="17150"/>
    <cellStyle name="Note 5 17_DeltaViewer" xfId="17151"/>
    <cellStyle name="Note 5 18" xfId="17152"/>
    <cellStyle name="Note 5 18 2" xfId="17153"/>
    <cellStyle name="Note 5 18 2 2" xfId="17154"/>
    <cellStyle name="Note 5 18 2 2 2" xfId="17155"/>
    <cellStyle name="Note 5 18 2 2 3" xfId="17156"/>
    <cellStyle name="Note 5 18 2 2 4" xfId="17157"/>
    <cellStyle name="Note 5 18 2 2 5" xfId="17158"/>
    <cellStyle name="Note 5 18 2 2 6" xfId="17159"/>
    <cellStyle name="Note 5 18 2 2_DeltaViewer" xfId="17160"/>
    <cellStyle name="Note 5 18 2 3" xfId="17161"/>
    <cellStyle name="Note 5 18 2 4" xfId="17162"/>
    <cellStyle name="Note 5 18 2 5" xfId="17163"/>
    <cellStyle name="Note 5 18 2 6" xfId="17164"/>
    <cellStyle name="Note 5 18 2 7" xfId="17165"/>
    <cellStyle name="Note 5 18 2_DeltaViewer" xfId="17166"/>
    <cellStyle name="Note 5 18 3" xfId="17167"/>
    <cellStyle name="Note 5 18 3 2" xfId="17168"/>
    <cellStyle name="Note 5 18 3 3" xfId="17169"/>
    <cellStyle name="Note 5 18 3 4" xfId="17170"/>
    <cellStyle name="Note 5 18 3 5" xfId="17171"/>
    <cellStyle name="Note 5 18 3 6" xfId="17172"/>
    <cellStyle name="Note 5 18 3_DeltaViewer" xfId="17173"/>
    <cellStyle name="Note 5 18 4" xfId="17174"/>
    <cellStyle name="Note 5 18 5" xfId="17175"/>
    <cellStyle name="Note 5 18 6" xfId="17176"/>
    <cellStyle name="Note 5 18 7" xfId="17177"/>
    <cellStyle name="Note 5 18 8" xfId="17178"/>
    <cellStyle name="Note 5 18_DeltaViewer" xfId="17179"/>
    <cellStyle name="Note 5 19" xfId="17180"/>
    <cellStyle name="Note 5 19 2" xfId="17181"/>
    <cellStyle name="Note 5 19 2 2" xfId="17182"/>
    <cellStyle name="Note 5 19 2 2 2" xfId="17183"/>
    <cellStyle name="Note 5 19 2 2 3" xfId="17184"/>
    <cellStyle name="Note 5 19 2 2 4" xfId="17185"/>
    <cellStyle name="Note 5 19 2 2 5" xfId="17186"/>
    <cellStyle name="Note 5 19 2 2 6" xfId="17187"/>
    <cellStyle name="Note 5 19 2 2_DeltaViewer" xfId="17188"/>
    <cellStyle name="Note 5 19 2 3" xfId="17189"/>
    <cellStyle name="Note 5 19 2 4" xfId="17190"/>
    <cellStyle name="Note 5 19 2 5" xfId="17191"/>
    <cellStyle name="Note 5 19 2 6" xfId="17192"/>
    <cellStyle name="Note 5 19 2 7" xfId="17193"/>
    <cellStyle name="Note 5 19 2_DeltaViewer" xfId="17194"/>
    <cellStyle name="Note 5 19 3" xfId="17195"/>
    <cellStyle name="Note 5 19 3 2" xfId="17196"/>
    <cellStyle name="Note 5 19 3 3" xfId="17197"/>
    <cellStyle name="Note 5 19 3 4" xfId="17198"/>
    <cellStyle name="Note 5 19 3 5" xfId="17199"/>
    <cellStyle name="Note 5 19 3 6" xfId="17200"/>
    <cellStyle name="Note 5 19 3_DeltaViewer" xfId="17201"/>
    <cellStyle name="Note 5 19 4" xfId="17202"/>
    <cellStyle name="Note 5 19 5" xfId="17203"/>
    <cellStyle name="Note 5 19 6" xfId="17204"/>
    <cellStyle name="Note 5 19 7" xfId="17205"/>
    <cellStyle name="Note 5 19 8" xfId="17206"/>
    <cellStyle name="Note 5 19_DeltaViewer" xfId="17207"/>
    <cellStyle name="Note 5 2" xfId="17208"/>
    <cellStyle name="Note 5 2 10" xfId="17209"/>
    <cellStyle name="Note 5 2 11" xfId="17210"/>
    <cellStyle name="Note 5 2 2" xfId="17211"/>
    <cellStyle name="Note 5 2 2 2" xfId="17212"/>
    <cellStyle name="Note 5 2 2 2 2" xfId="17213"/>
    <cellStyle name="Note 5 2 2 2 2 2" xfId="17214"/>
    <cellStyle name="Note 5 2 2 2 2 3" xfId="17215"/>
    <cellStyle name="Note 5 2 2 2 2 4" xfId="17216"/>
    <cellStyle name="Note 5 2 2 2 2 5" xfId="17217"/>
    <cellStyle name="Note 5 2 2 2 2 6" xfId="17218"/>
    <cellStyle name="Note 5 2 2 2 2_DeltaViewer" xfId="17219"/>
    <cellStyle name="Note 5 2 2 2 3" xfId="17220"/>
    <cellStyle name="Note 5 2 2 2 4" xfId="17221"/>
    <cellStyle name="Note 5 2 2 2 5" xfId="17222"/>
    <cellStyle name="Note 5 2 2 2 6" xfId="17223"/>
    <cellStyle name="Note 5 2 2 2 7" xfId="17224"/>
    <cellStyle name="Note 5 2 2 2_DeltaViewer" xfId="17225"/>
    <cellStyle name="Note 5 2 2 3" xfId="17226"/>
    <cellStyle name="Note 5 2 2 3 2" xfId="17227"/>
    <cellStyle name="Note 5 2 2 3 2 2" xfId="17228"/>
    <cellStyle name="Note 5 2 2 3 2 3" xfId="17229"/>
    <cellStyle name="Note 5 2 2 3 2 4" xfId="17230"/>
    <cellStyle name="Note 5 2 2 3 2 5" xfId="17231"/>
    <cellStyle name="Note 5 2 2 3 2 6" xfId="17232"/>
    <cellStyle name="Note 5 2 2 3 2_DeltaViewer" xfId="17233"/>
    <cellStyle name="Note 5 2 2 3 3" xfId="17234"/>
    <cellStyle name="Note 5 2 2 3 4" xfId="17235"/>
    <cellStyle name="Note 5 2 2 3 5" xfId="17236"/>
    <cellStyle name="Note 5 2 2 3 6" xfId="17237"/>
    <cellStyle name="Note 5 2 2 3 7" xfId="17238"/>
    <cellStyle name="Note 5 2 2 3_DeltaViewer" xfId="17239"/>
    <cellStyle name="Note 5 2 2 4" xfId="17240"/>
    <cellStyle name="Note 5 2 2 4 2" xfId="17241"/>
    <cellStyle name="Note 5 2 2 4 3" xfId="17242"/>
    <cellStyle name="Note 5 2 2 4 4" xfId="17243"/>
    <cellStyle name="Note 5 2 2 4 5" xfId="17244"/>
    <cellStyle name="Note 5 2 2 4 6" xfId="17245"/>
    <cellStyle name="Note 5 2 2 4_DeltaViewer" xfId="17246"/>
    <cellStyle name="Note 5 2 2 5" xfId="17247"/>
    <cellStyle name="Note 5 2 2 6" xfId="17248"/>
    <cellStyle name="Note 5 2 2 7" xfId="17249"/>
    <cellStyle name="Note 5 2 2 8" xfId="17250"/>
    <cellStyle name="Note 5 2 2 9" xfId="17251"/>
    <cellStyle name="Note 5 2 2_DeltaViewer" xfId="17252"/>
    <cellStyle name="Note 5 2 3" xfId="17253"/>
    <cellStyle name="Note 5 2 3 2" xfId="17254"/>
    <cellStyle name="Note 5 2 3 2 2" xfId="17255"/>
    <cellStyle name="Note 5 2 3 2 2 2" xfId="17256"/>
    <cellStyle name="Note 5 2 3 2 2 3" xfId="17257"/>
    <cellStyle name="Note 5 2 3 2 2 4" xfId="17258"/>
    <cellStyle name="Note 5 2 3 2 2 5" xfId="17259"/>
    <cellStyle name="Note 5 2 3 2 2 6" xfId="17260"/>
    <cellStyle name="Note 5 2 3 2 2_DeltaViewer" xfId="17261"/>
    <cellStyle name="Note 5 2 3 2 3" xfId="17262"/>
    <cellStyle name="Note 5 2 3 2 4" xfId="17263"/>
    <cellStyle name="Note 5 2 3 2 5" xfId="17264"/>
    <cellStyle name="Note 5 2 3 2 6" xfId="17265"/>
    <cellStyle name="Note 5 2 3 2 7" xfId="17266"/>
    <cellStyle name="Note 5 2 3 2_DeltaViewer" xfId="17267"/>
    <cellStyle name="Note 5 2 3 3" xfId="17268"/>
    <cellStyle name="Note 5 2 3 3 2" xfId="17269"/>
    <cellStyle name="Note 5 2 3 3 3" xfId="17270"/>
    <cellStyle name="Note 5 2 3 3 4" xfId="17271"/>
    <cellStyle name="Note 5 2 3 3 5" xfId="17272"/>
    <cellStyle name="Note 5 2 3 3 6" xfId="17273"/>
    <cellStyle name="Note 5 2 3 3_DeltaViewer" xfId="17274"/>
    <cellStyle name="Note 5 2 3 4" xfId="17275"/>
    <cellStyle name="Note 5 2 3 5" xfId="17276"/>
    <cellStyle name="Note 5 2 3 6" xfId="17277"/>
    <cellStyle name="Note 5 2 3 7" xfId="17278"/>
    <cellStyle name="Note 5 2 3 8" xfId="17279"/>
    <cellStyle name="Note 5 2 3_DeltaViewer" xfId="17280"/>
    <cellStyle name="Note 5 2 4" xfId="17281"/>
    <cellStyle name="Note 5 2 4 2" xfId="17282"/>
    <cellStyle name="Note 5 2 4 2 2" xfId="17283"/>
    <cellStyle name="Note 5 2 4 2 3" xfId="17284"/>
    <cellStyle name="Note 5 2 4 2 4" xfId="17285"/>
    <cellStyle name="Note 5 2 4 2 5" xfId="17286"/>
    <cellStyle name="Note 5 2 4 2 6" xfId="17287"/>
    <cellStyle name="Note 5 2 4 2_DeltaViewer" xfId="17288"/>
    <cellStyle name="Note 5 2 4 3" xfId="17289"/>
    <cellStyle name="Note 5 2 4 4" xfId="17290"/>
    <cellStyle name="Note 5 2 4 5" xfId="17291"/>
    <cellStyle name="Note 5 2 4 6" xfId="17292"/>
    <cellStyle name="Note 5 2 4 7" xfId="17293"/>
    <cellStyle name="Note 5 2 4_DeltaViewer" xfId="17294"/>
    <cellStyle name="Note 5 2 5" xfId="17295"/>
    <cellStyle name="Note 5 2 5 2" xfId="17296"/>
    <cellStyle name="Note 5 2 5 2 2" xfId="17297"/>
    <cellStyle name="Note 5 2 5 2 3" xfId="17298"/>
    <cellStyle name="Note 5 2 5 2 4" xfId="17299"/>
    <cellStyle name="Note 5 2 5 2 5" xfId="17300"/>
    <cellStyle name="Note 5 2 5 2 6" xfId="17301"/>
    <cellStyle name="Note 5 2 5 2_DeltaViewer" xfId="17302"/>
    <cellStyle name="Note 5 2 5 3" xfId="17303"/>
    <cellStyle name="Note 5 2 5 4" xfId="17304"/>
    <cellStyle name="Note 5 2 5 5" xfId="17305"/>
    <cellStyle name="Note 5 2 5 6" xfId="17306"/>
    <cellStyle name="Note 5 2 5 7" xfId="17307"/>
    <cellStyle name="Note 5 2 5_DeltaViewer" xfId="17308"/>
    <cellStyle name="Note 5 2 6" xfId="17309"/>
    <cellStyle name="Note 5 2 6 2" xfId="17310"/>
    <cellStyle name="Note 5 2 6 3" xfId="17311"/>
    <cellStyle name="Note 5 2 6 4" xfId="17312"/>
    <cellStyle name="Note 5 2 6 5" xfId="17313"/>
    <cellStyle name="Note 5 2 6 6" xfId="17314"/>
    <cellStyle name="Note 5 2 6_DeltaViewer" xfId="17315"/>
    <cellStyle name="Note 5 2 7" xfId="17316"/>
    <cellStyle name="Note 5 2 8" xfId="17317"/>
    <cellStyle name="Note 5 2 9" xfId="17318"/>
    <cellStyle name="Note 5 2_DeltaViewer" xfId="17319"/>
    <cellStyle name="Note 5 20" xfId="17320"/>
    <cellStyle name="Note 5 20 2" xfId="17321"/>
    <cellStyle name="Note 5 20 2 2" xfId="17322"/>
    <cellStyle name="Note 5 20 2 3" xfId="17323"/>
    <cellStyle name="Note 5 20 2 4" xfId="17324"/>
    <cellStyle name="Note 5 20 2 5" xfId="17325"/>
    <cellStyle name="Note 5 20 2 6" xfId="17326"/>
    <cellStyle name="Note 5 20 2_DeltaViewer" xfId="17327"/>
    <cellStyle name="Note 5 20 3" xfId="17328"/>
    <cellStyle name="Note 5 20 4" xfId="17329"/>
    <cellStyle name="Note 5 20 5" xfId="17330"/>
    <cellStyle name="Note 5 20 6" xfId="17331"/>
    <cellStyle name="Note 5 20 7" xfId="17332"/>
    <cellStyle name="Note 5 20_DeltaViewer" xfId="17333"/>
    <cellStyle name="Note 5 21" xfId="17334"/>
    <cellStyle name="Note 5 21 2" xfId="17335"/>
    <cellStyle name="Note 5 21 3" xfId="17336"/>
    <cellStyle name="Note 5 21 4" xfId="17337"/>
    <cellStyle name="Note 5 21 5" xfId="17338"/>
    <cellStyle name="Note 5 21 6" xfId="17339"/>
    <cellStyle name="Note 5 21_DeltaViewer" xfId="17340"/>
    <cellStyle name="Note 5 22" xfId="17341"/>
    <cellStyle name="Note 5 23" xfId="17342"/>
    <cellStyle name="Note 5 24" xfId="17343"/>
    <cellStyle name="Note 5 25" xfId="17344"/>
    <cellStyle name="Note 5 26" xfId="17345"/>
    <cellStyle name="Note 5 3" xfId="17346"/>
    <cellStyle name="Note 5 3 10" xfId="17347"/>
    <cellStyle name="Note 5 3 11" xfId="17348"/>
    <cellStyle name="Note 5 3 12" xfId="17349"/>
    <cellStyle name="Note 5 3 13" xfId="17350"/>
    <cellStyle name="Note 5 3 2" xfId="17351"/>
    <cellStyle name="Note 5 3 2 10" xfId="17352"/>
    <cellStyle name="Note 5 3 2 11" xfId="17353"/>
    <cellStyle name="Note 5 3 2 2" xfId="17354"/>
    <cellStyle name="Note 5 3 2 2 2" xfId="17355"/>
    <cellStyle name="Note 5 3 2 2 2 2" xfId="17356"/>
    <cellStyle name="Note 5 3 2 2 2 2 2" xfId="17357"/>
    <cellStyle name="Note 5 3 2 2 2 2 3" xfId="17358"/>
    <cellStyle name="Note 5 3 2 2 2 2 4" xfId="17359"/>
    <cellStyle name="Note 5 3 2 2 2 2 5" xfId="17360"/>
    <cellStyle name="Note 5 3 2 2 2 2 6" xfId="17361"/>
    <cellStyle name="Note 5 3 2 2 2 2_DeltaViewer" xfId="17362"/>
    <cellStyle name="Note 5 3 2 2 2 3" xfId="17363"/>
    <cellStyle name="Note 5 3 2 2 2 4" xfId="17364"/>
    <cellStyle name="Note 5 3 2 2 2 5" xfId="17365"/>
    <cellStyle name="Note 5 3 2 2 2 6" xfId="17366"/>
    <cellStyle name="Note 5 3 2 2 2 7" xfId="17367"/>
    <cellStyle name="Note 5 3 2 2 2_DeltaViewer" xfId="17368"/>
    <cellStyle name="Note 5 3 2 2 3" xfId="17369"/>
    <cellStyle name="Note 5 3 2 2 3 2" xfId="17370"/>
    <cellStyle name="Note 5 3 2 2 3 3" xfId="17371"/>
    <cellStyle name="Note 5 3 2 2 3 4" xfId="17372"/>
    <cellStyle name="Note 5 3 2 2 3 5" xfId="17373"/>
    <cellStyle name="Note 5 3 2 2 3 6" xfId="17374"/>
    <cellStyle name="Note 5 3 2 2 3_DeltaViewer" xfId="17375"/>
    <cellStyle name="Note 5 3 2 2 4" xfId="17376"/>
    <cellStyle name="Note 5 3 2 2 5" xfId="17377"/>
    <cellStyle name="Note 5 3 2 2 6" xfId="17378"/>
    <cellStyle name="Note 5 3 2 2 7" xfId="17379"/>
    <cellStyle name="Note 5 3 2 2 8" xfId="17380"/>
    <cellStyle name="Note 5 3 2 2_DeltaViewer" xfId="17381"/>
    <cellStyle name="Note 5 3 2 3" xfId="17382"/>
    <cellStyle name="Note 5 3 2 3 2" xfId="17383"/>
    <cellStyle name="Note 5 3 2 3 2 2" xfId="17384"/>
    <cellStyle name="Note 5 3 2 3 2 2 2" xfId="17385"/>
    <cellStyle name="Note 5 3 2 3 2 2 3" xfId="17386"/>
    <cellStyle name="Note 5 3 2 3 2 2 4" xfId="17387"/>
    <cellStyle name="Note 5 3 2 3 2 2 5" xfId="17388"/>
    <cellStyle name="Note 5 3 2 3 2 2 6" xfId="17389"/>
    <cellStyle name="Note 5 3 2 3 2 2_DeltaViewer" xfId="17390"/>
    <cellStyle name="Note 5 3 2 3 2 3" xfId="17391"/>
    <cellStyle name="Note 5 3 2 3 2 4" xfId="17392"/>
    <cellStyle name="Note 5 3 2 3 2 5" xfId="17393"/>
    <cellStyle name="Note 5 3 2 3 2 6" xfId="17394"/>
    <cellStyle name="Note 5 3 2 3 2 7" xfId="17395"/>
    <cellStyle name="Note 5 3 2 3 2_DeltaViewer" xfId="17396"/>
    <cellStyle name="Note 5 3 2 3 3" xfId="17397"/>
    <cellStyle name="Note 5 3 2 3 3 2" xfId="17398"/>
    <cellStyle name="Note 5 3 2 3 3 3" xfId="17399"/>
    <cellStyle name="Note 5 3 2 3 3 4" xfId="17400"/>
    <cellStyle name="Note 5 3 2 3 3 5" xfId="17401"/>
    <cellStyle name="Note 5 3 2 3 3 6" xfId="17402"/>
    <cellStyle name="Note 5 3 2 3 3_DeltaViewer" xfId="17403"/>
    <cellStyle name="Note 5 3 2 3 4" xfId="17404"/>
    <cellStyle name="Note 5 3 2 3 5" xfId="17405"/>
    <cellStyle name="Note 5 3 2 3 6" xfId="17406"/>
    <cellStyle name="Note 5 3 2 3 7" xfId="17407"/>
    <cellStyle name="Note 5 3 2 3 8" xfId="17408"/>
    <cellStyle name="Note 5 3 2 3_DeltaViewer" xfId="17409"/>
    <cellStyle name="Note 5 3 2 4" xfId="17410"/>
    <cellStyle name="Note 5 3 2 4 2" xfId="17411"/>
    <cellStyle name="Note 5 3 2 4 2 2" xfId="17412"/>
    <cellStyle name="Note 5 3 2 4 2 3" xfId="17413"/>
    <cellStyle name="Note 5 3 2 4 2 4" xfId="17414"/>
    <cellStyle name="Note 5 3 2 4 2 5" xfId="17415"/>
    <cellStyle name="Note 5 3 2 4 2 6" xfId="17416"/>
    <cellStyle name="Note 5 3 2 4 2_DeltaViewer" xfId="17417"/>
    <cellStyle name="Note 5 3 2 4 3" xfId="17418"/>
    <cellStyle name="Note 5 3 2 4 4" xfId="17419"/>
    <cellStyle name="Note 5 3 2 4 5" xfId="17420"/>
    <cellStyle name="Note 5 3 2 4 6" xfId="17421"/>
    <cellStyle name="Note 5 3 2 4 7" xfId="17422"/>
    <cellStyle name="Note 5 3 2 4_DeltaViewer" xfId="17423"/>
    <cellStyle name="Note 5 3 2 5" xfId="17424"/>
    <cellStyle name="Note 5 3 2 5 2" xfId="17425"/>
    <cellStyle name="Note 5 3 2 5 2 2" xfId="17426"/>
    <cellStyle name="Note 5 3 2 5 2 3" xfId="17427"/>
    <cellStyle name="Note 5 3 2 5 2 4" xfId="17428"/>
    <cellStyle name="Note 5 3 2 5 2 5" xfId="17429"/>
    <cellStyle name="Note 5 3 2 5 2 6" xfId="17430"/>
    <cellStyle name="Note 5 3 2 5 2_DeltaViewer" xfId="17431"/>
    <cellStyle name="Note 5 3 2 5 3" xfId="17432"/>
    <cellStyle name="Note 5 3 2 5 4" xfId="17433"/>
    <cellStyle name="Note 5 3 2 5 5" xfId="17434"/>
    <cellStyle name="Note 5 3 2 5 6" xfId="17435"/>
    <cellStyle name="Note 5 3 2 5 7" xfId="17436"/>
    <cellStyle name="Note 5 3 2 5_DeltaViewer" xfId="17437"/>
    <cellStyle name="Note 5 3 2 6" xfId="17438"/>
    <cellStyle name="Note 5 3 2 6 2" xfId="17439"/>
    <cellStyle name="Note 5 3 2 6 3" xfId="17440"/>
    <cellStyle name="Note 5 3 2 6 4" xfId="17441"/>
    <cellStyle name="Note 5 3 2 6 5" xfId="17442"/>
    <cellStyle name="Note 5 3 2 6 6" xfId="17443"/>
    <cellStyle name="Note 5 3 2 6_DeltaViewer" xfId="17444"/>
    <cellStyle name="Note 5 3 2 7" xfId="17445"/>
    <cellStyle name="Note 5 3 2 8" xfId="17446"/>
    <cellStyle name="Note 5 3 2 9" xfId="17447"/>
    <cellStyle name="Note 5 3 2_DeltaViewer" xfId="17448"/>
    <cellStyle name="Note 5 3 3" xfId="17449"/>
    <cellStyle name="Note 5 3 3 2" xfId="17450"/>
    <cellStyle name="Note 5 3 3 2 2" xfId="17451"/>
    <cellStyle name="Note 5 3 3 2 2 2" xfId="17452"/>
    <cellStyle name="Note 5 3 3 2 2 3" xfId="17453"/>
    <cellStyle name="Note 5 3 3 2 2 4" xfId="17454"/>
    <cellStyle name="Note 5 3 3 2 2 5" xfId="17455"/>
    <cellStyle name="Note 5 3 3 2 2 6" xfId="17456"/>
    <cellStyle name="Note 5 3 3 2 2_DeltaViewer" xfId="17457"/>
    <cellStyle name="Note 5 3 3 2 3" xfId="17458"/>
    <cellStyle name="Note 5 3 3 2 4" xfId="17459"/>
    <cellStyle name="Note 5 3 3 2 5" xfId="17460"/>
    <cellStyle name="Note 5 3 3 2 6" xfId="17461"/>
    <cellStyle name="Note 5 3 3 2 7" xfId="17462"/>
    <cellStyle name="Note 5 3 3 2_DeltaViewer" xfId="17463"/>
    <cellStyle name="Note 5 3 3 3" xfId="17464"/>
    <cellStyle name="Note 5 3 3 3 2" xfId="17465"/>
    <cellStyle name="Note 5 3 3 3 2 2" xfId="17466"/>
    <cellStyle name="Note 5 3 3 3 2 3" xfId="17467"/>
    <cellStyle name="Note 5 3 3 3 2 4" xfId="17468"/>
    <cellStyle name="Note 5 3 3 3 2 5" xfId="17469"/>
    <cellStyle name="Note 5 3 3 3 2 6" xfId="17470"/>
    <cellStyle name="Note 5 3 3 3 2_DeltaViewer" xfId="17471"/>
    <cellStyle name="Note 5 3 3 3 3" xfId="17472"/>
    <cellStyle name="Note 5 3 3 3 4" xfId="17473"/>
    <cellStyle name="Note 5 3 3 3 5" xfId="17474"/>
    <cellStyle name="Note 5 3 3 3 6" xfId="17475"/>
    <cellStyle name="Note 5 3 3 3 7" xfId="17476"/>
    <cellStyle name="Note 5 3 3 3_DeltaViewer" xfId="17477"/>
    <cellStyle name="Note 5 3 3 4" xfId="17478"/>
    <cellStyle name="Note 5 3 3 4 2" xfId="17479"/>
    <cellStyle name="Note 5 3 3 4 3" xfId="17480"/>
    <cellStyle name="Note 5 3 3 4 4" xfId="17481"/>
    <cellStyle name="Note 5 3 3 4 5" xfId="17482"/>
    <cellStyle name="Note 5 3 3 4 6" xfId="17483"/>
    <cellStyle name="Note 5 3 3 4_DeltaViewer" xfId="17484"/>
    <cellStyle name="Note 5 3 3 5" xfId="17485"/>
    <cellStyle name="Note 5 3 3 6" xfId="17486"/>
    <cellStyle name="Note 5 3 3 7" xfId="17487"/>
    <cellStyle name="Note 5 3 3 8" xfId="17488"/>
    <cellStyle name="Note 5 3 3 9" xfId="17489"/>
    <cellStyle name="Note 5 3 3_DeltaViewer" xfId="17490"/>
    <cellStyle name="Note 5 3 4" xfId="17491"/>
    <cellStyle name="Note 5 3 4 2" xfId="17492"/>
    <cellStyle name="Note 5 3 4 2 2" xfId="17493"/>
    <cellStyle name="Note 5 3 4 2 2 2" xfId="17494"/>
    <cellStyle name="Note 5 3 4 2 2 3" xfId="17495"/>
    <cellStyle name="Note 5 3 4 2 2 4" xfId="17496"/>
    <cellStyle name="Note 5 3 4 2 2 5" xfId="17497"/>
    <cellStyle name="Note 5 3 4 2 2 6" xfId="17498"/>
    <cellStyle name="Note 5 3 4 2 2_DeltaViewer" xfId="17499"/>
    <cellStyle name="Note 5 3 4 2 3" xfId="17500"/>
    <cellStyle name="Note 5 3 4 2 4" xfId="17501"/>
    <cellStyle name="Note 5 3 4 2 5" xfId="17502"/>
    <cellStyle name="Note 5 3 4 2 6" xfId="17503"/>
    <cellStyle name="Note 5 3 4 2 7" xfId="17504"/>
    <cellStyle name="Note 5 3 4 2_DeltaViewer" xfId="17505"/>
    <cellStyle name="Note 5 3 4 3" xfId="17506"/>
    <cellStyle name="Note 5 3 4 3 2" xfId="17507"/>
    <cellStyle name="Note 5 3 4 3 2 2" xfId="17508"/>
    <cellStyle name="Note 5 3 4 3 2 3" xfId="17509"/>
    <cellStyle name="Note 5 3 4 3 2 4" xfId="17510"/>
    <cellStyle name="Note 5 3 4 3 2 5" xfId="17511"/>
    <cellStyle name="Note 5 3 4 3 2 6" xfId="17512"/>
    <cellStyle name="Note 5 3 4 3 2_DeltaViewer" xfId="17513"/>
    <cellStyle name="Note 5 3 4 3 3" xfId="17514"/>
    <cellStyle name="Note 5 3 4 3 4" xfId="17515"/>
    <cellStyle name="Note 5 3 4 3 5" xfId="17516"/>
    <cellStyle name="Note 5 3 4 3 6" xfId="17517"/>
    <cellStyle name="Note 5 3 4 3 7" xfId="17518"/>
    <cellStyle name="Note 5 3 4 3_DeltaViewer" xfId="17519"/>
    <cellStyle name="Note 5 3 4 4" xfId="17520"/>
    <cellStyle name="Note 5 3 4 4 2" xfId="17521"/>
    <cellStyle name="Note 5 3 4 4 3" xfId="17522"/>
    <cellStyle name="Note 5 3 4 4 4" xfId="17523"/>
    <cellStyle name="Note 5 3 4 4 5" xfId="17524"/>
    <cellStyle name="Note 5 3 4 4 6" xfId="17525"/>
    <cellStyle name="Note 5 3 4 4_DeltaViewer" xfId="17526"/>
    <cellStyle name="Note 5 3 4 5" xfId="17527"/>
    <cellStyle name="Note 5 3 4 6" xfId="17528"/>
    <cellStyle name="Note 5 3 4 7" xfId="17529"/>
    <cellStyle name="Note 5 3 4 8" xfId="17530"/>
    <cellStyle name="Note 5 3 4 9" xfId="17531"/>
    <cellStyle name="Note 5 3 4_DeltaViewer" xfId="17532"/>
    <cellStyle name="Note 5 3 5" xfId="17533"/>
    <cellStyle name="Note 5 3 5 2" xfId="17534"/>
    <cellStyle name="Note 5 3 5 2 2" xfId="17535"/>
    <cellStyle name="Note 5 3 5 2 3" xfId="17536"/>
    <cellStyle name="Note 5 3 5 2 4" xfId="17537"/>
    <cellStyle name="Note 5 3 5 2 5" xfId="17538"/>
    <cellStyle name="Note 5 3 5 2 6" xfId="17539"/>
    <cellStyle name="Note 5 3 5 2_DeltaViewer" xfId="17540"/>
    <cellStyle name="Note 5 3 5 3" xfId="17541"/>
    <cellStyle name="Note 5 3 5 4" xfId="17542"/>
    <cellStyle name="Note 5 3 5 5" xfId="17543"/>
    <cellStyle name="Note 5 3 5 6" xfId="17544"/>
    <cellStyle name="Note 5 3 5 7" xfId="17545"/>
    <cellStyle name="Note 5 3 5_DeltaViewer" xfId="17546"/>
    <cellStyle name="Note 5 3 6" xfId="17547"/>
    <cellStyle name="Note 5 3 6 2" xfId="17548"/>
    <cellStyle name="Note 5 3 6 2 2" xfId="17549"/>
    <cellStyle name="Note 5 3 6 2 3" xfId="17550"/>
    <cellStyle name="Note 5 3 6 2 4" xfId="17551"/>
    <cellStyle name="Note 5 3 6 2 5" xfId="17552"/>
    <cellStyle name="Note 5 3 6 2 6" xfId="17553"/>
    <cellStyle name="Note 5 3 6 2_DeltaViewer" xfId="17554"/>
    <cellStyle name="Note 5 3 6 3" xfId="17555"/>
    <cellStyle name="Note 5 3 6 4" xfId="17556"/>
    <cellStyle name="Note 5 3 6 5" xfId="17557"/>
    <cellStyle name="Note 5 3 6 6" xfId="17558"/>
    <cellStyle name="Note 5 3 6 7" xfId="17559"/>
    <cellStyle name="Note 5 3 6_DeltaViewer" xfId="17560"/>
    <cellStyle name="Note 5 3 7" xfId="17561"/>
    <cellStyle name="Note 5 3 7 2" xfId="17562"/>
    <cellStyle name="Note 5 3 7 2 2" xfId="17563"/>
    <cellStyle name="Note 5 3 7 2 3" xfId="17564"/>
    <cellStyle name="Note 5 3 7 2 4" xfId="17565"/>
    <cellStyle name="Note 5 3 7 2 5" xfId="17566"/>
    <cellStyle name="Note 5 3 7 2 6" xfId="17567"/>
    <cellStyle name="Note 5 3 7 2_DeltaViewer" xfId="17568"/>
    <cellStyle name="Note 5 3 7 3" xfId="17569"/>
    <cellStyle name="Note 5 3 7 4" xfId="17570"/>
    <cellStyle name="Note 5 3 7 5" xfId="17571"/>
    <cellStyle name="Note 5 3 7 6" xfId="17572"/>
    <cellStyle name="Note 5 3 7 7" xfId="17573"/>
    <cellStyle name="Note 5 3 7_DeltaViewer" xfId="17574"/>
    <cellStyle name="Note 5 3 8" xfId="17575"/>
    <cellStyle name="Note 5 3 8 2" xfId="17576"/>
    <cellStyle name="Note 5 3 8 3" xfId="17577"/>
    <cellStyle name="Note 5 3 8 4" xfId="17578"/>
    <cellStyle name="Note 5 3 8 5" xfId="17579"/>
    <cellStyle name="Note 5 3 8 6" xfId="17580"/>
    <cellStyle name="Note 5 3 8_DeltaViewer" xfId="17581"/>
    <cellStyle name="Note 5 3 9" xfId="17582"/>
    <cellStyle name="Note 5 3_DeltaViewer" xfId="17583"/>
    <cellStyle name="Note 5 4" xfId="17584"/>
    <cellStyle name="Note 5 4 10" xfId="17585"/>
    <cellStyle name="Note 5 4 11" xfId="17586"/>
    <cellStyle name="Note 5 4 12" xfId="17587"/>
    <cellStyle name="Note 5 4 13" xfId="17588"/>
    <cellStyle name="Note 5 4 2" xfId="17589"/>
    <cellStyle name="Note 5 4 2 10" xfId="17590"/>
    <cellStyle name="Note 5 4 2 11" xfId="17591"/>
    <cellStyle name="Note 5 4 2 2" xfId="17592"/>
    <cellStyle name="Note 5 4 2 2 2" xfId="17593"/>
    <cellStyle name="Note 5 4 2 2 2 2" xfId="17594"/>
    <cellStyle name="Note 5 4 2 2 2 2 2" xfId="17595"/>
    <cellStyle name="Note 5 4 2 2 2 2 3" xfId="17596"/>
    <cellStyle name="Note 5 4 2 2 2 2 4" xfId="17597"/>
    <cellStyle name="Note 5 4 2 2 2 2 5" xfId="17598"/>
    <cellStyle name="Note 5 4 2 2 2 2 6" xfId="17599"/>
    <cellStyle name="Note 5 4 2 2 2 2_DeltaViewer" xfId="17600"/>
    <cellStyle name="Note 5 4 2 2 2 3" xfId="17601"/>
    <cellStyle name="Note 5 4 2 2 2 4" xfId="17602"/>
    <cellStyle name="Note 5 4 2 2 2 5" xfId="17603"/>
    <cellStyle name="Note 5 4 2 2 2 6" xfId="17604"/>
    <cellStyle name="Note 5 4 2 2 2 7" xfId="17605"/>
    <cellStyle name="Note 5 4 2 2 2_DeltaViewer" xfId="17606"/>
    <cellStyle name="Note 5 4 2 2 3" xfId="17607"/>
    <cellStyle name="Note 5 4 2 2 3 2" xfId="17608"/>
    <cellStyle name="Note 5 4 2 2 3 3" xfId="17609"/>
    <cellStyle name="Note 5 4 2 2 3 4" xfId="17610"/>
    <cellStyle name="Note 5 4 2 2 3 5" xfId="17611"/>
    <cellStyle name="Note 5 4 2 2 3 6" xfId="17612"/>
    <cellStyle name="Note 5 4 2 2 3_DeltaViewer" xfId="17613"/>
    <cellStyle name="Note 5 4 2 2 4" xfId="17614"/>
    <cellStyle name="Note 5 4 2 2 5" xfId="17615"/>
    <cellStyle name="Note 5 4 2 2 6" xfId="17616"/>
    <cellStyle name="Note 5 4 2 2 7" xfId="17617"/>
    <cellStyle name="Note 5 4 2 2 8" xfId="17618"/>
    <cellStyle name="Note 5 4 2 2_DeltaViewer" xfId="17619"/>
    <cellStyle name="Note 5 4 2 3" xfId="17620"/>
    <cellStyle name="Note 5 4 2 3 2" xfId="17621"/>
    <cellStyle name="Note 5 4 2 3 2 2" xfId="17622"/>
    <cellStyle name="Note 5 4 2 3 2 2 2" xfId="17623"/>
    <cellStyle name="Note 5 4 2 3 2 2 3" xfId="17624"/>
    <cellStyle name="Note 5 4 2 3 2 2 4" xfId="17625"/>
    <cellStyle name="Note 5 4 2 3 2 2 5" xfId="17626"/>
    <cellStyle name="Note 5 4 2 3 2 2 6" xfId="17627"/>
    <cellStyle name="Note 5 4 2 3 2 2_DeltaViewer" xfId="17628"/>
    <cellStyle name="Note 5 4 2 3 2 3" xfId="17629"/>
    <cellStyle name="Note 5 4 2 3 2 4" xfId="17630"/>
    <cellStyle name="Note 5 4 2 3 2 5" xfId="17631"/>
    <cellStyle name="Note 5 4 2 3 2 6" xfId="17632"/>
    <cellStyle name="Note 5 4 2 3 2 7" xfId="17633"/>
    <cellStyle name="Note 5 4 2 3 2_DeltaViewer" xfId="17634"/>
    <cellStyle name="Note 5 4 2 3 3" xfId="17635"/>
    <cellStyle name="Note 5 4 2 3 3 2" xfId="17636"/>
    <cellStyle name="Note 5 4 2 3 3 3" xfId="17637"/>
    <cellStyle name="Note 5 4 2 3 3 4" xfId="17638"/>
    <cellStyle name="Note 5 4 2 3 3 5" xfId="17639"/>
    <cellStyle name="Note 5 4 2 3 3 6" xfId="17640"/>
    <cellStyle name="Note 5 4 2 3 3_DeltaViewer" xfId="17641"/>
    <cellStyle name="Note 5 4 2 3 4" xfId="17642"/>
    <cellStyle name="Note 5 4 2 3 5" xfId="17643"/>
    <cellStyle name="Note 5 4 2 3 6" xfId="17644"/>
    <cellStyle name="Note 5 4 2 3 7" xfId="17645"/>
    <cellStyle name="Note 5 4 2 3 8" xfId="17646"/>
    <cellStyle name="Note 5 4 2 3_DeltaViewer" xfId="17647"/>
    <cellStyle name="Note 5 4 2 4" xfId="17648"/>
    <cellStyle name="Note 5 4 2 4 2" xfId="17649"/>
    <cellStyle name="Note 5 4 2 4 2 2" xfId="17650"/>
    <cellStyle name="Note 5 4 2 4 2 3" xfId="17651"/>
    <cellStyle name="Note 5 4 2 4 2 4" xfId="17652"/>
    <cellStyle name="Note 5 4 2 4 2 5" xfId="17653"/>
    <cellStyle name="Note 5 4 2 4 2 6" xfId="17654"/>
    <cellStyle name="Note 5 4 2 4 2_DeltaViewer" xfId="17655"/>
    <cellStyle name="Note 5 4 2 4 3" xfId="17656"/>
    <cellStyle name="Note 5 4 2 4 4" xfId="17657"/>
    <cellStyle name="Note 5 4 2 4 5" xfId="17658"/>
    <cellStyle name="Note 5 4 2 4 6" xfId="17659"/>
    <cellStyle name="Note 5 4 2 4 7" xfId="17660"/>
    <cellStyle name="Note 5 4 2 4_DeltaViewer" xfId="17661"/>
    <cellStyle name="Note 5 4 2 5" xfId="17662"/>
    <cellStyle name="Note 5 4 2 5 2" xfId="17663"/>
    <cellStyle name="Note 5 4 2 5 2 2" xfId="17664"/>
    <cellStyle name="Note 5 4 2 5 2 3" xfId="17665"/>
    <cellStyle name="Note 5 4 2 5 2 4" xfId="17666"/>
    <cellStyle name="Note 5 4 2 5 2 5" xfId="17667"/>
    <cellStyle name="Note 5 4 2 5 2 6" xfId="17668"/>
    <cellStyle name="Note 5 4 2 5 2_DeltaViewer" xfId="17669"/>
    <cellStyle name="Note 5 4 2 5 3" xfId="17670"/>
    <cellStyle name="Note 5 4 2 5 4" xfId="17671"/>
    <cellStyle name="Note 5 4 2 5 5" xfId="17672"/>
    <cellStyle name="Note 5 4 2 5 6" xfId="17673"/>
    <cellStyle name="Note 5 4 2 5 7" xfId="17674"/>
    <cellStyle name="Note 5 4 2 5_DeltaViewer" xfId="17675"/>
    <cellStyle name="Note 5 4 2 6" xfId="17676"/>
    <cellStyle name="Note 5 4 2 6 2" xfId="17677"/>
    <cellStyle name="Note 5 4 2 6 3" xfId="17678"/>
    <cellStyle name="Note 5 4 2 6 4" xfId="17679"/>
    <cellStyle name="Note 5 4 2 6 5" xfId="17680"/>
    <cellStyle name="Note 5 4 2 6 6" xfId="17681"/>
    <cellStyle name="Note 5 4 2 6_DeltaViewer" xfId="17682"/>
    <cellStyle name="Note 5 4 2 7" xfId="17683"/>
    <cellStyle name="Note 5 4 2 8" xfId="17684"/>
    <cellStyle name="Note 5 4 2 9" xfId="17685"/>
    <cellStyle name="Note 5 4 2_DeltaViewer" xfId="17686"/>
    <cellStyle name="Note 5 4 3" xfId="17687"/>
    <cellStyle name="Note 5 4 3 2" xfId="17688"/>
    <cellStyle name="Note 5 4 3 2 2" xfId="17689"/>
    <cellStyle name="Note 5 4 3 2 2 2" xfId="17690"/>
    <cellStyle name="Note 5 4 3 2 2 3" xfId="17691"/>
    <cellStyle name="Note 5 4 3 2 2 4" xfId="17692"/>
    <cellStyle name="Note 5 4 3 2 2 5" xfId="17693"/>
    <cellStyle name="Note 5 4 3 2 2 6" xfId="17694"/>
    <cellStyle name="Note 5 4 3 2 2_DeltaViewer" xfId="17695"/>
    <cellStyle name="Note 5 4 3 2 3" xfId="17696"/>
    <cellStyle name="Note 5 4 3 2 4" xfId="17697"/>
    <cellStyle name="Note 5 4 3 2 5" xfId="17698"/>
    <cellStyle name="Note 5 4 3 2 6" xfId="17699"/>
    <cellStyle name="Note 5 4 3 2 7" xfId="17700"/>
    <cellStyle name="Note 5 4 3 2_DeltaViewer" xfId="17701"/>
    <cellStyle name="Note 5 4 3 3" xfId="17702"/>
    <cellStyle name="Note 5 4 3 3 2" xfId="17703"/>
    <cellStyle name="Note 5 4 3 3 2 2" xfId="17704"/>
    <cellStyle name="Note 5 4 3 3 2 3" xfId="17705"/>
    <cellStyle name="Note 5 4 3 3 2 4" xfId="17706"/>
    <cellStyle name="Note 5 4 3 3 2 5" xfId="17707"/>
    <cellStyle name="Note 5 4 3 3 2 6" xfId="17708"/>
    <cellStyle name="Note 5 4 3 3 2_DeltaViewer" xfId="17709"/>
    <cellStyle name="Note 5 4 3 3 3" xfId="17710"/>
    <cellStyle name="Note 5 4 3 3 4" xfId="17711"/>
    <cellStyle name="Note 5 4 3 3 5" xfId="17712"/>
    <cellStyle name="Note 5 4 3 3 6" xfId="17713"/>
    <cellStyle name="Note 5 4 3 3 7" xfId="17714"/>
    <cellStyle name="Note 5 4 3 3_DeltaViewer" xfId="17715"/>
    <cellStyle name="Note 5 4 3 4" xfId="17716"/>
    <cellStyle name="Note 5 4 3 4 2" xfId="17717"/>
    <cellStyle name="Note 5 4 3 4 3" xfId="17718"/>
    <cellStyle name="Note 5 4 3 4 4" xfId="17719"/>
    <cellStyle name="Note 5 4 3 4 5" xfId="17720"/>
    <cellStyle name="Note 5 4 3 4 6" xfId="17721"/>
    <cellStyle name="Note 5 4 3 4_DeltaViewer" xfId="17722"/>
    <cellStyle name="Note 5 4 3 5" xfId="17723"/>
    <cellStyle name="Note 5 4 3 6" xfId="17724"/>
    <cellStyle name="Note 5 4 3 7" xfId="17725"/>
    <cellStyle name="Note 5 4 3 8" xfId="17726"/>
    <cellStyle name="Note 5 4 3 9" xfId="17727"/>
    <cellStyle name="Note 5 4 3_DeltaViewer" xfId="17728"/>
    <cellStyle name="Note 5 4 4" xfId="17729"/>
    <cellStyle name="Note 5 4 4 2" xfId="17730"/>
    <cellStyle name="Note 5 4 4 2 2" xfId="17731"/>
    <cellStyle name="Note 5 4 4 2 2 2" xfId="17732"/>
    <cellStyle name="Note 5 4 4 2 2 3" xfId="17733"/>
    <cellStyle name="Note 5 4 4 2 2 4" xfId="17734"/>
    <cellStyle name="Note 5 4 4 2 2 5" xfId="17735"/>
    <cellStyle name="Note 5 4 4 2 2 6" xfId="17736"/>
    <cellStyle name="Note 5 4 4 2 2_DeltaViewer" xfId="17737"/>
    <cellStyle name="Note 5 4 4 2 3" xfId="17738"/>
    <cellStyle name="Note 5 4 4 2 4" xfId="17739"/>
    <cellStyle name="Note 5 4 4 2 5" xfId="17740"/>
    <cellStyle name="Note 5 4 4 2 6" xfId="17741"/>
    <cellStyle name="Note 5 4 4 2 7" xfId="17742"/>
    <cellStyle name="Note 5 4 4 2_DeltaViewer" xfId="17743"/>
    <cellStyle name="Note 5 4 4 3" xfId="17744"/>
    <cellStyle name="Note 5 4 4 3 2" xfId="17745"/>
    <cellStyle name="Note 5 4 4 3 2 2" xfId="17746"/>
    <cellStyle name="Note 5 4 4 3 2 3" xfId="17747"/>
    <cellStyle name="Note 5 4 4 3 2 4" xfId="17748"/>
    <cellStyle name="Note 5 4 4 3 2 5" xfId="17749"/>
    <cellStyle name="Note 5 4 4 3 2 6" xfId="17750"/>
    <cellStyle name="Note 5 4 4 3 2_DeltaViewer" xfId="17751"/>
    <cellStyle name="Note 5 4 4 3 3" xfId="17752"/>
    <cellStyle name="Note 5 4 4 3 4" xfId="17753"/>
    <cellStyle name="Note 5 4 4 3 5" xfId="17754"/>
    <cellStyle name="Note 5 4 4 3 6" xfId="17755"/>
    <cellStyle name="Note 5 4 4 3 7" xfId="17756"/>
    <cellStyle name="Note 5 4 4 3_DeltaViewer" xfId="17757"/>
    <cellStyle name="Note 5 4 4 4" xfId="17758"/>
    <cellStyle name="Note 5 4 4 4 2" xfId="17759"/>
    <cellStyle name="Note 5 4 4 4 3" xfId="17760"/>
    <cellStyle name="Note 5 4 4 4 4" xfId="17761"/>
    <cellStyle name="Note 5 4 4 4 5" xfId="17762"/>
    <cellStyle name="Note 5 4 4 4 6" xfId="17763"/>
    <cellStyle name="Note 5 4 4 4_DeltaViewer" xfId="17764"/>
    <cellStyle name="Note 5 4 4 5" xfId="17765"/>
    <cellStyle name="Note 5 4 4 6" xfId="17766"/>
    <cellStyle name="Note 5 4 4 7" xfId="17767"/>
    <cellStyle name="Note 5 4 4 8" xfId="17768"/>
    <cellStyle name="Note 5 4 4 9" xfId="17769"/>
    <cellStyle name="Note 5 4 4_DeltaViewer" xfId="17770"/>
    <cellStyle name="Note 5 4 5" xfId="17771"/>
    <cellStyle name="Note 5 4 5 2" xfId="17772"/>
    <cellStyle name="Note 5 4 5 2 2" xfId="17773"/>
    <cellStyle name="Note 5 4 5 2 3" xfId="17774"/>
    <cellStyle name="Note 5 4 5 2 4" xfId="17775"/>
    <cellStyle name="Note 5 4 5 2 5" xfId="17776"/>
    <cellStyle name="Note 5 4 5 2 6" xfId="17777"/>
    <cellStyle name="Note 5 4 5 2_DeltaViewer" xfId="17778"/>
    <cellStyle name="Note 5 4 5 3" xfId="17779"/>
    <cellStyle name="Note 5 4 5 4" xfId="17780"/>
    <cellStyle name="Note 5 4 5 5" xfId="17781"/>
    <cellStyle name="Note 5 4 5 6" xfId="17782"/>
    <cellStyle name="Note 5 4 5 7" xfId="17783"/>
    <cellStyle name="Note 5 4 5_DeltaViewer" xfId="17784"/>
    <cellStyle name="Note 5 4 6" xfId="17785"/>
    <cellStyle name="Note 5 4 6 2" xfId="17786"/>
    <cellStyle name="Note 5 4 6 2 2" xfId="17787"/>
    <cellStyle name="Note 5 4 6 2 3" xfId="17788"/>
    <cellStyle name="Note 5 4 6 2 4" xfId="17789"/>
    <cellStyle name="Note 5 4 6 2 5" xfId="17790"/>
    <cellStyle name="Note 5 4 6 2 6" xfId="17791"/>
    <cellStyle name="Note 5 4 6 2_DeltaViewer" xfId="17792"/>
    <cellStyle name="Note 5 4 6 3" xfId="17793"/>
    <cellStyle name="Note 5 4 6 4" xfId="17794"/>
    <cellStyle name="Note 5 4 6 5" xfId="17795"/>
    <cellStyle name="Note 5 4 6 6" xfId="17796"/>
    <cellStyle name="Note 5 4 6 7" xfId="17797"/>
    <cellStyle name="Note 5 4 6_DeltaViewer" xfId="17798"/>
    <cellStyle name="Note 5 4 7" xfId="17799"/>
    <cellStyle name="Note 5 4 7 2" xfId="17800"/>
    <cellStyle name="Note 5 4 7 2 2" xfId="17801"/>
    <cellStyle name="Note 5 4 7 2 3" xfId="17802"/>
    <cellStyle name="Note 5 4 7 2 4" xfId="17803"/>
    <cellStyle name="Note 5 4 7 2 5" xfId="17804"/>
    <cellStyle name="Note 5 4 7 2 6" xfId="17805"/>
    <cellStyle name="Note 5 4 7 2_DeltaViewer" xfId="17806"/>
    <cellStyle name="Note 5 4 7 3" xfId="17807"/>
    <cellStyle name="Note 5 4 7 4" xfId="17808"/>
    <cellStyle name="Note 5 4 7 5" xfId="17809"/>
    <cellStyle name="Note 5 4 7 6" xfId="17810"/>
    <cellStyle name="Note 5 4 7 7" xfId="17811"/>
    <cellStyle name="Note 5 4 7_DeltaViewer" xfId="17812"/>
    <cellStyle name="Note 5 4 8" xfId="17813"/>
    <cellStyle name="Note 5 4 8 2" xfId="17814"/>
    <cellStyle name="Note 5 4 8 3" xfId="17815"/>
    <cellStyle name="Note 5 4 8 4" xfId="17816"/>
    <cellStyle name="Note 5 4 8 5" xfId="17817"/>
    <cellStyle name="Note 5 4 8 6" xfId="17818"/>
    <cellStyle name="Note 5 4 8_DeltaViewer" xfId="17819"/>
    <cellStyle name="Note 5 4 9" xfId="17820"/>
    <cellStyle name="Note 5 4_DeltaViewer" xfId="17821"/>
    <cellStyle name="Note 5 5" xfId="17822"/>
    <cellStyle name="Note 5 5 10" xfId="17823"/>
    <cellStyle name="Note 5 5 11" xfId="17824"/>
    <cellStyle name="Note 5 5 12" xfId="17825"/>
    <cellStyle name="Note 5 5 2" xfId="17826"/>
    <cellStyle name="Note 5 5 2 10" xfId="17827"/>
    <cellStyle name="Note 5 5 2 11" xfId="17828"/>
    <cellStyle name="Note 5 5 2 2" xfId="17829"/>
    <cellStyle name="Note 5 5 2 2 2" xfId="17830"/>
    <cellStyle name="Note 5 5 2 2 2 2" xfId="17831"/>
    <cellStyle name="Note 5 5 2 2 2 2 2" xfId="17832"/>
    <cellStyle name="Note 5 5 2 2 2 2 3" xfId="17833"/>
    <cellStyle name="Note 5 5 2 2 2 2 4" xfId="17834"/>
    <cellStyle name="Note 5 5 2 2 2 2 5" xfId="17835"/>
    <cellStyle name="Note 5 5 2 2 2 2 6" xfId="17836"/>
    <cellStyle name="Note 5 5 2 2 2 2_DeltaViewer" xfId="17837"/>
    <cellStyle name="Note 5 5 2 2 2 3" xfId="17838"/>
    <cellStyle name="Note 5 5 2 2 2 4" xfId="17839"/>
    <cellStyle name="Note 5 5 2 2 2 5" xfId="17840"/>
    <cellStyle name="Note 5 5 2 2 2 6" xfId="17841"/>
    <cellStyle name="Note 5 5 2 2 2 7" xfId="17842"/>
    <cellStyle name="Note 5 5 2 2 2_DeltaViewer" xfId="17843"/>
    <cellStyle name="Note 5 5 2 2 3" xfId="17844"/>
    <cellStyle name="Note 5 5 2 2 3 2" xfId="17845"/>
    <cellStyle name="Note 5 5 2 2 3 3" xfId="17846"/>
    <cellStyle name="Note 5 5 2 2 3 4" xfId="17847"/>
    <cellStyle name="Note 5 5 2 2 3 5" xfId="17848"/>
    <cellStyle name="Note 5 5 2 2 3 6" xfId="17849"/>
    <cellStyle name="Note 5 5 2 2 3_DeltaViewer" xfId="17850"/>
    <cellStyle name="Note 5 5 2 2 4" xfId="17851"/>
    <cellStyle name="Note 5 5 2 2 5" xfId="17852"/>
    <cellStyle name="Note 5 5 2 2 6" xfId="17853"/>
    <cellStyle name="Note 5 5 2 2 7" xfId="17854"/>
    <cellStyle name="Note 5 5 2 2 8" xfId="17855"/>
    <cellStyle name="Note 5 5 2 2_DeltaViewer" xfId="17856"/>
    <cellStyle name="Note 5 5 2 3" xfId="17857"/>
    <cellStyle name="Note 5 5 2 3 2" xfId="17858"/>
    <cellStyle name="Note 5 5 2 3 2 2" xfId="17859"/>
    <cellStyle name="Note 5 5 2 3 2 2 2" xfId="17860"/>
    <cellStyle name="Note 5 5 2 3 2 2 3" xfId="17861"/>
    <cellStyle name="Note 5 5 2 3 2 2 4" xfId="17862"/>
    <cellStyle name="Note 5 5 2 3 2 2 5" xfId="17863"/>
    <cellStyle name="Note 5 5 2 3 2 2 6" xfId="17864"/>
    <cellStyle name="Note 5 5 2 3 2 2_DeltaViewer" xfId="17865"/>
    <cellStyle name="Note 5 5 2 3 2 3" xfId="17866"/>
    <cellStyle name="Note 5 5 2 3 2 4" xfId="17867"/>
    <cellStyle name="Note 5 5 2 3 2 5" xfId="17868"/>
    <cellStyle name="Note 5 5 2 3 2 6" xfId="17869"/>
    <cellStyle name="Note 5 5 2 3 2 7" xfId="17870"/>
    <cellStyle name="Note 5 5 2 3 2_DeltaViewer" xfId="17871"/>
    <cellStyle name="Note 5 5 2 3 3" xfId="17872"/>
    <cellStyle name="Note 5 5 2 3 3 2" xfId="17873"/>
    <cellStyle name="Note 5 5 2 3 3 3" xfId="17874"/>
    <cellStyle name="Note 5 5 2 3 3 4" xfId="17875"/>
    <cellStyle name="Note 5 5 2 3 3 5" xfId="17876"/>
    <cellStyle name="Note 5 5 2 3 3 6" xfId="17877"/>
    <cellStyle name="Note 5 5 2 3 3_DeltaViewer" xfId="17878"/>
    <cellStyle name="Note 5 5 2 3 4" xfId="17879"/>
    <cellStyle name="Note 5 5 2 3 5" xfId="17880"/>
    <cellStyle name="Note 5 5 2 3 6" xfId="17881"/>
    <cellStyle name="Note 5 5 2 3 7" xfId="17882"/>
    <cellStyle name="Note 5 5 2 3 8" xfId="17883"/>
    <cellStyle name="Note 5 5 2 3_DeltaViewer" xfId="17884"/>
    <cellStyle name="Note 5 5 2 4" xfId="17885"/>
    <cellStyle name="Note 5 5 2 4 2" xfId="17886"/>
    <cellStyle name="Note 5 5 2 4 2 2" xfId="17887"/>
    <cellStyle name="Note 5 5 2 4 2 3" xfId="17888"/>
    <cellStyle name="Note 5 5 2 4 2 4" xfId="17889"/>
    <cellStyle name="Note 5 5 2 4 2 5" xfId="17890"/>
    <cellStyle name="Note 5 5 2 4 2 6" xfId="17891"/>
    <cellStyle name="Note 5 5 2 4 2_DeltaViewer" xfId="17892"/>
    <cellStyle name="Note 5 5 2 4 3" xfId="17893"/>
    <cellStyle name="Note 5 5 2 4 4" xfId="17894"/>
    <cellStyle name="Note 5 5 2 4 5" xfId="17895"/>
    <cellStyle name="Note 5 5 2 4 6" xfId="17896"/>
    <cellStyle name="Note 5 5 2 4 7" xfId="17897"/>
    <cellStyle name="Note 5 5 2 4_DeltaViewer" xfId="17898"/>
    <cellStyle name="Note 5 5 2 5" xfId="17899"/>
    <cellStyle name="Note 5 5 2 5 2" xfId="17900"/>
    <cellStyle name="Note 5 5 2 5 2 2" xfId="17901"/>
    <cellStyle name="Note 5 5 2 5 2 3" xfId="17902"/>
    <cellStyle name="Note 5 5 2 5 2 4" xfId="17903"/>
    <cellStyle name="Note 5 5 2 5 2 5" xfId="17904"/>
    <cellStyle name="Note 5 5 2 5 2 6" xfId="17905"/>
    <cellStyle name="Note 5 5 2 5 2_DeltaViewer" xfId="17906"/>
    <cellStyle name="Note 5 5 2 5 3" xfId="17907"/>
    <cellStyle name="Note 5 5 2 5 4" xfId="17908"/>
    <cellStyle name="Note 5 5 2 5 5" xfId="17909"/>
    <cellStyle name="Note 5 5 2 5 6" xfId="17910"/>
    <cellStyle name="Note 5 5 2 5 7" xfId="17911"/>
    <cellStyle name="Note 5 5 2 5_DeltaViewer" xfId="17912"/>
    <cellStyle name="Note 5 5 2 6" xfId="17913"/>
    <cellStyle name="Note 5 5 2 6 2" xfId="17914"/>
    <cellStyle name="Note 5 5 2 6 3" xfId="17915"/>
    <cellStyle name="Note 5 5 2 6 4" xfId="17916"/>
    <cellStyle name="Note 5 5 2 6 5" xfId="17917"/>
    <cellStyle name="Note 5 5 2 6 6" xfId="17918"/>
    <cellStyle name="Note 5 5 2 6_DeltaViewer" xfId="17919"/>
    <cellStyle name="Note 5 5 2 7" xfId="17920"/>
    <cellStyle name="Note 5 5 2 8" xfId="17921"/>
    <cellStyle name="Note 5 5 2 9" xfId="17922"/>
    <cellStyle name="Note 5 5 2_DeltaViewer" xfId="17923"/>
    <cellStyle name="Note 5 5 3" xfId="17924"/>
    <cellStyle name="Note 5 5 3 2" xfId="17925"/>
    <cellStyle name="Note 5 5 3 2 2" xfId="17926"/>
    <cellStyle name="Note 5 5 3 2 2 2" xfId="17927"/>
    <cellStyle name="Note 5 5 3 2 2 3" xfId="17928"/>
    <cellStyle name="Note 5 5 3 2 2 4" xfId="17929"/>
    <cellStyle name="Note 5 5 3 2 2 5" xfId="17930"/>
    <cellStyle name="Note 5 5 3 2 2 6" xfId="17931"/>
    <cellStyle name="Note 5 5 3 2 2_DeltaViewer" xfId="17932"/>
    <cellStyle name="Note 5 5 3 2 3" xfId="17933"/>
    <cellStyle name="Note 5 5 3 2 4" xfId="17934"/>
    <cellStyle name="Note 5 5 3 2 5" xfId="17935"/>
    <cellStyle name="Note 5 5 3 2 6" xfId="17936"/>
    <cellStyle name="Note 5 5 3 2 7" xfId="17937"/>
    <cellStyle name="Note 5 5 3 2_DeltaViewer" xfId="17938"/>
    <cellStyle name="Note 5 5 3 3" xfId="17939"/>
    <cellStyle name="Note 5 5 3 3 2" xfId="17940"/>
    <cellStyle name="Note 5 5 3 3 3" xfId="17941"/>
    <cellStyle name="Note 5 5 3 3 4" xfId="17942"/>
    <cellStyle name="Note 5 5 3 3 5" xfId="17943"/>
    <cellStyle name="Note 5 5 3 3 6" xfId="17944"/>
    <cellStyle name="Note 5 5 3 3_DeltaViewer" xfId="17945"/>
    <cellStyle name="Note 5 5 3 4" xfId="17946"/>
    <cellStyle name="Note 5 5 3 5" xfId="17947"/>
    <cellStyle name="Note 5 5 3 6" xfId="17948"/>
    <cellStyle name="Note 5 5 3 7" xfId="17949"/>
    <cellStyle name="Note 5 5 3 8" xfId="17950"/>
    <cellStyle name="Note 5 5 3_DeltaViewer" xfId="17951"/>
    <cellStyle name="Note 5 5 4" xfId="17952"/>
    <cellStyle name="Note 5 5 4 2" xfId="17953"/>
    <cellStyle name="Note 5 5 4 2 2" xfId="17954"/>
    <cellStyle name="Note 5 5 4 2 2 2" xfId="17955"/>
    <cellStyle name="Note 5 5 4 2 2 3" xfId="17956"/>
    <cellStyle name="Note 5 5 4 2 2 4" xfId="17957"/>
    <cellStyle name="Note 5 5 4 2 2 5" xfId="17958"/>
    <cellStyle name="Note 5 5 4 2 2 6" xfId="17959"/>
    <cellStyle name="Note 5 5 4 2 2_DeltaViewer" xfId="17960"/>
    <cellStyle name="Note 5 5 4 2 3" xfId="17961"/>
    <cellStyle name="Note 5 5 4 2 4" xfId="17962"/>
    <cellStyle name="Note 5 5 4 2 5" xfId="17963"/>
    <cellStyle name="Note 5 5 4 2 6" xfId="17964"/>
    <cellStyle name="Note 5 5 4 2 7" xfId="17965"/>
    <cellStyle name="Note 5 5 4 2_DeltaViewer" xfId="17966"/>
    <cellStyle name="Note 5 5 4 3" xfId="17967"/>
    <cellStyle name="Note 5 5 4 3 2" xfId="17968"/>
    <cellStyle name="Note 5 5 4 3 3" xfId="17969"/>
    <cellStyle name="Note 5 5 4 3 4" xfId="17970"/>
    <cellStyle name="Note 5 5 4 3 5" xfId="17971"/>
    <cellStyle name="Note 5 5 4 3 6" xfId="17972"/>
    <cellStyle name="Note 5 5 4 3_DeltaViewer" xfId="17973"/>
    <cellStyle name="Note 5 5 4 4" xfId="17974"/>
    <cellStyle name="Note 5 5 4 5" xfId="17975"/>
    <cellStyle name="Note 5 5 4 6" xfId="17976"/>
    <cellStyle name="Note 5 5 4 7" xfId="17977"/>
    <cellStyle name="Note 5 5 4 8" xfId="17978"/>
    <cellStyle name="Note 5 5 4_DeltaViewer" xfId="17979"/>
    <cellStyle name="Note 5 5 5" xfId="17980"/>
    <cellStyle name="Note 5 5 5 2" xfId="17981"/>
    <cellStyle name="Note 5 5 5 2 2" xfId="17982"/>
    <cellStyle name="Note 5 5 5 2 3" xfId="17983"/>
    <cellStyle name="Note 5 5 5 2 4" xfId="17984"/>
    <cellStyle name="Note 5 5 5 2 5" xfId="17985"/>
    <cellStyle name="Note 5 5 5 2 6" xfId="17986"/>
    <cellStyle name="Note 5 5 5 2_DeltaViewer" xfId="17987"/>
    <cellStyle name="Note 5 5 5 3" xfId="17988"/>
    <cellStyle name="Note 5 5 5 4" xfId="17989"/>
    <cellStyle name="Note 5 5 5 5" xfId="17990"/>
    <cellStyle name="Note 5 5 5 6" xfId="17991"/>
    <cellStyle name="Note 5 5 5 7" xfId="17992"/>
    <cellStyle name="Note 5 5 5_DeltaViewer" xfId="17993"/>
    <cellStyle name="Note 5 5 6" xfId="17994"/>
    <cellStyle name="Note 5 5 6 2" xfId="17995"/>
    <cellStyle name="Note 5 5 6 2 2" xfId="17996"/>
    <cellStyle name="Note 5 5 6 2 3" xfId="17997"/>
    <cellStyle name="Note 5 5 6 2 4" xfId="17998"/>
    <cellStyle name="Note 5 5 6 2 5" xfId="17999"/>
    <cellStyle name="Note 5 5 6 2 6" xfId="18000"/>
    <cellStyle name="Note 5 5 6 2_DeltaViewer" xfId="18001"/>
    <cellStyle name="Note 5 5 6 3" xfId="18002"/>
    <cellStyle name="Note 5 5 6 4" xfId="18003"/>
    <cellStyle name="Note 5 5 6 5" xfId="18004"/>
    <cellStyle name="Note 5 5 6 6" xfId="18005"/>
    <cellStyle name="Note 5 5 6 7" xfId="18006"/>
    <cellStyle name="Note 5 5 6_DeltaViewer" xfId="18007"/>
    <cellStyle name="Note 5 5 7" xfId="18008"/>
    <cellStyle name="Note 5 5 7 2" xfId="18009"/>
    <cellStyle name="Note 5 5 7 3" xfId="18010"/>
    <cellStyle name="Note 5 5 7 4" xfId="18011"/>
    <cellStyle name="Note 5 5 7 5" xfId="18012"/>
    <cellStyle name="Note 5 5 7 6" xfId="18013"/>
    <cellStyle name="Note 5 5 7_DeltaViewer" xfId="18014"/>
    <cellStyle name="Note 5 5 8" xfId="18015"/>
    <cellStyle name="Note 5 5 9" xfId="18016"/>
    <cellStyle name="Note 5 5_DeltaViewer" xfId="18017"/>
    <cellStyle name="Note 5 6" xfId="18018"/>
    <cellStyle name="Note 5 6 10" xfId="18019"/>
    <cellStyle name="Note 5 6 11" xfId="18020"/>
    <cellStyle name="Note 5 6 2" xfId="18021"/>
    <cellStyle name="Note 5 6 2 2" xfId="18022"/>
    <cellStyle name="Note 5 6 2 2 2" xfId="18023"/>
    <cellStyle name="Note 5 6 2 2 2 2" xfId="18024"/>
    <cellStyle name="Note 5 6 2 2 2 3" xfId="18025"/>
    <cellStyle name="Note 5 6 2 2 2 4" xfId="18026"/>
    <cellStyle name="Note 5 6 2 2 2 5" xfId="18027"/>
    <cellStyle name="Note 5 6 2 2 2 6" xfId="18028"/>
    <cellStyle name="Note 5 6 2 2 2_DeltaViewer" xfId="18029"/>
    <cellStyle name="Note 5 6 2 2 3" xfId="18030"/>
    <cellStyle name="Note 5 6 2 2 4" xfId="18031"/>
    <cellStyle name="Note 5 6 2 2 5" xfId="18032"/>
    <cellStyle name="Note 5 6 2 2 6" xfId="18033"/>
    <cellStyle name="Note 5 6 2 2 7" xfId="18034"/>
    <cellStyle name="Note 5 6 2 2_DeltaViewer" xfId="18035"/>
    <cellStyle name="Note 5 6 2 3" xfId="18036"/>
    <cellStyle name="Note 5 6 2 3 2" xfId="18037"/>
    <cellStyle name="Note 5 6 2 3 3" xfId="18038"/>
    <cellStyle name="Note 5 6 2 3 4" xfId="18039"/>
    <cellStyle name="Note 5 6 2 3 5" xfId="18040"/>
    <cellStyle name="Note 5 6 2 3 6" xfId="18041"/>
    <cellStyle name="Note 5 6 2 3_DeltaViewer" xfId="18042"/>
    <cellStyle name="Note 5 6 2 4" xfId="18043"/>
    <cellStyle name="Note 5 6 2 5" xfId="18044"/>
    <cellStyle name="Note 5 6 2 6" xfId="18045"/>
    <cellStyle name="Note 5 6 2 7" xfId="18046"/>
    <cellStyle name="Note 5 6 2 8" xfId="18047"/>
    <cellStyle name="Note 5 6 2_DeltaViewer" xfId="18048"/>
    <cellStyle name="Note 5 6 3" xfId="18049"/>
    <cellStyle name="Note 5 6 3 2" xfId="18050"/>
    <cellStyle name="Note 5 6 3 2 2" xfId="18051"/>
    <cellStyle name="Note 5 6 3 2 2 2" xfId="18052"/>
    <cellStyle name="Note 5 6 3 2 2 3" xfId="18053"/>
    <cellStyle name="Note 5 6 3 2 2 4" xfId="18054"/>
    <cellStyle name="Note 5 6 3 2 2 5" xfId="18055"/>
    <cellStyle name="Note 5 6 3 2 2 6" xfId="18056"/>
    <cellStyle name="Note 5 6 3 2 2_DeltaViewer" xfId="18057"/>
    <cellStyle name="Note 5 6 3 2 3" xfId="18058"/>
    <cellStyle name="Note 5 6 3 2 4" xfId="18059"/>
    <cellStyle name="Note 5 6 3 2 5" xfId="18060"/>
    <cellStyle name="Note 5 6 3 2 6" xfId="18061"/>
    <cellStyle name="Note 5 6 3 2 7" xfId="18062"/>
    <cellStyle name="Note 5 6 3 2_DeltaViewer" xfId="18063"/>
    <cellStyle name="Note 5 6 3 3" xfId="18064"/>
    <cellStyle name="Note 5 6 3 3 2" xfId="18065"/>
    <cellStyle name="Note 5 6 3 3 3" xfId="18066"/>
    <cellStyle name="Note 5 6 3 3 4" xfId="18067"/>
    <cellStyle name="Note 5 6 3 3 5" xfId="18068"/>
    <cellStyle name="Note 5 6 3 3 6" xfId="18069"/>
    <cellStyle name="Note 5 6 3 3_DeltaViewer" xfId="18070"/>
    <cellStyle name="Note 5 6 3 4" xfId="18071"/>
    <cellStyle name="Note 5 6 3 5" xfId="18072"/>
    <cellStyle name="Note 5 6 3 6" xfId="18073"/>
    <cellStyle name="Note 5 6 3 7" xfId="18074"/>
    <cellStyle name="Note 5 6 3 8" xfId="18075"/>
    <cellStyle name="Note 5 6 3_DeltaViewer" xfId="18076"/>
    <cellStyle name="Note 5 6 4" xfId="18077"/>
    <cellStyle name="Note 5 6 4 2" xfId="18078"/>
    <cellStyle name="Note 5 6 4 2 2" xfId="18079"/>
    <cellStyle name="Note 5 6 4 2 3" xfId="18080"/>
    <cellStyle name="Note 5 6 4 2 4" xfId="18081"/>
    <cellStyle name="Note 5 6 4 2 5" xfId="18082"/>
    <cellStyle name="Note 5 6 4 2 6" xfId="18083"/>
    <cellStyle name="Note 5 6 4 2_DeltaViewer" xfId="18084"/>
    <cellStyle name="Note 5 6 4 3" xfId="18085"/>
    <cellStyle name="Note 5 6 4 4" xfId="18086"/>
    <cellStyle name="Note 5 6 4 5" xfId="18087"/>
    <cellStyle name="Note 5 6 4 6" xfId="18088"/>
    <cellStyle name="Note 5 6 4 7" xfId="18089"/>
    <cellStyle name="Note 5 6 4_DeltaViewer" xfId="18090"/>
    <cellStyle name="Note 5 6 5" xfId="18091"/>
    <cellStyle name="Note 5 6 5 2" xfId="18092"/>
    <cellStyle name="Note 5 6 5 2 2" xfId="18093"/>
    <cellStyle name="Note 5 6 5 2 3" xfId="18094"/>
    <cellStyle name="Note 5 6 5 2 4" xfId="18095"/>
    <cellStyle name="Note 5 6 5 2 5" xfId="18096"/>
    <cellStyle name="Note 5 6 5 2 6" xfId="18097"/>
    <cellStyle name="Note 5 6 5 2_DeltaViewer" xfId="18098"/>
    <cellStyle name="Note 5 6 5 3" xfId="18099"/>
    <cellStyle name="Note 5 6 5 4" xfId="18100"/>
    <cellStyle name="Note 5 6 5 5" xfId="18101"/>
    <cellStyle name="Note 5 6 5 6" xfId="18102"/>
    <cellStyle name="Note 5 6 5 7" xfId="18103"/>
    <cellStyle name="Note 5 6 5_DeltaViewer" xfId="18104"/>
    <cellStyle name="Note 5 6 6" xfId="18105"/>
    <cellStyle name="Note 5 6 6 2" xfId="18106"/>
    <cellStyle name="Note 5 6 6 3" xfId="18107"/>
    <cellStyle name="Note 5 6 6 4" xfId="18108"/>
    <cellStyle name="Note 5 6 6 5" xfId="18109"/>
    <cellStyle name="Note 5 6 6 6" xfId="18110"/>
    <cellStyle name="Note 5 6 6_DeltaViewer" xfId="18111"/>
    <cellStyle name="Note 5 6 7" xfId="18112"/>
    <cellStyle name="Note 5 6 8" xfId="18113"/>
    <cellStyle name="Note 5 6 9" xfId="18114"/>
    <cellStyle name="Note 5 6_DeltaViewer" xfId="18115"/>
    <cellStyle name="Note 5 7" xfId="18116"/>
    <cellStyle name="Note 5 7 10" xfId="18117"/>
    <cellStyle name="Note 5 7 11" xfId="18118"/>
    <cellStyle name="Note 5 7 2" xfId="18119"/>
    <cellStyle name="Note 5 7 2 2" xfId="18120"/>
    <cellStyle name="Note 5 7 2 2 2" xfId="18121"/>
    <cellStyle name="Note 5 7 2 2 2 2" xfId="18122"/>
    <cellStyle name="Note 5 7 2 2 2 3" xfId="18123"/>
    <cellStyle name="Note 5 7 2 2 2 4" xfId="18124"/>
    <cellStyle name="Note 5 7 2 2 2 5" xfId="18125"/>
    <cellStyle name="Note 5 7 2 2 2 6" xfId="18126"/>
    <cellStyle name="Note 5 7 2 2 2_DeltaViewer" xfId="18127"/>
    <cellStyle name="Note 5 7 2 2 3" xfId="18128"/>
    <cellStyle name="Note 5 7 2 2 4" xfId="18129"/>
    <cellStyle name="Note 5 7 2 2 5" xfId="18130"/>
    <cellStyle name="Note 5 7 2 2 6" xfId="18131"/>
    <cellStyle name="Note 5 7 2 2 7" xfId="18132"/>
    <cellStyle name="Note 5 7 2 2_DeltaViewer" xfId="18133"/>
    <cellStyle name="Note 5 7 2 3" xfId="18134"/>
    <cellStyle name="Note 5 7 2 3 2" xfId="18135"/>
    <cellStyle name="Note 5 7 2 3 3" xfId="18136"/>
    <cellStyle name="Note 5 7 2 3 4" xfId="18137"/>
    <cellStyle name="Note 5 7 2 3 5" xfId="18138"/>
    <cellStyle name="Note 5 7 2 3 6" xfId="18139"/>
    <cellStyle name="Note 5 7 2 3_DeltaViewer" xfId="18140"/>
    <cellStyle name="Note 5 7 2 4" xfId="18141"/>
    <cellStyle name="Note 5 7 2 5" xfId="18142"/>
    <cellStyle name="Note 5 7 2 6" xfId="18143"/>
    <cellStyle name="Note 5 7 2 7" xfId="18144"/>
    <cellStyle name="Note 5 7 2 8" xfId="18145"/>
    <cellStyle name="Note 5 7 2_DeltaViewer" xfId="18146"/>
    <cellStyle name="Note 5 7 3" xfId="18147"/>
    <cellStyle name="Note 5 7 3 2" xfId="18148"/>
    <cellStyle name="Note 5 7 3 2 2" xfId="18149"/>
    <cellStyle name="Note 5 7 3 2 2 2" xfId="18150"/>
    <cellStyle name="Note 5 7 3 2 2 3" xfId="18151"/>
    <cellStyle name="Note 5 7 3 2 2 4" xfId="18152"/>
    <cellStyle name="Note 5 7 3 2 2 5" xfId="18153"/>
    <cellStyle name="Note 5 7 3 2 2 6" xfId="18154"/>
    <cellStyle name="Note 5 7 3 2 2_DeltaViewer" xfId="18155"/>
    <cellStyle name="Note 5 7 3 2 3" xfId="18156"/>
    <cellStyle name="Note 5 7 3 2 4" xfId="18157"/>
    <cellStyle name="Note 5 7 3 2 5" xfId="18158"/>
    <cellStyle name="Note 5 7 3 2 6" xfId="18159"/>
    <cellStyle name="Note 5 7 3 2 7" xfId="18160"/>
    <cellStyle name="Note 5 7 3 2_DeltaViewer" xfId="18161"/>
    <cellStyle name="Note 5 7 3 3" xfId="18162"/>
    <cellStyle name="Note 5 7 3 3 2" xfId="18163"/>
    <cellStyle name="Note 5 7 3 3 3" xfId="18164"/>
    <cellStyle name="Note 5 7 3 3 4" xfId="18165"/>
    <cellStyle name="Note 5 7 3 3 5" xfId="18166"/>
    <cellStyle name="Note 5 7 3 3 6" xfId="18167"/>
    <cellStyle name="Note 5 7 3 3_DeltaViewer" xfId="18168"/>
    <cellStyle name="Note 5 7 3 4" xfId="18169"/>
    <cellStyle name="Note 5 7 3 5" xfId="18170"/>
    <cellStyle name="Note 5 7 3 6" xfId="18171"/>
    <cellStyle name="Note 5 7 3 7" xfId="18172"/>
    <cellStyle name="Note 5 7 3 8" xfId="18173"/>
    <cellStyle name="Note 5 7 3_DeltaViewer" xfId="18174"/>
    <cellStyle name="Note 5 7 4" xfId="18175"/>
    <cellStyle name="Note 5 7 4 2" xfId="18176"/>
    <cellStyle name="Note 5 7 4 2 2" xfId="18177"/>
    <cellStyle name="Note 5 7 4 2 3" xfId="18178"/>
    <cellStyle name="Note 5 7 4 2 4" xfId="18179"/>
    <cellStyle name="Note 5 7 4 2 5" xfId="18180"/>
    <cellStyle name="Note 5 7 4 2 6" xfId="18181"/>
    <cellStyle name="Note 5 7 4 2_DeltaViewer" xfId="18182"/>
    <cellStyle name="Note 5 7 4 3" xfId="18183"/>
    <cellStyle name="Note 5 7 4 4" xfId="18184"/>
    <cellStyle name="Note 5 7 4 5" xfId="18185"/>
    <cellStyle name="Note 5 7 4 6" xfId="18186"/>
    <cellStyle name="Note 5 7 4 7" xfId="18187"/>
    <cellStyle name="Note 5 7 4_DeltaViewer" xfId="18188"/>
    <cellStyle name="Note 5 7 5" xfId="18189"/>
    <cellStyle name="Note 5 7 5 2" xfId="18190"/>
    <cellStyle name="Note 5 7 5 2 2" xfId="18191"/>
    <cellStyle name="Note 5 7 5 2 3" xfId="18192"/>
    <cellStyle name="Note 5 7 5 2 4" xfId="18193"/>
    <cellStyle name="Note 5 7 5 2 5" xfId="18194"/>
    <cellStyle name="Note 5 7 5 2 6" xfId="18195"/>
    <cellStyle name="Note 5 7 5 2_DeltaViewer" xfId="18196"/>
    <cellStyle name="Note 5 7 5 3" xfId="18197"/>
    <cellStyle name="Note 5 7 5 4" xfId="18198"/>
    <cellStyle name="Note 5 7 5 5" xfId="18199"/>
    <cellStyle name="Note 5 7 5 6" xfId="18200"/>
    <cellStyle name="Note 5 7 5 7" xfId="18201"/>
    <cellStyle name="Note 5 7 5_DeltaViewer" xfId="18202"/>
    <cellStyle name="Note 5 7 6" xfId="18203"/>
    <cellStyle name="Note 5 7 6 2" xfId="18204"/>
    <cellStyle name="Note 5 7 6 3" xfId="18205"/>
    <cellStyle name="Note 5 7 6 4" xfId="18206"/>
    <cellStyle name="Note 5 7 6 5" xfId="18207"/>
    <cellStyle name="Note 5 7 6 6" xfId="18208"/>
    <cellStyle name="Note 5 7 6_DeltaViewer" xfId="18209"/>
    <cellStyle name="Note 5 7 7" xfId="18210"/>
    <cellStyle name="Note 5 7 8" xfId="18211"/>
    <cellStyle name="Note 5 7 9" xfId="18212"/>
    <cellStyle name="Note 5 7_DeltaViewer" xfId="18213"/>
    <cellStyle name="Note 5 8" xfId="18214"/>
    <cellStyle name="Note 5 8 10" xfId="18215"/>
    <cellStyle name="Note 5 8 11" xfId="18216"/>
    <cellStyle name="Note 5 8 2" xfId="18217"/>
    <cellStyle name="Note 5 8 2 2" xfId="18218"/>
    <cellStyle name="Note 5 8 2 2 2" xfId="18219"/>
    <cellStyle name="Note 5 8 2 2 2 2" xfId="18220"/>
    <cellStyle name="Note 5 8 2 2 2 3" xfId="18221"/>
    <cellStyle name="Note 5 8 2 2 2 4" xfId="18222"/>
    <cellStyle name="Note 5 8 2 2 2 5" xfId="18223"/>
    <cellStyle name="Note 5 8 2 2 2 6" xfId="18224"/>
    <cellStyle name="Note 5 8 2 2 2_DeltaViewer" xfId="18225"/>
    <cellStyle name="Note 5 8 2 2 3" xfId="18226"/>
    <cellStyle name="Note 5 8 2 2 4" xfId="18227"/>
    <cellStyle name="Note 5 8 2 2 5" xfId="18228"/>
    <cellStyle name="Note 5 8 2 2 6" xfId="18229"/>
    <cellStyle name="Note 5 8 2 2 7" xfId="18230"/>
    <cellStyle name="Note 5 8 2 2_DeltaViewer" xfId="18231"/>
    <cellStyle name="Note 5 8 2 3" xfId="18232"/>
    <cellStyle name="Note 5 8 2 3 2" xfId="18233"/>
    <cellStyle name="Note 5 8 2 3 3" xfId="18234"/>
    <cellStyle name="Note 5 8 2 3 4" xfId="18235"/>
    <cellStyle name="Note 5 8 2 3 5" xfId="18236"/>
    <cellStyle name="Note 5 8 2 3 6" xfId="18237"/>
    <cellStyle name="Note 5 8 2 3_DeltaViewer" xfId="18238"/>
    <cellStyle name="Note 5 8 2 4" xfId="18239"/>
    <cellStyle name="Note 5 8 2 5" xfId="18240"/>
    <cellStyle name="Note 5 8 2 6" xfId="18241"/>
    <cellStyle name="Note 5 8 2 7" xfId="18242"/>
    <cellStyle name="Note 5 8 2 8" xfId="18243"/>
    <cellStyle name="Note 5 8 2_DeltaViewer" xfId="18244"/>
    <cellStyle name="Note 5 8 3" xfId="18245"/>
    <cellStyle name="Note 5 8 3 2" xfId="18246"/>
    <cellStyle name="Note 5 8 3 2 2" xfId="18247"/>
    <cellStyle name="Note 5 8 3 2 2 2" xfId="18248"/>
    <cellStyle name="Note 5 8 3 2 2 3" xfId="18249"/>
    <cellStyle name="Note 5 8 3 2 2 4" xfId="18250"/>
    <cellStyle name="Note 5 8 3 2 2 5" xfId="18251"/>
    <cellStyle name="Note 5 8 3 2 2 6" xfId="18252"/>
    <cellStyle name="Note 5 8 3 2 2_DeltaViewer" xfId="18253"/>
    <cellStyle name="Note 5 8 3 2 3" xfId="18254"/>
    <cellStyle name="Note 5 8 3 2 4" xfId="18255"/>
    <cellStyle name="Note 5 8 3 2 5" xfId="18256"/>
    <cellStyle name="Note 5 8 3 2 6" xfId="18257"/>
    <cellStyle name="Note 5 8 3 2 7" xfId="18258"/>
    <cellStyle name="Note 5 8 3 2_DeltaViewer" xfId="18259"/>
    <cellStyle name="Note 5 8 3 3" xfId="18260"/>
    <cellStyle name="Note 5 8 3 3 2" xfId="18261"/>
    <cellStyle name="Note 5 8 3 3 3" xfId="18262"/>
    <cellStyle name="Note 5 8 3 3 4" xfId="18263"/>
    <cellStyle name="Note 5 8 3 3 5" xfId="18264"/>
    <cellStyle name="Note 5 8 3 3 6" xfId="18265"/>
    <cellStyle name="Note 5 8 3 3_DeltaViewer" xfId="18266"/>
    <cellStyle name="Note 5 8 3 4" xfId="18267"/>
    <cellStyle name="Note 5 8 3 5" xfId="18268"/>
    <cellStyle name="Note 5 8 3 6" xfId="18269"/>
    <cellStyle name="Note 5 8 3 7" xfId="18270"/>
    <cellStyle name="Note 5 8 3 8" xfId="18271"/>
    <cellStyle name="Note 5 8 3_DeltaViewer" xfId="18272"/>
    <cellStyle name="Note 5 8 4" xfId="18273"/>
    <cellStyle name="Note 5 8 4 2" xfId="18274"/>
    <cellStyle name="Note 5 8 4 2 2" xfId="18275"/>
    <cellStyle name="Note 5 8 4 2 3" xfId="18276"/>
    <cellStyle name="Note 5 8 4 2 4" xfId="18277"/>
    <cellStyle name="Note 5 8 4 2 5" xfId="18278"/>
    <cellStyle name="Note 5 8 4 2 6" xfId="18279"/>
    <cellStyle name="Note 5 8 4 2_DeltaViewer" xfId="18280"/>
    <cellStyle name="Note 5 8 4 3" xfId="18281"/>
    <cellStyle name="Note 5 8 4 4" xfId="18282"/>
    <cellStyle name="Note 5 8 4 5" xfId="18283"/>
    <cellStyle name="Note 5 8 4 6" xfId="18284"/>
    <cellStyle name="Note 5 8 4 7" xfId="18285"/>
    <cellStyle name="Note 5 8 4_DeltaViewer" xfId="18286"/>
    <cellStyle name="Note 5 8 5" xfId="18287"/>
    <cellStyle name="Note 5 8 5 2" xfId="18288"/>
    <cellStyle name="Note 5 8 5 2 2" xfId="18289"/>
    <cellStyle name="Note 5 8 5 2 3" xfId="18290"/>
    <cellStyle name="Note 5 8 5 2 4" xfId="18291"/>
    <cellStyle name="Note 5 8 5 2 5" xfId="18292"/>
    <cellStyle name="Note 5 8 5 2 6" xfId="18293"/>
    <cellStyle name="Note 5 8 5 2_DeltaViewer" xfId="18294"/>
    <cellStyle name="Note 5 8 5 3" xfId="18295"/>
    <cellStyle name="Note 5 8 5 4" xfId="18296"/>
    <cellStyle name="Note 5 8 5 5" xfId="18297"/>
    <cellStyle name="Note 5 8 5 6" xfId="18298"/>
    <cellStyle name="Note 5 8 5 7" xfId="18299"/>
    <cellStyle name="Note 5 8 5_DeltaViewer" xfId="18300"/>
    <cellStyle name="Note 5 8 6" xfId="18301"/>
    <cellStyle name="Note 5 8 6 2" xfId="18302"/>
    <cellStyle name="Note 5 8 6 3" xfId="18303"/>
    <cellStyle name="Note 5 8 6 4" xfId="18304"/>
    <cellStyle name="Note 5 8 6 5" xfId="18305"/>
    <cellStyle name="Note 5 8 6 6" xfId="18306"/>
    <cellStyle name="Note 5 8 6_DeltaViewer" xfId="18307"/>
    <cellStyle name="Note 5 8 7" xfId="18308"/>
    <cellStyle name="Note 5 8 8" xfId="18309"/>
    <cellStyle name="Note 5 8 9" xfId="18310"/>
    <cellStyle name="Note 5 8_DeltaViewer" xfId="18311"/>
    <cellStyle name="Note 5 9" xfId="18312"/>
    <cellStyle name="Note 5 9 10" xfId="18313"/>
    <cellStyle name="Note 5 9 2" xfId="18314"/>
    <cellStyle name="Note 5 9 2 2" xfId="18315"/>
    <cellStyle name="Note 5 9 2 2 2" xfId="18316"/>
    <cellStyle name="Note 5 9 2 2 2 2" xfId="18317"/>
    <cellStyle name="Note 5 9 2 2 2 3" xfId="18318"/>
    <cellStyle name="Note 5 9 2 2 2 4" xfId="18319"/>
    <cellStyle name="Note 5 9 2 2 2 5" xfId="18320"/>
    <cellStyle name="Note 5 9 2 2 2 6" xfId="18321"/>
    <cellStyle name="Note 5 9 2 2 2_DeltaViewer" xfId="18322"/>
    <cellStyle name="Note 5 9 2 2 3" xfId="18323"/>
    <cellStyle name="Note 5 9 2 2 4" xfId="18324"/>
    <cellStyle name="Note 5 9 2 2 5" xfId="18325"/>
    <cellStyle name="Note 5 9 2 2 6" xfId="18326"/>
    <cellStyle name="Note 5 9 2 2 7" xfId="18327"/>
    <cellStyle name="Note 5 9 2 2_DeltaViewer" xfId="18328"/>
    <cellStyle name="Note 5 9 2 3" xfId="18329"/>
    <cellStyle name="Note 5 9 2 3 2" xfId="18330"/>
    <cellStyle name="Note 5 9 2 3 3" xfId="18331"/>
    <cellStyle name="Note 5 9 2 3 4" xfId="18332"/>
    <cellStyle name="Note 5 9 2 3 5" xfId="18333"/>
    <cellStyle name="Note 5 9 2 3 6" xfId="18334"/>
    <cellStyle name="Note 5 9 2 3_DeltaViewer" xfId="18335"/>
    <cellStyle name="Note 5 9 2 4" xfId="18336"/>
    <cellStyle name="Note 5 9 2 5" xfId="18337"/>
    <cellStyle name="Note 5 9 2 6" xfId="18338"/>
    <cellStyle name="Note 5 9 2 7" xfId="18339"/>
    <cellStyle name="Note 5 9 2 8" xfId="18340"/>
    <cellStyle name="Note 5 9 2_DeltaViewer" xfId="18341"/>
    <cellStyle name="Note 5 9 3" xfId="18342"/>
    <cellStyle name="Note 5 9 3 2" xfId="18343"/>
    <cellStyle name="Note 5 9 3 2 2" xfId="18344"/>
    <cellStyle name="Note 5 9 3 2 2 2" xfId="18345"/>
    <cellStyle name="Note 5 9 3 2 2 3" xfId="18346"/>
    <cellStyle name="Note 5 9 3 2 2 4" xfId="18347"/>
    <cellStyle name="Note 5 9 3 2 2 5" xfId="18348"/>
    <cellStyle name="Note 5 9 3 2 2 6" xfId="18349"/>
    <cellStyle name="Note 5 9 3 2 2_DeltaViewer" xfId="18350"/>
    <cellStyle name="Note 5 9 3 2 3" xfId="18351"/>
    <cellStyle name="Note 5 9 3 2 4" xfId="18352"/>
    <cellStyle name="Note 5 9 3 2 5" xfId="18353"/>
    <cellStyle name="Note 5 9 3 2 6" xfId="18354"/>
    <cellStyle name="Note 5 9 3 2 7" xfId="18355"/>
    <cellStyle name="Note 5 9 3 2_DeltaViewer" xfId="18356"/>
    <cellStyle name="Note 5 9 3 3" xfId="18357"/>
    <cellStyle name="Note 5 9 3 3 2" xfId="18358"/>
    <cellStyle name="Note 5 9 3 3 3" xfId="18359"/>
    <cellStyle name="Note 5 9 3 3 4" xfId="18360"/>
    <cellStyle name="Note 5 9 3 3 5" xfId="18361"/>
    <cellStyle name="Note 5 9 3 3 6" xfId="18362"/>
    <cellStyle name="Note 5 9 3 3_DeltaViewer" xfId="18363"/>
    <cellStyle name="Note 5 9 3 4" xfId="18364"/>
    <cellStyle name="Note 5 9 3 5" xfId="18365"/>
    <cellStyle name="Note 5 9 3 6" xfId="18366"/>
    <cellStyle name="Note 5 9 3 7" xfId="18367"/>
    <cellStyle name="Note 5 9 3 8" xfId="18368"/>
    <cellStyle name="Note 5 9 3_DeltaViewer" xfId="18369"/>
    <cellStyle name="Note 5 9 4" xfId="18370"/>
    <cellStyle name="Note 5 9 4 2" xfId="18371"/>
    <cellStyle name="Note 5 9 4 2 2" xfId="18372"/>
    <cellStyle name="Note 5 9 4 2 3" xfId="18373"/>
    <cellStyle name="Note 5 9 4 2 4" xfId="18374"/>
    <cellStyle name="Note 5 9 4 2 5" xfId="18375"/>
    <cellStyle name="Note 5 9 4 2 6" xfId="18376"/>
    <cellStyle name="Note 5 9 4 2_DeltaViewer" xfId="18377"/>
    <cellStyle name="Note 5 9 4 3" xfId="18378"/>
    <cellStyle name="Note 5 9 4 4" xfId="18379"/>
    <cellStyle name="Note 5 9 4 5" xfId="18380"/>
    <cellStyle name="Note 5 9 4 6" xfId="18381"/>
    <cellStyle name="Note 5 9 4 7" xfId="18382"/>
    <cellStyle name="Note 5 9 4_DeltaViewer" xfId="18383"/>
    <cellStyle name="Note 5 9 5" xfId="18384"/>
    <cellStyle name="Note 5 9 5 2" xfId="18385"/>
    <cellStyle name="Note 5 9 5 3" xfId="18386"/>
    <cellStyle name="Note 5 9 5 4" xfId="18387"/>
    <cellStyle name="Note 5 9 5 5" xfId="18388"/>
    <cellStyle name="Note 5 9 5 6" xfId="18389"/>
    <cellStyle name="Note 5 9 5_DeltaViewer" xfId="18390"/>
    <cellStyle name="Note 5 9 6" xfId="18391"/>
    <cellStyle name="Note 5 9 7" xfId="18392"/>
    <cellStyle name="Note 5 9 8" xfId="18393"/>
    <cellStyle name="Note 5 9 9" xfId="18394"/>
    <cellStyle name="Note 5 9_DeltaViewer" xfId="18395"/>
    <cellStyle name="Note 5_DeltaViewer" xfId="18396"/>
    <cellStyle name="Note 6" xfId="18397"/>
    <cellStyle name="Note 6 10" xfId="18398"/>
    <cellStyle name="Note 6 10 10" xfId="18399"/>
    <cellStyle name="Note 6 10 2" xfId="18400"/>
    <cellStyle name="Note 6 10 2 2" xfId="18401"/>
    <cellStyle name="Note 6 10 2 2 2" xfId="18402"/>
    <cellStyle name="Note 6 10 2 2 2 2" xfId="18403"/>
    <cellStyle name="Note 6 10 2 2 2 3" xfId="18404"/>
    <cellStyle name="Note 6 10 2 2 2 4" xfId="18405"/>
    <cellStyle name="Note 6 10 2 2 2 5" xfId="18406"/>
    <cellStyle name="Note 6 10 2 2 2 6" xfId="18407"/>
    <cellStyle name="Note 6 10 2 2 2_DeltaViewer" xfId="18408"/>
    <cellStyle name="Note 6 10 2 2 3" xfId="18409"/>
    <cellStyle name="Note 6 10 2 2 4" xfId="18410"/>
    <cellStyle name="Note 6 10 2 2 5" xfId="18411"/>
    <cellStyle name="Note 6 10 2 2 6" xfId="18412"/>
    <cellStyle name="Note 6 10 2 2 7" xfId="18413"/>
    <cellStyle name="Note 6 10 2 2_DeltaViewer" xfId="18414"/>
    <cellStyle name="Note 6 10 2 3" xfId="18415"/>
    <cellStyle name="Note 6 10 2 3 2" xfId="18416"/>
    <cellStyle name="Note 6 10 2 3 3" xfId="18417"/>
    <cellStyle name="Note 6 10 2 3 4" xfId="18418"/>
    <cellStyle name="Note 6 10 2 3 5" xfId="18419"/>
    <cellStyle name="Note 6 10 2 3 6" xfId="18420"/>
    <cellStyle name="Note 6 10 2 3_DeltaViewer" xfId="18421"/>
    <cellStyle name="Note 6 10 2 4" xfId="18422"/>
    <cellStyle name="Note 6 10 2 5" xfId="18423"/>
    <cellStyle name="Note 6 10 2 6" xfId="18424"/>
    <cellStyle name="Note 6 10 2 7" xfId="18425"/>
    <cellStyle name="Note 6 10 2 8" xfId="18426"/>
    <cellStyle name="Note 6 10 2_DeltaViewer" xfId="18427"/>
    <cellStyle name="Note 6 10 3" xfId="18428"/>
    <cellStyle name="Note 6 10 3 2" xfId="18429"/>
    <cellStyle name="Note 6 10 3 2 2" xfId="18430"/>
    <cellStyle name="Note 6 10 3 2 2 2" xfId="18431"/>
    <cellStyle name="Note 6 10 3 2 2 3" xfId="18432"/>
    <cellStyle name="Note 6 10 3 2 2 4" xfId="18433"/>
    <cellStyle name="Note 6 10 3 2 2 5" xfId="18434"/>
    <cellStyle name="Note 6 10 3 2 2 6" xfId="18435"/>
    <cellStyle name="Note 6 10 3 2 2_DeltaViewer" xfId="18436"/>
    <cellStyle name="Note 6 10 3 2 3" xfId="18437"/>
    <cellStyle name="Note 6 10 3 2 4" xfId="18438"/>
    <cellStyle name="Note 6 10 3 2 5" xfId="18439"/>
    <cellStyle name="Note 6 10 3 2 6" xfId="18440"/>
    <cellStyle name="Note 6 10 3 2 7" xfId="18441"/>
    <cellStyle name="Note 6 10 3 2_DeltaViewer" xfId="18442"/>
    <cellStyle name="Note 6 10 3 3" xfId="18443"/>
    <cellStyle name="Note 6 10 3 3 2" xfId="18444"/>
    <cellStyle name="Note 6 10 3 3 3" xfId="18445"/>
    <cellStyle name="Note 6 10 3 3 4" xfId="18446"/>
    <cellStyle name="Note 6 10 3 3 5" xfId="18447"/>
    <cellStyle name="Note 6 10 3 3 6" xfId="18448"/>
    <cellStyle name="Note 6 10 3 3_DeltaViewer" xfId="18449"/>
    <cellStyle name="Note 6 10 3 4" xfId="18450"/>
    <cellStyle name="Note 6 10 3 5" xfId="18451"/>
    <cellStyle name="Note 6 10 3 6" xfId="18452"/>
    <cellStyle name="Note 6 10 3 7" xfId="18453"/>
    <cellStyle name="Note 6 10 3 8" xfId="18454"/>
    <cellStyle name="Note 6 10 3_DeltaViewer" xfId="18455"/>
    <cellStyle name="Note 6 10 4" xfId="18456"/>
    <cellStyle name="Note 6 10 4 2" xfId="18457"/>
    <cellStyle name="Note 6 10 4 2 2" xfId="18458"/>
    <cellStyle name="Note 6 10 4 2 3" xfId="18459"/>
    <cellStyle name="Note 6 10 4 2 4" xfId="18460"/>
    <cellStyle name="Note 6 10 4 2 5" xfId="18461"/>
    <cellStyle name="Note 6 10 4 2 6" xfId="18462"/>
    <cellStyle name="Note 6 10 4 2_DeltaViewer" xfId="18463"/>
    <cellStyle name="Note 6 10 4 3" xfId="18464"/>
    <cellStyle name="Note 6 10 4 4" xfId="18465"/>
    <cellStyle name="Note 6 10 4 5" xfId="18466"/>
    <cellStyle name="Note 6 10 4 6" xfId="18467"/>
    <cellStyle name="Note 6 10 4 7" xfId="18468"/>
    <cellStyle name="Note 6 10 4_DeltaViewer" xfId="18469"/>
    <cellStyle name="Note 6 10 5" xfId="18470"/>
    <cellStyle name="Note 6 10 5 2" xfId="18471"/>
    <cellStyle name="Note 6 10 5 3" xfId="18472"/>
    <cellStyle name="Note 6 10 5 4" xfId="18473"/>
    <cellStyle name="Note 6 10 5 5" xfId="18474"/>
    <cellStyle name="Note 6 10 5 6" xfId="18475"/>
    <cellStyle name="Note 6 10 5_DeltaViewer" xfId="18476"/>
    <cellStyle name="Note 6 10 6" xfId="18477"/>
    <cellStyle name="Note 6 10 7" xfId="18478"/>
    <cellStyle name="Note 6 10 8" xfId="18479"/>
    <cellStyle name="Note 6 10 9" xfId="18480"/>
    <cellStyle name="Note 6 10_DeltaViewer" xfId="18481"/>
    <cellStyle name="Note 6 11" xfId="18482"/>
    <cellStyle name="Note 6 11 10" xfId="18483"/>
    <cellStyle name="Note 6 11 2" xfId="18484"/>
    <cellStyle name="Note 6 11 2 2" xfId="18485"/>
    <cellStyle name="Note 6 11 2 2 2" xfId="18486"/>
    <cellStyle name="Note 6 11 2 2 2 2" xfId="18487"/>
    <cellStyle name="Note 6 11 2 2 2 3" xfId="18488"/>
    <cellStyle name="Note 6 11 2 2 2 4" xfId="18489"/>
    <cellStyle name="Note 6 11 2 2 2 5" xfId="18490"/>
    <cellStyle name="Note 6 11 2 2 2 6" xfId="18491"/>
    <cellStyle name="Note 6 11 2 2 2_DeltaViewer" xfId="18492"/>
    <cellStyle name="Note 6 11 2 2 3" xfId="18493"/>
    <cellStyle name="Note 6 11 2 2 4" xfId="18494"/>
    <cellStyle name="Note 6 11 2 2 5" xfId="18495"/>
    <cellStyle name="Note 6 11 2 2 6" xfId="18496"/>
    <cellStyle name="Note 6 11 2 2 7" xfId="18497"/>
    <cellStyle name="Note 6 11 2 2_DeltaViewer" xfId="18498"/>
    <cellStyle name="Note 6 11 2 3" xfId="18499"/>
    <cellStyle name="Note 6 11 2 3 2" xfId="18500"/>
    <cellStyle name="Note 6 11 2 3 3" xfId="18501"/>
    <cellStyle name="Note 6 11 2 3 4" xfId="18502"/>
    <cellStyle name="Note 6 11 2 3 5" xfId="18503"/>
    <cellStyle name="Note 6 11 2 3 6" xfId="18504"/>
    <cellStyle name="Note 6 11 2 3_DeltaViewer" xfId="18505"/>
    <cellStyle name="Note 6 11 2 4" xfId="18506"/>
    <cellStyle name="Note 6 11 2 5" xfId="18507"/>
    <cellStyle name="Note 6 11 2 6" xfId="18508"/>
    <cellStyle name="Note 6 11 2 7" xfId="18509"/>
    <cellStyle name="Note 6 11 2 8" xfId="18510"/>
    <cellStyle name="Note 6 11 2_DeltaViewer" xfId="18511"/>
    <cellStyle name="Note 6 11 3" xfId="18512"/>
    <cellStyle name="Note 6 11 3 2" xfId="18513"/>
    <cellStyle name="Note 6 11 3 2 2" xfId="18514"/>
    <cellStyle name="Note 6 11 3 2 2 2" xfId="18515"/>
    <cellStyle name="Note 6 11 3 2 2 3" xfId="18516"/>
    <cellStyle name="Note 6 11 3 2 2 4" xfId="18517"/>
    <cellStyle name="Note 6 11 3 2 2 5" xfId="18518"/>
    <cellStyle name="Note 6 11 3 2 2 6" xfId="18519"/>
    <cellStyle name="Note 6 11 3 2 2_DeltaViewer" xfId="18520"/>
    <cellStyle name="Note 6 11 3 2 3" xfId="18521"/>
    <cellStyle name="Note 6 11 3 2 4" xfId="18522"/>
    <cellStyle name="Note 6 11 3 2 5" xfId="18523"/>
    <cellStyle name="Note 6 11 3 2 6" xfId="18524"/>
    <cellStyle name="Note 6 11 3 2 7" xfId="18525"/>
    <cellStyle name="Note 6 11 3 2_DeltaViewer" xfId="18526"/>
    <cellStyle name="Note 6 11 3 3" xfId="18527"/>
    <cellStyle name="Note 6 11 3 3 2" xfId="18528"/>
    <cellStyle name="Note 6 11 3 3 3" xfId="18529"/>
    <cellStyle name="Note 6 11 3 3 4" xfId="18530"/>
    <cellStyle name="Note 6 11 3 3 5" xfId="18531"/>
    <cellStyle name="Note 6 11 3 3 6" xfId="18532"/>
    <cellStyle name="Note 6 11 3 3_DeltaViewer" xfId="18533"/>
    <cellStyle name="Note 6 11 3 4" xfId="18534"/>
    <cellStyle name="Note 6 11 3 5" xfId="18535"/>
    <cellStyle name="Note 6 11 3 6" xfId="18536"/>
    <cellStyle name="Note 6 11 3 7" xfId="18537"/>
    <cellStyle name="Note 6 11 3 8" xfId="18538"/>
    <cellStyle name="Note 6 11 3_DeltaViewer" xfId="18539"/>
    <cellStyle name="Note 6 11 4" xfId="18540"/>
    <cellStyle name="Note 6 11 4 2" xfId="18541"/>
    <cellStyle name="Note 6 11 4 2 2" xfId="18542"/>
    <cellStyle name="Note 6 11 4 2 3" xfId="18543"/>
    <cellStyle name="Note 6 11 4 2 4" xfId="18544"/>
    <cellStyle name="Note 6 11 4 2 5" xfId="18545"/>
    <cellStyle name="Note 6 11 4 2 6" xfId="18546"/>
    <cellStyle name="Note 6 11 4 2_DeltaViewer" xfId="18547"/>
    <cellStyle name="Note 6 11 4 3" xfId="18548"/>
    <cellStyle name="Note 6 11 4 4" xfId="18549"/>
    <cellStyle name="Note 6 11 4 5" xfId="18550"/>
    <cellStyle name="Note 6 11 4 6" xfId="18551"/>
    <cellStyle name="Note 6 11 4 7" xfId="18552"/>
    <cellStyle name="Note 6 11 4_DeltaViewer" xfId="18553"/>
    <cellStyle name="Note 6 11 5" xfId="18554"/>
    <cellStyle name="Note 6 11 5 2" xfId="18555"/>
    <cellStyle name="Note 6 11 5 3" xfId="18556"/>
    <cellStyle name="Note 6 11 5 4" xfId="18557"/>
    <cellStyle name="Note 6 11 5 5" xfId="18558"/>
    <cellStyle name="Note 6 11 5 6" xfId="18559"/>
    <cellStyle name="Note 6 11 5_DeltaViewer" xfId="18560"/>
    <cellStyle name="Note 6 11 6" xfId="18561"/>
    <cellStyle name="Note 6 11 7" xfId="18562"/>
    <cellStyle name="Note 6 11 8" xfId="18563"/>
    <cellStyle name="Note 6 11 9" xfId="18564"/>
    <cellStyle name="Note 6 11_DeltaViewer" xfId="18565"/>
    <cellStyle name="Note 6 12" xfId="18566"/>
    <cellStyle name="Note 6 12 10" xfId="18567"/>
    <cellStyle name="Note 6 12 2" xfId="18568"/>
    <cellStyle name="Note 6 12 2 2" xfId="18569"/>
    <cellStyle name="Note 6 12 2 2 2" xfId="18570"/>
    <cellStyle name="Note 6 12 2 2 2 2" xfId="18571"/>
    <cellStyle name="Note 6 12 2 2 2 3" xfId="18572"/>
    <cellStyle name="Note 6 12 2 2 2 4" xfId="18573"/>
    <cellStyle name="Note 6 12 2 2 2 5" xfId="18574"/>
    <cellStyle name="Note 6 12 2 2 2 6" xfId="18575"/>
    <cellStyle name="Note 6 12 2 2 2_DeltaViewer" xfId="18576"/>
    <cellStyle name="Note 6 12 2 2 3" xfId="18577"/>
    <cellStyle name="Note 6 12 2 2 4" xfId="18578"/>
    <cellStyle name="Note 6 12 2 2 5" xfId="18579"/>
    <cellStyle name="Note 6 12 2 2 6" xfId="18580"/>
    <cellStyle name="Note 6 12 2 2 7" xfId="18581"/>
    <cellStyle name="Note 6 12 2 2_DeltaViewer" xfId="18582"/>
    <cellStyle name="Note 6 12 2 3" xfId="18583"/>
    <cellStyle name="Note 6 12 2 3 2" xfId="18584"/>
    <cellStyle name="Note 6 12 2 3 3" xfId="18585"/>
    <cellStyle name="Note 6 12 2 3 4" xfId="18586"/>
    <cellStyle name="Note 6 12 2 3 5" xfId="18587"/>
    <cellStyle name="Note 6 12 2 3 6" xfId="18588"/>
    <cellStyle name="Note 6 12 2 3_DeltaViewer" xfId="18589"/>
    <cellStyle name="Note 6 12 2 4" xfId="18590"/>
    <cellStyle name="Note 6 12 2 5" xfId="18591"/>
    <cellStyle name="Note 6 12 2 6" xfId="18592"/>
    <cellStyle name="Note 6 12 2 7" xfId="18593"/>
    <cellStyle name="Note 6 12 2 8" xfId="18594"/>
    <cellStyle name="Note 6 12 2_DeltaViewer" xfId="18595"/>
    <cellStyle name="Note 6 12 3" xfId="18596"/>
    <cellStyle name="Note 6 12 3 2" xfId="18597"/>
    <cellStyle name="Note 6 12 3 2 2" xfId="18598"/>
    <cellStyle name="Note 6 12 3 2 2 2" xfId="18599"/>
    <cellStyle name="Note 6 12 3 2 2 3" xfId="18600"/>
    <cellStyle name="Note 6 12 3 2 2 4" xfId="18601"/>
    <cellStyle name="Note 6 12 3 2 2 5" xfId="18602"/>
    <cellStyle name="Note 6 12 3 2 2 6" xfId="18603"/>
    <cellStyle name="Note 6 12 3 2 2_DeltaViewer" xfId="18604"/>
    <cellStyle name="Note 6 12 3 2 3" xfId="18605"/>
    <cellStyle name="Note 6 12 3 2 4" xfId="18606"/>
    <cellStyle name="Note 6 12 3 2 5" xfId="18607"/>
    <cellStyle name="Note 6 12 3 2 6" xfId="18608"/>
    <cellStyle name="Note 6 12 3 2 7" xfId="18609"/>
    <cellStyle name="Note 6 12 3 2_DeltaViewer" xfId="18610"/>
    <cellStyle name="Note 6 12 3 3" xfId="18611"/>
    <cellStyle name="Note 6 12 3 3 2" xfId="18612"/>
    <cellStyle name="Note 6 12 3 3 3" xfId="18613"/>
    <cellStyle name="Note 6 12 3 3 4" xfId="18614"/>
    <cellStyle name="Note 6 12 3 3 5" xfId="18615"/>
    <cellStyle name="Note 6 12 3 3 6" xfId="18616"/>
    <cellStyle name="Note 6 12 3 3_DeltaViewer" xfId="18617"/>
    <cellStyle name="Note 6 12 3 4" xfId="18618"/>
    <cellStyle name="Note 6 12 3 5" xfId="18619"/>
    <cellStyle name="Note 6 12 3 6" xfId="18620"/>
    <cellStyle name="Note 6 12 3 7" xfId="18621"/>
    <cellStyle name="Note 6 12 3 8" xfId="18622"/>
    <cellStyle name="Note 6 12 3_DeltaViewer" xfId="18623"/>
    <cellStyle name="Note 6 12 4" xfId="18624"/>
    <cellStyle name="Note 6 12 4 2" xfId="18625"/>
    <cellStyle name="Note 6 12 4 2 2" xfId="18626"/>
    <cellStyle name="Note 6 12 4 2 3" xfId="18627"/>
    <cellStyle name="Note 6 12 4 2 4" xfId="18628"/>
    <cellStyle name="Note 6 12 4 2 5" xfId="18629"/>
    <cellStyle name="Note 6 12 4 2 6" xfId="18630"/>
    <cellStyle name="Note 6 12 4 2_DeltaViewer" xfId="18631"/>
    <cellStyle name="Note 6 12 4 3" xfId="18632"/>
    <cellStyle name="Note 6 12 4 4" xfId="18633"/>
    <cellStyle name="Note 6 12 4 5" xfId="18634"/>
    <cellStyle name="Note 6 12 4 6" xfId="18635"/>
    <cellStyle name="Note 6 12 4 7" xfId="18636"/>
    <cellStyle name="Note 6 12 4_DeltaViewer" xfId="18637"/>
    <cellStyle name="Note 6 12 5" xfId="18638"/>
    <cellStyle name="Note 6 12 5 2" xfId="18639"/>
    <cellStyle name="Note 6 12 5 3" xfId="18640"/>
    <cellStyle name="Note 6 12 5 4" xfId="18641"/>
    <cellStyle name="Note 6 12 5 5" xfId="18642"/>
    <cellStyle name="Note 6 12 5 6" xfId="18643"/>
    <cellStyle name="Note 6 12 5_DeltaViewer" xfId="18644"/>
    <cellStyle name="Note 6 12 6" xfId="18645"/>
    <cellStyle name="Note 6 12 7" xfId="18646"/>
    <cellStyle name="Note 6 12 8" xfId="18647"/>
    <cellStyle name="Note 6 12 9" xfId="18648"/>
    <cellStyle name="Note 6 12_DeltaViewer" xfId="18649"/>
    <cellStyle name="Note 6 13" xfId="18650"/>
    <cellStyle name="Note 6 13 10" xfId="18651"/>
    <cellStyle name="Note 6 13 2" xfId="18652"/>
    <cellStyle name="Note 6 13 2 2" xfId="18653"/>
    <cellStyle name="Note 6 13 2 2 2" xfId="18654"/>
    <cellStyle name="Note 6 13 2 2 2 2" xfId="18655"/>
    <cellStyle name="Note 6 13 2 2 2 3" xfId="18656"/>
    <cellStyle name="Note 6 13 2 2 2 4" xfId="18657"/>
    <cellStyle name="Note 6 13 2 2 2 5" xfId="18658"/>
    <cellStyle name="Note 6 13 2 2 2 6" xfId="18659"/>
    <cellStyle name="Note 6 13 2 2 2_DeltaViewer" xfId="18660"/>
    <cellStyle name="Note 6 13 2 2 3" xfId="18661"/>
    <cellStyle name="Note 6 13 2 2 4" xfId="18662"/>
    <cellStyle name="Note 6 13 2 2 5" xfId="18663"/>
    <cellStyle name="Note 6 13 2 2 6" xfId="18664"/>
    <cellStyle name="Note 6 13 2 2 7" xfId="18665"/>
    <cellStyle name="Note 6 13 2 2_DeltaViewer" xfId="18666"/>
    <cellStyle name="Note 6 13 2 3" xfId="18667"/>
    <cellStyle name="Note 6 13 2 3 2" xfId="18668"/>
    <cellStyle name="Note 6 13 2 3 3" xfId="18669"/>
    <cellStyle name="Note 6 13 2 3 4" xfId="18670"/>
    <cellStyle name="Note 6 13 2 3 5" xfId="18671"/>
    <cellStyle name="Note 6 13 2 3 6" xfId="18672"/>
    <cellStyle name="Note 6 13 2 3_DeltaViewer" xfId="18673"/>
    <cellStyle name="Note 6 13 2 4" xfId="18674"/>
    <cellStyle name="Note 6 13 2 5" xfId="18675"/>
    <cellStyle name="Note 6 13 2 6" xfId="18676"/>
    <cellStyle name="Note 6 13 2 7" xfId="18677"/>
    <cellStyle name="Note 6 13 2 8" xfId="18678"/>
    <cellStyle name="Note 6 13 2_DeltaViewer" xfId="18679"/>
    <cellStyle name="Note 6 13 3" xfId="18680"/>
    <cellStyle name="Note 6 13 3 2" xfId="18681"/>
    <cellStyle name="Note 6 13 3 2 2" xfId="18682"/>
    <cellStyle name="Note 6 13 3 2 2 2" xfId="18683"/>
    <cellStyle name="Note 6 13 3 2 2 3" xfId="18684"/>
    <cellStyle name="Note 6 13 3 2 2 4" xfId="18685"/>
    <cellStyle name="Note 6 13 3 2 2 5" xfId="18686"/>
    <cellStyle name="Note 6 13 3 2 2 6" xfId="18687"/>
    <cellStyle name="Note 6 13 3 2 2_DeltaViewer" xfId="18688"/>
    <cellStyle name="Note 6 13 3 2 3" xfId="18689"/>
    <cellStyle name="Note 6 13 3 2 4" xfId="18690"/>
    <cellStyle name="Note 6 13 3 2 5" xfId="18691"/>
    <cellStyle name="Note 6 13 3 2 6" xfId="18692"/>
    <cellStyle name="Note 6 13 3 2 7" xfId="18693"/>
    <cellStyle name="Note 6 13 3 2_DeltaViewer" xfId="18694"/>
    <cellStyle name="Note 6 13 3 3" xfId="18695"/>
    <cellStyle name="Note 6 13 3 3 2" xfId="18696"/>
    <cellStyle name="Note 6 13 3 3 3" xfId="18697"/>
    <cellStyle name="Note 6 13 3 3 4" xfId="18698"/>
    <cellStyle name="Note 6 13 3 3 5" xfId="18699"/>
    <cellStyle name="Note 6 13 3 3 6" xfId="18700"/>
    <cellStyle name="Note 6 13 3 3_DeltaViewer" xfId="18701"/>
    <cellStyle name="Note 6 13 3 4" xfId="18702"/>
    <cellStyle name="Note 6 13 3 5" xfId="18703"/>
    <cellStyle name="Note 6 13 3 6" xfId="18704"/>
    <cellStyle name="Note 6 13 3 7" xfId="18705"/>
    <cellStyle name="Note 6 13 3 8" xfId="18706"/>
    <cellStyle name="Note 6 13 3_DeltaViewer" xfId="18707"/>
    <cellStyle name="Note 6 13 4" xfId="18708"/>
    <cellStyle name="Note 6 13 4 2" xfId="18709"/>
    <cellStyle name="Note 6 13 4 2 2" xfId="18710"/>
    <cellStyle name="Note 6 13 4 2 3" xfId="18711"/>
    <cellStyle name="Note 6 13 4 2 4" xfId="18712"/>
    <cellStyle name="Note 6 13 4 2 5" xfId="18713"/>
    <cellStyle name="Note 6 13 4 2 6" xfId="18714"/>
    <cellStyle name="Note 6 13 4 2_DeltaViewer" xfId="18715"/>
    <cellStyle name="Note 6 13 4 3" xfId="18716"/>
    <cellStyle name="Note 6 13 4 4" xfId="18717"/>
    <cellStyle name="Note 6 13 4 5" xfId="18718"/>
    <cellStyle name="Note 6 13 4 6" xfId="18719"/>
    <cellStyle name="Note 6 13 4 7" xfId="18720"/>
    <cellStyle name="Note 6 13 4_DeltaViewer" xfId="18721"/>
    <cellStyle name="Note 6 13 5" xfId="18722"/>
    <cellStyle name="Note 6 13 5 2" xfId="18723"/>
    <cellStyle name="Note 6 13 5 3" xfId="18724"/>
    <cellStyle name="Note 6 13 5 4" xfId="18725"/>
    <cellStyle name="Note 6 13 5 5" xfId="18726"/>
    <cellStyle name="Note 6 13 5 6" xfId="18727"/>
    <cellStyle name="Note 6 13 5_DeltaViewer" xfId="18728"/>
    <cellStyle name="Note 6 13 6" xfId="18729"/>
    <cellStyle name="Note 6 13 7" xfId="18730"/>
    <cellStyle name="Note 6 13 8" xfId="18731"/>
    <cellStyle name="Note 6 13 9" xfId="18732"/>
    <cellStyle name="Note 6 13_DeltaViewer" xfId="18733"/>
    <cellStyle name="Note 6 14" xfId="18734"/>
    <cellStyle name="Note 6 14 2" xfId="18735"/>
    <cellStyle name="Note 6 14 2 2" xfId="18736"/>
    <cellStyle name="Note 6 14 2 2 2" xfId="18737"/>
    <cellStyle name="Note 6 14 2 2 3" xfId="18738"/>
    <cellStyle name="Note 6 14 2 2 4" xfId="18739"/>
    <cellStyle name="Note 6 14 2 2 5" xfId="18740"/>
    <cellStyle name="Note 6 14 2 2 6" xfId="18741"/>
    <cellStyle name="Note 6 14 2 2_DeltaViewer" xfId="18742"/>
    <cellStyle name="Note 6 14 2 3" xfId="18743"/>
    <cellStyle name="Note 6 14 2 4" xfId="18744"/>
    <cellStyle name="Note 6 14 2 5" xfId="18745"/>
    <cellStyle name="Note 6 14 2 6" xfId="18746"/>
    <cellStyle name="Note 6 14 2 7" xfId="18747"/>
    <cellStyle name="Note 6 14 2_DeltaViewer" xfId="18748"/>
    <cellStyle name="Note 6 14 3" xfId="18749"/>
    <cellStyle name="Note 6 14 3 2" xfId="18750"/>
    <cellStyle name="Note 6 14 3 3" xfId="18751"/>
    <cellStyle name="Note 6 14 3 4" xfId="18752"/>
    <cellStyle name="Note 6 14 3 5" xfId="18753"/>
    <cellStyle name="Note 6 14 3 6" xfId="18754"/>
    <cellStyle name="Note 6 14 3_DeltaViewer" xfId="18755"/>
    <cellStyle name="Note 6 14 4" xfId="18756"/>
    <cellStyle name="Note 6 14 5" xfId="18757"/>
    <cellStyle name="Note 6 14 6" xfId="18758"/>
    <cellStyle name="Note 6 14 7" xfId="18759"/>
    <cellStyle name="Note 6 14 8" xfId="18760"/>
    <cellStyle name="Note 6 14_DeltaViewer" xfId="18761"/>
    <cellStyle name="Note 6 15" xfId="18762"/>
    <cellStyle name="Note 6 15 2" xfId="18763"/>
    <cellStyle name="Note 6 15 2 2" xfId="18764"/>
    <cellStyle name="Note 6 15 2 2 2" xfId="18765"/>
    <cellStyle name="Note 6 15 2 2 3" xfId="18766"/>
    <cellStyle name="Note 6 15 2 2 4" xfId="18767"/>
    <cellStyle name="Note 6 15 2 2 5" xfId="18768"/>
    <cellStyle name="Note 6 15 2 2 6" xfId="18769"/>
    <cellStyle name="Note 6 15 2 2_DeltaViewer" xfId="18770"/>
    <cellStyle name="Note 6 15 2 3" xfId="18771"/>
    <cellStyle name="Note 6 15 2 4" xfId="18772"/>
    <cellStyle name="Note 6 15 2 5" xfId="18773"/>
    <cellStyle name="Note 6 15 2 6" xfId="18774"/>
    <cellStyle name="Note 6 15 2 7" xfId="18775"/>
    <cellStyle name="Note 6 15 2_DeltaViewer" xfId="18776"/>
    <cellStyle name="Note 6 15 3" xfId="18777"/>
    <cellStyle name="Note 6 15 3 2" xfId="18778"/>
    <cellStyle name="Note 6 15 3 3" xfId="18779"/>
    <cellStyle name="Note 6 15 3 4" xfId="18780"/>
    <cellStyle name="Note 6 15 3 5" xfId="18781"/>
    <cellStyle name="Note 6 15 3 6" xfId="18782"/>
    <cellStyle name="Note 6 15 3_DeltaViewer" xfId="18783"/>
    <cellStyle name="Note 6 15 4" xfId="18784"/>
    <cellStyle name="Note 6 15 5" xfId="18785"/>
    <cellStyle name="Note 6 15 6" xfId="18786"/>
    <cellStyle name="Note 6 15 7" xfId="18787"/>
    <cellStyle name="Note 6 15 8" xfId="18788"/>
    <cellStyle name="Note 6 15_DeltaViewer" xfId="18789"/>
    <cellStyle name="Note 6 16" xfId="18790"/>
    <cellStyle name="Note 6 16 2" xfId="18791"/>
    <cellStyle name="Note 6 16 2 2" xfId="18792"/>
    <cellStyle name="Note 6 16 2 3" xfId="18793"/>
    <cellStyle name="Note 6 16 2 4" xfId="18794"/>
    <cellStyle name="Note 6 16 2 5" xfId="18795"/>
    <cellStyle name="Note 6 16 2 6" xfId="18796"/>
    <cellStyle name="Note 6 16 2_DeltaViewer" xfId="18797"/>
    <cellStyle name="Note 6 16 3" xfId="18798"/>
    <cellStyle name="Note 6 16 4" xfId="18799"/>
    <cellStyle name="Note 6 16 5" xfId="18800"/>
    <cellStyle name="Note 6 16 6" xfId="18801"/>
    <cellStyle name="Note 6 16 7" xfId="18802"/>
    <cellStyle name="Note 6 16_DeltaViewer" xfId="18803"/>
    <cellStyle name="Note 6 17" xfId="18804"/>
    <cellStyle name="Note 6 17 2" xfId="18805"/>
    <cellStyle name="Note 6 17 2 2" xfId="18806"/>
    <cellStyle name="Note 6 17 2 2 2" xfId="18807"/>
    <cellStyle name="Note 6 17 2 2 3" xfId="18808"/>
    <cellStyle name="Note 6 17 2 2 4" xfId="18809"/>
    <cellStyle name="Note 6 17 2 2 5" xfId="18810"/>
    <cellStyle name="Note 6 17 2 2 6" xfId="18811"/>
    <cellStyle name="Note 6 17 2 2_DeltaViewer" xfId="18812"/>
    <cellStyle name="Note 6 17 2 3" xfId="18813"/>
    <cellStyle name="Note 6 17 2 4" xfId="18814"/>
    <cellStyle name="Note 6 17 2 5" xfId="18815"/>
    <cellStyle name="Note 6 17 2 6" xfId="18816"/>
    <cellStyle name="Note 6 17 2 7" xfId="18817"/>
    <cellStyle name="Note 6 17 2_DeltaViewer" xfId="18818"/>
    <cellStyle name="Note 6 17 3" xfId="18819"/>
    <cellStyle name="Note 6 17 3 2" xfId="18820"/>
    <cellStyle name="Note 6 17 3 3" xfId="18821"/>
    <cellStyle name="Note 6 17 3 4" xfId="18822"/>
    <cellStyle name="Note 6 17 3 5" xfId="18823"/>
    <cellStyle name="Note 6 17 3 6" xfId="18824"/>
    <cellStyle name="Note 6 17 3_DeltaViewer" xfId="18825"/>
    <cellStyle name="Note 6 17 4" xfId="18826"/>
    <cellStyle name="Note 6 17 5" xfId="18827"/>
    <cellStyle name="Note 6 17 6" xfId="18828"/>
    <cellStyle name="Note 6 17 7" xfId="18829"/>
    <cellStyle name="Note 6 17 8" xfId="18830"/>
    <cellStyle name="Note 6 17_DeltaViewer" xfId="18831"/>
    <cellStyle name="Note 6 18" xfId="18832"/>
    <cellStyle name="Note 6 18 2" xfId="18833"/>
    <cellStyle name="Note 6 18 2 2" xfId="18834"/>
    <cellStyle name="Note 6 18 2 2 2" xfId="18835"/>
    <cellStyle name="Note 6 18 2 2 3" xfId="18836"/>
    <cellStyle name="Note 6 18 2 2 4" xfId="18837"/>
    <cellStyle name="Note 6 18 2 2 5" xfId="18838"/>
    <cellStyle name="Note 6 18 2 2 6" xfId="18839"/>
    <cellStyle name="Note 6 18 2 2_DeltaViewer" xfId="18840"/>
    <cellStyle name="Note 6 18 2 3" xfId="18841"/>
    <cellStyle name="Note 6 18 2 4" xfId="18842"/>
    <cellStyle name="Note 6 18 2 5" xfId="18843"/>
    <cellStyle name="Note 6 18 2 6" xfId="18844"/>
    <cellStyle name="Note 6 18 2 7" xfId="18845"/>
    <cellStyle name="Note 6 18 2_DeltaViewer" xfId="18846"/>
    <cellStyle name="Note 6 18 3" xfId="18847"/>
    <cellStyle name="Note 6 18 3 2" xfId="18848"/>
    <cellStyle name="Note 6 18 3 3" xfId="18849"/>
    <cellStyle name="Note 6 18 3 4" xfId="18850"/>
    <cellStyle name="Note 6 18 3 5" xfId="18851"/>
    <cellStyle name="Note 6 18 3 6" xfId="18852"/>
    <cellStyle name="Note 6 18 3_DeltaViewer" xfId="18853"/>
    <cellStyle name="Note 6 18 4" xfId="18854"/>
    <cellStyle name="Note 6 18 5" xfId="18855"/>
    <cellStyle name="Note 6 18 6" xfId="18856"/>
    <cellStyle name="Note 6 18 7" xfId="18857"/>
    <cellStyle name="Note 6 18 8" xfId="18858"/>
    <cellStyle name="Note 6 18_DeltaViewer" xfId="18859"/>
    <cellStyle name="Note 6 19" xfId="18860"/>
    <cellStyle name="Note 6 19 2" xfId="18861"/>
    <cellStyle name="Note 6 19 2 2" xfId="18862"/>
    <cellStyle name="Note 6 19 2 2 2" xfId="18863"/>
    <cellStyle name="Note 6 19 2 2 3" xfId="18864"/>
    <cellStyle name="Note 6 19 2 2 4" xfId="18865"/>
    <cellStyle name="Note 6 19 2 2 5" xfId="18866"/>
    <cellStyle name="Note 6 19 2 2 6" xfId="18867"/>
    <cellStyle name="Note 6 19 2 2_DeltaViewer" xfId="18868"/>
    <cellStyle name="Note 6 19 2 3" xfId="18869"/>
    <cellStyle name="Note 6 19 2 4" xfId="18870"/>
    <cellStyle name="Note 6 19 2 5" xfId="18871"/>
    <cellStyle name="Note 6 19 2 6" xfId="18872"/>
    <cellStyle name="Note 6 19 2 7" xfId="18873"/>
    <cellStyle name="Note 6 19 2_DeltaViewer" xfId="18874"/>
    <cellStyle name="Note 6 19 3" xfId="18875"/>
    <cellStyle name="Note 6 19 3 2" xfId="18876"/>
    <cellStyle name="Note 6 19 3 3" xfId="18877"/>
    <cellStyle name="Note 6 19 3 4" xfId="18878"/>
    <cellStyle name="Note 6 19 3 5" xfId="18879"/>
    <cellStyle name="Note 6 19 3 6" xfId="18880"/>
    <cellStyle name="Note 6 19 3_DeltaViewer" xfId="18881"/>
    <cellStyle name="Note 6 19 4" xfId="18882"/>
    <cellStyle name="Note 6 19 5" xfId="18883"/>
    <cellStyle name="Note 6 19 6" xfId="18884"/>
    <cellStyle name="Note 6 19 7" xfId="18885"/>
    <cellStyle name="Note 6 19 8" xfId="18886"/>
    <cellStyle name="Note 6 19_DeltaViewer" xfId="18887"/>
    <cellStyle name="Note 6 2" xfId="18888"/>
    <cellStyle name="Note 6 2 10" xfId="18889"/>
    <cellStyle name="Note 6 2 11" xfId="18890"/>
    <cellStyle name="Note 6 2 2" xfId="18891"/>
    <cellStyle name="Note 6 2 2 2" xfId="18892"/>
    <cellStyle name="Note 6 2 2 2 2" xfId="18893"/>
    <cellStyle name="Note 6 2 2 2 2 2" xfId="18894"/>
    <cellStyle name="Note 6 2 2 2 2 3" xfId="18895"/>
    <cellStyle name="Note 6 2 2 2 2 4" xfId="18896"/>
    <cellStyle name="Note 6 2 2 2 2 5" xfId="18897"/>
    <cellStyle name="Note 6 2 2 2 2 6" xfId="18898"/>
    <cellStyle name="Note 6 2 2 2 2_DeltaViewer" xfId="18899"/>
    <cellStyle name="Note 6 2 2 2 3" xfId="18900"/>
    <cellStyle name="Note 6 2 2 2 4" xfId="18901"/>
    <cellStyle name="Note 6 2 2 2 5" xfId="18902"/>
    <cellStyle name="Note 6 2 2 2 6" xfId="18903"/>
    <cellStyle name="Note 6 2 2 2 7" xfId="18904"/>
    <cellStyle name="Note 6 2 2 2_DeltaViewer" xfId="18905"/>
    <cellStyle name="Note 6 2 2 3" xfId="18906"/>
    <cellStyle name="Note 6 2 2 3 2" xfId="18907"/>
    <cellStyle name="Note 6 2 2 3 2 2" xfId="18908"/>
    <cellStyle name="Note 6 2 2 3 2 3" xfId="18909"/>
    <cellStyle name="Note 6 2 2 3 2 4" xfId="18910"/>
    <cellStyle name="Note 6 2 2 3 2 5" xfId="18911"/>
    <cellStyle name="Note 6 2 2 3 2 6" xfId="18912"/>
    <cellStyle name="Note 6 2 2 3 2_DeltaViewer" xfId="18913"/>
    <cellStyle name="Note 6 2 2 3 3" xfId="18914"/>
    <cellStyle name="Note 6 2 2 3 4" xfId="18915"/>
    <cellStyle name="Note 6 2 2 3 5" xfId="18916"/>
    <cellStyle name="Note 6 2 2 3 6" xfId="18917"/>
    <cellStyle name="Note 6 2 2 3 7" xfId="18918"/>
    <cellStyle name="Note 6 2 2 3_DeltaViewer" xfId="18919"/>
    <cellStyle name="Note 6 2 2 4" xfId="18920"/>
    <cellStyle name="Note 6 2 2 4 2" xfId="18921"/>
    <cellStyle name="Note 6 2 2 4 3" xfId="18922"/>
    <cellStyle name="Note 6 2 2 4 4" xfId="18923"/>
    <cellStyle name="Note 6 2 2 4 5" xfId="18924"/>
    <cellStyle name="Note 6 2 2 4 6" xfId="18925"/>
    <cellStyle name="Note 6 2 2 4_DeltaViewer" xfId="18926"/>
    <cellStyle name="Note 6 2 2 5" xfId="18927"/>
    <cellStyle name="Note 6 2 2 6" xfId="18928"/>
    <cellStyle name="Note 6 2 2 7" xfId="18929"/>
    <cellStyle name="Note 6 2 2 8" xfId="18930"/>
    <cellStyle name="Note 6 2 2 9" xfId="18931"/>
    <cellStyle name="Note 6 2 2_DeltaViewer" xfId="18932"/>
    <cellStyle name="Note 6 2 3" xfId="18933"/>
    <cellStyle name="Note 6 2 3 2" xfId="18934"/>
    <cellStyle name="Note 6 2 3 2 2" xfId="18935"/>
    <cellStyle name="Note 6 2 3 2 2 2" xfId="18936"/>
    <cellStyle name="Note 6 2 3 2 2 3" xfId="18937"/>
    <cellStyle name="Note 6 2 3 2 2 4" xfId="18938"/>
    <cellStyle name="Note 6 2 3 2 2 5" xfId="18939"/>
    <cellStyle name="Note 6 2 3 2 2 6" xfId="18940"/>
    <cellStyle name="Note 6 2 3 2 2_DeltaViewer" xfId="18941"/>
    <cellStyle name="Note 6 2 3 2 3" xfId="18942"/>
    <cellStyle name="Note 6 2 3 2 4" xfId="18943"/>
    <cellStyle name="Note 6 2 3 2 5" xfId="18944"/>
    <cellStyle name="Note 6 2 3 2 6" xfId="18945"/>
    <cellStyle name="Note 6 2 3 2 7" xfId="18946"/>
    <cellStyle name="Note 6 2 3 2_DeltaViewer" xfId="18947"/>
    <cellStyle name="Note 6 2 3 3" xfId="18948"/>
    <cellStyle name="Note 6 2 3 3 2" xfId="18949"/>
    <cellStyle name="Note 6 2 3 3 3" xfId="18950"/>
    <cellStyle name="Note 6 2 3 3 4" xfId="18951"/>
    <cellStyle name="Note 6 2 3 3 5" xfId="18952"/>
    <cellStyle name="Note 6 2 3 3 6" xfId="18953"/>
    <cellStyle name="Note 6 2 3 3_DeltaViewer" xfId="18954"/>
    <cellStyle name="Note 6 2 3 4" xfId="18955"/>
    <cellStyle name="Note 6 2 3 5" xfId="18956"/>
    <cellStyle name="Note 6 2 3 6" xfId="18957"/>
    <cellStyle name="Note 6 2 3 7" xfId="18958"/>
    <cellStyle name="Note 6 2 3 8" xfId="18959"/>
    <cellStyle name="Note 6 2 3_DeltaViewer" xfId="18960"/>
    <cellStyle name="Note 6 2 4" xfId="18961"/>
    <cellStyle name="Note 6 2 4 2" xfId="18962"/>
    <cellStyle name="Note 6 2 4 2 2" xfId="18963"/>
    <cellStyle name="Note 6 2 4 2 3" xfId="18964"/>
    <cellStyle name="Note 6 2 4 2 4" xfId="18965"/>
    <cellStyle name="Note 6 2 4 2 5" xfId="18966"/>
    <cellStyle name="Note 6 2 4 2 6" xfId="18967"/>
    <cellStyle name="Note 6 2 4 2_DeltaViewer" xfId="18968"/>
    <cellStyle name="Note 6 2 4 3" xfId="18969"/>
    <cellStyle name="Note 6 2 4 4" xfId="18970"/>
    <cellStyle name="Note 6 2 4 5" xfId="18971"/>
    <cellStyle name="Note 6 2 4 6" xfId="18972"/>
    <cellStyle name="Note 6 2 4 7" xfId="18973"/>
    <cellStyle name="Note 6 2 4_DeltaViewer" xfId="18974"/>
    <cellStyle name="Note 6 2 5" xfId="18975"/>
    <cellStyle name="Note 6 2 5 2" xfId="18976"/>
    <cellStyle name="Note 6 2 5 2 2" xfId="18977"/>
    <cellStyle name="Note 6 2 5 2 3" xfId="18978"/>
    <cellStyle name="Note 6 2 5 2 4" xfId="18979"/>
    <cellStyle name="Note 6 2 5 2 5" xfId="18980"/>
    <cellStyle name="Note 6 2 5 2 6" xfId="18981"/>
    <cellStyle name="Note 6 2 5 2_DeltaViewer" xfId="18982"/>
    <cellStyle name="Note 6 2 5 3" xfId="18983"/>
    <cellStyle name="Note 6 2 5 4" xfId="18984"/>
    <cellStyle name="Note 6 2 5 5" xfId="18985"/>
    <cellStyle name="Note 6 2 5 6" xfId="18986"/>
    <cellStyle name="Note 6 2 5 7" xfId="18987"/>
    <cellStyle name="Note 6 2 5_DeltaViewer" xfId="18988"/>
    <cellStyle name="Note 6 2 6" xfId="18989"/>
    <cellStyle name="Note 6 2 6 2" xfId="18990"/>
    <cellStyle name="Note 6 2 6 3" xfId="18991"/>
    <cellStyle name="Note 6 2 6 4" xfId="18992"/>
    <cellStyle name="Note 6 2 6 5" xfId="18993"/>
    <cellStyle name="Note 6 2 6 6" xfId="18994"/>
    <cellStyle name="Note 6 2 6_DeltaViewer" xfId="18995"/>
    <cellStyle name="Note 6 2 7" xfId="18996"/>
    <cellStyle name="Note 6 2 8" xfId="18997"/>
    <cellStyle name="Note 6 2 9" xfId="18998"/>
    <cellStyle name="Note 6 2_DeltaViewer" xfId="18999"/>
    <cellStyle name="Note 6 20" xfId="19000"/>
    <cellStyle name="Note 6 20 2" xfId="19001"/>
    <cellStyle name="Note 6 20 2 2" xfId="19002"/>
    <cellStyle name="Note 6 20 2 3" xfId="19003"/>
    <cellStyle name="Note 6 20 2 4" xfId="19004"/>
    <cellStyle name="Note 6 20 2 5" xfId="19005"/>
    <cellStyle name="Note 6 20 2 6" xfId="19006"/>
    <cellStyle name="Note 6 20 2_DeltaViewer" xfId="19007"/>
    <cellStyle name="Note 6 20 3" xfId="19008"/>
    <cellStyle name="Note 6 20 4" xfId="19009"/>
    <cellStyle name="Note 6 20 5" xfId="19010"/>
    <cellStyle name="Note 6 20 6" xfId="19011"/>
    <cellStyle name="Note 6 20 7" xfId="19012"/>
    <cellStyle name="Note 6 20_DeltaViewer" xfId="19013"/>
    <cellStyle name="Note 6 21" xfId="19014"/>
    <cellStyle name="Note 6 21 2" xfId="19015"/>
    <cellStyle name="Note 6 21 3" xfId="19016"/>
    <cellStyle name="Note 6 21 4" xfId="19017"/>
    <cellStyle name="Note 6 21 5" xfId="19018"/>
    <cellStyle name="Note 6 21 6" xfId="19019"/>
    <cellStyle name="Note 6 21_DeltaViewer" xfId="19020"/>
    <cellStyle name="Note 6 22" xfId="19021"/>
    <cellStyle name="Note 6 23" xfId="19022"/>
    <cellStyle name="Note 6 24" xfId="19023"/>
    <cellStyle name="Note 6 25" xfId="19024"/>
    <cellStyle name="Note 6 26" xfId="19025"/>
    <cellStyle name="Note 6 3" xfId="19026"/>
    <cellStyle name="Note 6 3 10" xfId="19027"/>
    <cellStyle name="Note 6 3 11" xfId="19028"/>
    <cellStyle name="Note 6 3 12" xfId="19029"/>
    <cellStyle name="Note 6 3 13" xfId="19030"/>
    <cellStyle name="Note 6 3 2" xfId="19031"/>
    <cellStyle name="Note 6 3 2 10" xfId="19032"/>
    <cellStyle name="Note 6 3 2 11" xfId="19033"/>
    <cellStyle name="Note 6 3 2 2" xfId="19034"/>
    <cellStyle name="Note 6 3 2 2 2" xfId="19035"/>
    <cellStyle name="Note 6 3 2 2 2 2" xfId="19036"/>
    <cellStyle name="Note 6 3 2 2 2 2 2" xfId="19037"/>
    <cellStyle name="Note 6 3 2 2 2 2 3" xfId="19038"/>
    <cellStyle name="Note 6 3 2 2 2 2 4" xfId="19039"/>
    <cellStyle name="Note 6 3 2 2 2 2 5" xfId="19040"/>
    <cellStyle name="Note 6 3 2 2 2 2 6" xfId="19041"/>
    <cellStyle name="Note 6 3 2 2 2 2_DeltaViewer" xfId="19042"/>
    <cellStyle name="Note 6 3 2 2 2 3" xfId="19043"/>
    <cellStyle name="Note 6 3 2 2 2 4" xfId="19044"/>
    <cellStyle name="Note 6 3 2 2 2 5" xfId="19045"/>
    <cellStyle name="Note 6 3 2 2 2 6" xfId="19046"/>
    <cellStyle name="Note 6 3 2 2 2 7" xfId="19047"/>
    <cellStyle name="Note 6 3 2 2 2_DeltaViewer" xfId="19048"/>
    <cellStyle name="Note 6 3 2 2 3" xfId="19049"/>
    <cellStyle name="Note 6 3 2 2 3 2" xfId="19050"/>
    <cellStyle name="Note 6 3 2 2 3 3" xfId="19051"/>
    <cellStyle name="Note 6 3 2 2 3 4" xfId="19052"/>
    <cellStyle name="Note 6 3 2 2 3 5" xfId="19053"/>
    <cellStyle name="Note 6 3 2 2 3 6" xfId="19054"/>
    <cellStyle name="Note 6 3 2 2 3_DeltaViewer" xfId="19055"/>
    <cellStyle name="Note 6 3 2 2 4" xfId="19056"/>
    <cellStyle name="Note 6 3 2 2 5" xfId="19057"/>
    <cellStyle name="Note 6 3 2 2 6" xfId="19058"/>
    <cellStyle name="Note 6 3 2 2 7" xfId="19059"/>
    <cellStyle name="Note 6 3 2 2 8" xfId="19060"/>
    <cellStyle name="Note 6 3 2 2_DeltaViewer" xfId="19061"/>
    <cellStyle name="Note 6 3 2 3" xfId="19062"/>
    <cellStyle name="Note 6 3 2 3 2" xfId="19063"/>
    <cellStyle name="Note 6 3 2 3 2 2" xfId="19064"/>
    <cellStyle name="Note 6 3 2 3 2 2 2" xfId="19065"/>
    <cellStyle name="Note 6 3 2 3 2 2 3" xfId="19066"/>
    <cellStyle name="Note 6 3 2 3 2 2 4" xfId="19067"/>
    <cellStyle name="Note 6 3 2 3 2 2 5" xfId="19068"/>
    <cellStyle name="Note 6 3 2 3 2 2 6" xfId="19069"/>
    <cellStyle name="Note 6 3 2 3 2 2_DeltaViewer" xfId="19070"/>
    <cellStyle name="Note 6 3 2 3 2 3" xfId="19071"/>
    <cellStyle name="Note 6 3 2 3 2 4" xfId="19072"/>
    <cellStyle name="Note 6 3 2 3 2 5" xfId="19073"/>
    <cellStyle name="Note 6 3 2 3 2 6" xfId="19074"/>
    <cellStyle name="Note 6 3 2 3 2 7" xfId="19075"/>
    <cellStyle name="Note 6 3 2 3 2_DeltaViewer" xfId="19076"/>
    <cellStyle name="Note 6 3 2 3 3" xfId="19077"/>
    <cellStyle name="Note 6 3 2 3 3 2" xfId="19078"/>
    <cellStyle name="Note 6 3 2 3 3 3" xfId="19079"/>
    <cellStyle name="Note 6 3 2 3 3 4" xfId="19080"/>
    <cellStyle name="Note 6 3 2 3 3 5" xfId="19081"/>
    <cellStyle name="Note 6 3 2 3 3 6" xfId="19082"/>
    <cellStyle name="Note 6 3 2 3 3_DeltaViewer" xfId="19083"/>
    <cellStyle name="Note 6 3 2 3 4" xfId="19084"/>
    <cellStyle name="Note 6 3 2 3 5" xfId="19085"/>
    <cellStyle name="Note 6 3 2 3 6" xfId="19086"/>
    <cellStyle name="Note 6 3 2 3 7" xfId="19087"/>
    <cellStyle name="Note 6 3 2 3 8" xfId="19088"/>
    <cellStyle name="Note 6 3 2 3_DeltaViewer" xfId="19089"/>
    <cellStyle name="Note 6 3 2 4" xfId="19090"/>
    <cellStyle name="Note 6 3 2 4 2" xfId="19091"/>
    <cellStyle name="Note 6 3 2 4 2 2" xfId="19092"/>
    <cellStyle name="Note 6 3 2 4 2 3" xfId="19093"/>
    <cellStyle name="Note 6 3 2 4 2 4" xfId="19094"/>
    <cellStyle name="Note 6 3 2 4 2 5" xfId="19095"/>
    <cellStyle name="Note 6 3 2 4 2 6" xfId="19096"/>
    <cellStyle name="Note 6 3 2 4 2_DeltaViewer" xfId="19097"/>
    <cellStyle name="Note 6 3 2 4 3" xfId="19098"/>
    <cellStyle name="Note 6 3 2 4 4" xfId="19099"/>
    <cellStyle name="Note 6 3 2 4 5" xfId="19100"/>
    <cellStyle name="Note 6 3 2 4 6" xfId="19101"/>
    <cellStyle name="Note 6 3 2 4 7" xfId="19102"/>
    <cellStyle name="Note 6 3 2 4_DeltaViewer" xfId="19103"/>
    <cellStyle name="Note 6 3 2 5" xfId="19104"/>
    <cellStyle name="Note 6 3 2 5 2" xfId="19105"/>
    <cellStyle name="Note 6 3 2 5 2 2" xfId="19106"/>
    <cellStyle name="Note 6 3 2 5 2 3" xfId="19107"/>
    <cellStyle name="Note 6 3 2 5 2 4" xfId="19108"/>
    <cellStyle name="Note 6 3 2 5 2 5" xfId="19109"/>
    <cellStyle name="Note 6 3 2 5 2 6" xfId="19110"/>
    <cellStyle name="Note 6 3 2 5 2_DeltaViewer" xfId="19111"/>
    <cellStyle name="Note 6 3 2 5 3" xfId="19112"/>
    <cellStyle name="Note 6 3 2 5 4" xfId="19113"/>
    <cellStyle name="Note 6 3 2 5 5" xfId="19114"/>
    <cellStyle name="Note 6 3 2 5 6" xfId="19115"/>
    <cellStyle name="Note 6 3 2 5 7" xfId="19116"/>
    <cellStyle name="Note 6 3 2 5_DeltaViewer" xfId="19117"/>
    <cellStyle name="Note 6 3 2 6" xfId="19118"/>
    <cellStyle name="Note 6 3 2 6 2" xfId="19119"/>
    <cellStyle name="Note 6 3 2 6 3" xfId="19120"/>
    <cellStyle name="Note 6 3 2 6 4" xfId="19121"/>
    <cellStyle name="Note 6 3 2 6 5" xfId="19122"/>
    <cellStyle name="Note 6 3 2 6 6" xfId="19123"/>
    <cellStyle name="Note 6 3 2 6_DeltaViewer" xfId="19124"/>
    <cellStyle name="Note 6 3 2 7" xfId="19125"/>
    <cellStyle name="Note 6 3 2 8" xfId="19126"/>
    <cellStyle name="Note 6 3 2 9" xfId="19127"/>
    <cellStyle name="Note 6 3 2_DeltaViewer" xfId="19128"/>
    <cellStyle name="Note 6 3 3" xfId="19129"/>
    <cellStyle name="Note 6 3 3 2" xfId="19130"/>
    <cellStyle name="Note 6 3 3 2 2" xfId="19131"/>
    <cellStyle name="Note 6 3 3 2 2 2" xfId="19132"/>
    <cellStyle name="Note 6 3 3 2 2 3" xfId="19133"/>
    <cellStyle name="Note 6 3 3 2 2 4" xfId="19134"/>
    <cellStyle name="Note 6 3 3 2 2 5" xfId="19135"/>
    <cellStyle name="Note 6 3 3 2 2 6" xfId="19136"/>
    <cellStyle name="Note 6 3 3 2 2_DeltaViewer" xfId="19137"/>
    <cellStyle name="Note 6 3 3 2 3" xfId="19138"/>
    <cellStyle name="Note 6 3 3 2 4" xfId="19139"/>
    <cellStyle name="Note 6 3 3 2 5" xfId="19140"/>
    <cellStyle name="Note 6 3 3 2 6" xfId="19141"/>
    <cellStyle name="Note 6 3 3 2 7" xfId="19142"/>
    <cellStyle name="Note 6 3 3 2_DeltaViewer" xfId="19143"/>
    <cellStyle name="Note 6 3 3 3" xfId="19144"/>
    <cellStyle name="Note 6 3 3 3 2" xfId="19145"/>
    <cellStyle name="Note 6 3 3 3 2 2" xfId="19146"/>
    <cellStyle name="Note 6 3 3 3 2 3" xfId="19147"/>
    <cellStyle name="Note 6 3 3 3 2 4" xfId="19148"/>
    <cellStyle name="Note 6 3 3 3 2 5" xfId="19149"/>
    <cellStyle name="Note 6 3 3 3 2 6" xfId="19150"/>
    <cellStyle name="Note 6 3 3 3 2_DeltaViewer" xfId="19151"/>
    <cellStyle name="Note 6 3 3 3 3" xfId="19152"/>
    <cellStyle name="Note 6 3 3 3 4" xfId="19153"/>
    <cellStyle name="Note 6 3 3 3 5" xfId="19154"/>
    <cellStyle name="Note 6 3 3 3 6" xfId="19155"/>
    <cellStyle name="Note 6 3 3 3 7" xfId="19156"/>
    <cellStyle name="Note 6 3 3 3_DeltaViewer" xfId="19157"/>
    <cellStyle name="Note 6 3 3 4" xfId="19158"/>
    <cellStyle name="Note 6 3 3 4 2" xfId="19159"/>
    <cellStyle name="Note 6 3 3 4 3" xfId="19160"/>
    <cellStyle name="Note 6 3 3 4 4" xfId="19161"/>
    <cellStyle name="Note 6 3 3 4 5" xfId="19162"/>
    <cellStyle name="Note 6 3 3 4 6" xfId="19163"/>
    <cellStyle name="Note 6 3 3 4_DeltaViewer" xfId="19164"/>
    <cellStyle name="Note 6 3 3 5" xfId="19165"/>
    <cellStyle name="Note 6 3 3 6" xfId="19166"/>
    <cellStyle name="Note 6 3 3 7" xfId="19167"/>
    <cellStyle name="Note 6 3 3 8" xfId="19168"/>
    <cellStyle name="Note 6 3 3 9" xfId="19169"/>
    <cellStyle name="Note 6 3 3_DeltaViewer" xfId="19170"/>
    <cellStyle name="Note 6 3 4" xfId="19171"/>
    <cellStyle name="Note 6 3 4 2" xfId="19172"/>
    <cellStyle name="Note 6 3 4 2 2" xfId="19173"/>
    <cellStyle name="Note 6 3 4 2 2 2" xfId="19174"/>
    <cellStyle name="Note 6 3 4 2 2 3" xfId="19175"/>
    <cellStyle name="Note 6 3 4 2 2 4" xfId="19176"/>
    <cellStyle name="Note 6 3 4 2 2 5" xfId="19177"/>
    <cellStyle name="Note 6 3 4 2 2 6" xfId="19178"/>
    <cellStyle name="Note 6 3 4 2 2_DeltaViewer" xfId="19179"/>
    <cellStyle name="Note 6 3 4 2 3" xfId="19180"/>
    <cellStyle name="Note 6 3 4 2 4" xfId="19181"/>
    <cellStyle name="Note 6 3 4 2 5" xfId="19182"/>
    <cellStyle name="Note 6 3 4 2 6" xfId="19183"/>
    <cellStyle name="Note 6 3 4 2 7" xfId="19184"/>
    <cellStyle name="Note 6 3 4 2_DeltaViewer" xfId="19185"/>
    <cellStyle name="Note 6 3 4 3" xfId="19186"/>
    <cellStyle name="Note 6 3 4 3 2" xfId="19187"/>
    <cellStyle name="Note 6 3 4 3 2 2" xfId="19188"/>
    <cellStyle name="Note 6 3 4 3 2 3" xfId="19189"/>
    <cellStyle name="Note 6 3 4 3 2 4" xfId="19190"/>
    <cellStyle name="Note 6 3 4 3 2 5" xfId="19191"/>
    <cellStyle name="Note 6 3 4 3 2 6" xfId="19192"/>
    <cellStyle name="Note 6 3 4 3 2_DeltaViewer" xfId="19193"/>
    <cellStyle name="Note 6 3 4 3 3" xfId="19194"/>
    <cellStyle name="Note 6 3 4 3 4" xfId="19195"/>
    <cellStyle name="Note 6 3 4 3 5" xfId="19196"/>
    <cellStyle name="Note 6 3 4 3 6" xfId="19197"/>
    <cellStyle name="Note 6 3 4 3 7" xfId="19198"/>
    <cellStyle name="Note 6 3 4 3_DeltaViewer" xfId="19199"/>
    <cellStyle name="Note 6 3 4 4" xfId="19200"/>
    <cellStyle name="Note 6 3 4 4 2" xfId="19201"/>
    <cellStyle name="Note 6 3 4 4 3" xfId="19202"/>
    <cellStyle name="Note 6 3 4 4 4" xfId="19203"/>
    <cellStyle name="Note 6 3 4 4 5" xfId="19204"/>
    <cellStyle name="Note 6 3 4 4 6" xfId="19205"/>
    <cellStyle name="Note 6 3 4 4_DeltaViewer" xfId="19206"/>
    <cellStyle name="Note 6 3 4 5" xfId="19207"/>
    <cellStyle name="Note 6 3 4 6" xfId="19208"/>
    <cellStyle name="Note 6 3 4 7" xfId="19209"/>
    <cellStyle name="Note 6 3 4 8" xfId="19210"/>
    <cellStyle name="Note 6 3 4 9" xfId="19211"/>
    <cellStyle name="Note 6 3 4_DeltaViewer" xfId="19212"/>
    <cellStyle name="Note 6 3 5" xfId="19213"/>
    <cellStyle name="Note 6 3 5 2" xfId="19214"/>
    <cellStyle name="Note 6 3 5 2 2" xfId="19215"/>
    <cellStyle name="Note 6 3 5 2 3" xfId="19216"/>
    <cellStyle name="Note 6 3 5 2 4" xfId="19217"/>
    <cellStyle name="Note 6 3 5 2 5" xfId="19218"/>
    <cellStyle name="Note 6 3 5 2 6" xfId="19219"/>
    <cellStyle name="Note 6 3 5 2_DeltaViewer" xfId="19220"/>
    <cellStyle name="Note 6 3 5 3" xfId="19221"/>
    <cellStyle name="Note 6 3 5 4" xfId="19222"/>
    <cellStyle name="Note 6 3 5 5" xfId="19223"/>
    <cellStyle name="Note 6 3 5 6" xfId="19224"/>
    <cellStyle name="Note 6 3 5 7" xfId="19225"/>
    <cellStyle name="Note 6 3 5_DeltaViewer" xfId="19226"/>
    <cellStyle name="Note 6 3 6" xfId="19227"/>
    <cellStyle name="Note 6 3 6 2" xfId="19228"/>
    <cellStyle name="Note 6 3 6 2 2" xfId="19229"/>
    <cellStyle name="Note 6 3 6 2 3" xfId="19230"/>
    <cellStyle name="Note 6 3 6 2 4" xfId="19231"/>
    <cellStyle name="Note 6 3 6 2 5" xfId="19232"/>
    <cellStyle name="Note 6 3 6 2 6" xfId="19233"/>
    <cellStyle name="Note 6 3 6 2_DeltaViewer" xfId="19234"/>
    <cellStyle name="Note 6 3 6 3" xfId="19235"/>
    <cellStyle name="Note 6 3 6 4" xfId="19236"/>
    <cellStyle name="Note 6 3 6 5" xfId="19237"/>
    <cellStyle name="Note 6 3 6 6" xfId="19238"/>
    <cellStyle name="Note 6 3 6 7" xfId="19239"/>
    <cellStyle name="Note 6 3 6_DeltaViewer" xfId="19240"/>
    <cellStyle name="Note 6 3 7" xfId="19241"/>
    <cellStyle name="Note 6 3 7 2" xfId="19242"/>
    <cellStyle name="Note 6 3 7 2 2" xfId="19243"/>
    <cellStyle name="Note 6 3 7 2 3" xfId="19244"/>
    <cellStyle name="Note 6 3 7 2 4" xfId="19245"/>
    <cellStyle name="Note 6 3 7 2 5" xfId="19246"/>
    <cellStyle name="Note 6 3 7 2 6" xfId="19247"/>
    <cellStyle name="Note 6 3 7 2_DeltaViewer" xfId="19248"/>
    <cellStyle name="Note 6 3 7 3" xfId="19249"/>
    <cellStyle name="Note 6 3 7 4" xfId="19250"/>
    <cellStyle name="Note 6 3 7 5" xfId="19251"/>
    <cellStyle name="Note 6 3 7 6" xfId="19252"/>
    <cellStyle name="Note 6 3 7 7" xfId="19253"/>
    <cellStyle name="Note 6 3 7_DeltaViewer" xfId="19254"/>
    <cellStyle name="Note 6 3 8" xfId="19255"/>
    <cellStyle name="Note 6 3 8 2" xfId="19256"/>
    <cellStyle name="Note 6 3 8 3" xfId="19257"/>
    <cellStyle name="Note 6 3 8 4" xfId="19258"/>
    <cellStyle name="Note 6 3 8 5" xfId="19259"/>
    <cellStyle name="Note 6 3 8 6" xfId="19260"/>
    <cellStyle name="Note 6 3 8_DeltaViewer" xfId="19261"/>
    <cellStyle name="Note 6 3 9" xfId="19262"/>
    <cellStyle name="Note 6 3_DeltaViewer" xfId="19263"/>
    <cellStyle name="Note 6 4" xfId="19264"/>
    <cellStyle name="Note 6 4 10" xfId="19265"/>
    <cellStyle name="Note 6 4 11" xfId="19266"/>
    <cellStyle name="Note 6 4 12" xfId="19267"/>
    <cellStyle name="Note 6 4 13" xfId="19268"/>
    <cellStyle name="Note 6 4 2" xfId="19269"/>
    <cellStyle name="Note 6 4 2 10" xfId="19270"/>
    <cellStyle name="Note 6 4 2 11" xfId="19271"/>
    <cellStyle name="Note 6 4 2 2" xfId="19272"/>
    <cellStyle name="Note 6 4 2 2 2" xfId="19273"/>
    <cellStyle name="Note 6 4 2 2 2 2" xfId="19274"/>
    <cellStyle name="Note 6 4 2 2 2 2 2" xfId="19275"/>
    <cellStyle name="Note 6 4 2 2 2 2 3" xfId="19276"/>
    <cellStyle name="Note 6 4 2 2 2 2 4" xfId="19277"/>
    <cellStyle name="Note 6 4 2 2 2 2 5" xfId="19278"/>
    <cellStyle name="Note 6 4 2 2 2 2 6" xfId="19279"/>
    <cellStyle name="Note 6 4 2 2 2 2_DeltaViewer" xfId="19280"/>
    <cellStyle name="Note 6 4 2 2 2 3" xfId="19281"/>
    <cellStyle name="Note 6 4 2 2 2 4" xfId="19282"/>
    <cellStyle name="Note 6 4 2 2 2 5" xfId="19283"/>
    <cellStyle name="Note 6 4 2 2 2 6" xfId="19284"/>
    <cellStyle name="Note 6 4 2 2 2 7" xfId="19285"/>
    <cellStyle name="Note 6 4 2 2 2_DeltaViewer" xfId="19286"/>
    <cellStyle name="Note 6 4 2 2 3" xfId="19287"/>
    <cellStyle name="Note 6 4 2 2 3 2" xfId="19288"/>
    <cellStyle name="Note 6 4 2 2 3 3" xfId="19289"/>
    <cellStyle name="Note 6 4 2 2 3 4" xfId="19290"/>
    <cellStyle name="Note 6 4 2 2 3 5" xfId="19291"/>
    <cellStyle name="Note 6 4 2 2 3 6" xfId="19292"/>
    <cellStyle name="Note 6 4 2 2 3_DeltaViewer" xfId="19293"/>
    <cellStyle name="Note 6 4 2 2 4" xfId="19294"/>
    <cellStyle name="Note 6 4 2 2 5" xfId="19295"/>
    <cellStyle name="Note 6 4 2 2 6" xfId="19296"/>
    <cellStyle name="Note 6 4 2 2 7" xfId="19297"/>
    <cellStyle name="Note 6 4 2 2 8" xfId="19298"/>
    <cellStyle name="Note 6 4 2 2_DeltaViewer" xfId="19299"/>
    <cellStyle name="Note 6 4 2 3" xfId="19300"/>
    <cellStyle name="Note 6 4 2 3 2" xfId="19301"/>
    <cellStyle name="Note 6 4 2 3 2 2" xfId="19302"/>
    <cellStyle name="Note 6 4 2 3 2 2 2" xfId="19303"/>
    <cellStyle name="Note 6 4 2 3 2 2 3" xfId="19304"/>
    <cellStyle name="Note 6 4 2 3 2 2 4" xfId="19305"/>
    <cellStyle name="Note 6 4 2 3 2 2 5" xfId="19306"/>
    <cellStyle name="Note 6 4 2 3 2 2 6" xfId="19307"/>
    <cellStyle name="Note 6 4 2 3 2 2_DeltaViewer" xfId="19308"/>
    <cellStyle name="Note 6 4 2 3 2 3" xfId="19309"/>
    <cellStyle name="Note 6 4 2 3 2 4" xfId="19310"/>
    <cellStyle name="Note 6 4 2 3 2 5" xfId="19311"/>
    <cellStyle name="Note 6 4 2 3 2 6" xfId="19312"/>
    <cellStyle name="Note 6 4 2 3 2 7" xfId="19313"/>
    <cellStyle name="Note 6 4 2 3 2_DeltaViewer" xfId="19314"/>
    <cellStyle name="Note 6 4 2 3 3" xfId="19315"/>
    <cellStyle name="Note 6 4 2 3 3 2" xfId="19316"/>
    <cellStyle name="Note 6 4 2 3 3 3" xfId="19317"/>
    <cellStyle name="Note 6 4 2 3 3 4" xfId="19318"/>
    <cellStyle name="Note 6 4 2 3 3 5" xfId="19319"/>
    <cellStyle name="Note 6 4 2 3 3 6" xfId="19320"/>
    <cellStyle name="Note 6 4 2 3 3_DeltaViewer" xfId="19321"/>
    <cellStyle name="Note 6 4 2 3 4" xfId="19322"/>
    <cellStyle name="Note 6 4 2 3 5" xfId="19323"/>
    <cellStyle name="Note 6 4 2 3 6" xfId="19324"/>
    <cellStyle name="Note 6 4 2 3 7" xfId="19325"/>
    <cellStyle name="Note 6 4 2 3 8" xfId="19326"/>
    <cellStyle name="Note 6 4 2 3_DeltaViewer" xfId="19327"/>
    <cellStyle name="Note 6 4 2 4" xfId="19328"/>
    <cellStyle name="Note 6 4 2 4 2" xfId="19329"/>
    <cellStyle name="Note 6 4 2 4 2 2" xfId="19330"/>
    <cellStyle name="Note 6 4 2 4 2 3" xfId="19331"/>
    <cellStyle name="Note 6 4 2 4 2 4" xfId="19332"/>
    <cellStyle name="Note 6 4 2 4 2 5" xfId="19333"/>
    <cellStyle name="Note 6 4 2 4 2 6" xfId="19334"/>
    <cellStyle name="Note 6 4 2 4 2_DeltaViewer" xfId="19335"/>
    <cellStyle name="Note 6 4 2 4 3" xfId="19336"/>
    <cellStyle name="Note 6 4 2 4 4" xfId="19337"/>
    <cellStyle name="Note 6 4 2 4 5" xfId="19338"/>
    <cellStyle name="Note 6 4 2 4 6" xfId="19339"/>
    <cellStyle name="Note 6 4 2 4 7" xfId="19340"/>
    <cellStyle name="Note 6 4 2 4_DeltaViewer" xfId="19341"/>
    <cellStyle name="Note 6 4 2 5" xfId="19342"/>
    <cellStyle name="Note 6 4 2 5 2" xfId="19343"/>
    <cellStyle name="Note 6 4 2 5 2 2" xfId="19344"/>
    <cellStyle name="Note 6 4 2 5 2 3" xfId="19345"/>
    <cellStyle name="Note 6 4 2 5 2 4" xfId="19346"/>
    <cellStyle name="Note 6 4 2 5 2 5" xfId="19347"/>
    <cellStyle name="Note 6 4 2 5 2 6" xfId="19348"/>
    <cellStyle name="Note 6 4 2 5 2_DeltaViewer" xfId="19349"/>
    <cellStyle name="Note 6 4 2 5 3" xfId="19350"/>
    <cellStyle name="Note 6 4 2 5 4" xfId="19351"/>
    <cellStyle name="Note 6 4 2 5 5" xfId="19352"/>
    <cellStyle name="Note 6 4 2 5 6" xfId="19353"/>
    <cellStyle name="Note 6 4 2 5 7" xfId="19354"/>
    <cellStyle name="Note 6 4 2 5_DeltaViewer" xfId="19355"/>
    <cellStyle name="Note 6 4 2 6" xfId="19356"/>
    <cellStyle name="Note 6 4 2 6 2" xfId="19357"/>
    <cellStyle name="Note 6 4 2 6 3" xfId="19358"/>
    <cellStyle name="Note 6 4 2 6 4" xfId="19359"/>
    <cellStyle name="Note 6 4 2 6 5" xfId="19360"/>
    <cellStyle name="Note 6 4 2 6 6" xfId="19361"/>
    <cellStyle name="Note 6 4 2 6_DeltaViewer" xfId="19362"/>
    <cellStyle name="Note 6 4 2 7" xfId="19363"/>
    <cellStyle name="Note 6 4 2 8" xfId="19364"/>
    <cellStyle name="Note 6 4 2 9" xfId="19365"/>
    <cellStyle name="Note 6 4 2_DeltaViewer" xfId="19366"/>
    <cellStyle name="Note 6 4 3" xfId="19367"/>
    <cellStyle name="Note 6 4 3 2" xfId="19368"/>
    <cellStyle name="Note 6 4 3 2 2" xfId="19369"/>
    <cellStyle name="Note 6 4 3 2 2 2" xfId="19370"/>
    <cellStyle name="Note 6 4 3 2 2 3" xfId="19371"/>
    <cellStyle name="Note 6 4 3 2 2 4" xfId="19372"/>
    <cellStyle name="Note 6 4 3 2 2 5" xfId="19373"/>
    <cellStyle name="Note 6 4 3 2 2 6" xfId="19374"/>
    <cellStyle name="Note 6 4 3 2 2_DeltaViewer" xfId="19375"/>
    <cellStyle name="Note 6 4 3 2 3" xfId="19376"/>
    <cellStyle name="Note 6 4 3 2 4" xfId="19377"/>
    <cellStyle name="Note 6 4 3 2 5" xfId="19378"/>
    <cellStyle name="Note 6 4 3 2 6" xfId="19379"/>
    <cellStyle name="Note 6 4 3 2 7" xfId="19380"/>
    <cellStyle name="Note 6 4 3 2_DeltaViewer" xfId="19381"/>
    <cellStyle name="Note 6 4 3 3" xfId="19382"/>
    <cellStyle name="Note 6 4 3 3 2" xfId="19383"/>
    <cellStyle name="Note 6 4 3 3 2 2" xfId="19384"/>
    <cellStyle name="Note 6 4 3 3 2 3" xfId="19385"/>
    <cellStyle name="Note 6 4 3 3 2 4" xfId="19386"/>
    <cellStyle name="Note 6 4 3 3 2 5" xfId="19387"/>
    <cellStyle name="Note 6 4 3 3 2 6" xfId="19388"/>
    <cellStyle name="Note 6 4 3 3 2_DeltaViewer" xfId="19389"/>
    <cellStyle name="Note 6 4 3 3 3" xfId="19390"/>
    <cellStyle name="Note 6 4 3 3 4" xfId="19391"/>
    <cellStyle name="Note 6 4 3 3 5" xfId="19392"/>
    <cellStyle name="Note 6 4 3 3 6" xfId="19393"/>
    <cellStyle name="Note 6 4 3 3 7" xfId="19394"/>
    <cellStyle name="Note 6 4 3 3_DeltaViewer" xfId="19395"/>
    <cellStyle name="Note 6 4 3 4" xfId="19396"/>
    <cellStyle name="Note 6 4 3 4 2" xfId="19397"/>
    <cellStyle name="Note 6 4 3 4 3" xfId="19398"/>
    <cellStyle name="Note 6 4 3 4 4" xfId="19399"/>
    <cellStyle name="Note 6 4 3 4 5" xfId="19400"/>
    <cellStyle name="Note 6 4 3 4 6" xfId="19401"/>
    <cellStyle name="Note 6 4 3 4_DeltaViewer" xfId="19402"/>
    <cellStyle name="Note 6 4 3 5" xfId="19403"/>
    <cellStyle name="Note 6 4 3 6" xfId="19404"/>
    <cellStyle name="Note 6 4 3 7" xfId="19405"/>
    <cellStyle name="Note 6 4 3 8" xfId="19406"/>
    <cellStyle name="Note 6 4 3 9" xfId="19407"/>
    <cellStyle name="Note 6 4 3_DeltaViewer" xfId="19408"/>
    <cellStyle name="Note 6 4 4" xfId="19409"/>
    <cellStyle name="Note 6 4 4 2" xfId="19410"/>
    <cellStyle name="Note 6 4 4 2 2" xfId="19411"/>
    <cellStyle name="Note 6 4 4 2 2 2" xfId="19412"/>
    <cellStyle name="Note 6 4 4 2 2 3" xfId="19413"/>
    <cellStyle name="Note 6 4 4 2 2 4" xfId="19414"/>
    <cellStyle name="Note 6 4 4 2 2 5" xfId="19415"/>
    <cellStyle name="Note 6 4 4 2 2 6" xfId="19416"/>
    <cellStyle name="Note 6 4 4 2 2_DeltaViewer" xfId="19417"/>
    <cellStyle name="Note 6 4 4 2 3" xfId="19418"/>
    <cellStyle name="Note 6 4 4 2 4" xfId="19419"/>
    <cellStyle name="Note 6 4 4 2 5" xfId="19420"/>
    <cellStyle name="Note 6 4 4 2 6" xfId="19421"/>
    <cellStyle name="Note 6 4 4 2 7" xfId="19422"/>
    <cellStyle name="Note 6 4 4 2_DeltaViewer" xfId="19423"/>
    <cellStyle name="Note 6 4 4 3" xfId="19424"/>
    <cellStyle name="Note 6 4 4 3 2" xfId="19425"/>
    <cellStyle name="Note 6 4 4 3 2 2" xfId="19426"/>
    <cellStyle name="Note 6 4 4 3 2 3" xfId="19427"/>
    <cellStyle name="Note 6 4 4 3 2 4" xfId="19428"/>
    <cellStyle name="Note 6 4 4 3 2 5" xfId="19429"/>
    <cellStyle name="Note 6 4 4 3 2 6" xfId="19430"/>
    <cellStyle name="Note 6 4 4 3 2_DeltaViewer" xfId="19431"/>
    <cellStyle name="Note 6 4 4 3 3" xfId="19432"/>
    <cellStyle name="Note 6 4 4 3 4" xfId="19433"/>
    <cellStyle name="Note 6 4 4 3 5" xfId="19434"/>
    <cellStyle name="Note 6 4 4 3 6" xfId="19435"/>
    <cellStyle name="Note 6 4 4 3 7" xfId="19436"/>
    <cellStyle name="Note 6 4 4 3_DeltaViewer" xfId="19437"/>
    <cellStyle name="Note 6 4 4 4" xfId="19438"/>
    <cellStyle name="Note 6 4 4 4 2" xfId="19439"/>
    <cellStyle name="Note 6 4 4 4 3" xfId="19440"/>
    <cellStyle name="Note 6 4 4 4 4" xfId="19441"/>
    <cellStyle name="Note 6 4 4 4 5" xfId="19442"/>
    <cellStyle name="Note 6 4 4 4 6" xfId="19443"/>
    <cellStyle name="Note 6 4 4 4_DeltaViewer" xfId="19444"/>
    <cellStyle name="Note 6 4 4 5" xfId="19445"/>
    <cellStyle name="Note 6 4 4 6" xfId="19446"/>
    <cellStyle name="Note 6 4 4 7" xfId="19447"/>
    <cellStyle name="Note 6 4 4 8" xfId="19448"/>
    <cellStyle name="Note 6 4 4 9" xfId="19449"/>
    <cellStyle name="Note 6 4 4_DeltaViewer" xfId="19450"/>
    <cellStyle name="Note 6 4 5" xfId="19451"/>
    <cellStyle name="Note 6 4 5 2" xfId="19452"/>
    <cellStyle name="Note 6 4 5 2 2" xfId="19453"/>
    <cellStyle name="Note 6 4 5 2 3" xfId="19454"/>
    <cellStyle name="Note 6 4 5 2 4" xfId="19455"/>
    <cellStyle name="Note 6 4 5 2 5" xfId="19456"/>
    <cellStyle name="Note 6 4 5 2 6" xfId="19457"/>
    <cellStyle name="Note 6 4 5 2_DeltaViewer" xfId="19458"/>
    <cellStyle name="Note 6 4 5 3" xfId="19459"/>
    <cellStyle name="Note 6 4 5 4" xfId="19460"/>
    <cellStyle name="Note 6 4 5 5" xfId="19461"/>
    <cellStyle name="Note 6 4 5 6" xfId="19462"/>
    <cellStyle name="Note 6 4 5 7" xfId="19463"/>
    <cellStyle name="Note 6 4 5_DeltaViewer" xfId="19464"/>
    <cellStyle name="Note 6 4 6" xfId="19465"/>
    <cellStyle name="Note 6 4 6 2" xfId="19466"/>
    <cellStyle name="Note 6 4 6 2 2" xfId="19467"/>
    <cellStyle name="Note 6 4 6 2 3" xfId="19468"/>
    <cellStyle name="Note 6 4 6 2 4" xfId="19469"/>
    <cellStyle name="Note 6 4 6 2 5" xfId="19470"/>
    <cellStyle name="Note 6 4 6 2 6" xfId="19471"/>
    <cellStyle name="Note 6 4 6 2_DeltaViewer" xfId="19472"/>
    <cellStyle name="Note 6 4 6 3" xfId="19473"/>
    <cellStyle name="Note 6 4 6 4" xfId="19474"/>
    <cellStyle name="Note 6 4 6 5" xfId="19475"/>
    <cellStyle name="Note 6 4 6 6" xfId="19476"/>
    <cellStyle name="Note 6 4 6 7" xfId="19477"/>
    <cellStyle name="Note 6 4 6_DeltaViewer" xfId="19478"/>
    <cellStyle name="Note 6 4 7" xfId="19479"/>
    <cellStyle name="Note 6 4 7 2" xfId="19480"/>
    <cellStyle name="Note 6 4 7 2 2" xfId="19481"/>
    <cellStyle name="Note 6 4 7 2 3" xfId="19482"/>
    <cellStyle name="Note 6 4 7 2 4" xfId="19483"/>
    <cellStyle name="Note 6 4 7 2 5" xfId="19484"/>
    <cellStyle name="Note 6 4 7 2 6" xfId="19485"/>
    <cellStyle name="Note 6 4 7 2_DeltaViewer" xfId="19486"/>
    <cellStyle name="Note 6 4 7 3" xfId="19487"/>
    <cellStyle name="Note 6 4 7 4" xfId="19488"/>
    <cellStyle name="Note 6 4 7 5" xfId="19489"/>
    <cellStyle name="Note 6 4 7 6" xfId="19490"/>
    <cellStyle name="Note 6 4 7 7" xfId="19491"/>
    <cellStyle name="Note 6 4 7_DeltaViewer" xfId="19492"/>
    <cellStyle name="Note 6 4 8" xfId="19493"/>
    <cellStyle name="Note 6 4 8 2" xfId="19494"/>
    <cellStyle name="Note 6 4 8 3" xfId="19495"/>
    <cellStyle name="Note 6 4 8 4" xfId="19496"/>
    <cellStyle name="Note 6 4 8 5" xfId="19497"/>
    <cellStyle name="Note 6 4 8 6" xfId="19498"/>
    <cellStyle name="Note 6 4 8_DeltaViewer" xfId="19499"/>
    <cellStyle name="Note 6 4 9" xfId="19500"/>
    <cellStyle name="Note 6 4_DeltaViewer" xfId="19501"/>
    <cellStyle name="Note 6 5" xfId="19502"/>
    <cellStyle name="Note 6 5 10" xfId="19503"/>
    <cellStyle name="Note 6 5 11" xfId="19504"/>
    <cellStyle name="Note 6 5 12" xfId="19505"/>
    <cellStyle name="Note 6 5 2" xfId="19506"/>
    <cellStyle name="Note 6 5 2 10" xfId="19507"/>
    <cellStyle name="Note 6 5 2 11" xfId="19508"/>
    <cellStyle name="Note 6 5 2 2" xfId="19509"/>
    <cellStyle name="Note 6 5 2 2 2" xfId="19510"/>
    <cellStyle name="Note 6 5 2 2 2 2" xfId="19511"/>
    <cellStyle name="Note 6 5 2 2 2 2 2" xfId="19512"/>
    <cellStyle name="Note 6 5 2 2 2 2 3" xfId="19513"/>
    <cellStyle name="Note 6 5 2 2 2 2 4" xfId="19514"/>
    <cellStyle name="Note 6 5 2 2 2 2 5" xfId="19515"/>
    <cellStyle name="Note 6 5 2 2 2 2 6" xfId="19516"/>
    <cellStyle name="Note 6 5 2 2 2 2_DeltaViewer" xfId="19517"/>
    <cellStyle name="Note 6 5 2 2 2 3" xfId="19518"/>
    <cellStyle name="Note 6 5 2 2 2 4" xfId="19519"/>
    <cellStyle name="Note 6 5 2 2 2 5" xfId="19520"/>
    <cellStyle name="Note 6 5 2 2 2 6" xfId="19521"/>
    <cellStyle name="Note 6 5 2 2 2 7" xfId="19522"/>
    <cellStyle name="Note 6 5 2 2 2_DeltaViewer" xfId="19523"/>
    <cellStyle name="Note 6 5 2 2 3" xfId="19524"/>
    <cellStyle name="Note 6 5 2 2 3 2" xfId="19525"/>
    <cellStyle name="Note 6 5 2 2 3 3" xfId="19526"/>
    <cellStyle name="Note 6 5 2 2 3 4" xfId="19527"/>
    <cellStyle name="Note 6 5 2 2 3 5" xfId="19528"/>
    <cellStyle name="Note 6 5 2 2 3 6" xfId="19529"/>
    <cellStyle name="Note 6 5 2 2 3_DeltaViewer" xfId="19530"/>
    <cellStyle name="Note 6 5 2 2 4" xfId="19531"/>
    <cellStyle name="Note 6 5 2 2 5" xfId="19532"/>
    <cellStyle name="Note 6 5 2 2 6" xfId="19533"/>
    <cellStyle name="Note 6 5 2 2 7" xfId="19534"/>
    <cellStyle name="Note 6 5 2 2 8" xfId="19535"/>
    <cellStyle name="Note 6 5 2 2_DeltaViewer" xfId="19536"/>
    <cellStyle name="Note 6 5 2 3" xfId="19537"/>
    <cellStyle name="Note 6 5 2 3 2" xfId="19538"/>
    <cellStyle name="Note 6 5 2 3 2 2" xfId="19539"/>
    <cellStyle name="Note 6 5 2 3 2 2 2" xfId="19540"/>
    <cellStyle name="Note 6 5 2 3 2 2 3" xfId="19541"/>
    <cellStyle name="Note 6 5 2 3 2 2 4" xfId="19542"/>
    <cellStyle name="Note 6 5 2 3 2 2 5" xfId="19543"/>
    <cellStyle name="Note 6 5 2 3 2 2 6" xfId="19544"/>
    <cellStyle name="Note 6 5 2 3 2 2_DeltaViewer" xfId="19545"/>
    <cellStyle name="Note 6 5 2 3 2 3" xfId="19546"/>
    <cellStyle name="Note 6 5 2 3 2 4" xfId="19547"/>
    <cellStyle name="Note 6 5 2 3 2 5" xfId="19548"/>
    <cellStyle name="Note 6 5 2 3 2 6" xfId="19549"/>
    <cellStyle name="Note 6 5 2 3 2 7" xfId="19550"/>
    <cellStyle name="Note 6 5 2 3 2_DeltaViewer" xfId="19551"/>
    <cellStyle name="Note 6 5 2 3 3" xfId="19552"/>
    <cellStyle name="Note 6 5 2 3 3 2" xfId="19553"/>
    <cellStyle name="Note 6 5 2 3 3 3" xfId="19554"/>
    <cellStyle name="Note 6 5 2 3 3 4" xfId="19555"/>
    <cellStyle name="Note 6 5 2 3 3 5" xfId="19556"/>
    <cellStyle name="Note 6 5 2 3 3 6" xfId="19557"/>
    <cellStyle name="Note 6 5 2 3 3_DeltaViewer" xfId="19558"/>
    <cellStyle name="Note 6 5 2 3 4" xfId="19559"/>
    <cellStyle name="Note 6 5 2 3 5" xfId="19560"/>
    <cellStyle name="Note 6 5 2 3 6" xfId="19561"/>
    <cellStyle name="Note 6 5 2 3 7" xfId="19562"/>
    <cellStyle name="Note 6 5 2 3 8" xfId="19563"/>
    <cellStyle name="Note 6 5 2 3_DeltaViewer" xfId="19564"/>
    <cellStyle name="Note 6 5 2 4" xfId="19565"/>
    <cellStyle name="Note 6 5 2 4 2" xfId="19566"/>
    <cellStyle name="Note 6 5 2 4 2 2" xfId="19567"/>
    <cellStyle name="Note 6 5 2 4 2 3" xfId="19568"/>
    <cellStyle name="Note 6 5 2 4 2 4" xfId="19569"/>
    <cellStyle name="Note 6 5 2 4 2 5" xfId="19570"/>
    <cellStyle name="Note 6 5 2 4 2 6" xfId="19571"/>
    <cellStyle name="Note 6 5 2 4 2_DeltaViewer" xfId="19572"/>
    <cellStyle name="Note 6 5 2 4 3" xfId="19573"/>
    <cellStyle name="Note 6 5 2 4 4" xfId="19574"/>
    <cellStyle name="Note 6 5 2 4 5" xfId="19575"/>
    <cellStyle name="Note 6 5 2 4 6" xfId="19576"/>
    <cellStyle name="Note 6 5 2 4 7" xfId="19577"/>
    <cellStyle name="Note 6 5 2 4_DeltaViewer" xfId="19578"/>
    <cellStyle name="Note 6 5 2 5" xfId="19579"/>
    <cellStyle name="Note 6 5 2 5 2" xfId="19580"/>
    <cellStyle name="Note 6 5 2 5 2 2" xfId="19581"/>
    <cellStyle name="Note 6 5 2 5 2 3" xfId="19582"/>
    <cellStyle name="Note 6 5 2 5 2 4" xfId="19583"/>
    <cellStyle name="Note 6 5 2 5 2 5" xfId="19584"/>
    <cellStyle name="Note 6 5 2 5 2 6" xfId="19585"/>
    <cellStyle name="Note 6 5 2 5 2_DeltaViewer" xfId="19586"/>
    <cellStyle name="Note 6 5 2 5 3" xfId="19587"/>
    <cellStyle name="Note 6 5 2 5 4" xfId="19588"/>
    <cellStyle name="Note 6 5 2 5 5" xfId="19589"/>
    <cellStyle name="Note 6 5 2 5 6" xfId="19590"/>
    <cellStyle name="Note 6 5 2 5 7" xfId="19591"/>
    <cellStyle name="Note 6 5 2 5_DeltaViewer" xfId="19592"/>
    <cellStyle name="Note 6 5 2 6" xfId="19593"/>
    <cellStyle name="Note 6 5 2 6 2" xfId="19594"/>
    <cellStyle name="Note 6 5 2 6 3" xfId="19595"/>
    <cellStyle name="Note 6 5 2 6 4" xfId="19596"/>
    <cellStyle name="Note 6 5 2 6 5" xfId="19597"/>
    <cellStyle name="Note 6 5 2 6 6" xfId="19598"/>
    <cellStyle name="Note 6 5 2 6_DeltaViewer" xfId="19599"/>
    <cellStyle name="Note 6 5 2 7" xfId="19600"/>
    <cellStyle name="Note 6 5 2 8" xfId="19601"/>
    <cellStyle name="Note 6 5 2 9" xfId="19602"/>
    <cellStyle name="Note 6 5 2_DeltaViewer" xfId="19603"/>
    <cellStyle name="Note 6 5 3" xfId="19604"/>
    <cellStyle name="Note 6 5 3 2" xfId="19605"/>
    <cellStyle name="Note 6 5 3 2 2" xfId="19606"/>
    <cellStyle name="Note 6 5 3 2 2 2" xfId="19607"/>
    <cellStyle name="Note 6 5 3 2 2 3" xfId="19608"/>
    <cellStyle name="Note 6 5 3 2 2 4" xfId="19609"/>
    <cellStyle name="Note 6 5 3 2 2 5" xfId="19610"/>
    <cellStyle name="Note 6 5 3 2 2 6" xfId="19611"/>
    <cellStyle name="Note 6 5 3 2 2_DeltaViewer" xfId="19612"/>
    <cellStyle name="Note 6 5 3 2 3" xfId="19613"/>
    <cellStyle name="Note 6 5 3 2 4" xfId="19614"/>
    <cellStyle name="Note 6 5 3 2 5" xfId="19615"/>
    <cellStyle name="Note 6 5 3 2 6" xfId="19616"/>
    <cellStyle name="Note 6 5 3 2 7" xfId="19617"/>
    <cellStyle name="Note 6 5 3 2_DeltaViewer" xfId="19618"/>
    <cellStyle name="Note 6 5 3 3" xfId="19619"/>
    <cellStyle name="Note 6 5 3 3 2" xfId="19620"/>
    <cellStyle name="Note 6 5 3 3 3" xfId="19621"/>
    <cellStyle name="Note 6 5 3 3 4" xfId="19622"/>
    <cellStyle name="Note 6 5 3 3 5" xfId="19623"/>
    <cellStyle name="Note 6 5 3 3 6" xfId="19624"/>
    <cellStyle name="Note 6 5 3 3_DeltaViewer" xfId="19625"/>
    <cellStyle name="Note 6 5 3 4" xfId="19626"/>
    <cellStyle name="Note 6 5 3 5" xfId="19627"/>
    <cellStyle name="Note 6 5 3 6" xfId="19628"/>
    <cellStyle name="Note 6 5 3 7" xfId="19629"/>
    <cellStyle name="Note 6 5 3 8" xfId="19630"/>
    <cellStyle name="Note 6 5 3_DeltaViewer" xfId="19631"/>
    <cellStyle name="Note 6 5 4" xfId="19632"/>
    <cellStyle name="Note 6 5 4 2" xfId="19633"/>
    <cellStyle name="Note 6 5 4 2 2" xfId="19634"/>
    <cellStyle name="Note 6 5 4 2 2 2" xfId="19635"/>
    <cellStyle name="Note 6 5 4 2 2 3" xfId="19636"/>
    <cellStyle name="Note 6 5 4 2 2 4" xfId="19637"/>
    <cellStyle name="Note 6 5 4 2 2 5" xfId="19638"/>
    <cellStyle name="Note 6 5 4 2 2 6" xfId="19639"/>
    <cellStyle name="Note 6 5 4 2 2_DeltaViewer" xfId="19640"/>
    <cellStyle name="Note 6 5 4 2 3" xfId="19641"/>
    <cellStyle name="Note 6 5 4 2 4" xfId="19642"/>
    <cellStyle name="Note 6 5 4 2 5" xfId="19643"/>
    <cellStyle name="Note 6 5 4 2 6" xfId="19644"/>
    <cellStyle name="Note 6 5 4 2 7" xfId="19645"/>
    <cellStyle name="Note 6 5 4 2_DeltaViewer" xfId="19646"/>
    <cellStyle name="Note 6 5 4 3" xfId="19647"/>
    <cellStyle name="Note 6 5 4 3 2" xfId="19648"/>
    <cellStyle name="Note 6 5 4 3 3" xfId="19649"/>
    <cellStyle name="Note 6 5 4 3 4" xfId="19650"/>
    <cellStyle name="Note 6 5 4 3 5" xfId="19651"/>
    <cellStyle name="Note 6 5 4 3 6" xfId="19652"/>
    <cellStyle name="Note 6 5 4 3_DeltaViewer" xfId="19653"/>
    <cellStyle name="Note 6 5 4 4" xfId="19654"/>
    <cellStyle name="Note 6 5 4 5" xfId="19655"/>
    <cellStyle name="Note 6 5 4 6" xfId="19656"/>
    <cellStyle name="Note 6 5 4 7" xfId="19657"/>
    <cellStyle name="Note 6 5 4 8" xfId="19658"/>
    <cellStyle name="Note 6 5 4_DeltaViewer" xfId="19659"/>
    <cellStyle name="Note 6 5 5" xfId="19660"/>
    <cellStyle name="Note 6 5 5 2" xfId="19661"/>
    <cellStyle name="Note 6 5 5 2 2" xfId="19662"/>
    <cellStyle name="Note 6 5 5 2 3" xfId="19663"/>
    <cellStyle name="Note 6 5 5 2 4" xfId="19664"/>
    <cellStyle name="Note 6 5 5 2 5" xfId="19665"/>
    <cellStyle name="Note 6 5 5 2 6" xfId="19666"/>
    <cellStyle name="Note 6 5 5 2_DeltaViewer" xfId="19667"/>
    <cellStyle name="Note 6 5 5 3" xfId="19668"/>
    <cellStyle name="Note 6 5 5 4" xfId="19669"/>
    <cellStyle name="Note 6 5 5 5" xfId="19670"/>
    <cellStyle name="Note 6 5 5 6" xfId="19671"/>
    <cellStyle name="Note 6 5 5 7" xfId="19672"/>
    <cellStyle name="Note 6 5 5_DeltaViewer" xfId="19673"/>
    <cellStyle name="Note 6 5 6" xfId="19674"/>
    <cellStyle name="Note 6 5 6 2" xfId="19675"/>
    <cellStyle name="Note 6 5 6 2 2" xfId="19676"/>
    <cellStyle name="Note 6 5 6 2 3" xfId="19677"/>
    <cellStyle name="Note 6 5 6 2 4" xfId="19678"/>
    <cellStyle name="Note 6 5 6 2 5" xfId="19679"/>
    <cellStyle name="Note 6 5 6 2 6" xfId="19680"/>
    <cellStyle name="Note 6 5 6 2_DeltaViewer" xfId="19681"/>
    <cellStyle name="Note 6 5 6 3" xfId="19682"/>
    <cellStyle name="Note 6 5 6 4" xfId="19683"/>
    <cellStyle name="Note 6 5 6 5" xfId="19684"/>
    <cellStyle name="Note 6 5 6 6" xfId="19685"/>
    <cellStyle name="Note 6 5 6 7" xfId="19686"/>
    <cellStyle name="Note 6 5 6_DeltaViewer" xfId="19687"/>
    <cellStyle name="Note 6 5 7" xfId="19688"/>
    <cellStyle name="Note 6 5 7 2" xfId="19689"/>
    <cellStyle name="Note 6 5 7 3" xfId="19690"/>
    <cellStyle name="Note 6 5 7 4" xfId="19691"/>
    <cellStyle name="Note 6 5 7 5" xfId="19692"/>
    <cellStyle name="Note 6 5 7 6" xfId="19693"/>
    <cellStyle name="Note 6 5 7_DeltaViewer" xfId="19694"/>
    <cellStyle name="Note 6 5 8" xfId="19695"/>
    <cellStyle name="Note 6 5 9" xfId="19696"/>
    <cellStyle name="Note 6 5_DeltaViewer" xfId="19697"/>
    <cellStyle name="Note 6 6" xfId="19698"/>
    <cellStyle name="Note 6 6 10" xfId="19699"/>
    <cellStyle name="Note 6 6 11" xfId="19700"/>
    <cellStyle name="Note 6 6 2" xfId="19701"/>
    <cellStyle name="Note 6 6 2 2" xfId="19702"/>
    <cellStyle name="Note 6 6 2 2 2" xfId="19703"/>
    <cellStyle name="Note 6 6 2 2 2 2" xfId="19704"/>
    <cellStyle name="Note 6 6 2 2 2 3" xfId="19705"/>
    <cellStyle name="Note 6 6 2 2 2 4" xfId="19706"/>
    <cellStyle name="Note 6 6 2 2 2 5" xfId="19707"/>
    <cellStyle name="Note 6 6 2 2 2 6" xfId="19708"/>
    <cellStyle name="Note 6 6 2 2 2_DeltaViewer" xfId="19709"/>
    <cellStyle name="Note 6 6 2 2 3" xfId="19710"/>
    <cellStyle name="Note 6 6 2 2 4" xfId="19711"/>
    <cellStyle name="Note 6 6 2 2 5" xfId="19712"/>
    <cellStyle name="Note 6 6 2 2 6" xfId="19713"/>
    <cellStyle name="Note 6 6 2 2 7" xfId="19714"/>
    <cellStyle name="Note 6 6 2 2_DeltaViewer" xfId="19715"/>
    <cellStyle name="Note 6 6 2 3" xfId="19716"/>
    <cellStyle name="Note 6 6 2 3 2" xfId="19717"/>
    <cellStyle name="Note 6 6 2 3 3" xfId="19718"/>
    <cellStyle name="Note 6 6 2 3 4" xfId="19719"/>
    <cellStyle name="Note 6 6 2 3 5" xfId="19720"/>
    <cellStyle name="Note 6 6 2 3 6" xfId="19721"/>
    <cellStyle name="Note 6 6 2 3_DeltaViewer" xfId="19722"/>
    <cellStyle name="Note 6 6 2 4" xfId="19723"/>
    <cellStyle name="Note 6 6 2 5" xfId="19724"/>
    <cellStyle name="Note 6 6 2 6" xfId="19725"/>
    <cellStyle name="Note 6 6 2 7" xfId="19726"/>
    <cellStyle name="Note 6 6 2 8" xfId="19727"/>
    <cellStyle name="Note 6 6 2_DeltaViewer" xfId="19728"/>
    <cellStyle name="Note 6 6 3" xfId="19729"/>
    <cellStyle name="Note 6 6 3 2" xfId="19730"/>
    <cellStyle name="Note 6 6 3 2 2" xfId="19731"/>
    <cellStyle name="Note 6 6 3 2 2 2" xfId="19732"/>
    <cellStyle name="Note 6 6 3 2 2 3" xfId="19733"/>
    <cellStyle name="Note 6 6 3 2 2 4" xfId="19734"/>
    <cellStyle name="Note 6 6 3 2 2 5" xfId="19735"/>
    <cellStyle name="Note 6 6 3 2 2 6" xfId="19736"/>
    <cellStyle name="Note 6 6 3 2 2_DeltaViewer" xfId="19737"/>
    <cellStyle name="Note 6 6 3 2 3" xfId="19738"/>
    <cellStyle name="Note 6 6 3 2 4" xfId="19739"/>
    <cellStyle name="Note 6 6 3 2 5" xfId="19740"/>
    <cellStyle name="Note 6 6 3 2 6" xfId="19741"/>
    <cellStyle name="Note 6 6 3 2 7" xfId="19742"/>
    <cellStyle name="Note 6 6 3 2_DeltaViewer" xfId="19743"/>
    <cellStyle name="Note 6 6 3 3" xfId="19744"/>
    <cellStyle name="Note 6 6 3 3 2" xfId="19745"/>
    <cellStyle name="Note 6 6 3 3 3" xfId="19746"/>
    <cellStyle name="Note 6 6 3 3 4" xfId="19747"/>
    <cellStyle name="Note 6 6 3 3 5" xfId="19748"/>
    <cellStyle name="Note 6 6 3 3 6" xfId="19749"/>
    <cellStyle name="Note 6 6 3 3_DeltaViewer" xfId="19750"/>
    <cellStyle name="Note 6 6 3 4" xfId="19751"/>
    <cellStyle name="Note 6 6 3 5" xfId="19752"/>
    <cellStyle name="Note 6 6 3 6" xfId="19753"/>
    <cellStyle name="Note 6 6 3 7" xfId="19754"/>
    <cellStyle name="Note 6 6 3 8" xfId="19755"/>
    <cellStyle name="Note 6 6 3_DeltaViewer" xfId="19756"/>
    <cellStyle name="Note 6 6 4" xfId="19757"/>
    <cellStyle name="Note 6 6 4 2" xfId="19758"/>
    <cellStyle name="Note 6 6 4 2 2" xfId="19759"/>
    <cellStyle name="Note 6 6 4 2 3" xfId="19760"/>
    <cellStyle name="Note 6 6 4 2 4" xfId="19761"/>
    <cellStyle name="Note 6 6 4 2 5" xfId="19762"/>
    <cellStyle name="Note 6 6 4 2 6" xfId="19763"/>
    <cellStyle name="Note 6 6 4 2_DeltaViewer" xfId="19764"/>
    <cellStyle name="Note 6 6 4 3" xfId="19765"/>
    <cellStyle name="Note 6 6 4 4" xfId="19766"/>
    <cellStyle name="Note 6 6 4 5" xfId="19767"/>
    <cellStyle name="Note 6 6 4 6" xfId="19768"/>
    <cellStyle name="Note 6 6 4 7" xfId="19769"/>
    <cellStyle name="Note 6 6 4_DeltaViewer" xfId="19770"/>
    <cellStyle name="Note 6 6 5" xfId="19771"/>
    <cellStyle name="Note 6 6 5 2" xfId="19772"/>
    <cellStyle name="Note 6 6 5 2 2" xfId="19773"/>
    <cellStyle name="Note 6 6 5 2 3" xfId="19774"/>
    <cellStyle name="Note 6 6 5 2 4" xfId="19775"/>
    <cellStyle name="Note 6 6 5 2 5" xfId="19776"/>
    <cellStyle name="Note 6 6 5 2 6" xfId="19777"/>
    <cellStyle name="Note 6 6 5 2_DeltaViewer" xfId="19778"/>
    <cellStyle name="Note 6 6 5 3" xfId="19779"/>
    <cellStyle name="Note 6 6 5 4" xfId="19780"/>
    <cellStyle name="Note 6 6 5 5" xfId="19781"/>
    <cellStyle name="Note 6 6 5 6" xfId="19782"/>
    <cellStyle name="Note 6 6 5 7" xfId="19783"/>
    <cellStyle name="Note 6 6 5_DeltaViewer" xfId="19784"/>
    <cellStyle name="Note 6 6 6" xfId="19785"/>
    <cellStyle name="Note 6 6 6 2" xfId="19786"/>
    <cellStyle name="Note 6 6 6 3" xfId="19787"/>
    <cellStyle name="Note 6 6 6 4" xfId="19788"/>
    <cellStyle name="Note 6 6 6 5" xfId="19789"/>
    <cellStyle name="Note 6 6 6 6" xfId="19790"/>
    <cellStyle name="Note 6 6 6_DeltaViewer" xfId="19791"/>
    <cellStyle name="Note 6 6 7" xfId="19792"/>
    <cellStyle name="Note 6 6 8" xfId="19793"/>
    <cellStyle name="Note 6 6 9" xfId="19794"/>
    <cellStyle name="Note 6 6_DeltaViewer" xfId="19795"/>
    <cellStyle name="Note 6 7" xfId="19796"/>
    <cellStyle name="Note 6 7 10" xfId="19797"/>
    <cellStyle name="Note 6 7 11" xfId="19798"/>
    <cellStyle name="Note 6 7 2" xfId="19799"/>
    <cellStyle name="Note 6 7 2 2" xfId="19800"/>
    <cellStyle name="Note 6 7 2 2 2" xfId="19801"/>
    <cellStyle name="Note 6 7 2 2 2 2" xfId="19802"/>
    <cellStyle name="Note 6 7 2 2 2 3" xfId="19803"/>
    <cellStyle name="Note 6 7 2 2 2 4" xfId="19804"/>
    <cellStyle name="Note 6 7 2 2 2 5" xfId="19805"/>
    <cellStyle name="Note 6 7 2 2 2 6" xfId="19806"/>
    <cellStyle name="Note 6 7 2 2 2_DeltaViewer" xfId="19807"/>
    <cellStyle name="Note 6 7 2 2 3" xfId="19808"/>
    <cellStyle name="Note 6 7 2 2 4" xfId="19809"/>
    <cellStyle name="Note 6 7 2 2 5" xfId="19810"/>
    <cellStyle name="Note 6 7 2 2 6" xfId="19811"/>
    <cellStyle name="Note 6 7 2 2 7" xfId="19812"/>
    <cellStyle name="Note 6 7 2 2_DeltaViewer" xfId="19813"/>
    <cellStyle name="Note 6 7 2 3" xfId="19814"/>
    <cellStyle name="Note 6 7 2 3 2" xfId="19815"/>
    <cellStyle name="Note 6 7 2 3 3" xfId="19816"/>
    <cellStyle name="Note 6 7 2 3 4" xfId="19817"/>
    <cellStyle name="Note 6 7 2 3 5" xfId="19818"/>
    <cellStyle name="Note 6 7 2 3 6" xfId="19819"/>
    <cellStyle name="Note 6 7 2 3_DeltaViewer" xfId="19820"/>
    <cellStyle name="Note 6 7 2 4" xfId="19821"/>
    <cellStyle name="Note 6 7 2 5" xfId="19822"/>
    <cellStyle name="Note 6 7 2 6" xfId="19823"/>
    <cellStyle name="Note 6 7 2 7" xfId="19824"/>
    <cellStyle name="Note 6 7 2 8" xfId="19825"/>
    <cellStyle name="Note 6 7 2_DeltaViewer" xfId="19826"/>
    <cellStyle name="Note 6 7 3" xfId="19827"/>
    <cellStyle name="Note 6 7 3 2" xfId="19828"/>
    <cellStyle name="Note 6 7 3 2 2" xfId="19829"/>
    <cellStyle name="Note 6 7 3 2 2 2" xfId="19830"/>
    <cellStyle name="Note 6 7 3 2 2 3" xfId="19831"/>
    <cellStyle name="Note 6 7 3 2 2 4" xfId="19832"/>
    <cellStyle name="Note 6 7 3 2 2 5" xfId="19833"/>
    <cellStyle name="Note 6 7 3 2 2 6" xfId="19834"/>
    <cellStyle name="Note 6 7 3 2 2_DeltaViewer" xfId="19835"/>
    <cellStyle name="Note 6 7 3 2 3" xfId="19836"/>
    <cellStyle name="Note 6 7 3 2 4" xfId="19837"/>
    <cellStyle name="Note 6 7 3 2 5" xfId="19838"/>
    <cellStyle name="Note 6 7 3 2 6" xfId="19839"/>
    <cellStyle name="Note 6 7 3 2 7" xfId="19840"/>
    <cellStyle name="Note 6 7 3 2_DeltaViewer" xfId="19841"/>
    <cellStyle name="Note 6 7 3 3" xfId="19842"/>
    <cellStyle name="Note 6 7 3 3 2" xfId="19843"/>
    <cellStyle name="Note 6 7 3 3 3" xfId="19844"/>
    <cellStyle name="Note 6 7 3 3 4" xfId="19845"/>
    <cellStyle name="Note 6 7 3 3 5" xfId="19846"/>
    <cellStyle name="Note 6 7 3 3 6" xfId="19847"/>
    <cellStyle name="Note 6 7 3 3_DeltaViewer" xfId="19848"/>
    <cellStyle name="Note 6 7 3 4" xfId="19849"/>
    <cellStyle name="Note 6 7 3 5" xfId="19850"/>
    <cellStyle name="Note 6 7 3 6" xfId="19851"/>
    <cellStyle name="Note 6 7 3 7" xfId="19852"/>
    <cellStyle name="Note 6 7 3 8" xfId="19853"/>
    <cellStyle name="Note 6 7 3_DeltaViewer" xfId="19854"/>
    <cellStyle name="Note 6 7 4" xfId="19855"/>
    <cellStyle name="Note 6 7 4 2" xfId="19856"/>
    <cellStyle name="Note 6 7 4 2 2" xfId="19857"/>
    <cellStyle name="Note 6 7 4 2 3" xfId="19858"/>
    <cellStyle name="Note 6 7 4 2 4" xfId="19859"/>
    <cellStyle name="Note 6 7 4 2 5" xfId="19860"/>
    <cellStyle name="Note 6 7 4 2 6" xfId="19861"/>
    <cellStyle name="Note 6 7 4 2_DeltaViewer" xfId="19862"/>
    <cellStyle name="Note 6 7 4 3" xfId="19863"/>
    <cellStyle name="Note 6 7 4 4" xfId="19864"/>
    <cellStyle name="Note 6 7 4 5" xfId="19865"/>
    <cellStyle name="Note 6 7 4 6" xfId="19866"/>
    <cellStyle name="Note 6 7 4 7" xfId="19867"/>
    <cellStyle name="Note 6 7 4_DeltaViewer" xfId="19868"/>
    <cellStyle name="Note 6 7 5" xfId="19869"/>
    <cellStyle name="Note 6 7 5 2" xfId="19870"/>
    <cellStyle name="Note 6 7 5 2 2" xfId="19871"/>
    <cellStyle name="Note 6 7 5 2 3" xfId="19872"/>
    <cellStyle name="Note 6 7 5 2 4" xfId="19873"/>
    <cellStyle name="Note 6 7 5 2 5" xfId="19874"/>
    <cellStyle name="Note 6 7 5 2 6" xfId="19875"/>
    <cellStyle name="Note 6 7 5 2_DeltaViewer" xfId="19876"/>
    <cellStyle name="Note 6 7 5 3" xfId="19877"/>
    <cellStyle name="Note 6 7 5 4" xfId="19878"/>
    <cellStyle name="Note 6 7 5 5" xfId="19879"/>
    <cellStyle name="Note 6 7 5 6" xfId="19880"/>
    <cellStyle name="Note 6 7 5 7" xfId="19881"/>
    <cellStyle name="Note 6 7 5_DeltaViewer" xfId="19882"/>
    <cellStyle name="Note 6 7 6" xfId="19883"/>
    <cellStyle name="Note 6 7 6 2" xfId="19884"/>
    <cellStyle name="Note 6 7 6 3" xfId="19885"/>
    <cellStyle name="Note 6 7 6 4" xfId="19886"/>
    <cellStyle name="Note 6 7 6 5" xfId="19887"/>
    <cellStyle name="Note 6 7 6 6" xfId="19888"/>
    <cellStyle name="Note 6 7 6_DeltaViewer" xfId="19889"/>
    <cellStyle name="Note 6 7 7" xfId="19890"/>
    <cellStyle name="Note 6 7 8" xfId="19891"/>
    <cellStyle name="Note 6 7 9" xfId="19892"/>
    <cellStyle name="Note 6 7_DeltaViewer" xfId="19893"/>
    <cellStyle name="Note 6 8" xfId="19894"/>
    <cellStyle name="Note 6 8 10" xfId="19895"/>
    <cellStyle name="Note 6 8 11" xfId="19896"/>
    <cellStyle name="Note 6 8 2" xfId="19897"/>
    <cellStyle name="Note 6 8 2 2" xfId="19898"/>
    <cellStyle name="Note 6 8 2 2 2" xfId="19899"/>
    <cellStyle name="Note 6 8 2 2 2 2" xfId="19900"/>
    <cellStyle name="Note 6 8 2 2 2 3" xfId="19901"/>
    <cellStyle name="Note 6 8 2 2 2 4" xfId="19902"/>
    <cellStyle name="Note 6 8 2 2 2 5" xfId="19903"/>
    <cellStyle name="Note 6 8 2 2 2 6" xfId="19904"/>
    <cellStyle name="Note 6 8 2 2 2_DeltaViewer" xfId="19905"/>
    <cellStyle name="Note 6 8 2 2 3" xfId="19906"/>
    <cellStyle name="Note 6 8 2 2 4" xfId="19907"/>
    <cellStyle name="Note 6 8 2 2 5" xfId="19908"/>
    <cellStyle name="Note 6 8 2 2 6" xfId="19909"/>
    <cellStyle name="Note 6 8 2 2 7" xfId="19910"/>
    <cellStyle name="Note 6 8 2 2_DeltaViewer" xfId="19911"/>
    <cellStyle name="Note 6 8 2 3" xfId="19912"/>
    <cellStyle name="Note 6 8 2 3 2" xfId="19913"/>
    <cellStyle name="Note 6 8 2 3 3" xfId="19914"/>
    <cellStyle name="Note 6 8 2 3 4" xfId="19915"/>
    <cellStyle name="Note 6 8 2 3 5" xfId="19916"/>
    <cellStyle name="Note 6 8 2 3 6" xfId="19917"/>
    <cellStyle name="Note 6 8 2 3_DeltaViewer" xfId="19918"/>
    <cellStyle name="Note 6 8 2 4" xfId="19919"/>
    <cellStyle name="Note 6 8 2 5" xfId="19920"/>
    <cellStyle name="Note 6 8 2 6" xfId="19921"/>
    <cellStyle name="Note 6 8 2 7" xfId="19922"/>
    <cellStyle name="Note 6 8 2 8" xfId="19923"/>
    <cellStyle name="Note 6 8 2_DeltaViewer" xfId="19924"/>
    <cellStyle name="Note 6 8 3" xfId="19925"/>
    <cellStyle name="Note 6 8 3 2" xfId="19926"/>
    <cellStyle name="Note 6 8 3 2 2" xfId="19927"/>
    <cellStyle name="Note 6 8 3 2 2 2" xfId="19928"/>
    <cellStyle name="Note 6 8 3 2 2 3" xfId="19929"/>
    <cellStyle name="Note 6 8 3 2 2 4" xfId="19930"/>
    <cellStyle name="Note 6 8 3 2 2 5" xfId="19931"/>
    <cellStyle name="Note 6 8 3 2 2 6" xfId="19932"/>
    <cellStyle name="Note 6 8 3 2 2_DeltaViewer" xfId="19933"/>
    <cellStyle name="Note 6 8 3 2 3" xfId="19934"/>
    <cellStyle name="Note 6 8 3 2 4" xfId="19935"/>
    <cellStyle name="Note 6 8 3 2 5" xfId="19936"/>
    <cellStyle name="Note 6 8 3 2 6" xfId="19937"/>
    <cellStyle name="Note 6 8 3 2 7" xfId="19938"/>
    <cellStyle name="Note 6 8 3 2_DeltaViewer" xfId="19939"/>
    <cellStyle name="Note 6 8 3 3" xfId="19940"/>
    <cellStyle name="Note 6 8 3 3 2" xfId="19941"/>
    <cellStyle name="Note 6 8 3 3 3" xfId="19942"/>
    <cellStyle name="Note 6 8 3 3 4" xfId="19943"/>
    <cellStyle name="Note 6 8 3 3 5" xfId="19944"/>
    <cellStyle name="Note 6 8 3 3 6" xfId="19945"/>
    <cellStyle name="Note 6 8 3 3_DeltaViewer" xfId="19946"/>
    <cellStyle name="Note 6 8 3 4" xfId="19947"/>
    <cellStyle name="Note 6 8 3 5" xfId="19948"/>
    <cellStyle name="Note 6 8 3 6" xfId="19949"/>
    <cellStyle name="Note 6 8 3 7" xfId="19950"/>
    <cellStyle name="Note 6 8 3 8" xfId="19951"/>
    <cellStyle name="Note 6 8 3_DeltaViewer" xfId="19952"/>
    <cellStyle name="Note 6 8 4" xfId="19953"/>
    <cellStyle name="Note 6 8 4 2" xfId="19954"/>
    <cellStyle name="Note 6 8 4 2 2" xfId="19955"/>
    <cellStyle name="Note 6 8 4 2 3" xfId="19956"/>
    <cellStyle name="Note 6 8 4 2 4" xfId="19957"/>
    <cellStyle name="Note 6 8 4 2 5" xfId="19958"/>
    <cellStyle name="Note 6 8 4 2 6" xfId="19959"/>
    <cellStyle name="Note 6 8 4 2_DeltaViewer" xfId="19960"/>
    <cellStyle name="Note 6 8 4 3" xfId="19961"/>
    <cellStyle name="Note 6 8 4 4" xfId="19962"/>
    <cellStyle name="Note 6 8 4 5" xfId="19963"/>
    <cellStyle name="Note 6 8 4 6" xfId="19964"/>
    <cellStyle name="Note 6 8 4 7" xfId="19965"/>
    <cellStyle name="Note 6 8 4_DeltaViewer" xfId="19966"/>
    <cellStyle name="Note 6 8 5" xfId="19967"/>
    <cellStyle name="Note 6 8 5 2" xfId="19968"/>
    <cellStyle name="Note 6 8 5 2 2" xfId="19969"/>
    <cellStyle name="Note 6 8 5 2 3" xfId="19970"/>
    <cellStyle name="Note 6 8 5 2 4" xfId="19971"/>
    <cellStyle name="Note 6 8 5 2 5" xfId="19972"/>
    <cellStyle name="Note 6 8 5 2 6" xfId="19973"/>
    <cellStyle name="Note 6 8 5 2_DeltaViewer" xfId="19974"/>
    <cellStyle name="Note 6 8 5 3" xfId="19975"/>
    <cellStyle name="Note 6 8 5 4" xfId="19976"/>
    <cellStyle name="Note 6 8 5 5" xfId="19977"/>
    <cellStyle name="Note 6 8 5 6" xfId="19978"/>
    <cellStyle name="Note 6 8 5 7" xfId="19979"/>
    <cellStyle name="Note 6 8 5_DeltaViewer" xfId="19980"/>
    <cellStyle name="Note 6 8 6" xfId="19981"/>
    <cellStyle name="Note 6 8 6 2" xfId="19982"/>
    <cellStyle name="Note 6 8 6 3" xfId="19983"/>
    <cellStyle name="Note 6 8 6 4" xfId="19984"/>
    <cellStyle name="Note 6 8 6 5" xfId="19985"/>
    <cellStyle name="Note 6 8 6 6" xfId="19986"/>
    <cellStyle name="Note 6 8 6_DeltaViewer" xfId="19987"/>
    <cellStyle name="Note 6 8 7" xfId="19988"/>
    <cellStyle name="Note 6 8 8" xfId="19989"/>
    <cellStyle name="Note 6 8 9" xfId="19990"/>
    <cellStyle name="Note 6 8_DeltaViewer" xfId="19991"/>
    <cellStyle name="Note 6 9" xfId="19992"/>
    <cellStyle name="Note 6 9 10" xfId="19993"/>
    <cellStyle name="Note 6 9 2" xfId="19994"/>
    <cellStyle name="Note 6 9 2 2" xfId="19995"/>
    <cellStyle name="Note 6 9 2 2 2" xfId="19996"/>
    <cellStyle name="Note 6 9 2 2 2 2" xfId="19997"/>
    <cellStyle name="Note 6 9 2 2 2 3" xfId="19998"/>
    <cellStyle name="Note 6 9 2 2 2 4" xfId="19999"/>
    <cellStyle name="Note 6 9 2 2 2 5" xfId="20000"/>
    <cellStyle name="Note 6 9 2 2 2 6" xfId="20001"/>
    <cellStyle name="Note 6 9 2 2 2_DeltaViewer" xfId="20002"/>
    <cellStyle name="Note 6 9 2 2 3" xfId="20003"/>
    <cellStyle name="Note 6 9 2 2 4" xfId="20004"/>
    <cellStyle name="Note 6 9 2 2 5" xfId="20005"/>
    <cellStyle name="Note 6 9 2 2 6" xfId="20006"/>
    <cellStyle name="Note 6 9 2 2 7" xfId="20007"/>
    <cellStyle name="Note 6 9 2 2_DeltaViewer" xfId="20008"/>
    <cellStyle name="Note 6 9 2 3" xfId="20009"/>
    <cellStyle name="Note 6 9 2 3 2" xfId="20010"/>
    <cellStyle name="Note 6 9 2 3 3" xfId="20011"/>
    <cellStyle name="Note 6 9 2 3 4" xfId="20012"/>
    <cellStyle name="Note 6 9 2 3 5" xfId="20013"/>
    <cellStyle name="Note 6 9 2 3 6" xfId="20014"/>
    <cellStyle name="Note 6 9 2 3_DeltaViewer" xfId="20015"/>
    <cellStyle name="Note 6 9 2 4" xfId="20016"/>
    <cellStyle name="Note 6 9 2 5" xfId="20017"/>
    <cellStyle name="Note 6 9 2 6" xfId="20018"/>
    <cellStyle name="Note 6 9 2 7" xfId="20019"/>
    <cellStyle name="Note 6 9 2 8" xfId="20020"/>
    <cellStyle name="Note 6 9 2_DeltaViewer" xfId="20021"/>
    <cellStyle name="Note 6 9 3" xfId="20022"/>
    <cellStyle name="Note 6 9 3 2" xfId="20023"/>
    <cellStyle name="Note 6 9 3 2 2" xfId="20024"/>
    <cellStyle name="Note 6 9 3 2 2 2" xfId="20025"/>
    <cellStyle name="Note 6 9 3 2 2 3" xfId="20026"/>
    <cellStyle name="Note 6 9 3 2 2 4" xfId="20027"/>
    <cellStyle name="Note 6 9 3 2 2 5" xfId="20028"/>
    <cellStyle name="Note 6 9 3 2 2 6" xfId="20029"/>
    <cellStyle name="Note 6 9 3 2 2_DeltaViewer" xfId="20030"/>
    <cellStyle name="Note 6 9 3 2 3" xfId="20031"/>
    <cellStyle name="Note 6 9 3 2 4" xfId="20032"/>
    <cellStyle name="Note 6 9 3 2 5" xfId="20033"/>
    <cellStyle name="Note 6 9 3 2 6" xfId="20034"/>
    <cellStyle name="Note 6 9 3 2 7" xfId="20035"/>
    <cellStyle name="Note 6 9 3 2_DeltaViewer" xfId="20036"/>
    <cellStyle name="Note 6 9 3 3" xfId="20037"/>
    <cellStyle name="Note 6 9 3 3 2" xfId="20038"/>
    <cellStyle name="Note 6 9 3 3 3" xfId="20039"/>
    <cellStyle name="Note 6 9 3 3 4" xfId="20040"/>
    <cellStyle name="Note 6 9 3 3 5" xfId="20041"/>
    <cellStyle name="Note 6 9 3 3 6" xfId="20042"/>
    <cellStyle name="Note 6 9 3 3_DeltaViewer" xfId="20043"/>
    <cellStyle name="Note 6 9 3 4" xfId="20044"/>
    <cellStyle name="Note 6 9 3 5" xfId="20045"/>
    <cellStyle name="Note 6 9 3 6" xfId="20046"/>
    <cellStyle name="Note 6 9 3 7" xfId="20047"/>
    <cellStyle name="Note 6 9 3 8" xfId="20048"/>
    <cellStyle name="Note 6 9 3_DeltaViewer" xfId="20049"/>
    <cellStyle name="Note 6 9 4" xfId="20050"/>
    <cellStyle name="Note 6 9 4 2" xfId="20051"/>
    <cellStyle name="Note 6 9 4 2 2" xfId="20052"/>
    <cellStyle name="Note 6 9 4 2 3" xfId="20053"/>
    <cellStyle name="Note 6 9 4 2 4" xfId="20054"/>
    <cellStyle name="Note 6 9 4 2 5" xfId="20055"/>
    <cellStyle name="Note 6 9 4 2 6" xfId="20056"/>
    <cellStyle name="Note 6 9 4 2_DeltaViewer" xfId="20057"/>
    <cellStyle name="Note 6 9 4 3" xfId="20058"/>
    <cellStyle name="Note 6 9 4 4" xfId="20059"/>
    <cellStyle name="Note 6 9 4 5" xfId="20060"/>
    <cellStyle name="Note 6 9 4 6" xfId="20061"/>
    <cellStyle name="Note 6 9 4 7" xfId="20062"/>
    <cellStyle name="Note 6 9 4_DeltaViewer" xfId="20063"/>
    <cellStyle name="Note 6 9 5" xfId="20064"/>
    <cellStyle name="Note 6 9 5 2" xfId="20065"/>
    <cellStyle name="Note 6 9 5 3" xfId="20066"/>
    <cellStyle name="Note 6 9 5 4" xfId="20067"/>
    <cellStyle name="Note 6 9 5 5" xfId="20068"/>
    <cellStyle name="Note 6 9 5 6" xfId="20069"/>
    <cellStyle name="Note 6 9 5_DeltaViewer" xfId="20070"/>
    <cellStyle name="Note 6 9 6" xfId="20071"/>
    <cellStyle name="Note 6 9 7" xfId="20072"/>
    <cellStyle name="Note 6 9 8" xfId="20073"/>
    <cellStyle name="Note 6 9 9" xfId="20074"/>
    <cellStyle name="Note 6 9_DeltaViewer" xfId="20075"/>
    <cellStyle name="Note 6_DeltaViewer" xfId="20076"/>
    <cellStyle name="Note 7" xfId="20077"/>
    <cellStyle name="Note 7 10" xfId="20078"/>
    <cellStyle name="Note 7 11" xfId="20079"/>
    <cellStyle name="Note 7 2" xfId="20080"/>
    <cellStyle name="Note 7 2 2" xfId="20081"/>
    <cellStyle name="Note 7 2 2 2" xfId="20082"/>
    <cellStyle name="Note 7 2 2 2 2" xfId="20083"/>
    <cellStyle name="Note 7 2 2 2 3" xfId="20084"/>
    <cellStyle name="Note 7 2 2 2 4" xfId="20085"/>
    <cellStyle name="Note 7 2 2 2 5" xfId="20086"/>
    <cellStyle name="Note 7 2 2 2 6" xfId="20087"/>
    <cellStyle name="Note 7 2 2 2_DeltaViewer" xfId="20088"/>
    <cellStyle name="Note 7 2 2 3" xfId="20089"/>
    <cellStyle name="Note 7 2 2 4" xfId="20090"/>
    <cellStyle name="Note 7 2 2 5" xfId="20091"/>
    <cellStyle name="Note 7 2 2 6" xfId="20092"/>
    <cellStyle name="Note 7 2 2 7" xfId="20093"/>
    <cellStyle name="Note 7 2 2_DeltaViewer" xfId="20094"/>
    <cellStyle name="Note 7 2 3" xfId="20095"/>
    <cellStyle name="Note 7 2 3 2" xfId="20096"/>
    <cellStyle name="Note 7 2 3 2 2" xfId="20097"/>
    <cellStyle name="Note 7 2 3 2 3" xfId="20098"/>
    <cellStyle name="Note 7 2 3 2 4" xfId="20099"/>
    <cellStyle name="Note 7 2 3 2 5" xfId="20100"/>
    <cellStyle name="Note 7 2 3 2 6" xfId="20101"/>
    <cellStyle name="Note 7 2 3 2_DeltaViewer" xfId="20102"/>
    <cellStyle name="Note 7 2 3 3" xfId="20103"/>
    <cellStyle name="Note 7 2 3 4" xfId="20104"/>
    <cellStyle name="Note 7 2 3 5" xfId="20105"/>
    <cellStyle name="Note 7 2 3 6" xfId="20106"/>
    <cellStyle name="Note 7 2 3 7" xfId="20107"/>
    <cellStyle name="Note 7 2 3_DeltaViewer" xfId="20108"/>
    <cellStyle name="Note 7 2 4" xfId="20109"/>
    <cellStyle name="Note 7 2 4 2" xfId="20110"/>
    <cellStyle name="Note 7 2 4 3" xfId="20111"/>
    <cellStyle name="Note 7 2 4 4" xfId="20112"/>
    <cellStyle name="Note 7 2 4 5" xfId="20113"/>
    <cellStyle name="Note 7 2 4 6" xfId="20114"/>
    <cellStyle name="Note 7 2 4_DeltaViewer" xfId="20115"/>
    <cellStyle name="Note 7 2 5" xfId="20116"/>
    <cellStyle name="Note 7 2 6" xfId="20117"/>
    <cellStyle name="Note 7 2 7" xfId="20118"/>
    <cellStyle name="Note 7 2 8" xfId="20119"/>
    <cellStyle name="Note 7 2 9" xfId="20120"/>
    <cellStyle name="Note 7 2_DeltaViewer" xfId="20121"/>
    <cellStyle name="Note 7 3" xfId="20122"/>
    <cellStyle name="Note 7 3 2" xfId="20123"/>
    <cellStyle name="Note 7 3 2 2" xfId="20124"/>
    <cellStyle name="Note 7 3 2 2 2" xfId="20125"/>
    <cellStyle name="Note 7 3 2 2 3" xfId="20126"/>
    <cellStyle name="Note 7 3 2 2 4" xfId="20127"/>
    <cellStyle name="Note 7 3 2 2 5" xfId="20128"/>
    <cellStyle name="Note 7 3 2 2 6" xfId="20129"/>
    <cellStyle name="Note 7 3 2 2_DeltaViewer" xfId="20130"/>
    <cellStyle name="Note 7 3 2 3" xfId="20131"/>
    <cellStyle name="Note 7 3 2 4" xfId="20132"/>
    <cellStyle name="Note 7 3 2 5" xfId="20133"/>
    <cellStyle name="Note 7 3 2 6" xfId="20134"/>
    <cellStyle name="Note 7 3 2 7" xfId="20135"/>
    <cellStyle name="Note 7 3 2_DeltaViewer" xfId="20136"/>
    <cellStyle name="Note 7 3 3" xfId="20137"/>
    <cellStyle name="Note 7 3 3 2" xfId="20138"/>
    <cellStyle name="Note 7 3 3 3" xfId="20139"/>
    <cellStyle name="Note 7 3 3 4" xfId="20140"/>
    <cellStyle name="Note 7 3 3 5" xfId="20141"/>
    <cellStyle name="Note 7 3 3 6" xfId="20142"/>
    <cellStyle name="Note 7 3 3_DeltaViewer" xfId="20143"/>
    <cellStyle name="Note 7 3 4" xfId="20144"/>
    <cellStyle name="Note 7 3 5" xfId="20145"/>
    <cellStyle name="Note 7 3 6" xfId="20146"/>
    <cellStyle name="Note 7 3 7" xfId="20147"/>
    <cellStyle name="Note 7 3 8" xfId="20148"/>
    <cellStyle name="Note 7 3_DeltaViewer" xfId="20149"/>
    <cellStyle name="Note 7 4" xfId="20150"/>
    <cellStyle name="Note 7 4 2" xfId="20151"/>
    <cellStyle name="Note 7 4 2 2" xfId="20152"/>
    <cellStyle name="Note 7 4 2 3" xfId="20153"/>
    <cellStyle name="Note 7 4 2 4" xfId="20154"/>
    <cellStyle name="Note 7 4 2 5" xfId="20155"/>
    <cellStyle name="Note 7 4 2 6" xfId="20156"/>
    <cellStyle name="Note 7 4 2_DeltaViewer" xfId="20157"/>
    <cellStyle name="Note 7 4 3" xfId="20158"/>
    <cellStyle name="Note 7 4 4" xfId="20159"/>
    <cellStyle name="Note 7 4 5" xfId="20160"/>
    <cellStyle name="Note 7 4 6" xfId="20161"/>
    <cellStyle name="Note 7 4 7" xfId="20162"/>
    <cellStyle name="Note 7 4_DeltaViewer" xfId="20163"/>
    <cellStyle name="Note 7 5" xfId="20164"/>
    <cellStyle name="Note 7 5 2" xfId="20165"/>
    <cellStyle name="Note 7 5 2 2" xfId="20166"/>
    <cellStyle name="Note 7 5 2 3" xfId="20167"/>
    <cellStyle name="Note 7 5 2 4" xfId="20168"/>
    <cellStyle name="Note 7 5 2 5" xfId="20169"/>
    <cellStyle name="Note 7 5 2 6" xfId="20170"/>
    <cellStyle name="Note 7 5 2_DeltaViewer" xfId="20171"/>
    <cellStyle name="Note 7 5 3" xfId="20172"/>
    <cellStyle name="Note 7 5 4" xfId="20173"/>
    <cellStyle name="Note 7 5 5" xfId="20174"/>
    <cellStyle name="Note 7 5 6" xfId="20175"/>
    <cellStyle name="Note 7 5 7" xfId="20176"/>
    <cellStyle name="Note 7 5_DeltaViewer" xfId="20177"/>
    <cellStyle name="Note 7 6" xfId="20178"/>
    <cellStyle name="Note 7 6 2" xfId="20179"/>
    <cellStyle name="Note 7 6 3" xfId="20180"/>
    <cellStyle name="Note 7 6 4" xfId="20181"/>
    <cellStyle name="Note 7 6 5" xfId="20182"/>
    <cellStyle name="Note 7 6 6" xfId="20183"/>
    <cellStyle name="Note 7 6_DeltaViewer" xfId="20184"/>
    <cellStyle name="Note 7 7" xfId="20185"/>
    <cellStyle name="Note 7 8" xfId="20186"/>
    <cellStyle name="Note 7 9" xfId="20187"/>
    <cellStyle name="Note 7_DeltaViewer" xfId="20188"/>
    <cellStyle name="Note 8" xfId="20189"/>
    <cellStyle name="Note 8 10" xfId="20190"/>
    <cellStyle name="Note 8 11" xfId="20191"/>
    <cellStyle name="Note 8 2" xfId="20192"/>
    <cellStyle name="Note 8 2 2" xfId="20193"/>
    <cellStyle name="Note 8 2 2 2" xfId="20194"/>
    <cellStyle name="Note 8 2 2 2 2" xfId="20195"/>
    <cellStyle name="Note 8 2 2 2 3" xfId="20196"/>
    <cellStyle name="Note 8 2 2 2 4" xfId="20197"/>
    <cellStyle name="Note 8 2 2 2 5" xfId="20198"/>
    <cellStyle name="Note 8 2 2 2 6" xfId="20199"/>
    <cellStyle name="Note 8 2 2 2_DeltaViewer" xfId="20200"/>
    <cellStyle name="Note 8 2 2 3" xfId="20201"/>
    <cellStyle name="Note 8 2 2 4" xfId="20202"/>
    <cellStyle name="Note 8 2 2 5" xfId="20203"/>
    <cellStyle name="Note 8 2 2 6" xfId="20204"/>
    <cellStyle name="Note 8 2 2 7" xfId="20205"/>
    <cellStyle name="Note 8 2 2_DeltaViewer" xfId="20206"/>
    <cellStyle name="Note 8 2 3" xfId="20207"/>
    <cellStyle name="Note 8 2 3 2" xfId="20208"/>
    <cellStyle name="Note 8 2 3 2 2" xfId="20209"/>
    <cellStyle name="Note 8 2 3 2 3" xfId="20210"/>
    <cellStyle name="Note 8 2 3 2 4" xfId="20211"/>
    <cellStyle name="Note 8 2 3 2 5" xfId="20212"/>
    <cellStyle name="Note 8 2 3 2 6" xfId="20213"/>
    <cellStyle name="Note 8 2 3 2_DeltaViewer" xfId="20214"/>
    <cellStyle name="Note 8 2 3 3" xfId="20215"/>
    <cellStyle name="Note 8 2 3 4" xfId="20216"/>
    <cellStyle name="Note 8 2 3 5" xfId="20217"/>
    <cellStyle name="Note 8 2 3 6" xfId="20218"/>
    <cellStyle name="Note 8 2 3 7" xfId="20219"/>
    <cellStyle name="Note 8 2 3_DeltaViewer" xfId="20220"/>
    <cellStyle name="Note 8 2 4" xfId="20221"/>
    <cellStyle name="Note 8 2 4 2" xfId="20222"/>
    <cellStyle name="Note 8 2 4 3" xfId="20223"/>
    <cellStyle name="Note 8 2 4 4" xfId="20224"/>
    <cellStyle name="Note 8 2 4 5" xfId="20225"/>
    <cellStyle name="Note 8 2 4 6" xfId="20226"/>
    <cellStyle name="Note 8 2 4_DeltaViewer" xfId="20227"/>
    <cellStyle name="Note 8 2 5" xfId="20228"/>
    <cellStyle name="Note 8 2 6" xfId="20229"/>
    <cellStyle name="Note 8 2 7" xfId="20230"/>
    <cellStyle name="Note 8 2 8" xfId="20231"/>
    <cellStyle name="Note 8 2 9" xfId="20232"/>
    <cellStyle name="Note 8 2_DeltaViewer" xfId="20233"/>
    <cellStyle name="Note 8 3" xfId="20234"/>
    <cellStyle name="Note 8 3 2" xfId="20235"/>
    <cellStyle name="Note 8 3 2 2" xfId="20236"/>
    <cellStyle name="Note 8 3 2 2 2" xfId="20237"/>
    <cellStyle name="Note 8 3 2 2 3" xfId="20238"/>
    <cellStyle name="Note 8 3 2 2 4" xfId="20239"/>
    <cellStyle name="Note 8 3 2 2 5" xfId="20240"/>
    <cellStyle name="Note 8 3 2 2 6" xfId="20241"/>
    <cellStyle name="Note 8 3 2 2_DeltaViewer" xfId="20242"/>
    <cellStyle name="Note 8 3 2 3" xfId="20243"/>
    <cellStyle name="Note 8 3 2 4" xfId="20244"/>
    <cellStyle name="Note 8 3 2 5" xfId="20245"/>
    <cellStyle name="Note 8 3 2 6" xfId="20246"/>
    <cellStyle name="Note 8 3 2 7" xfId="20247"/>
    <cellStyle name="Note 8 3 2_DeltaViewer" xfId="20248"/>
    <cellStyle name="Note 8 3 3" xfId="20249"/>
    <cellStyle name="Note 8 3 3 2" xfId="20250"/>
    <cellStyle name="Note 8 3 3 3" xfId="20251"/>
    <cellStyle name="Note 8 3 3 4" xfId="20252"/>
    <cellStyle name="Note 8 3 3 5" xfId="20253"/>
    <cellStyle name="Note 8 3 3 6" xfId="20254"/>
    <cellStyle name="Note 8 3 3_DeltaViewer" xfId="20255"/>
    <cellStyle name="Note 8 3 4" xfId="20256"/>
    <cellStyle name="Note 8 3 5" xfId="20257"/>
    <cellStyle name="Note 8 3 6" xfId="20258"/>
    <cellStyle name="Note 8 3 7" xfId="20259"/>
    <cellStyle name="Note 8 3 8" xfId="20260"/>
    <cellStyle name="Note 8 3_DeltaViewer" xfId="20261"/>
    <cellStyle name="Note 8 4" xfId="20262"/>
    <cellStyle name="Note 8 4 2" xfId="20263"/>
    <cellStyle name="Note 8 4 2 2" xfId="20264"/>
    <cellStyle name="Note 8 4 2 3" xfId="20265"/>
    <cellStyle name="Note 8 4 2 4" xfId="20266"/>
    <cellStyle name="Note 8 4 2 5" xfId="20267"/>
    <cellStyle name="Note 8 4 2 6" xfId="20268"/>
    <cellStyle name="Note 8 4 2_DeltaViewer" xfId="20269"/>
    <cellStyle name="Note 8 4 3" xfId="20270"/>
    <cellStyle name="Note 8 4 4" xfId="20271"/>
    <cellStyle name="Note 8 4 5" xfId="20272"/>
    <cellStyle name="Note 8 4 6" xfId="20273"/>
    <cellStyle name="Note 8 4 7" xfId="20274"/>
    <cellStyle name="Note 8 4_DeltaViewer" xfId="20275"/>
    <cellStyle name="Note 8 5" xfId="20276"/>
    <cellStyle name="Note 8 5 2" xfId="20277"/>
    <cellStyle name="Note 8 5 2 2" xfId="20278"/>
    <cellStyle name="Note 8 5 2 3" xfId="20279"/>
    <cellStyle name="Note 8 5 2 4" xfId="20280"/>
    <cellStyle name="Note 8 5 2 5" xfId="20281"/>
    <cellStyle name="Note 8 5 2 6" xfId="20282"/>
    <cellStyle name="Note 8 5 2_DeltaViewer" xfId="20283"/>
    <cellStyle name="Note 8 5 3" xfId="20284"/>
    <cellStyle name="Note 8 5 4" xfId="20285"/>
    <cellStyle name="Note 8 5 5" xfId="20286"/>
    <cellStyle name="Note 8 5 6" xfId="20287"/>
    <cellStyle name="Note 8 5 7" xfId="20288"/>
    <cellStyle name="Note 8 5_DeltaViewer" xfId="20289"/>
    <cellStyle name="Note 8 6" xfId="20290"/>
    <cellStyle name="Note 8 6 2" xfId="20291"/>
    <cellStyle name="Note 8 6 3" xfId="20292"/>
    <cellStyle name="Note 8 6 4" xfId="20293"/>
    <cellStyle name="Note 8 6 5" xfId="20294"/>
    <cellStyle name="Note 8 6 6" xfId="20295"/>
    <cellStyle name="Note 8 6_DeltaViewer" xfId="20296"/>
    <cellStyle name="Note 8 7" xfId="20297"/>
    <cellStyle name="Note 8 8" xfId="20298"/>
    <cellStyle name="Note 8 9" xfId="20299"/>
    <cellStyle name="Note 8_DeltaViewer" xfId="20300"/>
    <cellStyle name="Note 9" xfId="20301"/>
    <cellStyle name="Note 9 10" xfId="20302"/>
    <cellStyle name="Note 9 2" xfId="20303"/>
    <cellStyle name="Note 9 2 2" xfId="20304"/>
    <cellStyle name="Note 9 2 2 2" xfId="20305"/>
    <cellStyle name="Note 9 2 2 2 2" xfId="20306"/>
    <cellStyle name="Note 9 2 2 2 3" xfId="20307"/>
    <cellStyle name="Note 9 2 2 2 4" xfId="20308"/>
    <cellStyle name="Note 9 2 2 2 5" xfId="20309"/>
    <cellStyle name="Note 9 2 2 2 6" xfId="20310"/>
    <cellStyle name="Note 9 2 2 2_DeltaViewer" xfId="20311"/>
    <cellStyle name="Note 9 2 2 3" xfId="20312"/>
    <cellStyle name="Note 9 2 2 4" xfId="20313"/>
    <cellStyle name="Note 9 2 2 5" xfId="20314"/>
    <cellStyle name="Note 9 2 2 6" xfId="20315"/>
    <cellStyle name="Note 9 2 2 7" xfId="20316"/>
    <cellStyle name="Note 9 2 2_DeltaViewer" xfId="20317"/>
    <cellStyle name="Note 9 2 3" xfId="20318"/>
    <cellStyle name="Note 9 2 3 2" xfId="20319"/>
    <cellStyle name="Note 9 2 3 2 2" xfId="20320"/>
    <cellStyle name="Note 9 2 3 2 3" xfId="20321"/>
    <cellStyle name="Note 9 2 3 2 4" xfId="20322"/>
    <cellStyle name="Note 9 2 3 2 5" xfId="20323"/>
    <cellStyle name="Note 9 2 3 2 6" xfId="20324"/>
    <cellStyle name="Note 9 2 3 2_DeltaViewer" xfId="20325"/>
    <cellStyle name="Note 9 2 3 3" xfId="20326"/>
    <cellStyle name="Note 9 2 3 4" xfId="20327"/>
    <cellStyle name="Note 9 2 3 5" xfId="20328"/>
    <cellStyle name="Note 9 2 3 6" xfId="20329"/>
    <cellStyle name="Note 9 2 3 7" xfId="20330"/>
    <cellStyle name="Note 9 2 3_DeltaViewer" xfId="20331"/>
    <cellStyle name="Note 9 2 4" xfId="20332"/>
    <cellStyle name="Note 9 2 4 2" xfId="20333"/>
    <cellStyle name="Note 9 2 4 3" xfId="20334"/>
    <cellStyle name="Note 9 2 4 4" xfId="20335"/>
    <cellStyle name="Note 9 2 4 5" xfId="20336"/>
    <cellStyle name="Note 9 2 4 6" xfId="20337"/>
    <cellStyle name="Note 9 2 4_DeltaViewer" xfId="20338"/>
    <cellStyle name="Note 9 2 5" xfId="20339"/>
    <cellStyle name="Note 9 2 6" xfId="20340"/>
    <cellStyle name="Note 9 2 7" xfId="20341"/>
    <cellStyle name="Note 9 2 8" xfId="20342"/>
    <cellStyle name="Note 9 2 9" xfId="20343"/>
    <cellStyle name="Note 9 2_DeltaViewer" xfId="20344"/>
    <cellStyle name="Note 9 3" xfId="20345"/>
    <cellStyle name="Note 9 3 2" xfId="20346"/>
    <cellStyle name="Note 9 3 2 2" xfId="20347"/>
    <cellStyle name="Note 9 3 2 3" xfId="20348"/>
    <cellStyle name="Note 9 3 2 4" xfId="20349"/>
    <cellStyle name="Note 9 3 2 5" xfId="20350"/>
    <cellStyle name="Note 9 3 2 6" xfId="20351"/>
    <cellStyle name="Note 9 3 2_DeltaViewer" xfId="20352"/>
    <cellStyle name="Note 9 3 3" xfId="20353"/>
    <cellStyle name="Note 9 3 4" xfId="20354"/>
    <cellStyle name="Note 9 3 5" xfId="20355"/>
    <cellStyle name="Note 9 3 6" xfId="20356"/>
    <cellStyle name="Note 9 3 7" xfId="20357"/>
    <cellStyle name="Note 9 3_DeltaViewer" xfId="20358"/>
    <cellStyle name="Note 9 4" xfId="20359"/>
    <cellStyle name="Note 9 4 2" xfId="20360"/>
    <cellStyle name="Note 9 4 2 2" xfId="20361"/>
    <cellStyle name="Note 9 4 2 3" xfId="20362"/>
    <cellStyle name="Note 9 4 2 4" xfId="20363"/>
    <cellStyle name="Note 9 4 2 5" xfId="20364"/>
    <cellStyle name="Note 9 4 2 6" xfId="20365"/>
    <cellStyle name="Note 9 4 2_DeltaViewer" xfId="20366"/>
    <cellStyle name="Note 9 4 3" xfId="20367"/>
    <cellStyle name="Note 9 4 4" xfId="20368"/>
    <cellStyle name="Note 9 4 5" xfId="20369"/>
    <cellStyle name="Note 9 4 6" xfId="20370"/>
    <cellStyle name="Note 9 4 7" xfId="20371"/>
    <cellStyle name="Note 9 4_DeltaViewer" xfId="20372"/>
    <cellStyle name="Note 9 5" xfId="20373"/>
    <cellStyle name="Note 9 5 2" xfId="20374"/>
    <cellStyle name="Note 9 5 3" xfId="20375"/>
    <cellStyle name="Note 9 5 4" xfId="20376"/>
    <cellStyle name="Note 9 5 5" xfId="20377"/>
    <cellStyle name="Note 9 5 6" xfId="20378"/>
    <cellStyle name="Note 9 5_DeltaViewer" xfId="20379"/>
    <cellStyle name="Note 9 6" xfId="20380"/>
    <cellStyle name="Note 9 7" xfId="20381"/>
    <cellStyle name="Note 9 8" xfId="20382"/>
    <cellStyle name="Note 9 9" xfId="20383"/>
    <cellStyle name="Note 9_DeltaViewer" xfId="20384"/>
    <cellStyle name="Number" xfId="20385"/>
    <cellStyle name="Output 10" xfId="20386"/>
    <cellStyle name="Output 10 2" xfId="20387"/>
    <cellStyle name="Output 10 2 2" xfId="20388"/>
    <cellStyle name="Output 10 2_DeltaViewer" xfId="20389"/>
    <cellStyle name="Output 10 3" xfId="20390"/>
    <cellStyle name="Output 10 3 2" xfId="20391"/>
    <cellStyle name="Output 10 3_DeltaViewer" xfId="20392"/>
    <cellStyle name="Output 10 4" xfId="20393"/>
    <cellStyle name="Output 10 4 2" xfId="20394"/>
    <cellStyle name="Output 10 4_DeltaViewer" xfId="20395"/>
    <cellStyle name="Output 10 5" xfId="20396"/>
    <cellStyle name="Output 10 5 2" xfId="20397"/>
    <cellStyle name="Output 10 5_DeltaViewer" xfId="20398"/>
    <cellStyle name="Output 10 6" xfId="20399"/>
    <cellStyle name="Output 10_DeltaViewer" xfId="20400"/>
    <cellStyle name="Output 11" xfId="20401"/>
    <cellStyle name="Output 11 2" xfId="20402"/>
    <cellStyle name="Output 11_DeltaViewer" xfId="20403"/>
    <cellStyle name="Output 12" xfId="20404"/>
    <cellStyle name="Output 12 2" xfId="20405"/>
    <cellStyle name="Output 12_DeltaViewer" xfId="20406"/>
    <cellStyle name="Output 13" xfId="20407"/>
    <cellStyle name="Output 14" xfId="20408"/>
    <cellStyle name="Output 15" xfId="21484"/>
    <cellStyle name="Output 16" xfId="21530"/>
    <cellStyle name="Output 17" xfId="21488"/>
    <cellStyle name="Output 18" xfId="21474"/>
    <cellStyle name="Output 19" xfId="24082"/>
    <cellStyle name="Output 2" xfId="3"/>
    <cellStyle name="Output 2 10" xfId="21508"/>
    <cellStyle name="Output 2 11" xfId="24252"/>
    <cellStyle name="Output 2 2" xfId="20409"/>
    <cellStyle name="Output 2 2 2" xfId="20410"/>
    <cellStyle name="Output 2 2 2 2" xfId="20411"/>
    <cellStyle name="Output 2 2 2 2 2" xfId="20412"/>
    <cellStyle name="Output 2 2 2 2_DeltaViewer" xfId="20413"/>
    <cellStyle name="Output 2 2 2 3" xfId="20414"/>
    <cellStyle name="Output 2 2 2_DeltaViewer" xfId="20415"/>
    <cellStyle name="Output 2 2 3" xfId="20416"/>
    <cellStyle name="Output 2 2 3 2" xfId="20417"/>
    <cellStyle name="Output 2 2 3_DeltaViewer" xfId="20418"/>
    <cellStyle name="Output 2 2 4" xfId="20419"/>
    <cellStyle name="Output 2 2_DeltaViewer" xfId="20420"/>
    <cellStyle name="Output 2 3" xfId="20421"/>
    <cellStyle name="Output 2 3 2" xfId="20422"/>
    <cellStyle name="Output 2 3 2 2" xfId="20423"/>
    <cellStyle name="Output 2 3 2_DeltaViewer" xfId="20424"/>
    <cellStyle name="Output 2 3 3" xfId="20425"/>
    <cellStyle name="Output 2 3_DeltaViewer" xfId="20426"/>
    <cellStyle name="Output 2 4" xfId="20427"/>
    <cellStyle name="Output 2 4 2" xfId="20428"/>
    <cellStyle name="Output 2 4_DeltaViewer" xfId="20429"/>
    <cellStyle name="Output 2 5" xfId="20430"/>
    <cellStyle name="Output 2 6" xfId="20431"/>
    <cellStyle name="Output 2 7" xfId="21584"/>
    <cellStyle name="Output 2 8" xfId="24079"/>
    <cellStyle name="Output 2 9" xfId="21480"/>
    <cellStyle name="Output 2_DeltaViewer" xfId="20432"/>
    <cellStyle name="Output 20" xfId="24089"/>
    <cellStyle name="Output 21" xfId="24115"/>
    <cellStyle name="Output 22" xfId="24179"/>
    <cellStyle name="Output 23" xfId="24206"/>
    <cellStyle name="Output 24" xfId="24209"/>
    <cellStyle name="Output 25" xfId="24098"/>
    <cellStyle name="Output 26" xfId="24118"/>
    <cellStyle name="Output 27" xfId="24192"/>
    <cellStyle name="Output 28" xfId="24203"/>
    <cellStyle name="Output 29" xfId="24210"/>
    <cellStyle name="Output 3" xfId="306"/>
    <cellStyle name="Output 3 2" xfId="20433"/>
    <cellStyle name="Output 3 2 2" xfId="20434"/>
    <cellStyle name="Output 3 2 2 2" xfId="20435"/>
    <cellStyle name="Output 3 2 2_DeltaViewer" xfId="20436"/>
    <cellStyle name="Output 3 2 3" xfId="20437"/>
    <cellStyle name="Output 3 2_DeltaViewer" xfId="20438"/>
    <cellStyle name="Output 3 3" xfId="20439"/>
    <cellStyle name="Output 3 3 2" xfId="20440"/>
    <cellStyle name="Output 3 3_DeltaViewer" xfId="20441"/>
    <cellStyle name="Output 3 4" xfId="20442"/>
    <cellStyle name="Output 3 5" xfId="21807"/>
    <cellStyle name="Output 3 6" xfId="24047"/>
    <cellStyle name="Output 3 7" xfId="24530"/>
    <cellStyle name="Output 3_DeltaViewer" xfId="20443"/>
    <cellStyle name="Output 30" xfId="24120"/>
    <cellStyle name="Output 31" xfId="24207"/>
    <cellStyle name="Output 4" xfId="20444"/>
    <cellStyle name="Output 4 2" xfId="20445"/>
    <cellStyle name="Output 4 2 2" xfId="20446"/>
    <cellStyle name="Output 4 2 2 2" xfId="20447"/>
    <cellStyle name="Output 4 2 2_DeltaViewer" xfId="20448"/>
    <cellStyle name="Output 4 2 3" xfId="20449"/>
    <cellStyle name="Output 4 2_DeltaViewer" xfId="20450"/>
    <cellStyle name="Output 4 3" xfId="20451"/>
    <cellStyle name="Output 4 3 2" xfId="20452"/>
    <cellStyle name="Output 4 3_DeltaViewer" xfId="20453"/>
    <cellStyle name="Output 4 4" xfId="20454"/>
    <cellStyle name="Output 4_DeltaViewer" xfId="20455"/>
    <cellStyle name="Output 5" xfId="20456"/>
    <cellStyle name="Output 5 2" xfId="20457"/>
    <cellStyle name="Output 5 2 2" xfId="20458"/>
    <cellStyle name="Output 5 2 2 2" xfId="20459"/>
    <cellStyle name="Output 5 2 2_DeltaViewer" xfId="20460"/>
    <cellStyle name="Output 5 2 3" xfId="20461"/>
    <cellStyle name="Output 5 2_DeltaViewer" xfId="20462"/>
    <cellStyle name="Output 5 3" xfId="20463"/>
    <cellStyle name="Output 5 3 2" xfId="20464"/>
    <cellStyle name="Output 5 3_DeltaViewer" xfId="20465"/>
    <cellStyle name="Output 5 4" xfId="20466"/>
    <cellStyle name="Output 5_DeltaViewer" xfId="20467"/>
    <cellStyle name="Output 6" xfId="20468"/>
    <cellStyle name="Output 6 2" xfId="20469"/>
    <cellStyle name="Output 6 2 2" xfId="20470"/>
    <cellStyle name="Output 6 2 2 2" xfId="20471"/>
    <cellStyle name="Output 6 2 2_DeltaViewer" xfId="20472"/>
    <cellStyle name="Output 6 2 3" xfId="20473"/>
    <cellStyle name="Output 6 2_DeltaViewer" xfId="20474"/>
    <cellStyle name="Output 6 3" xfId="20475"/>
    <cellStyle name="Output 6 3 2" xfId="20476"/>
    <cellStyle name="Output 6 3_DeltaViewer" xfId="20477"/>
    <cellStyle name="Output 6 4" xfId="20478"/>
    <cellStyle name="Output 6_DeltaViewer" xfId="20479"/>
    <cellStyle name="Output 7" xfId="20480"/>
    <cellStyle name="Output 7 2" xfId="20481"/>
    <cellStyle name="Output 7 2 2" xfId="20482"/>
    <cellStyle name="Output 7 2 2 2" xfId="20483"/>
    <cellStyle name="Output 7 2 2_DeltaViewer" xfId="20484"/>
    <cellStyle name="Output 7 2 3" xfId="20485"/>
    <cellStyle name="Output 7 2_DeltaViewer" xfId="20486"/>
    <cellStyle name="Output 7 3" xfId="20487"/>
    <cellStyle name="Output 7 3 2" xfId="20488"/>
    <cellStyle name="Output 7 3_DeltaViewer" xfId="20489"/>
    <cellStyle name="Output 7 4" xfId="20490"/>
    <cellStyle name="Output 7_DeltaViewer" xfId="20491"/>
    <cellStyle name="Output 8" xfId="20492"/>
    <cellStyle name="Output 8 2" xfId="20493"/>
    <cellStyle name="Output 8 2 2" xfId="20494"/>
    <cellStyle name="Output 8 2 2 2" xfId="20495"/>
    <cellStyle name="Output 8 2 2_DeltaViewer" xfId="20496"/>
    <cellStyle name="Output 8 2 3" xfId="20497"/>
    <cellStyle name="Output 8 2_DeltaViewer" xfId="20498"/>
    <cellStyle name="Output 8 3" xfId="20499"/>
    <cellStyle name="Output 8 3 2" xfId="20500"/>
    <cellStyle name="Output 8 3_DeltaViewer" xfId="20501"/>
    <cellStyle name="Output 8 4" xfId="20502"/>
    <cellStyle name="Output 8_DeltaViewer" xfId="20503"/>
    <cellStyle name="Output 9" xfId="20504"/>
    <cellStyle name="Output 9 2" xfId="20505"/>
    <cellStyle name="Output 9 2 2" xfId="20506"/>
    <cellStyle name="Output 9 2_DeltaViewer" xfId="20507"/>
    <cellStyle name="Output 9 3" xfId="20508"/>
    <cellStyle name="Output 9_DeltaViewer" xfId="20509"/>
    <cellStyle name="Parciales" xfId="20510"/>
    <cellStyle name="Parciales 2" xfId="20511"/>
    <cellStyle name="Parciales_DeltaViewer" xfId="20512"/>
    <cellStyle name="Percent" xfId="163" builtinId="5"/>
    <cellStyle name="Percent 10" xfId="20513"/>
    <cellStyle name="Percent 10 2" xfId="20514"/>
    <cellStyle name="Percent 10 2 2" xfId="20515"/>
    <cellStyle name="Percent 10 2 2 2" xfId="20516"/>
    <cellStyle name="Percent 10 2 2 2 2" xfId="20517"/>
    <cellStyle name="Percent 10 2 2 2 3" xfId="20518"/>
    <cellStyle name="Percent 10 2 2 2 4" xfId="20519"/>
    <cellStyle name="Percent 10 2 2 2 5" xfId="20520"/>
    <cellStyle name="Percent 10 2 2 2_DeltaViewer" xfId="20521"/>
    <cellStyle name="Percent 10 2 2 3" xfId="20522"/>
    <cellStyle name="Percent 10 2 2 4" xfId="20523"/>
    <cellStyle name="Percent 10 2 2 5" xfId="20524"/>
    <cellStyle name="Percent 10 2 2 6" xfId="20525"/>
    <cellStyle name="Percent 10 2 2_DeltaViewer" xfId="20526"/>
    <cellStyle name="Percent 10 2 3" xfId="20527"/>
    <cellStyle name="Percent 10 2 3 2" xfId="20528"/>
    <cellStyle name="Percent 10 2 3 3" xfId="20529"/>
    <cellStyle name="Percent 10 2 3 4" xfId="20530"/>
    <cellStyle name="Percent 10 2 3 5" xfId="20531"/>
    <cellStyle name="Percent 10 2 3_DeltaViewer" xfId="20532"/>
    <cellStyle name="Percent 10 2 4" xfId="20533"/>
    <cellStyle name="Percent 10 2 5" xfId="20534"/>
    <cellStyle name="Percent 10 2 6" xfId="20535"/>
    <cellStyle name="Percent 10 2 7" xfId="20536"/>
    <cellStyle name="Percent 10 2_DeltaViewer" xfId="20537"/>
    <cellStyle name="Percent 10 3" xfId="20538"/>
    <cellStyle name="Percent 10 3 2" xfId="20539"/>
    <cellStyle name="Percent 10 3 2 2" xfId="20540"/>
    <cellStyle name="Percent 10 3 2 3" xfId="20541"/>
    <cellStyle name="Percent 10 3 2 4" xfId="20542"/>
    <cellStyle name="Percent 10 3 2 5" xfId="20543"/>
    <cellStyle name="Percent 10 3 2_DeltaViewer" xfId="20544"/>
    <cellStyle name="Percent 10 3 3" xfId="20545"/>
    <cellStyle name="Percent 10 3 4" xfId="20546"/>
    <cellStyle name="Percent 10 3 5" xfId="20547"/>
    <cellStyle name="Percent 10 3 6" xfId="20548"/>
    <cellStyle name="Percent 10 3_DeltaViewer" xfId="20549"/>
    <cellStyle name="Percent 10 4" xfId="20550"/>
    <cellStyle name="Percent 10 4 2" xfId="20551"/>
    <cellStyle name="Percent 10 4 3" xfId="20552"/>
    <cellStyle name="Percent 10 4 4" xfId="20553"/>
    <cellStyle name="Percent 10 4 5" xfId="20554"/>
    <cellStyle name="Percent 10 4_DeltaViewer" xfId="20555"/>
    <cellStyle name="Percent 10 5" xfId="20556"/>
    <cellStyle name="Percent 10 6" xfId="20557"/>
    <cellStyle name="Percent 10 7" xfId="20558"/>
    <cellStyle name="Percent 10 8" xfId="20559"/>
    <cellStyle name="Percent 10_DeltaViewer" xfId="20560"/>
    <cellStyle name="Percent 11" xfId="20561"/>
    <cellStyle name="Percent 11 2" xfId="20562"/>
    <cellStyle name="Percent 11 2 2" xfId="20563"/>
    <cellStyle name="Percent 11 2 2 2" xfId="20564"/>
    <cellStyle name="Percent 11 2 2 3" xfId="20565"/>
    <cellStyle name="Percent 11 2 2 4" xfId="20566"/>
    <cellStyle name="Percent 11 2 2 5" xfId="20567"/>
    <cellStyle name="Percent 11 2 2_DeltaViewer" xfId="20568"/>
    <cellStyle name="Percent 11 2 3" xfId="20569"/>
    <cellStyle name="Percent 11 2 4" xfId="20570"/>
    <cellStyle name="Percent 11 2 5" xfId="20571"/>
    <cellStyle name="Percent 11 2 6" xfId="20572"/>
    <cellStyle name="Percent 11 2_DeltaViewer" xfId="20573"/>
    <cellStyle name="Percent 11 3" xfId="20574"/>
    <cellStyle name="Percent 11 3 2" xfId="20575"/>
    <cellStyle name="Percent 11 3 3" xfId="20576"/>
    <cellStyle name="Percent 11 3 4" xfId="20577"/>
    <cellStyle name="Percent 11 3 5" xfId="20578"/>
    <cellStyle name="Percent 11 3_DeltaViewer" xfId="20579"/>
    <cellStyle name="Percent 11 4" xfId="20580"/>
    <cellStyle name="Percent 11 5" xfId="20581"/>
    <cellStyle name="Percent 11 6" xfId="20582"/>
    <cellStyle name="Percent 11 7" xfId="20583"/>
    <cellStyle name="Percent 11_DeltaViewer" xfId="20584"/>
    <cellStyle name="Percent 12" xfId="20585"/>
    <cellStyle name="Percent 12 2" xfId="20586"/>
    <cellStyle name="Percent 12 2 2" xfId="20587"/>
    <cellStyle name="Percent 12 2 3" xfId="20588"/>
    <cellStyle name="Percent 12 2 4" xfId="20589"/>
    <cellStyle name="Percent 12 2 5" xfId="20590"/>
    <cellStyle name="Percent 12 2_DeltaViewer" xfId="20591"/>
    <cellStyle name="Percent 12 3" xfId="20592"/>
    <cellStyle name="Percent 12 4" xfId="20593"/>
    <cellStyle name="Percent 12 5" xfId="20594"/>
    <cellStyle name="Percent 12 6" xfId="20595"/>
    <cellStyle name="Percent 12_DeltaViewer" xfId="20596"/>
    <cellStyle name="Percent 13" xfId="20597"/>
    <cellStyle name="Percent 13 2" xfId="20598"/>
    <cellStyle name="Percent 13 2 2" xfId="20599"/>
    <cellStyle name="Percent 13 2 3" xfId="20600"/>
    <cellStyle name="Percent 13 2 4" xfId="20601"/>
    <cellStyle name="Percent 13 2 5" xfId="20602"/>
    <cellStyle name="Percent 13 2_DeltaViewer" xfId="20603"/>
    <cellStyle name="Percent 13 3" xfId="20604"/>
    <cellStyle name="Percent 13 4" xfId="20605"/>
    <cellStyle name="Percent 13 5" xfId="20606"/>
    <cellStyle name="Percent 13 6" xfId="20607"/>
    <cellStyle name="Percent 13_DeltaViewer" xfId="20608"/>
    <cellStyle name="Percent 14" xfId="20609"/>
    <cellStyle name="Percent 14 2" xfId="20610"/>
    <cellStyle name="Percent 14 2 2" xfId="20611"/>
    <cellStyle name="Percent 14 2 3" xfId="20612"/>
    <cellStyle name="Percent 14 2 4" xfId="20613"/>
    <cellStyle name="Percent 14 2 5" xfId="20614"/>
    <cellStyle name="Percent 14 2_DeltaViewer" xfId="20615"/>
    <cellStyle name="Percent 14 3" xfId="20616"/>
    <cellStyle name="Percent 14 4" xfId="20617"/>
    <cellStyle name="Percent 14 5" xfId="20618"/>
    <cellStyle name="Percent 14 6" xfId="20619"/>
    <cellStyle name="Percent 14_DeltaViewer" xfId="20620"/>
    <cellStyle name="Percent 15" xfId="20621"/>
    <cellStyle name="Percent 15 2" xfId="20622"/>
    <cellStyle name="Percent 15 3" xfId="20623"/>
    <cellStyle name="Percent 15 4" xfId="20624"/>
    <cellStyle name="Percent 15 5" xfId="20625"/>
    <cellStyle name="Percent 15_DeltaViewer" xfId="20626"/>
    <cellStyle name="Percent 16" xfId="20627"/>
    <cellStyle name="Percent 16 2" xfId="20628"/>
    <cellStyle name="Percent 16 3" xfId="20629"/>
    <cellStyle name="Percent 16 4" xfId="20630"/>
    <cellStyle name="Percent 16 5" xfId="20631"/>
    <cellStyle name="Percent 16_DeltaViewer" xfId="20632"/>
    <cellStyle name="Percent 17" xfId="20633"/>
    <cellStyle name="Percent 18" xfId="21708"/>
    <cellStyle name="Percent 18 2" xfId="26947"/>
    <cellStyle name="Percent 19" xfId="24063"/>
    <cellStyle name="Percent 19 2" xfId="29293"/>
    <cellStyle name="Percent 2" xfId="150"/>
    <cellStyle name="Percent 2 2" xfId="20634"/>
    <cellStyle name="Percent 2 2 2" xfId="20635"/>
    <cellStyle name="Percent 2 2_DeltaViewer" xfId="20636"/>
    <cellStyle name="Percent 2 3" xfId="20637"/>
    <cellStyle name="Percent 2 4" xfId="20638"/>
    <cellStyle name="Percent 2 5" xfId="20639"/>
    <cellStyle name="Percent 2_DeltaViewer" xfId="20640"/>
    <cellStyle name="Percent 20" xfId="21483"/>
    <cellStyle name="Percent 21" xfId="21531"/>
    <cellStyle name="Percent 22" xfId="21575"/>
    <cellStyle name="Percent 23" xfId="21564"/>
    <cellStyle name="Percent 24" xfId="21570"/>
    <cellStyle name="Percent 25" xfId="24088"/>
    <cellStyle name="Percent 26" xfId="24114"/>
    <cellStyle name="Percent 27" xfId="24180"/>
    <cellStyle name="Percent 28" xfId="24127"/>
    <cellStyle name="Percent 29" xfId="24106"/>
    <cellStyle name="Percent 3" xfId="151"/>
    <cellStyle name="Percent 3 2" xfId="20641"/>
    <cellStyle name="Percent 3 2 2" xfId="20642"/>
    <cellStyle name="Percent 3 2 3" xfId="20643"/>
    <cellStyle name="Percent 3 2_DeltaViewer" xfId="20644"/>
    <cellStyle name="Percent 3 3" xfId="20645"/>
    <cellStyle name="Percent 3 3 2" xfId="20646"/>
    <cellStyle name="Percent 3 3 3" xfId="20647"/>
    <cellStyle name="Percent 3 3_DeltaViewer" xfId="20648"/>
    <cellStyle name="Percent 3 4" xfId="20649"/>
    <cellStyle name="Percent 3 5" xfId="20650"/>
    <cellStyle name="Percent 3 6" xfId="21700"/>
    <cellStyle name="Percent 3 7" xfId="24064"/>
    <cellStyle name="Percent 3 8" xfId="24376"/>
    <cellStyle name="Percent 3_DeltaViewer" xfId="20651"/>
    <cellStyle name="Percent 30" xfId="24205"/>
    <cellStyle name="Percent 31" xfId="24208"/>
    <cellStyle name="Percent 32" xfId="24200"/>
    <cellStyle name="Percent 33" xfId="24150"/>
    <cellStyle name="Percent 34" xfId="24105"/>
    <cellStyle name="Percent 35" xfId="24122"/>
    <cellStyle name="Percent 36" xfId="24388"/>
    <cellStyle name="Percent 37" xfId="24154"/>
    <cellStyle name="Percent 4" xfId="152"/>
    <cellStyle name="Percent 4 2" xfId="153"/>
    <cellStyle name="Percent 4 2 2" xfId="154"/>
    <cellStyle name="Percent 4 2 2 2" xfId="294"/>
    <cellStyle name="Percent 4 2 2 2 2" xfId="24518"/>
    <cellStyle name="Percent 4 2 2 3" xfId="24379"/>
    <cellStyle name="Percent 4 2 3" xfId="155"/>
    <cellStyle name="Percent 4 2 3 2" xfId="295"/>
    <cellStyle name="Percent 4 2 3 2 2" xfId="24519"/>
    <cellStyle name="Percent 4 2 3 3" xfId="24380"/>
    <cellStyle name="Percent 4 2 4" xfId="293"/>
    <cellStyle name="Percent 4 2 4 2" xfId="24517"/>
    <cellStyle name="Percent 4 2 5" xfId="21702"/>
    <cellStyle name="Percent 4 2 5 2" xfId="26941"/>
    <cellStyle name="Percent 4 2 6" xfId="21545"/>
    <cellStyle name="Percent 4 2 7" xfId="24378"/>
    <cellStyle name="Percent 4 3" xfId="156"/>
    <cellStyle name="Percent 4 3 2" xfId="296"/>
    <cellStyle name="Percent 4 3 2 2" xfId="24520"/>
    <cellStyle name="Percent 4 3 3" xfId="21703"/>
    <cellStyle name="Percent 4 3 3 2" xfId="26942"/>
    <cellStyle name="Percent 4 3 4" xfId="21544"/>
    <cellStyle name="Percent 4 3 5" xfId="24381"/>
    <cellStyle name="Percent 4 4" xfId="157"/>
    <cellStyle name="Percent 4 4 2" xfId="297"/>
    <cellStyle name="Percent 4 4 2 2" xfId="24521"/>
    <cellStyle name="Percent 4 4 3" xfId="24382"/>
    <cellStyle name="Percent 4 5" xfId="292"/>
    <cellStyle name="Percent 4 5 2" xfId="24516"/>
    <cellStyle name="Percent 4 6" xfId="21701"/>
    <cellStyle name="Percent 4 6 2" xfId="26940"/>
    <cellStyle name="Percent 4 7" xfId="21481"/>
    <cellStyle name="Percent 4 8" xfId="24377"/>
    <cellStyle name="Percent 4_DeltaViewer" xfId="20652"/>
    <cellStyle name="Percent 5" xfId="158"/>
    <cellStyle name="Percent 5 2" xfId="159"/>
    <cellStyle name="Percent 5 2 2" xfId="299"/>
    <cellStyle name="Percent 5 2 2 2" xfId="24523"/>
    <cellStyle name="Percent 5 2 3" xfId="21705"/>
    <cellStyle name="Percent 5 2 3 2" xfId="26944"/>
    <cellStyle name="Percent 5 2 4" xfId="21546"/>
    <cellStyle name="Percent 5 2 5" xfId="24384"/>
    <cellStyle name="Percent 5 3" xfId="160"/>
    <cellStyle name="Percent 5 3 2" xfId="300"/>
    <cellStyle name="Percent 5 3 2 2" xfId="24524"/>
    <cellStyle name="Percent 5 3 3" xfId="24385"/>
    <cellStyle name="Percent 5 4" xfId="298"/>
    <cellStyle name="Percent 5 4 2" xfId="24522"/>
    <cellStyle name="Percent 5 5" xfId="21704"/>
    <cellStyle name="Percent 5 5 2" xfId="26943"/>
    <cellStyle name="Percent 5 6" xfId="21482"/>
    <cellStyle name="Percent 5 7" xfId="24383"/>
    <cellStyle name="Percent 5_DeltaViewer" xfId="20653"/>
    <cellStyle name="Percent 6" xfId="161"/>
    <cellStyle name="Percent 6 10" xfId="21706"/>
    <cellStyle name="Percent 6 10 2" xfId="26945"/>
    <cellStyle name="Percent 6 11" xfId="24386"/>
    <cellStyle name="Percent 6 2" xfId="301"/>
    <cellStyle name="Percent 6 2 10" xfId="20654"/>
    <cellStyle name="Percent 6 2 11" xfId="20655"/>
    <cellStyle name="Percent 6 2 12" xfId="20656"/>
    <cellStyle name="Percent 6 2 13" xfId="21802"/>
    <cellStyle name="Percent 6 2 13 2" xfId="27039"/>
    <cellStyle name="Percent 6 2 14" xfId="24525"/>
    <cellStyle name="Percent 6 2 2" xfId="20657"/>
    <cellStyle name="Percent 6 2 2 2" xfId="20658"/>
    <cellStyle name="Percent 6 2 2 2 2" xfId="20659"/>
    <cellStyle name="Percent 6 2 2 2 2 2" xfId="20660"/>
    <cellStyle name="Percent 6 2 2 2 2 3" xfId="20661"/>
    <cellStyle name="Percent 6 2 2 2 2 4" xfId="20662"/>
    <cellStyle name="Percent 6 2 2 2 2 5" xfId="20663"/>
    <cellStyle name="Percent 6 2 2 2 2_DeltaViewer" xfId="20664"/>
    <cellStyle name="Percent 6 2 2 2 3" xfId="20665"/>
    <cellStyle name="Percent 6 2 2 2 4" xfId="20666"/>
    <cellStyle name="Percent 6 2 2 2 5" xfId="20667"/>
    <cellStyle name="Percent 6 2 2 2 6" xfId="20668"/>
    <cellStyle name="Percent 6 2 2 2_DeltaViewer" xfId="20669"/>
    <cellStyle name="Percent 6 2 2 3" xfId="20670"/>
    <cellStyle name="Percent 6 2 2 3 2" xfId="20671"/>
    <cellStyle name="Percent 6 2 2 3 2 2" xfId="20672"/>
    <cellStyle name="Percent 6 2 2 3 2 3" xfId="20673"/>
    <cellStyle name="Percent 6 2 2 3 2 4" xfId="20674"/>
    <cellStyle name="Percent 6 2 2 3 2 5" xfId="20675"/>
    <cellStyle name="Percent 6 2 2 3 2_DeltaViewer" xfId="20676"/>
    <cellStyle name="Percent 6 2 2 3 3" xfId="20677"/>
    <cellStyle name="Percent 6 2 2 3 4" xfId="20678"/>
    <cellStyle name="Percent 6 2 2 3 5" xfId="20679"/>
    <cellStyle name="Percent 6 2 2 3 6" xfId="20680"/>
    <cellStyle name="Percent 6 2 2 3_DeltaViewer" xfId="20681"/>
    <cellStyle name="Percent 6 2 2 4" xfId="20682"/>
    <cellStyle name="Percent 6 2 2 4 2" xfId="20683"/>
    <cellStyle name="Percent 6 2 2 4 3" xfId="20684"/>
    <cellStyle name="Percent 6 2 2 4 4" xfId="20685"/>
    <cellStyle name="Percent 6 2 2 4 5" xfId="20686"/>
    <cellStyle name="Percent 6 2 2 4_DeltaViewer" xfId="20687"/>
    <cellStyle name="Percent 6 2 2 5" xfId="20688"/>
    <cellStyle name="Percent 6 2 2 6" xfId="20689"/>
    <cellStyle name="Percent 6 2 2 7" xfId="20690"/>
    <cellStyle name="Percent 6 2 2 8" xfId="20691"/>
    <cellStyle name="Percent 6 2 2_DeltaViewer" xfId="20692"/>
    <cellStyle name="Percent 6 2 3" xfId="20693"/>
    <cellStyle name="Percent 6 2 3 2" xfId="20694"/>
    <cellStyle name="Percent 6 2 3 2 2" xfId="20695"/>
    <cellStyle name="Percent 6 2 3 2 2 2" xfId="20696"/>
    <cellStyle name="Percent 6 2 3 2 2 3" xfId="20697"/>
    <cellStyle name="Percent 6 2 3 2 2 4" xfId="20698"/>
    <cellStyle name="Percent 6 2 3 2 2 5" xfId="20699"/>
    <cellStyle name="Percent 6 2 3 2 2_DeltaViewer" xfId="20700"/>
    <cellStyle name="Percent 6 2 3 2 3" xfId="20701"/>
    <cellStyle name="Percent 6 2 3 2 4" xfId="20702"/>
    <cellStyle name="Percent 6 2 3 2 5" xfId="20703"/>
    <cellStyle name="Percent 6 2 3 2 6" xfId="20704"/>
    <cellStyle name="Percent 6 2 3 2_DeltaViewer" xfId="20705"/>
    <cellStyle name="Percent 6 2 3 3" xfId="20706"/>
    <cellStyle name="Percent 6 2 3 3 2" xfId="20707"/>
    <cellStyle name="Percent 6 2 3 3 3" xfId="20708"/>
    <cellStyle name="Percent 6 2 3 3 4" xfId="20709"/>
    <cellStyle name="Percent 6 2 3 3 5" xfId="20710"/>
    <cellStyle name="Percent 6 2 3 3_DeltaViewer" xfId="20711"/>
    <cellStyle name="Percent 6 2 3 4" xfId="20712"/>
    <cellStyle name="Percent 6 2 3 5" xfId="20713"/>
    <cellStyle name="Percent 6 2 3 6" xfId="20714"/>
    <cellStyle name="Percent 6 2 3 7" xfId="20715"/>
    <cellStyle name="Percent 6 2 3_DeltaViewer" xfId="20716"/>
    <cellStyle name="Percent 6 2 4" xfId="20717"/>
    <cellStyle name="Percent 6 2 4 2" xfId="20718"/>
    <cellStyle name="Percent 6 2 4 2 2" xfId="20719"/>
    <cellStyle name="Percent 6 2 4 2 3" xfId="20720"/>
    <cellStyle name="Percent 6 2 4 2 4" xfId="20721"/>
    <cellStyle name="Percent 6 2 4 2 5" xfId="20722"/>
    <cellStyle name="Percent 6 2 4 2_DeltaViewer" xfId="20723"/>
    <cellStyle name="Percent 6 2 4 3" xfId="20724"/>
    <cellStyle name="Percent 6 2 4 4" xfId="20725"/>
    <cellStyle name="Percent 6 2 4 5" xfId="20726"/>
    <cellStyle name="Percent 6 2 4 6" xfId="20727"/>
    <cellStyle name="Percent 6 2 4_DeltaViewer" xfId="20728"/>
    <cellStyle name="Percent 6 2 5" xfId="20729"/>
    <cellStyle name="Percent 6 2 5 2" xfId="20730"/>
    <cellStyle name="Percent 6 2 5 2 2" xfId="20731"/>
    <cellStyle name="Percent 6 2 5 2 3" xfId="20732"/>
    <cellStyle name="Percent 6 2 5 2 4" xfId="20733"/>
    <cellStyle name="Percent 6 2 5 2 5" xfId="20734"/>
    <cellStyle name="Percent 6 2 5 2_DeltaViewer" xfId="20735"/>
    <cellStyle name="Percent 6 2 5 3" xfId="20736"/>
    <cellStyle name="Percent 6 2 5 4" xfId="20737"/>
    <cellStyle name="Percent 6 2 5 5" xfId="20738"/>
    <cellStyle name="Percent 6 2 5 6" xfId="20739"/>
    <cellStyle name="Percent 6 2 5_DeltaViewer" xfId="20740"/>
    <cellStyle name="Percent 6 2 6" xfId="20741"/>
    <cellStyle name="Percent 6 2 6 2" xfId="20742"/>
    <cellStyle name="Percent 6 2 6 2 2" xfId="20743"/>
    <cellStyle name="Percent 6 2 6 2 3" xfId="20744"/>
    <cellStyle name="Percent 6 2 6 2 4" xfId="20745"/>
    <cellStyle name="Percent 6 2 6 2 5" xfId="20746"/>
    <cellStyle name="Percent 6 2 6 2_DeltaViewer" xfId="20747"/>
    <cellStyle name="Percent 6 2 6 3" xfId="20748"/>
    <cellStyle name="Percent 6 2 6 4" xfId="20749"/>
    <cellStyle name="Percent 6 2 6 5" xfId="20750"/>
    <cellStyle name="Percent 6 2 6 6" xfId="20751"/>
    <cellStyle name="Percent 6 2 6_DeltaViewer" xfId="20752"/>
    <cellStyle name="Percent 6 2 7" xfId="20753"/>
    <cellStyle name="Percent 6 2 7 2" xfId="20754"/>
    <cellStyle name="Percent 6 2 7 3" xfId="20755"/>
    <cellStyle name="Percent 6 2 7 4" xfId="20756"/>
    <cellStyle name="Percent 6 2 7 5" xfId="20757"/>
    <cellStyle name="Percent 6 2 7_DeltaViewer" xfId="20758"/>
    <cellStyle name="Percent 6 2 8" xfId="20759"/>
    <cellStyle name="Percent 6 2 9" xfId="20760"/>
    <cellStyle name="Percent 6 2_DeltaViewer" xfId="20761"/>
    <cellStyle name="Percent 6 3" xfId="20762"/>
    <cellStyle name="Percent 6 3 2" xfId="20763"/>
    <cellStyle name="Percent 6 3 2 2" xfId="20764"/>
    <cellStyle name="Percent 6 3 2 3" xfId="20765"/>
    <cellStyle name="Percent 6 3 2 4" xfId="20766"/>
    <cellStyle name="Percent 6 3 2 5" xfId="20767"/>
    <cellStyle name="Percent 6 3 2_DeltaViewer" xfId="20768"/>
    <cellStyle name="Percent 6 3 3" xfId="20769"/>
    <cellStyle name="Percent 6 3 4" xfId="20770"/>
    <cellStyle name="Percent 6 3 5" xfId="20771"/>
    <cellStyle name="Percent 6 3 6" xfId="20772"/>
    <cellStyle name="Percent 6 3_DeltaViewer" xfId="20773"/>
    <cellStyle name="Percent 6 4" xfId="20774"/>
    <cellStyle name="Percent 6 4 2" xfId="20775"/>
    <cellStyle name="Percent 6 4 3" xfId="20776"/>
    <cellStyle name="Percent 6 4 4" xfId="20777"/>
    <cellStyle name="Percent 6 4 5" xfId="20778"/>
    <cellStyle name="Percent 6 4_DeltaViewer" xfId="20779"/>
    <cellStyle name="Percent 6 5" xfId="20780"/>
    <cellStyle name="Percent 6 6" xfId="20781"/>
    <cellStyle name="Percent 6 7" xfId="20782"/>
    <cellStyle name="Percent 6 8" xfId="20783"/>
    <cellStyle name="Percent 6 9" xfId="20784"/>
    <cellStyle name="Percent 6_DeltaViewer" xfId="20785"/>
    <cellStyle name="Percent 7" xfId="162"/>
    <cellStyle name="Percent 7 10" xfId="21707"/>
    <cellStyle name="Percent 7 10 2" xfId="26946"/>
    <cellStyle name="Percent 7 11" xfId="24387"/>
    <cellStyle name="Percent 7 2" xfId="302"/>
    <cellStyle name="Percent 7 2 10" xfId="24049"/>
    <cellStyle name="Percent 7 2 10 2" xfId="29280"/>
    <cellStyle name="Percent 7 2 11" xfId="24526"/>
    <cellStyle name="Percent 7 2 2" xfId="20786"/>
    <cellStyle name="Percent 7 2 2 2" xfId="20787"/>
    <cellStyle name="Percent 7 2 2 2 2" xfId="20788"/>
    <cellStyle name="Percent 7 2 2 2 3" xfId="20789"/>
    <cellStyle name="Percent 7 2 2 2 4" xfId="20790"/>
    <cellStyle name="Percent 7 2 2 2 5" xfId="20791"/>
    <cellStyle name="Percent 7 2 2 2_DeltaViewer" xfId="20792"/>
    <cellStyle name="Percent 7 2 2 3" xfId="20793"/>
    <cellStyle name="Percent 7 2 2 4" xfId="20794"/>
    <cellStyle name="Percent 7 2 2 5" xfId="20795"/>
    <cellStyle name="Percent 7 2 2 6" xfId="20796"/>
    <cellStyle name="Percent 7 2 2_DeltaViewer" xfId="20797"/>
    <cellStyle name="Percent 7 2 3" xfId="20798"/>
    <cellStyle name="Percent 7 2 3 2" xfId="20799"/>
    <cellStyle name="Percent 7 2 3 3" xfId="20800"/>
    <cellStyle name="Percent 7 2 3 4" xfId="20801"/>
    <cellStyle name="Percent 7 2 3 5" xfId="20802"/>
    <cellStyle name="Percent 7 2 3_DeltaViewer" xfId="20803"/>
    <cellStyle name="Percent 7 2 4" xfId="20804"/>
    <cellStyle name="Percent 7 2 5" xfId="20805"/>
    <cellStyle name="Percent 7 2 6" xfId="20806"/>
    <cellStyle name="Percent 7 2 7" xfId="20807"/>
    <cellStyle name="Percent 7 2 8" xfId="20808"/>
    <cellStyle name="Percent 7 2 9" xfId="21803"/>
    <cellStyle name="Percent 7 2 9 2" xfId="27040"/>
    <cellStyle name="Percent 7 2_DeltaViewer" xfId="20809"/>
    <cellStyle name="Percent 7 3" xfId="20810"/>
    <cellStyle name="Percent 7 3 2" xfId="20811"/>
    <cellStyle name="Percent 7 3 2 2" xfId="20812"/>
    <cellStyle name="Percent 7 3 2 3" xfId="20813"/>
    <cellStyle name="Percent 7 3 2 4" xfId="20814"/>
    <cellStyle name="Percent 7 3 2 5" xfId="20815"/>
    <cellStyle name="Percent 7 3 2_DeltaViewer" xfId="20816"/>
    <cellStyle name="Percent 7 3 3" xfId="20817"/>
    <cellStyle name="Percent 7 3 4" xfId="20818"/>
    <cellStyle name="Percent 7 3 5" xfId="20819"/>
    <cellStyle name="Percent 7 3 6" xfId="20820"/>
    <cellStyle name="Percent 7 3_DeltaViewer" xfId="20821"/>
    <cellStyle name="Percent 7 4" xfId="20822"/>
    <cellStyle name="Percent 7 4 2" xfId="20823"/>
    <cellStyle name="Percent 7 4 3" xfId="20824"/>
    <cellStyle name="Percent 7 4 4" xfId="20825"/>
    <cellStyle name="Percent 7 4 5" xfId="20826"/>
    <cellStyle name="Percent 7 4_DeltaViewer" xfId="20827"/>
    <cellStyle name="Percent 7 5" xfId="20828"/>
    <cellStyle name="Percent 7 6" xfId="20829"/>
    <cellStyle name="Percent 7 7" xfId="20830"/>
    <cellStyle name="Percent 7 8" xfId="20831"/>
    <cellStyle name="Percent 7 9" xfId="20832"/>
    <cellStyle name="Percent 7_DeltaViewer" xfId="20833"/>
    <cellStyle name="Percent 8" xfId="303"/>
    <cellStyle name="Percent 8 10" xfId="20834"/>
    <cellStyle name="Percent 8 11" xfId="21804"/>
    <cellStyle name="Percent 8 11 2" xfId="27041"/>
    <cellStyle name="Percent 8 12" xfId="24527"/>
    <cellStyle name="Percent 8 2" xfId="20835"/>
    <cellStyle name="Percent 8 2 2" xfId="20836"/>
    <cellStyle name="Percent 8 2 2 2" xfId="20837"/>
    <cellStyle name="Percent 8 2 2 2 2" xfId="20838"/>
    <cellStyle name="Percent 8 2 2 2 3" xfId="20839"/>
    <cellStyle name="Percent 8 2 2 2 4" xfId="20840"/>
    <cellStyle name="Percent 8 2 2 2 5" xfId="20841"/>
    <cellStyle name="Percent 8 2 2 2_DeltaViewer" xfId="20842"/>
    <cellStyle name="Percent 8 2 2 3" xfId="20843"/>
    <cellStyle name="Percent 8 2 2 4" xfId="20844"/>
    <cellStyle name="Percent 8 2 2 5" xfId="20845"/>
    <cellStyle name="Percent 8 2 2 6" xfId="20846"/>
    <cellStyle name="Percent 8 2 2_DeltaViewer" xfId="20847"/>
    <cellStyle name="Percent 8 2 3" xfId="20848"/>
    <cellStyle name="Percent 8 2 3 2" xfId="20849"/>
    <cellStyle name="Percent 8 2 3 3" xfId="20850"/>
    <cellStyle name="Percent 8 2 3 4" xfId="20851"/>
    <cellStyle name="Percent 8 2 3 5" xfId="20852"/>
    <cellStyle name="Percent 8 2 3_DeltaViewer" xfId="20853"/>
    <cellStyle name="Percent 8 2 4" xfId="20854"/>
    <cellStyle name="Percent 8 2 5" xfId="20855"/>
    <cellStyle name="Percent 8 2 6" xfId="20856"/>
    <cellStyle name="Percent 8 2 7" xfId="20857"/>
    <cellStyle name="Percent 8 2 8" xfId="20858"/>
    <cellStyle name="Percent 8 2_DeltaViewer" xfId="20859"/>
    <cellStyle name="Percent 8 3" xfId="20860"/>
    <cellStyle name="Percent 8 3 2" xfId="20861"/>
    <cellStyle name="Percent 8 3 2 2" xfId="20862"/>
    <cellStyle name="Percent 8 3 2 2 2" xfId="20863"/>
    <cellStyle name="Percent 8 3 2 2 3" xfId="20864"/>
    <cellStyle name="Percent 8 3 2 2 4" xfId="20865"/>
    <cellStyle name="Percent 8 3 2 2 5" xfId="20866"/>
    <cellStyle name="Percent 8 3 2 2_DeltaViewer" xfId="20867"/>
    <cellStyle name="Percent 8 3 2 3" xfId="20868"/>
    <cellStyle name="Percent 8 3 2 4" xfId="20869"/>
    <cellStyle name="Percent 8 3 2 5" xfId="20870"/>
    <cellStyle name="Percent 8 3 2 6" xfId="20871"/>
    <cellStyle name="Percent 8 3 2_DeltaViewer" xfId="20872"/>
    <cellStyle name="Percent 8 3 3" xfId="20873"/>
    <cellStyle name="Percent 8 3 3 2" xfId="20874"/>
    <cellStyle name="Percent 8 3 3 3" xfId="20875"/>
    <cellStyle name="Percent 8 3 3 4" xfId="20876"/>
    <cellStyle name="Percent 8 3 3 5" xfId="20877"/>
    <cellStyle name="Percent 8 3 3_DeltaViewer" xfId="20878"/>
    <cellStyle name="Percent 8 3 4" xfId="20879"/>
    <cellStyle name="Percent 8 3 5" xfId="20880"/>
    <cellStyle name="Percent 8 3 6" xfId="20881"/>
    <cellStyle name="Percent 8 3 7" xfId="20882"/>
    <cellStyle name="Percent 8 3_DeltaViewer" xfId="20883"/>
    <cellStyle name="Percent 8 4" xfId="20884"/>
    <cellStyle name="Percent 8 4 2" xfId="20885"/>
    <cellStyle name="Percent 8 4 2 2" xfId="20886"/>
    <cellStyle name="Percent 8 4 2 3" xfId="20887"/>
    <cellStyle name="Percent 8 4 2 4" xfId="20888"/>
    <cellStyle name="Percent 8 4 2 5" xfId="20889"/>
    <cellStyle name="Percent 8 4 2_DeltaViewer" xfId="20890"/>
    <cellStyle name="Percent 8 4 3" xfId="20891"/>
    <cellStyle name="Percent 8 4 4" xfId="20892"/>
    <cellStyle name="Percent 8 4 5" xfId="20893"/>
    <cellStyle name="Percent 8 4 6" xfId="20894"/>
    <cellStyle name="Percent 8 4_DeltaViewer" xfId="20895"/>
    <cellStyle name="Percent 8 5" xfId="20896"/>
    <cellStyle name="Percent 8 5 2" xfId="20897"/>
    <cellStyle name="Percent 8 5 3" xfId="20898"/>
    <cellStyle name="Percent 8 5 4" xfId="20899"/>
    <cellStyle name="Percent 8 5 5" xfId="20900"/>
    <cellStyle name="Percent 8 5_DeltaViewer" xfId="20901"/>
    <cellStyle name="Percent 8 6" xfId="20902"/>
    <cellStyle name="Percent 8 7" xfId="20903"/>
    <cellStyle name="Percent 8 8" xfId="20904"/>
    <cellStyle name="Percent 8 9" xfId="20905"/>
    <cellStyle name="Percent 8_DeltaViewer" xfId="20906"/>
    <cellStyle name="Percent 9" xfId="20907"/>
    <cellStyle name="Percent 9 2" xfId="20908"/>
    <cellStyle name="Percent 9 2 2" xfId="20909"/>
    <cellStyle name="Percent 9 2 2 2" xfId="20910"/>
    <cellStyle name="Percent 9 2 2 3" xfId="20911"/>
    <cellStyle name="Percent 9 2 2 4" xfId="20912"/>
    <cellStyle name="Percent 9 2 2 5" xfId="20913"/>
    <cellStyle name="Percent 9 2 2_DeltaViewer" xfId="20914"/>
    <cellStyle name="Percent 9 2 3" xfId="20915"/>
    <cellStyle name="Percent 9 2 4" xfId="20916"/>
    <cellStyle name="Percent 9 2 5" xfId="20917"/>
    <cellStyle name="Percent 9 2 6" xfId="20918"/>
    <cellStyle name="Percent 9 2_DeltaViewer" xfId="20919"/>
    <cellStyle name="Percent 9 3" xfId="20920"/>
    <cellStyle name="Percent 9 3 2" xfId="20921"/>
    <cellStyle name="Percent 9 3 3" xfId="20922"/>
    <cellStyle name="Percent 9 3 4" xfId="20923"/>
    <cellStyle name="Percent 9 3 5" xfId="20924"/>
    <cellStyle name="Percent 9 3_DeltaViewer" xfId="20925"/>
    <cellStyle name="Percent 9 4" xfId="20926"/>
    <cellStyle name="Percent 9 5" xfId="20927"/>
    <cellStyle name="Percent 9 6" xfId="20928"/>
    <cellStyle name="Percent 9 7" xfId="20929"/>
    <cellStyle name="Percent 9_DeltaViewer" xfId="20930"/>
    <cellStyle name="pesonal" xfId="20931"/>
    <cellStyle name="PivColumn" xfId="20932"/>
    <cellStyle name="PivData" xfId="20933"/>
    <cellStyle name="PivLabel" xfId="20934"/>
    <cellStyle name="PivRow" xfId="20935"/>
    <cellStyle name="Porcentaje 2" xfId="20936"/>
    <cellStyle name="Porcentaje 2 2" xfId="20937"/>
    <cellStyle name="Porcentaje 2 2 2" xfId="20938"/>
    <cellStyle name="Porcentaje 2 2 2 2" xfId="20939"/>
    <cellStyle name="Porcentaje 2 2 2 3" xfId="20940"/>
    <cellStyle name="Porcentaje 2 2 2 4" xfId="20941"/>
    <cellStyle name="Porcentaje 2 2 2 5" xfId="20942"/>
    <cellStyle name="Porcentaje 2 2 2_DeltaViewer" xfId="20943"/>
    <cellStyle name="Porcentaje 2 2 3" xfId="20944"/>
    <cellStyle name="Porcentaje 2 2 4" xfId="20945"/>
    <cellStyle name="Porcentaje 2 2 5" xfId="20946"/>
    <cellStyle name="Porcentaje 2 2 6" xfId="20947"/>
    <cellStyle name="Porcentaje 2 2_DeltaViewer" xfId="20948"/>
    <cellStyle name="Porcentaje 2 3" xfId="20949"/>
    <cellStyle name="Porcentaje 2_DeltaViewer" xfId="20950"/>
    <cellStyle name="Porcentaje 3" xfId="20951"/>
    <cellStyle name="PricingProducts" xfId="20952"/>
    <cellStyle name="RM" xfId="20953"/>
    <cellStyle name="rt" xfId="20954"/>
    <cellStyle name="Salida 2" xfId="20955"/>
    <cellStyle name="Salida 2 2" xfId="20956"/>
    <cellStyle name="Salida 2 2 2" xfId="20957"/>
    <cellStyle name="Salida 2 2_DeltaViewer" xfId="20958"/>
    <cellStyle name="Salida 2 3" xfId="20959"/>
    <cellStyle name="Salida 2_DeltaViewer" xfId="20960"/>
    <cellStyle name="Salida 3" xfId="20961"/>
    <cellStyle name="Salida 3 2" xfId="20962"/>
    <cellStyle name="Salida 3_DeltaViewer" xfId="20963"/>
    <cellStyle name="Salida 4" xfId="20964"/>
    <cellStyle name="Separador de milhares [0]_CBOND2" xfId="20965"/>
    <cellStyle name="Separador de milhares_1 I" xfId="20966"/>
    <cellStyle name="Standaard_190 Flujos totales con pens 5 GRMF95" xfId="20967"/>
    <cellStyle name="Standard_BONDFIND_swap_Spread" xfId="20968"/>
    <cellStyle name="static" xfId="20969"/>
    <cellStyle name="Style 1" xfId="20970"/>
    <cellStyle name="Style 1 10" xfId="20971"/>
    <cellStyle name="Style 1 11" xfId="20972"/>
    <cellStyle name="Style 1 12" xfId="20973"/>
    <cellStyle name="Style 1 2" xfId="20974"/>
    <cellStyle name="Style 1 2 10" xfId="20975"/>
    <cellStyle name="Style 1 2 2" xfId="20976"/>
    <cellStyle name="Style 1 2 2 10" xfId="20977"/>
    <cellStyle name="Style 1 2 2 2" xfId="20978"/>
    <cellStyle name="Style 1 2 2 2 2" xfId="20979"/>
    <cellStyle name="Style 1 2 2 2 2 2" xfId="20980"/>
    <cellStyle name="Style 1 2 2 2 2 3" xfId="20981"/>
    <cellStyle name="Style 1 2 2 2 2 4" xfId="20982"/>
    <cellStyle name="Style 1 2 2 2 2 5" xfId="20983"/>
    <cellStyle name="Style 1 2 2 2 2_DeltaViewer" xfId="20984"/>
    <cellStyle name="Style 1 2 2 2 3" xfId="20985"/>
    <cellStyle name="Style 1 2 2 2 4" xfId="20986"/>
    <cellStyle name="Style 1 2 2 2 5" xfId="20987"/>
    <cellStyle name="Style 1 2 2 2 6" xfId="20988"/>
    <cellStyle name="Style 1 2 2 2_DeltaViewer" xfId="20989"/>
    <cellStyle name="Style 1 2 2 3" xfId="20990"/>
    <cellStyle name="Style 1 2 2 3 2" xfId="20991"/>
    <cellStyle name="Style 1 2 2 3 2 2" xfId="20992"/>
    <cellStyle name="Style 1 2 2 3 2 3" xfId="20993"/>
    <cellStyle name="Style 1 2 2 3 2 4" xfId="20994"/>
    <cellStyle name="Style 1 2 2 3 2 5" xfId="20995"/>
    <cellStyle name="Style 1 2 2 3 2_DeltaViewer" xfId="20996"/>
    <cellStyle name="Style 1 2 2 3 3" xfId="20997"/>
    <cellStyle name="Style 1 2 2 3 4" xfId="20998"/>
    <cellStyle name="Style 1 2 2 3 5" xfId="20999"/>
    <cellStyle name="Style 1 2 2 3 6" xfId="21000"/>
    <cellStyle name="Style 1 2 2 3_DeltaViewer" xfId="21001"/>
    <cellStyle name="Style 1 2 2 4" xfId="21002"/>
    <cellStyle name="Style 1 2 2 4 2" xfId="21003"/>
    <cellStyle name="Style 1 2 2 4 2 2" xfId="21004"/>
    <cellStyle name="Style 1 2 2 4 2 3" xfId="21005"/>
    <cellStyle name="Style 1 2 2 4 2 4" xfId="21006"/>
    <cellStyle name="Style 1 2 2 4 2 5" xfId="21007"/>
    <cellStyle name="Style 1 2 2 4 2_DeltaViewer" xfId="21008"/>
    <cellStyle name="Style 1 2 2 4 3" xfId="21009"/>
    <cellStyle name="Style 1 2 2 4 4" xfId="21010"/>
    <cellStyle name="Style 1 2 2 4 5" xfId="21011"/>
    <cellStyle name="Style 1 2 2 4 6" xfId="21012"/>
    <cellStyle name="Style 1 2 2 4_DeltaViewer" xfId="21013"/>
    <cellStyle name="Style 1 2 2 5" xfId="21014"/>
    <cellStyle name="Style 1 2 2 5 2" xfId="21015"/>
    <cellStyle name="Style 1 2 2 5 3" xfId="21016"/>
    <cellStyle name="Style 1 2 2 5 4" xfId="21017"/>
    <cellStyle name="Style 1 2 2 5 5" xfId="21018"/>
    <cellStyle name="Style 1 2 2 5_DeltaViewer" xfId="21019"/>
    <cellStyle name="Style 1 2 2 6" xfId="21020"/>
    <cellStyle name="Style 1 2 2 7" xfId="21021"/>
    <cellStyle name="Style 1 2 2 8" xfId="21022"/>
    <cellStyle name="Style 1 2 2 9" xfId="21023"/>
    <cellStyle name="Style 1 2 2_DeltaViewer" xfId="21024"/>
    <cellStyle name="Style 1 2 3" xfId="21025"/>
    <cellStyle name="Style 1 2 3 2" xfId="21026"/>
    <cellStyle name="Style 1 2 3 2 2" xfId="21027"/>
    <cellStyle name="Style 1 2 3 2 3" xfId="21028"/>
    <cellStyle name="Style 1 2 3 2 4" xfId="21029"/>
    <cellStyle name="Style 1 2 3 2 5" xfId="21030"/>
    <cellStyle name="Style 1 2 3 2_DeltaViewer" xfId="21031"/>
    <cellStyle name="Style 1 2 3 3" xfId="21032"/>
    <cellStyle name="Style 1 2 3 4" xfId="21033"/>
    <cellStyle name="Style 1 2 3 5" xfId="21034"/>
    <cellStyle name="Style 1 2 3 6" xfId="21035"/>
    <cellStyle name="Style 1 2 3 7" xfId="21036"/>
    <cellStyle name="Style 1 2 3_DeltaViewer" xfId="21037"/>
    <cellStyle name="Style 1 2 4" xfId="21038"/>
    <cellStyle name="Style 1 2 4 2" xfId="21039"/>
    <cellStyle name="Style 1 2 4 2 2" xfId="21040"/>
    <cellStyle name="Style 1 2 4 2 3" xfId="21041"/>
    <cellStyle name="Style 1 2 4 2 4" xfId="21042"/>
    <cellStyle name="Style 1 2 4 2 5" xfId="21043"/>
    <cellStyle name="Style 1 2 4 2_DeltaViewer" xfId="21044"/>
    <cellStyle name="Style 1 2 4 3" xfId="21045"/>
    <cellStyle name="Style 1 2 4 4" xfId="21046"/>
    <cellStyle name="Style 1 2 4 5" xfId="21047"/>
    <cellStyle name="Style 1 2 4 6" xfId="21048"/>
    <cellStyle name="Style 1 2 4_DeltaViewer" xfId="21049"/>
    <cellStyle name="Style 1 2 5" xfId="21050"/>
    <cellStyle name="Style 1 2 5 2" xfId="21051"/>
    <cellStyle name="Style 1 2 5 3" xfId="21052"/>
    <cellStyle name="Style 1 2 5 4" xfId="21053"/>
    <cellStyle name="Style 1 2 5 5" xfId="21054"/>
    <cellStyle name="Style 1 2 5_DeltaViewer" xfId="21055"/>
    <cellStyle name="Style 1 2 6" xfId="21056"/>
    <cellStyle name="Style 1 2 7" xfId="21057"/>
    <cellStyle name="Style 1 2 8" xfId="21058"/>
    <cellStyle name="Style 1 2 9" xfId="21059"/>
    <cellStyle name="Style 1 2_12.05.29 AngloAmericaCCY ASW 7Y" xfId="21060"/>
    <cellStyle name="Style 1 3" xfId="21061"/>
    <cellStyle name="Style 1 3 10" xfId="21062"/>
    <cellStyle name="Style 1 3 2" xfId="21063"/>
    <cellStyle name="Style 1 3 2 2" xfId="21064"/>
    <cellStyle name="Style 1 3 2 2 2" xfId="21065"/>
    <cellStyle name="Style 1 3 2 2 3" xfId="21066"/>
    <cellStyle name="Style 1 3 2 2 4" xfId="21067"/>
    <cellStyle name="Style 1 3 2 2 5" xfId="21068"/>
    <cellStyle name="Style 1 3 2 2_DeltaViewer" xfId="21069"/>
    <cellStyle name="Style 1 3 2 3" xfId="21070"/>
    <cellStyle name="Style 1 3 2 4" xfId="21071"/>
    <cellStyle name="Style 1 3 2 5" xfId="21072"/>
    <cellStyle name="Style 1 3 2 6" xfId="21073"/>
    <cellStyle name="Style 1 3 2 7" xfId="21074"/>
    <cellStyle name="Style 1 3 2_DeltaViewer" xfId="21075"/>
    <cellStyle name="Style 1 3 3" xfId="21076"/>
    <cellStyle name="Style 1 3 3 2" xfId="21077"/>
    <cellStyle name="Style 1 3 3 2 2" xfId="21078"/>
    <cellStyle name="Style 1 3 3 2 3" xfId="21079"/>
    <cellStyle name="Style 1 3 3 2 4" xfId="21080"/>
    <cellStyle name="Style 1 3 3 2 5" xfId="21081"/>
    <cellStyle name="Style 1 3 3 2_DeltaViewer" xfId="21082"/>
    <cellStyle name="Style 1 3 3 3" xfId="21083"/>
    <cellStyle name="Style 1 3 3 4" xfId="21084"/>
    <cellStyle name="Style 1 3 3 5" xfId="21085"/>
    <cellStyle name="Style 1 3 3 6" xfId="21086"/>
    <cellStyle name="Style 1 3 3 7" xfId="21087"/>
    <cellStyle name="Style 1 3 3_DeltaViewer" xfId="21088"/>
    <cellStyle name="Style 1 3 4" xfId="21089"/>
    <cellStyle name="Style 1 3 4 2" xfId="21090"/>
    <cellStyle name="Style 1 3 4 2 2" xfId="21091"/>
    <cellStyle name="Style 1 3 4 2 3" xfId="21092"/>
    <cellStyle name="Style 1 3 4 2 4" xfId="21093"/>
    <cellStyle name="Style 1 3 4 2 5" xfId="21094"/>
    <cellStyle name="Style 1 3 4 2_DeltaViewer" xfId="21095"/>
    <cellStyle name="Style 1 3 4 3" xfId="21096"/>
    <cellStyle name="Style 1 3 4 4" xfId="21097"/>
    <cellStyle name="Style 1 3 4 5" xfId="21098"/>
    <cellStyle name="Style 1 3 4 6" xfId="21099"/>
    <cellStyle name="Style 1 3 4_DeltaViewer" xfId="21100"/>
    <cellStyle name="Style 1 3 5" xfId="21101"/>
    <cellStyle name="Style 1 3 5 2" xfId="21102"/>
    <cellStyle name="Style 1 3 5 3" xfId="21103"/>
    <cellStyle name="Style 1 3 5 4" xfId="21104"/>
    <cellStyle name="Style 1 3 5 5" xfId="21105"/>
    <cellStyle name="Style 1 3 5_DeltaViewer" xfId="21106"/>
    <cellStyle name="Style 1 3 6" xfId="21107"/>
    <cellStyle name="Style 1 3 7" xfId="21108"/>
    <cellStyle name="Style 1 3 8" xfId="21109"/>
    <cellStyle name="Style 1 3 9" xfId="21110"/>
    <cellStyle name="Style 1 3_DeltaViewer" xfId="21111"/>
    <cellStyle name="Style 1 4" xfId="21112"/>
    <cellStyle name="Style 1 4 10" xfId="21113"/>
    <cellStyle name="Style 1 4 11" xfId="21114"/>
    <cellStyle name="Style 1 4 2" xfId="21115"/>
    <cellStyle name="Style 1 4 2 2" xfId="21116"/>
    <cellStyle name="Style 1 4 2 2 2" xfId="21117"/>
    <cellStyle name="Style 1 4 2 2 2 2" xfId="21118"/>
    <cellStyle name="Style 1 4 2 2 2 3" xfId="21119"/>
    <cellStyle name="Style 1 4 2 2 2 4" xfId="21120"/>
    <cellStyle name="Style 1 4 2 2 2 5" xfId="21121"/>
    <cellStyle name="Style 1 4 2 2 2_DeltaViewer" xfId="21122"/>
    <cellStyle name="Style 1 4 2 2 3" xfId="21123"/>
    <cellStyle name="Style 1 4 2 2 4" xfId="21124"/>
    <cellStyle name="Style 1 4 2 2 5" xfId="21125"/>
    <cellStyle name="Style 1 4 2 2 6" xfId="21126"/>
    <cellStyle name="Style 1 4 2 2_DeltaViewer" xfId="21127"/>
    <cellStyle name="Style 1 4 2 3" xfId="21128"/>
    <cellStyle name="Style 1 4 2 3 2" xfId="21129"/>
    <cellStyle name="Style 1 4 2 3 2 2" xfId="21130"/>
    <cellStyle name="Style 1 4 2 3 2 3" xfId="21131"/>
    <cellStyle name="Style 1 4 2 3 2 4" xfId="21132"/>
    <cellStyle name="Style 1 4 2 3 2 5" xfId="21133"/>
    <cellStyle name="Style 1 4 2 3 2_DeltaViewer" xfId="21134"/>
    <cellStyle name="Style 1 4 2 3 3" xfId="21135"/>
    <cellStyle name="Style 1 4 2 3 4" xfId="21136"/>
    <cellStyle name="Style 1 4 2 3 5" xfId="21137"/>
    <cellStyle name="Style 1 4 2 3 6" xfId="21138"/>
    <cellStyle name="Style 1 4 2 3_DeltaViewer" xfId="21139"/>
    <cellStyle name="Style 1 4 2 4" xfId="21140"/>
    <cellStyle name="Style 1 4 2 4 2" xfId="21141"/>
    <cellStyle name="Style 1 4 2 4 3" xfId="21142"/>
    <cellStyle name="Style 1 4 2 4 4" xfId="21143"/>
    <cellStyle name="Style 1 4 2 4 5" xfId="21144"/>
    <cellStyle name="Style 1 4 2 4_DeltaViewer" xfId="21145"/>
    <cellStyle name="Style 1 4 2 5" xfId="21146"/>
    <cellStyle name="Style 1 4 2 6" xfId="21147"/>
    <cellStyle name="Style 1 4 2 7" xfId="21148"/>
    <cellStyle name="Style 1 4 2 8" xfId="21149"/>
    <cellStyle name="Style 1 4 2_DeltaViewer" xfId="21150"/>
    <cellStyle name="Style 1 4 3" xfId="21151"/>
    <cellStyle name="Style 1 4 3 2" xfId="21152"/>
    <cellStyle name="Style 1 4 3 2 2" xfId="21153"/>
    <cellStyle name="Style 1 4 3 2 2 2" xfId="21154"/>
    <cellStyle name="Style 1 4 3 2 2 3" xfId="21155"/>
    <cellStyle name="Style 1 4 3 2 2 4" xfId="21156"/>
    <cellStyle name="Style 1 4 3 2 2 5" xfId="21157"/>
    <cellStyle name="Style 1 4 3 2 2_DeltaViewer" xfId="21158"/>
    <cellStyle name="Style 1 4 3 2 3" xfId="21159"/>
    <cellStyle name="Style 1 4 3 2 4" xfId="21160"/>
    <cellStyle name="Style 1 4 3 2 5" xfId="21161"/>
    <cellStyle name="Style 1 4 3 2 6" xfId="21162"/>
    <cellStyle name="Style 1 4 3 2_DeltaViewer" xfId="21163"/>
    <cellStyle name="Style 1 4 3 3" xfId="21164"/>
    <cellStyle name="Style 1 4 3 3 2" xfId="21165"/>
    <cellStyle name="Style 1 4 3 3 3" xfId="21166"/>
    <cellStyle name="Style 1 4 3 3 4" xfId="21167"/>
    <cellStyle name="Style 1 4 3 3 5" xfId="21168"/>
    <cellStyle name="Style 1 4 3 3_DeltaViewer" xfId="21169"/>
    <cellStyle name="Style 1 4 3 4" xfId="21170"/>
    <cellStyle name="Style 1 4 3 5" xfId="21171"/>
    <cellStyle name="Style 1 4 3 6" xfId="21172"/>
    <cellStyle name="Style 1 4 3 7" xfId="21173"/>
    <cellStyle name="Style 1 4 3_DeltaViewer" xfId="21174"/>
    <cellStyle name="Style 1 4 4" xfId="21175"/>
    <cellStyle name="Style 1 4 4 2" xfId="21176"/>
    <cellStyle name="Style 1 4 4 2 2" xfId="21177"/>
    <cellStyle name="Style 1 4 4 2 3" xfId="21178"/>
    <cellStyle name="Style 1 4 4 2 4" xfId="21179"/>
    <cellStyle name="Style 1 4 4 2 5" xfId="21180"/>
    <cellStyle name="Style 1 4 4 2_DeltaViewer" xfId="21181"/>
    <cellStyle name="Style 1 4 4 3" xfId="21182"/>
    <cellStyle name="Style 1 4 4 4" xfId="21183"/>
    <cellStyle name="Style 1 4 4 5" xfId="21184"/>
    <cellStyle name="Style 1 4 4 6" xfId="21185"/>
    <cellStyle name="Style 1 4 4_DeltaViewer" xfId="21186"/>
    <cellStyle name="Style 1 4 5" xfId="21187"/>
    <cellStyle name="Style 1 4 5 2" xfId="21188"/>
    <cellStyle name="Style 1 4 5 2 2" xfId="21189"/>
    <cellStyle name="Style 1 4 5 2 3" xfId="21190"/>
    <cellStyle name="Style 1 4 5 2 4" xfId="21191"/>
    <cellStyle name="Style 1 4 5 2 5" xfId="21192"/>
    <cellStyle name="Style 1 4 5 2_DeltaViewer" xfId="21193"/>
    <cellStyle name="Style 1 4 5 3" xfId="21194"/>
    <cellStyle name="Style 1 4 5 4" xfId="21195"/>
    <cellStyle name="Style 1 4 5 5" xfId="21196"/>
    <cellStyle name="Style 1 4 5 6" xfId="21197"/>
    <cellStyle name="Style 1 4 5_DeltaViewer" xfId="21198"/>
    <cellStyle name="Style 1 4 6" xfId="21199"/>
    <cellStyle name="Style 1 4 6 2" xfId="21200"/>
    <cellStyle name="Style 1 4 6 2 2" xfId="21201"/>
    <cellStyle name="Style 1 4 6 2 3" xfId="21202"/>
    <cellStyle name="Style 1 4 6 2 4" xfId="21203"/>
    <cellStyle name="Style 1 4 6 2 5" xfId="21204"/>
    <cellStyle name="Style 1 4 6 2_DeltaViewer" xfId="21205"/>
    <cellStyle name="Style 1 4 6 3" xfId="21206"/>
    <cellStyle name="Style 1 4 6 4" xfId="21207"/>
    <cellStyle name="Style 1 4 6 5" xfId="21208"/>
    <cellStyle name="Style 1 4 6 6" xfId="21209"/>
    <cellStyle name="Style 1 4 6_DeltaViewer" xfId="21210"/>
    <cellStyle name="Style 1 4 7" xfId="21211"/>
    <cellStyle name="Style 1 4 7 2" xfId="21212"/>
    <cellStyle name="Style 1 4 7 3" xfId="21213"/>
    <cellStyle name="Style 1 4 7 4" xfId="21214"/>
    <cellStyle name="Style 1 4 7 5" xfId="21215"/>
    <cellStyle name="Style 1 4 7_DeltaViewer" xfId="21216"/>
    <cellStyle name="Style 1 4 8" xfId="21217"/>
    <cellStyle name="Style 1 4 9" xfId="21218"/>
    <cellStyle name="Style 1 4_DeltaViewer" xfId="21219"/>
    <cellStyle name="Style 1 5" xfId="21220"/>
    <cellStyle name="Style 1 5 2" xfId="21221"/>
    <cellStyle name="Style 1 5 2 2" xfId="21222"/>
    <cellStyle name="Style 1 5 2 3" xfId="21223"/>
    <cellStyle name="Style 1 5 2 4" xfId="21224"/>
    <cellStyle name="Style 1 5 2 5" xfId="21225"/>
    <cellStyle name="Style 1 5 2_DeltaViewer" xfId="21226"/>
    <cellStyle name="Style 1 5 3" xfId="21227"/>
    <cellStyle name="Style 1 5 4" xfId="21228"/>
    <cellStyle name="Style 1 5 5" xfId="21229"/>
    <cellStyle name="Style 1 5 6" xfId="21230"/>
    <cellStyle name="Style 1 5_DeltaViewer" xfId="21231"/>
    <cellStyle name="Style 1 6" xfId="21232"/>
    <cellStyle name="Style 1 6 2" xfId="21233"/>
    <cellStyle name="Style 1 6 2 2" xfId="21234"/>
    <cellStyle name="Style 1 6 2 3" xfId="21235"/>
    <cellStyle name="Style 1 6 2 4" xfId="21236"/>
    <cellStyle name="Style 1 6 2 5" xfId="21237"/>
    <cellStyle name="Style 1 6 2_DeltaViewer" xfId="21238"/>
    <cellStyle name="Style 1 6 3" xfId="21239"/>
    <cellStyle name="Style 1 6 4" xfId="21240"/>
    <cellStyle name="Style 1 6 5" xfId="21241"/>
    <cellStyle name="Style 1 6 6" xfId="21242"/>
    <cellStyle name="Style 1 6_DeltaViewer" xfId="21243"/>
    <cellStyle name="Style 1 7" xfId="21244"/>
    <cellStyle name="Style 1 7 2" xfId="21245"/>
    <cellStyle name="Style 1 7 3" xfId="21246"/>
    <cellStyle name="Style 1 7 4" xfId="21247"/>
    <cellStyle name="Style 1 7 5" xfId="21248"/>
    <cellStyle name="Style 1 7_DeltaViewer" xfId="21249"/>
    <cellStyle name="Style 1 8" xfId="21250"/>
    <cellStyle name="Style 1 9" xfId="21251"/>
    <cellStyle name="Style 1_12.05.29 AngloAmericaCCY ASW 7Y" xfId="21252"/>
    <cellStyle name="text" xfId="21253"/>
    <cellStyle name="Texto de advertencia" xfId="21254"/>
    <cellStyle name="Texto explicativo" xfId="21255"/>
    <cellStyle name="Title 10" xfId="21256"/>
    <cellStyle name="Title 10 2" xfId="21257"/>
    <cellStyle name="Title 10 2 2" xfId="21258"/>
    <cellStyle name="Title 10 2 2 2" xfId="21259"/>
    <cellStyle name="Title 10 2 2 3" xfId="21260"/>
    <cellStyle name="Title 10 2 2 4" xfId="21261"/>
    <cellStyle name="Title 10 2 2 5" xfId="21262"/>
    <cellStyle name="Title 10 2 2_DeltaViewer" xfId="21263"/>
    <cellStyle name="Title 10 2 3" xfId="21264"/>
    <cellStyle name="Title 10 2 4" xfId="21265"/>
    <cellStyle name="Title 10 2 5" xfId="21266"/>
    <cellStyle name="Title 10 2 6" xfId="21267"/>
    <cellStyle name="Title 10 2_DeltaViewer" xfId="21268"/>
    <cellStyle name="Title 10_DeltaViewer" xfId="21269"/>
    <cellStyle name="Title 11" xfId="21270"/>
    <cellStyle name="Title 12" xfId="21271"/>
    <cellStyle name="Title 2" xfId="21272"/>
    <cellStyle name="Title 2 2" xfId="21273"/>
    <cellStyle name="Title 2_DeltaViewer" xfId="21274"/>
    <cellStyle name="Title 3" xfId="21275"/>
    <cellStyle name="Title 3 2" xfId="21276"/>
    <cellStyle name="Title 3_DeltaViewer" xfId="21277"/>
    <cellStyle name="Title 4" xfId="21278"/>
    <cellStyle name="Title 5" xfId="21279"/>
    <cellStyle name="Title 6" xfId="21280"/>
    <cellStyle name="Title 7" xfId="21281"/>
    <cellStyle name="Title 8" xfId="21282"/>
    <cellStyle name="Title 9" xfId="21283"/>
    <cellStyle name="Título" xfId="21284"/>
    <cellStyle name="Título 1" xfId="21285"/>
    <cellStyle name="Título 2" xfId="21286"/>
    <cellStyle name="Título 3" xfId="21287"/>
    <cellStyle name="Título 3 2" xfId="21288"/>
    <cellStyle name="Título 3 2 10" xfId="24172"/>
    <cellStyle name="Título 3 2 2" xfId="21433"/>
    <cellStyle name="Título 3 2 2 2" xfId="26770"/>
    <cellStyle name="Título 3 2 3" xfId="21549"/>
    <cellStyle name="Título 3 2 3 2" xfId="26814"/>
    <cellStyle name="Título 3 2 4" xfId="21457"/>
    <cellStyle name="Título 3 2 4 2" xfId="26782"/>
    <cellStyle name="Título 3 2 5" xfId="24227"/>
    <cellStyle name="Título 3 2 5 2" xfId="29397"/>
    <cellStyle name="Título 3 2 6" xfId="24236"/>
    <cellStyle name="Título 3 2 6 2" xfId="29406"/>
    <cellStyle name="Título 3 2 7" xfId="24244"/>
    <cellStyle name="Título 3 2 7 2" xfId="29413"/>
    <cellStyle name="Título 3 2 8" xfId="24142"/>
    <cellStyle name="Título 3 2 8 2" xfId="29340"/>
    <cellStyle name="Título 3 2 9" xfId="24134"/>
    <cellStyle name="Título 3 2 9 2" xfId="29333"/>
    <cellStyle name="Título 3 3" xfId="21574"/>
    <cellStyle name="Título 3 3 2" xfId="26824"/>
    <cellStyle name="Título 3 4" xfId="21519"/>
    <cellStyle name="Título 3 4 2" xfId="26802"/>
    <cellStyle name="Título 3 5" xfId="24096"/>
    <cellStyle name="Título 3 5 2" xfId="29309"/>
    <cellStyle name="Título 3 6" xfId="24228"/>
    <cellStyle name="Título 3 6 2" xfId="29398"/>
    <cellStyle name="Título 3 7" xfId="24147"/>
    <cellStyle name="Título 3 7 2" xfId="29344"/>
    <cellStyle name="Título_DeltaViewer" xfId="21289"/>
    <cellStyle name="Total 10" xfId="21290"/>
    <cellStyle name="Total 10 2" xfId="21291"/>
    <cellStyle name="Total 10 2 2" xfId="21292"/>
    <cellStyle name="Total 10 2_DeltaViewer" xfId="21293"/>
    <cellStyle name="Total 10 3" xfId="21294"/>
    <cellStyle name="Total 10 3 2" xfId="21295"/>
    <cellStyle name="Total 10 3_DeltaViewer" xfId="21296"/>
    <cellStyle name="Total 10 4" xfId="21297"/>
    <cellStyle name="Total 10 4 2" xfId="21298"/>
    <cellStyle name="Total 10 4_DeltaViewer" xfId="21299"/>
    <cellStyle name="Total 10 5" xfId="21300"/>
    <cellStyle name="Total 10 5 2" xfId="21301"/>
    <cellStyle name="Total 10 5_DeltaViewer" xfId="21302"/>
    <cellStyle name="Total 10 6" xfId="21303"/>
    <cellStyle name="Total 10_DeltaViewer" xfId="21304"/>
    <cellStyle name="Total 11" xfId="21305"/>
    <cellStyle name="Total 11 2" xfId="21306"/>
    <cellStyle name="Total 11_DeltaViewer" xfId="21307"/>
    <cellStyle name="Total 12" xfId="21308"/>
    <cellStyle name="Total 12 2" xfId="21309"/>
    <cellStyle name="Total 12_DeltaViewer" xfId="21310"/>
    <cellStyle name="Total 2" xfId="21311"/>
    <cellStyle name="Total 2 2" xfId="21312"/>
    <cellStyle name="Total 2 2 2" xfId="21313"/>
    <cellStyle name="Total 2 2 2 2" xfId="21314"/>
    <cellStyle name="Total 2 2 2 2 2" xfId="21315"/>
    <cellStyle name="Total 2 2 2 2_DeltaViewer" xfId="21316"/>
    <cellStyle name="Total 2 2 2 3" xfId="21317"/>
    <cellStyle name="Total 2 2 2_DeltaViewer" xfId="21318"/>
    <cellStyle name="Total 2 2 3" xfId="21319"/>
    <cellStyle name="Total 2 2 3 2" xfId="21320"/>
    <cellStyle name="Total 2 2 3_DeltaViewer" xfId="21321"/>
    <cellStyle name="Total 2 2 4" xfId="21322"/>
    <cellStyle name="Total 2 2_DeltaViewer" xfId="21323"/>
    <cellStyle name="Total 2 3" xfId="21324"/>
    <cellStyle name="Total 2 3 2" xfId="21325"/>
    <cellStyle name="Total 2 3 2 2" xfId="21326"/>
    <cellStyle name="Total 2 3 2_DeltaViewer" xfId="21327"/>
    <cellStyle name="Total 2 3 3" xfId="21328"/>
    <cellStyle name="Total 2 3_DeltaViewer" xfId="21329"/>
    <cellStyle name="Total 2 4" xfId="21330"/>
    <cellStyle name="Total 2 4 2" xfId="21331"/>
    <cellStyle name="Total 2 4_DeltaViewer" xfId="21332"/>
    <cellStyle name="Total 2 5" xfId="21333"/>
    <cellStyle name="Total 2_DeltaViewer" xfId="21334"/>
    <cellStyle name="Total 3" xfId="21335"/>
    <cellStyle name="Total 3 2" xfId="21336"/>
    <cellStyle name="Total 3 2 2" xfId="21337"/>
    <cellStyle name="Total 3 2 2 2" xfId="21338"/>
    <cellStyle name="Total 3 2 2_DeltaViewer" xfId="21339"/>
    <cellStyle name="Total 3 2 3" xfId="21340"/>
    <cellStyle name="Total 3 2_DeltaViewer" xfId="21341"/>
    <cellStyle name="Total 3 3" xfId="21342"/>
    <cellStyle name="Total 3 3 2" xfId="21343"/>
    <cellStyle name="Total 3 3_DeltaViewer" xfId="21344"/>
    <cellStyle name="Total 3 4" xfId="21345"/>
    <cellStyle name="Total 3 5" xfId="21346"/>
    <cellStyle name="Total 3_DeltaViewer" xfId="21347"/>
    <cellStyle name="Total 4" xfId="21348"/>
    <cellStyle name="Total 4 2" xfId="21349"/>
    <cellStyle name="Total 4 2 2" xfId="21350"/>
    <cellStyle name="Total 4 2 2 2" xfId="21351"/>
    <cellStyle name="Total 4 2 2_DeltaViewer" xfId="21352"/>
    <cellStyle name="Total 4 2 3" xfId="21353"/>
    <cellStyle name="Total 4 2_DeltaViewer" xfId="21354"/>
    <cellStyle name="Total 4 3" xfId="21355"/>
    <cellStyle name="Total 4 3 2" xfId="21356"/>
    <cellStyle name="Total 4 3_DeltaViewer" xfId="21357"/>
    <cellStyle name="Total 4 4" xfId="21358"/>
    <cellStyle name="Total 4_DeltaViewer" xfId="21359"/>
    <cellStyle name="Total 5" xfId="21360"/>
    <cellStyle name="Total 5 2" xfId="21361"/>
    <cellStyle name="Total 5 2 2" xfId="21362"/>
    <cellStyle name="Total 5 2 2 2" xfId="21363"/>
    <cellStyle name="Total 5 2 2_DeltaViewer" xfId="21364"/>
    <cellStyle name="Total 5 2 3" xfId="21365"/>
    <cellStyle name="Total 5 2_DeltaViewer" xfId="21366"/>
    <cellStyle name="Total 5 3" xfId="21367"/>
    <cellStyle name="Total 5 3 2" xfId="21368"/>
    <cellStyle name="Total 5 3_DeltaViewer" xfId="21369"/>
    <cellStyle name="Total 5 4" xfId="21370"/>
    <cellStyle name="Total 5_DeltaViewer" xfId="21371"/>
    <cellStyle name="Total 6" xfId="21372"/>
    <cellStyle name="Total 6 2" xfId="21373"/>
    <cellStyle name="Total 6 2 2" xfId="21374"/>
    <cellStyle name="Total 6 2 2 2" xfId="21375"/>
    <cellStyle name="Total 6 2 2_DeltaViewer" xfId="21376"/>
    <cellStyle name="Total 6 2 3" xfId="21377"/>
    <cellStyle name="Total 6 2_DeltaViewer" xfId="21378"/>
    <cellStyle name="Total 6 3" xfId="21379"/>
    <cellStyle name="Total 6 3 2" xfId="21380"/>
    <cellStyle name="Total 6 3_DeltaViewer" xfId="21381"/>
    <cellStyle name="Total 6 4" xfId="21382"/>
    <cellStyle name="Total 6_DeltaViewer" xfId="21383"/>
    <cellStyle name="Total 7" xfId="21384"/>
    <cellStyle name="Total 7 2" xfId="21385"/>
    <cellStyle name="Total 7 2 2" xfId="21386"/>
    <cellStyle name="Total 7 2 2 2" xfId="21387"/>
    <cellStyle name="Total 7 2 2_DeltaViewer" xfId="21388"/>
    <cellStyle name="Total 7 2 3" xfId="21389"/>
    <cellStyle name="Total 7 2_DeltaViewer" xfId="21390"/>
    <cellStyle name="Total 7 3" xfId="21391"/>
    <cellStyle name="Total 7 3 2" xfId="21392"/>
    <cellStyle name="Total 7 3_DeltaViewer" xfId="21393"/>
    <cellStyle name="Total 7 4" xfId="21394"/>
    <cellStyle name="Total 7_DeltaViewer" xfId="21395"/>
    <cellStyle name="Total 8" xfId="21396"/>
    <cellStyle name="Total 8 2" xfId="21397"/>
    <cellStyle name="Total 8 2 2" xfId="21398"/>
    <cellStyle name="Total 8 2 2 2" xfId="21399"/>
    <cellStyle name="Total 8 2 2_DeltaViewer" xfId="21400"/>
    <cellStyle name="Total 8 2 3" xfId="21401"/>
    <cellStyle name="Total 8 2_DeltaViewer" xfId="21402"/>
    <cellStyle name="Total 8 3" xfId="21403"/>
    <cellStyle name="Total 8 3 2" xfId="21404"/>
    <cellStyle name="Total 8 3_DeltaViewer" xfId="21405"/>
    <cellStyle name="Total 8 4" xfId="21406"/>
    <cellStyle name="Total 8_DeltaViewer" xfId="21407"/>
    <cellStyle name="Total 9" xfId="21408"/>
    <cellStyle name="Total 9 2" xfId="21409"/>
    <cellStyle name="Total 9 2 2" xfId="21410"/>
    <cellStyle name="Total 9 2_DeltaViewer" xfId="21411"/>
    <cellStyle name="Total 9 3" xfId="21412"/>
    <cellStyle name="Total 9_DeltaViewer" xfId="21413"/>
    <cellStyle name="UserInput_WillContribute" xfId="21414"/>
    <cellStyle name="Warning Text 10" xfId="21415"/>
    <cellStyle name="Warning Text 11" xfId="21416"/>
    <cellStyle name="Warning Text 2" xfId="21417"/>
    <cellStyle name="Warning Text 2 2" xfId="21418"/>
    <cellStyle name="Warning Text 2_DeltaViewer" xfId="21419"/>
    <cellStyle name="Warning Text 3" xfId="21420"/>
    <cellStyle name="Warning Text 4" xfId="21421"/>
    <cellStyle name="Warning Text 5" xfId="21422"/>
    <cellStyle name="Warning Text 6" xfId="21423"/>
    <cellStyle name="Warning Text 7" xfId="21424"/>
    <cellStyle name="Warning Text 8" xfId="21425"/>
    <cellStyle name="Warning Text 9" xfId="21426"/>
    <cellStyle name="WASP_PLStyle" xfId="21427"/>
    <cellStyle name="Wording - blue" xfId="214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'EUR 3m'!$U$18:$U$52</c:f>
              <c:numCache>
                <c:formatCode>0.00%</c:formatCode>
                <c:ptCount val="35"/>
                <c:pt idx="0">
                  <c:v>4.797631015440295E-5</c:v>
                </c:pt>
                <c:pt idx="1">
                  <c:v>4.7976310652009246E-5</c:v>
                </c:pt>
                <c:pt idx="2">
                  <c:v>4.7997999650161837E-5</c:v>
                </c:pt>
                <c:pt idx="3">
                  <c:v>4.8007730607311713E-5</c:v>
                </c:pt>
                <c:pt idx="4">
                  <c:v>4.8164968599054107E-5</c:v>
                </c:pt>
                <c:pt idx="5">
                  <c:v>3.6666669776864915E-5</c:v>
                </c:pt>
                <c:pt idx="6">
                  <c:v>8.8838105526845446E-5</c:v>
                </c:pt>
                <c:pt idx="7">
                  <c:v>1.0385386013489093E-4</c:v>
                </c:pt>
                <c:pt idx="8">
                  <c:v>1.0339521931579734E-4</c:v>
                </c:pt>
                <c:pt idx="9">
                  <c:v>1.228417512715292E-4</c:v>
                </c:pt>
                <c:pt idx="10">
                  <c:v>1.23656053250707E-4</c:v>
                </c:pt>
                <c:pt idx="11">
                  <c:v>9.5026957619426689E-5</c:v>
                </c:pt>
                <c:pt idx="12">
                  <c:v>9.9242245852667037E-5</c:v>
                </c:pt>
                <c:pt idx="13">
                  <c:v>9.2156491076970676E-5</c:v>
                </c:pt>
                <c:pt idx="14">
                  <c:v>8.8481621793428875E-5</c:v>
                </c:pt>
                <c:pt idx="15">
                  <c:v>8.0659298677619382E-5</c:v>
                </c:pt>
                <c:pt idx="16">
                  <c:v>8.0813428549374264E-5</c:v>
                </c:pt>
                <c:pt idx="17">
                  <c:v>8.1324722584375387E-5</c:v>
                </c:pt>
                <c:pt idx="18">
                  <c:v>7.4435870196065245E-5</c:v>
                </c:pt>
                <c:pt idx="19">
                  <c:v>6.7147180879635962E-5</c:v>
                </c:pt>
                <c:pt idx="20">
                  <c:v>8.1588211458760284E-5</c:v>
                </c:pt>
                <c:pt idx="21">
                  <c:v>8.8008573869928237E-5</c:v>
                </c:pt>
                <c:pt idx="22">
                  <c:v>1.9038980182148851E-3</c:v>
                </c:pt>
                <c:pt idx="23">
                  <c:v>1.6175370047178945E-3</c:v>
                </c:pt>
                <c:pt idx="24">
                  <c:v>1.1329584555245281E-3</c:v>
                </c:pt>
                <c:pt idx="25">
                  <c:v>6.9591265771251599E-4</c:v>
                </c:pt>
                <c:pt idx="26">
                  <c:v>4.01711611145106E-4</c:v>
                </c:pt>
                <c:pt idx="27">
                  <c:v>2.2512151575226425E-4</c:v>
                </c:pt>
                <c:pt idx="28">
                  <c:v>1.6155587581412681E-4</c:v>
                </c:pt>
                <c:pt idx="29">
                  <c:v>1.2564572420780979E-4</c:v>
                </c:pt>
                <c:pt idx="30">
                  <c:v>1.2507833461050926E-4</c:v>
                </c:pt>
                <c:pt idx="31">
                  <c:v>2.6691259823973922E-4</c:v>
                </c:pt>
                <c:pt idx="32">
                  <c:v>4.8370702351241759E-4</c:v>
                </c:pt>
                <c:pt idx="33">
                  <c:v>6.2132065094241788E-4</c:v>
                </c:pt>
                <c:pt idx="34">
                  <c:v>7.850288238868703E-4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516904"/>
        <c:axId val="208860968"/>
      </c:lineChart>
      <c:catAx>
        <c:axId val="210516904"/>
        <c:scaling>
          <c:orientation val="minMax"/>
        </c:scaling>
        <c:delete val="0"/>
        <c:axPos val="b"/>
        <c:majorTickMark val="out"/>
        <c:minorTickMark val="none"/>
        <c:tickLblPos val="nextTo"/>
        <c:crossAx val="208860968"/>
        <c:crosses val="autoZero"/>
        <c:auto val="1"/>
        <c:lblAlgn val="ctr"/>
        <c:lblOffset val="100"/>
        <c:noMultiLvlLbl val="0"/>
      </c:catAx>
      <c:valAx>
        <c:axId val="208860968"/>
        <c:scaling>
          <c:orientation val="minMax"/>
          <c:max val="1.0000000000000003E-4"/>
          <c:min val="-1.0000000000000003E-4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0516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'USD 3m'!$U$20:$U$53</c:f>
              <c:numCache>
                <c:formatCode>0.000%</c:formatCode>
                <c:ptCount val="3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862144"/>
        <c:axId val="208862536"/>
      </c:lineChart>
      <c:catAx>
        <c:axId val="208862144"/>
        <c:scaling>
          <c:orientation val="minMax"/>
        </c:scaling>
        <c:delete val="0"/>
        <c:axPos val="b"/>
        <c:majorTickMark val="out"/>
        <c:minorTickMark val="none"/>
        <c:tickLblPos val="nextTo"/>
        <c:crossAx val="208862536"/>
        <c:crosses val="autoZero"/>
        <c:auto val="1"/>
        <c:lblAlgn val="ctr"/>
        <c:lblOffset val="100"/>
        <c:noMultiLvlLbl val="0"/>
      </c:catAx>
      <c:valAx>
        <c:axId val="208862536"/>
        <c:scaling>
          <c:orientation val="minMax"/>
          <c:max val="1.0000000000000003E-4"/>
          <c:min val="-1.0000000000000003E-4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208862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'USD 1m'!$U$20:$U$53</c:f>
              <c:numCache>
                <c:formatCode>0.000%</c:formatCode>
                <c:ptCount val="3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863320"/>
        <c:axId val="208863712"/>
      </c:lineChart>
      <c:catAx>
        <c:axId val="208863320"/>
        <c:scaling>
          <c:orientation val="minMax"/>
        </c:scaling>
        <c:delete val="0"/>
        <c:axPos val="b"/>
        <c:majorTickMark val="out"/>
        <c:minorTickMark val="none"/>
        <c:tickLblPos val="nextTo"/>
        <c:crossAx val="208863712"/>
        <c:crosses val="autoZero"/>
        <c:auto val="1"/>
        <c:lblAlgn val="ctr"/>
        <c:lblOffset val="100"/>
        <c:noMultiLvlLbl val="0"/>
      </c:catAx>
      <c:valAx>
        <c:axId val="208863712"/>
        <c:scaling>
          <c:orientation val="minMax"/>
          <c:max val="1.0000000000000003E-4"/>
          <c:min val="-1.0000000000000003E-4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208863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</a:t>
            </a:r>
            <a:r>
              <a:rPr lang="en-US" baseline="0"/>
              <a:t> discount collateral in USD</a:t>
            </a:r>
            <a:endParaRPr lang="en-US"/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MercuryChecks!$H$91</c:f>
              <c:strCache>
                <c:ptCount val="1"/>
                <c:pt idx="0">
                  <c:v>Mercury Zero Rates</c:v>
                </c:pt>
              </c:strCache>
            </c:strRef>
          </c:tx>
          <c:marker>
            <c:symbol val="none"/>
          </c:marker>
          <c:cat>
            <c:strRef>
              <c:f>MercuryChecks!$K$93:$K$112</c:f>
              <c:strCache>
                <c:ptCount val="20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12M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6Y</c:v>
                </c:pt>
                <c:pt idx="9">
                  <c:v>7Y</c:v>
                </c:pt>
                <c:pt idx="10">
                  <c:v>8Y</c:v>
                </c:pt>
                <c:pt idx="11">
                  <c:v>9Y</c:v>
                </c:pt>
                <c:pt idx="12">
                  <c:v>10Y</c:v>
                </c:pt>
                <c:pt idx="13">
                  <c:v>12Y</c:v>
                </c:pt>
                <c:pt idx="14">
                  <c:v>15Y</c:v>
                </c:pt>
                <c:pt idx="15">
                  <c:v>20Y</c:v>
                </c:pt>
                <c:pt idx="16">
                  <c:v>25Y</c:v>
                </c:pt>
                <c:pt idx="17">
                  <c:v>30Y</c:v>
                </c:pt>
                <c:pt idx="18">
                  <c:v>40Y</c:v>
                </c:pt>
                <c:pt idx="19">
                  <c:v>50Y</c:v>
                </c:pt>
              </c:strCache>
            </c:strRef>
          </c:cat>
          <c:val>
            <c:numRef>
              <c:f>MercuryChecks!$H$92:$H$112</c:f>
              <c:numCache>
                <c:formatCode>0.00%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MercuryChecks!$I$91</c:f>
              <c:strCache>
                <c:ptCount val="1"/>
                <c:pt idx="0">
                  <c:v>Quantlib Zero Rates</c:v>
                </c:pt>
              </c:strCache>
            </c:strRef>
          </c:tx>
          <c:marker>
            <c:symbol val="none"/>
          </c:marker>
          <c:cat>
            <c:strRef>
              <c:f>MercuryChecks!$K$93:$K$112</c:f>
              <c:strCache>
                <c:ptCount val="20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12M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6Y</c:v>
                </c:pt>
                <c:pt idx="9">
                  <c:v>7Y</c:v>
                </c:pt>
                <c:pt idx="10">
                  <c:v>8Y</c:v>
                </c:pt>
                <c:pt idx="11">
                  <c:v>9Y</c:v>
                </c:pt>
                <c:pt idx="12">
                  <c:v>10Y</c:v>
                </c:pt>
                <c:pt idx="13">
                  <c:v>12Y</c:v>
                </c:pt>
                <c:pt idx="14">
                  <c:v>15Y</c:v>
                </c:pt>
                <c:pt idx="15">
                  <c:v>20Y</c:v>
                </c:pt>
                <c:pt idx="16">
                  <c:v>25Y</c:v>
                </c:pt>
                <c:pt idx="17">
                  <c:v>30Y</c:v>
                </c:pt>
                <c:pt idx="18">
                  <c:v>40Y</c:v>
                </c:pt>
                <c:pt idx="19">
                  <c:v>50Y</c:v>
                </c:pt>
              </c:strCache>
            </c:strRef>
          </c:cat>
          <c:val>
            <c:numRef>
              <c:f>MercuryChecks!$I$92:$I$112</c:f>
              <c:numCache>
                <c:formatCode>0.00%</c:formatCode>
                <c:ptCount val="21"/>
                <c:pt idx="0">
                  <c:v>-7.9434037355545772E-3</c:v>
                </c:pt>
                <c:pt idx="1">
                  <c:v>-7.9434037355469167E-3</c:v>
                </c:pt>
                <c:pt idx="2">
                  <c:v>-8.1835056909128623E-3</c:v>
                </c:pt>
                <c:pt idx="3">
                  <c:v>-8.4736426279417021E-3</c:v>
                </c:pt>
                <c:pt idx="4">
                  <c:v>-8.8070217594846678E-3</c:v>
                </c:pt>
                <c:pt idx="5">
                  <c:v>-9.333870326193483E-3</c:v>
                </c:pt>
                <c:pt idx="6">
                  <c:v>-1.0795853202925643E-2</c:v>
                </c:pt>
                <c:pt idx="7">
                  <c:v>-9.8836429963256034E-3</c:v>
                </c:pt>
                <c:pt idx="8">
                  <c:v>-8.7558510457103056E-3</c:v>
                </c:pt>
                <c:pt idx="9">
                  <c:v>-7.4574205868147558E-3</c:v>
                </c:pt>
                <c:pt idx="10">
                  <c:v>-6.1019083088691417E-3</c:v>
                </c:pt>
                <c:pt idx="11">
                  <c:v>-4.7485238364887161E-3</c:v>
                </c:pt>
                <c:pt idx="12">
                  <c:v>-3.4700616144656138E-3</c:v>
                </c:pt>
                <c:pt idx="13">
                  <c:v>-2.2777493900721923E-3</c:v>
                </c:pt>
                <c:pt idx="14">
                  <c:v>-2.7916526128790586E-4</c:v>
                </c:pt>
                <c:pt idx="15">
                  <c:v>1.9464934045458904E-3</c:v>
                </c:pt>
                <c:pt idx="16">
                  <c:v>3.9734393454888828E-3</c:v>
                </c:pt>
                <c:pt idx="17">
                  <c:v>4.6803378618074376E-3</c:v>
                </c:pt>
                <c:pt idx="18">
                  <c:v>4.8781261599517567E-3</c:v>
                </c:pt>
                <c:pt idx="19">
                  <c:v>4.5768931958023451E-3</c:v>
                </c:pt>
                <c:pt idx="20">
                  <c:v>-7.0337474332826666E-4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MercuryChecks!$J$91</c:f>
              <c:strCache>
                <c:ptCount val="1"/>
                <c:pt idx="0">
                  <c:v>Abs. difference</c:v>
                </c:pt>
              </c:strCache>
            </c:strRef>
          </c:tx>
          <c:marker>
            <c:symbol val="none"/>
          </c:marker>
          <c:cat>
            <c:strRef>
              <c:f>MercuryChecks!$K$93:$K$112</c:f>
              <c:strCache>
                <c:ptCount val="20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12M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6Y</c:v>
                </c:pt>
                <c:pt idx="9">
                  <c:v>7Y</c:v>
                </c:pt>
                <c:pt idx="10">
                  <c:v>8Y</c:v>
                </c:pt>
                <c:pt idx="11">
                  <c:v>9Y</c:v>
                </c:pt>
                <c:pt idx="12">
                  <c:v>10Y</c:v>
                </c:pt>
                <c:pt idx="13">
                  <c:v>12Y</c:v>
                </c:pt>
                <c:pt idx="14">
                  <c:v>15Y</c:v>
                </c:pt>
                <c:pt idx="15">
                  <c:v>20Y</c:v>
                </c:pt>
                <c:pt idx="16">
                  <c:v>25Y</c:v>
                </c:pt>
                <c:pt idx="17">
                  <c:v>30Y</c:v>
                </c:pt>
                <c:pt idx="18">
                  <c:v>40Y</c:v>
                </c:pt>
                <c:pt idx="19">
                  <c:v>50Y</c:v>
                </c:pt>
              </c:strCache>
            </c:strRef>
          </c:cat>
          <c:val>
            <c:numRef>
              <c:f>MercuryChecks!$J$92:$J$112</c:f>
              <c:numCache>
                <c:formatCode>0.000%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413904"/>
        <c:axId val="225415080"/>
      </c:lineChart>
      <c:catAx>
        <c:axId val="22541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5415080"/>
        <c:crosses val="autoZero"/>
        <c:auto val="1"/>
        <c:lblAlgn val="ctr"/>
        <c:lblOffset val="100"/>
        <c:noMultiLvlLbl val="0"/>
      </c:catAx>
      <c:valAx>
        <c:axId val="225415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25413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298177181829042"/>
          <c:y val="0.65087494293710335"/>
          <c:w val="0.30803379673938425"/>
          <c:h val="0.2219562240196699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MXN</a:t>
            </a:r>
            <a:r>
              <a:rPr lang="en-US" baseline="0"/>
              <a:t>, TIIE estimation curve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468155240448685"/>
          <c:y val="3.859774466448497E-2"/>
          <c:w val="0.85611329842792883"/>
          <c:h val="0.92280451067103009"/>
        </c:manualLayout>
      </c:layout>
      <c:lineChart>
        <c:grouping val="standard"/>
        <c:varyColors val="0"/>
        <c:ser>
          <c:idx val="0"/>
          <c:order val="0"/>
          <c:tx>
            <c:strRef>
              <c:f>MercuryChecks!$I$7</c:f>
              <c:strCache>
                <c:ptCount val="1"/>
                <c:pt idx="0">
                  <c:v>Mercury Forward Rates</c:v>
                </c:pt>
              </c:strCache>
            </c:strRef>
          </c:tx>
          <c:marker>
            <c:symbol val="none"/>
          </c:marker>
          <c:cat>
            <c:strRef>
              <c:f>MercuryChecks!$L$9:$L$42</c:f>
              <c:strCache>
                <c:ptCount val="34"/>
                <c:pt idx="0">
                  <c:v>1D</c:v>
                </c:pt>
                <c:pt idx="1">
                  <c:v>2D</c:v>
                </c:pt>
                <c:pt idx="2">
                  <c:v>0.999452205</c:v>
                </c:pt>
                <c:pt idx="3">
                  <c:v>0.999014185</c:v>
                </c:pt>
                <c:pt idx="4">
                  <c:v>0.996390093</c:v>
                </c:pt>
                <c:pt idx="5">
                  <c:v>0.99301084</c:v>
                </c:pt>
                <c:pt idx="6">
                  <c:v>0.989859979</c:v>
                </c:pt>
                <c:pt idx="7">
                  <c:v>0.986394769</c:v>
                </c:pt>
                <c:pt idx="8">
                  <c:v>0.983049415</c:v>
                </c:pt>
                <c:pt idx="9">
                  <c:v>0.980037558</c:v>
                </c:pt>
                <c:pt idx="10">
                  <c:v>0.976606733</c:v>
                </c:pt>
                <c:pt idx="11">
                  <c:v>0.973401243</c:v>
                </c:pt>
                <c:pt idx="12">
                  <c:v>0.970312605</c:v>
                </c:pt>
                <c:pt idx="13">
                  <c:v>0.966915824</c:v>
                </c:pt>
                <c:pt idx="14">
                  <c:v>0.963636533</c:v>
                </c:pt>
                <c:pt idx="15">
                  <c:v>0.960684153</c:v>
                </c:pt>
                <c:pt idx="16">
                  <c:v>0.957216173</c:v>
                </c:pt>
                <c:pt idx="17">
                  <c:v>0.954074328</c:v>
                </c:pt>
                <c:pt idx="18">
                  <c:v>0.950838589</c:v>
                </c:pt>
                <c:pt idx="19">
                  <c:v>0.941712931</c:v>
                </c:pt>
                <c:pt idx="20">
                  <c:v>0.932061794</c:v>
                </c:pt>
                <c:pt idx="21">
                  <c:v>0.922812906</c:v>
                </c:pt>
                <c:pt idx="22">
                  <c:v>0.913555674</c:v>
                </c:pt>
                <c:pt idx="23">
                  <c:v>0.886628894</c:v>
                </c:pt>
                <c:pt idx="24">
                  <c:v>0.851863678</c:v>
                </c:pt>
                <c:pt idx="25">
                  <c:v>0.818371936</c:v>
                </c:pt>
                <c:pt idx="26">
                  <c:v>0.786369286</c:v>
                </c:pt>
                <c:pt idx="27">
                  <c:v>0.755369727</c:v>
                </c:pt>
                <c:pt idx="28">
                  <c:v>0.725830795</c:v>
                </c:pt>
                <c:pt idx="29">
                  <c:v>0.697294142</c:v>
                </c:pt>
                <c:pt idx="30">
                  <c:v>0.669952848</c:v>
                </c:pt>
                <c:pt idx="31">
                  <c:v>0.618512204</c:v>
                </c:pt>
                <c:pt idx="32">
                  <c:v>0.548450892</c:v>
                </c:pt>
                <c:pt idx="33">
                  <c:v>0.448984406</c:v>
                </c:pt>
              </c:strCache>
            </c:strRef>
          </c:cat>
          <c:val>
            <c:numRef>
              <c:f>MercuryChecks!$I$9:$I$42</c:f>
              <c:numCache>
                <c:formatCode>0.000%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MercuryChecks!$J$7</c:f>
              <c:strCache>
                <c:ptCount val="1"/>
                <c:pt idx="0">
                  <c:v>QL Forwards Rates</c:v>
                </c:pt>
              </c:strCache>
            </c:strRef>
          </c:tx>
          <c:marker>
            <c:symbol val="none"/>
          </c:marker>
          <c:cat>
            <c:strRef>
              <c:f>MercuryChecks!$L$9:$L$42</c:f>
              <c:strCache>
                <c:ptCount val="34"/>
                <c:pt idx="0">
                  <c:v>1D</c:v>
                </c:pt>
                <c:pt idx="1">
                  <c:v>2D</c:v>
                </c:pt>
                <c:pt idx="2">
                  <c:v>0.999452205</c:v>
                </c:pt>
                <c:pt idx="3">
                  <c:v>0.999014185</c:v>
                </c:pt>
                <c:pt idx="4">
                  <c:v>0.996390093</c:v>
                </c:pt>
                <c:pt idx="5">
                  <c:v>0.99301084</c:v>
                </c:pt>
                <c:pt idx="6">
                  <c:v>0.989859979</c:v>
                </c:pt>
                <c:pt idx="7">
                  <c:v>0.986394769</c:v>
                </c:pt>
                <c:pt idx="8">
                  <c:v>0.983049415</c:v>
                </c:pt>
                <c:pt idx="9">
                  <c:v>0.980037558</c:v>
                </c:pt>
                <c:pt idx="10">
                  <c:v>0.976606733</c:v>
                </c:pt>
                <c:pt idx="11">
                  <c:v>0.973401243</c:v>
                </c:pt>
                <c:pt idx="12">
                  <c:v>0.970312605</c:v>
                </c:pt>
                <c:pt idx="13">
                  <c:v>0.966915824</c:v>
                </c:pt>
                <c:pt idx="14">
                  <c:v>0.963636533</c:v>
                </c:pt>
                <c:pt idx="15">
                  <c:v>0.960684153</c:v>
                </c:pt>
                <c:pt idx="16">
                  <c:v>0.957216173</c:v>
                </c:pt>
                <c:pt idx="17">
                  <c:v>0.954074328</c:v>
                </c:pt>
                <c:pt idx="18">
                  <c:v>0.950838589</c:v>
                </c:pt>
                <c:pt idx="19">
                  <c:v>0.941712931</c:v>
                </c:pt>
                <c:pt idx="20">
                  <c:v>0.932061794</c:v>
                </c:pt>
                <c:pt idx="21">
                  <c:v>0.922812906</c:v>
                </c:pt>
                <c:pt idx="22">
                  <c:v>0.913555674</c:v>
                </c:pt>
                <c:pt idx="23">
                  <c:v>0.886628894</c:v>
                </c:pt>
                <c:pt idx="24">
                  <c:v>0.851863678</c:v>
                </c:pt>
                <c:pt idx="25">
                  <c:v>0.818371936</c:v>
                </c:pt>
                <c:pt idx="26">
                  <c:v>0.786369286</c:v>
                </c:pt>
                <c:pt idx="27">
                  <c:v>0.755369727</c:v>
                </c:pt>
                <c:pt idx="28">
                  <c:v>0.725830795</c:v>
                </c:pt>
                <c:pt idx="29">
                  <c:v>0.697294142</c:v>
                </c:pt>
                <c:pt idx="30">
                  <c:v>0.669952848</c:v>
                </c:pt>
                <c:pt idx="31">
                  <c:v>0.618512204</c:v>
                </c:pt>
                <c:pt idx="32">
                  <c:v>0.548450892</c:v>
                </c:pt>
                <c:pt idx="33">
                  <c:v>0.448984406</c:v>
                </c:pt>
              </c:strCache>
            </c:strRef>
          </c:cat>
          <c:val>
            <c:numRef>
              <c:f>MercuryChecks!$J$9:$J$42</c:f>
              <c:numCache>
                <c:formatCode>0.000%</c:formatCode>
                <c:ptCount val="34"/>
                <c:pt idx="0">
                  <c:v>3.9512645933125361E-2</c:v>
                </c:pt>
                <c:pt idx="1">
                  <c:v>3.9512645933125361E-2</c:v>
                </c:pt>
                <c:pt idx="2">
                  <c:v>3.9512645933128213E-2</c:v>
                </c:pt>
                <c:pt idx="3">
                  <c:v>3.9512645933128213E-2</c:v>
                </c:pt>
                <c:pt idx="4">
                  <c:v>3.9512645933125361E-2</c:v>
                </c:pt>
                <c:pt idx="5">
                  <c:v>3.9512645933128213E-2</c:v>
                </c:pt>
                <c:pt idx="6">
                  <c:v>3.9512645933125361E-2</c:v>
                </c:pt>
                <c:pt idx="7">
                  <c:v>3.9512645933125361E-2</c:v>
                </c:pt>
                <c:pt idx="8">
                  <c:v>3.9512645933128213E-2</c:v>
                </c:pt>
                <c:pt idx="9">
                  <c:v>3.9512645933125361E-2</c:v>
                </c:pt>
                <c:pt idx="10">
                  <c:v>3.9512645933125361E-2</c:v>
                </c:pt>
                <c:pt idx="11">
                  <c:v>3.9512645933128213E-2</c:v>
                </c:pt>
                <c:pt idx="12">
                  <c:v>3.9512645933128213E-2</c:v>
                </c:pt>
                <c:pt idx="13">
                  <c:v>3.9512645933125361E-2</c:v>
                </c:pt>
                <c:pt idx="14">
                  <c:v>3.9512645933125361E-2</c:v>
                </c:pt>
                <c:pt idx="15">
                  <c:v>3.9512645933125361E-2</c:v>
                </c:pt>
                <c:pt idx="16">
                  <c:v>3.9512645933125361E-2</c:v>
                </c:pt>
                <c:pt idx="17">
                  <c:v>3.9512645933125361E-2</c:v>
                </c:pt>
                <c:pt idx="18">
                  <c:v>3.9512645933125361E-2</c:v>
                </c:pt>
                <c:pt idx="19">
                  <c:v>3.9512645933128213E-2</c:v>
                </c:pt>
                <c:pt idx="20">
                  <c:v>3.9512645933125361E-2</c:v>
                </c:pt>
                <c:pt idx="21">
                  <c:v>3.9512645933125361E-2</c:v>
                </c:pt>
                <c:pt idx="22">
                  <c:v>3.9512645933128213E-2</c:v>
                </c:pt>
                <c:pt idx="23">
                  <c:v>3.9512645933125361E-2</c:v>
                </c:pt>
                <c:pt idx="24">
                  <c:v>3.9512645933125361E-2</c:v>
                </c:pt>
                <c:pt idx="25">
                  <c:v>3.9512645933125361E-2</c:v>
                </c:pt>
                <c:pt idx="26">
                  <c:v>3.9512645933128213E-2</c:v>
                </c:pt>
                <c:pt idx="27">
                  <c:v>3.9512645933125361E-2</c:v>
                </c:pt>
                <c:pt idx="28">
                  <c:v>3.9512645933128213E-2</c:v>
                </c:pt>
                <c:pt idx="29">
                  <c:v>3.9512645933128213E-2</c:v>
                </c:pt>
                <c:pt idx="30">
                  <c:v>3.9512645933128213E-2</c:v>
                </c:pt>
                <c:pt idx="31">
                  <c:v>3.9512645933125361E-2</c:v>
                </c:pt>
                <c:pt idx="32">
                  <c:v>3.9512645933125361E-2</c:v>
                </c:pt>
                <c:pt idx="33">
                  <c:v>3.9512645933125361E-2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MercuryChecks!$K$7</c:f>
              <c:strCache>
                <c:ptCount val="1"/>
                <c:pt idx="0">
                  <c:v>Abs.difference</c:v>
                </c:pt>
              </c:strCache>
            </c:strRef>
          </c:tx>
          <c:marker>
            <c:symbol val="none"/>
          </c:marker>
          <c:cat>
            <c:strRef>
              <c:f>MercuryChecks!$L$9:$L$42</c:f>
              <c:strCache>
                <c:ptCount val="34"/>
                <c:pt idx="0">
                  <c:v>1D</c:v>
                </c:pt>
                <c:pt idx="1">
                  <c:v>2D</c:v>
                </c:pt>
                <c:pt idx="2">
                  <c:v>0.999452205</c:v>
                </c:pt>
                <c:pt idx="3">
                  <c:v>0.999014185</c:v>
                </c:pt>
                <c:pt idx="4">
                  <c:v>0.996390093</c:v>
                </c:pt>
                <c:pt idx="5">
                  <c:v>0.99301084</c:v>
                </c:pt>
                <c:pt idx="6">
                  <c:v>0.989859979</c:v>
                </c:pt>
                <c:pt idx="7">
                  <c:v>0.986394769</c:v>
                </c:pt>
                <c:pt idx="8">
                  <c:v>0.983049415</c:v>
                </c:pt>
                <c:pt idx="9">
                  <c:v>0.980037558</c:v>
                </c:pt>
                <c:pt idx="10">
                  <c:v>0.976606733</c:v>
                </c:pt>
                <c:pt idx="11">
                  <c:v>0.973401243</c:v>
                </c:pt>
                <c:pt idx="12">
                  <c:v>0.970312605</c:v>
                </c:pt>
                <c:pt idx="13">
                  <c:v>0.966915824</c:v>
                </c:pt>
                <c:pt idx="14">
                  <c:v>0.963636533</c:v>
                </c:pt>
                <c:pt idx="15">
                  <c:v>0.960684153</c:v>
                </c:pt>
                <c:pt idx="16">
                  <c:v>0.957216173</c:v>
                </c:pt>
                <c:pt idx="17">
                  <c:v>0.954074328</c:v>
                </c:pt>
                <c:pt idx="18">
                  <c:v>0.950838589</c:v>
                </c:pt>
                <c:pt idx="19">
                  <c:v>0.941712931</c:v>
                </c:pt>
                <c:pt idx="20">
                  <c:v>0.932061794</c:v>
                </c:pt>
                <c:pt idx="21">
                  <c:v>0.922812906</c:v>
                </c:pt>
                <c:pt idx="22">
                  <c:v>0.913555674</c:v>
                </c:pt>
                <c:pt idx="23">
                  <c:v>0.886628894</c:v>
                </c:pt>
                <c:pt idx="24">
                  <c:v>0.851863678</c:v>
                </c:pt>
                <c:pt idx="25">
                  <c:v>0.818371936</c:v>
                </c:pt>
                <c:pt idx="26">
                  <c:v>0.786369286</c:v>
                </c:pt>
                <c:pt idx="27">
                  <c:v>0.755369727</c:v>
                </c:pt>
                <c:pt idx="28">
                  <c:v>0.725830795</c:v>
                </c:pt>
                <c:pt idx="29">
                  <c:v>0.697294142</c:v>
                </c:pt>
                <c:pt idx="30">
                  <c:v>0.669952848</c:v>
                </c:pt>
                <c:pt idx="31">
                  <c:v>0.618512204</c:v>
                </c:pt>
                <c:pt idx="32">
                  <c:v>0.548450892</c:v>
                </c:pt>
                <c:pt idx="33">
                  <c:v>0.448984406</c:v>
                </c:pt>
              </c:strCache>
            </c:strRef>
          </c:cat>
          <c:val>
            <c:numRef>
              <c:f>MercuryChecks!$K$8:$K$42</c:f>
              <c:numCache>
                <c:formatCode>0.000%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415864"/>
        <c:axId val="225413512"/>
      </c:lineChart>
      <c:catAx>
        <c:axId val="2254158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5413512"/>
        <c:crosses val="autoZero"/>
        <c:auto val="1"/>
        <c:lblAlgn val="ctr"/>
        <c:lblOffset val="100"/>
        <c:noMultiLvlLbl val="0"/>
      </c:catAx>
      <c:valAx>
        <c:axId val="2254135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%" sourceLinked="1"/>
        <c:majorTickMark val="out"/>
        <c:minorTickMark val="none"/>
        <c:tickLblPos val="nextTo"/>
        <c:crossAx val="2254158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114462053199995"/>
          <c:y val="0.54476193604636047"/>
          <c:w val="0.32074566990749953"/>
          <c:h val="0.18859493883986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MXN discount</a:t>
            </a:r>
            <a:r>
              <a:rPr lang="en-US" baseline="0"/>
              <a:t> collateral in USD</a:t>
            </a:r>
            <a:endParaRPr lang="en-US"/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MercuryChecks!$G$49</c:f>
              <c:strCache>
                <c:ptCount val="1"/>
                <c:pt idx="0">
                  <c:v>Mercury Zero Rates</c:v>
                </c:pt>
              </c:strCache>
            </c:strRef>
          </c:tx>
          <c:marker>
            <c:symbol val="none"/>
          </c:marker>
          <c:cat>
            <c:numRef>
              <c:f>MercuryChecks!$J$55:$J$84</c:f>
              <c:numCache>
                <c:formatCode>General</c:formatCode>
                <c:ptCount val="30"/>
                <c:pt idx="0">
                  <c:v>43714</c:v>
                </c:pt>
                <c:pt idx="1">
                  <c:v>43738</c:v>
                </c:pt>
                <c:pt idx="2">
                  <c:v>43769</c:v>
                </c:pt>
                <c:pt idx="3">
                  <c:v>43798</c:v>
                </c:pt>
                <c:pt idx="4">
                  <c:v>43830</c:v>
                </c:pt>
                <c:pt idx="5">
                  <c:v>43861</c:v>
                </c:pt>
                <c:pt idx="6">
                  <c:v>43889</c:v>
                </c:pt>
                <c:pt idx="7">
                  <c:v>43921</c:v>
                </c:pt>
                <c:pt idx="8">
                  <c:v>43951</c:v>
                </c:pt>
                <c:pt idx="9">
                  <c:v>43980</c:v>
                </c:pt>
                <c:pt idx="10">
                  <c:v>44012</c:v>
                </c:pt>
                <c:pt idx="11">
                  <c:v>44043</c:v>
                </c:pt>
                <c:pt idx="12">
                  <c:v>44071</c:v>
                </c:pt>
                <c:pt idx="13">
                  <c:v>44104</c:v>
                </c:pt>
                <c:pt idx="14">
                  <c:v>44134</c:v>
                </c:pt>
                <c:pt idx="15">
                  <c:v>44165</c:v>
                </c:pt>
                <c:pt idx="16">
                  <c:v>44253</c:v>
                </c:pt>
                <c:pt idx="17">
                  <c:v>44347</c:v>
                </c:pt>
                <c:pt idx="18">
                  <c:v>44438</c:v>
                </c:pt>
                <c:pt idx="19">
                  <c:v>44530</c:v>
                </c:pt>
                <c:pt idx="20">
                  <c:v>44803</c:v>
                </c:pt>
                <c:pt idx="21">
                  <c:v>45168</c:v>
                </c:pt>
                <c:pt idx="22">
                  <c:v>45534</c:v>
                </c:pt>
                <c:pt idx="23">
                  <c:v>45898</c:v>
                </c:pt>
                <c:pt idx="24">
                  <c:v>46265</c:v>
                </c:pt>
                <c:pt idx="25">
                  <c:v>46629</c:v>
                </c:pt>
                <c:pt idx="26">
                  <c:v>46995</c:v>
                </c:pt>
                <c:pt idx="27">
                  <c:v>47360</c:v>
                </c:pt>
                <c:pt idx="28">
                  <c:v>48089</c:v>
                </c:pt>
                <c:pt idx="29">
                  <c:v>49186</c:v>
                </c:pt>
              </c:numCache>
            </c:numRef>
          </c:cat>
          <c:val>
            <c:numRef>
              <c:f>MercuryChecks!$G$55:$G$84</c:f>
              <c:numCache>
                <c:formatCode>0.000%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MercuryChecks!$H$49</c:f>
              <c:strCache>
                <c:ptCount val="1"/>
                <c:pt idx="0">
                  <c:v>QL Zero Rates</c:v>
                </c:pt>
              </c:strCache>
            </c:strRef>
          </c:tx>
          <c:marker>
            <c:symbol val="none"/>
          </c:marker>
          <c:cat>
            <c:numRef>
              <c:f>MercuryChecks!$J$55:$J$84</c:f>
              <c:numCache>
                <c:formatCode>General</c:formatCode>
                <c:ptCount val="30"/>
                <c:pt idx="0">
                  <c:v>43714</c:v>
                </c:pt>
                <c:pt idx="1">
                  <c:v>43738</c:v>
                </c:pt>
                <c:pt idx="2">
                  <c:v>43769</c:v>
                </c:pt>
                <c:pt idx="3">
                  <c:v>43798</c:v>
                </c:pt>
                <c:pt idx="4">
                  <c:v>43830</c:v>
                </c:pt>
                <c:pt idx="5">
                  <c:v>43861</c:v>
                </c:pt>
                <c:pt idx="6">
                  <c:v>43889</c:v>
                </c:pt>
                <c:pt idx="7">
                  <c:v>43921</c:v>
                </c:pt>
                <c:pt idx="8">
                  <c:v>43951</c:v>
                </c:pt>
                <c:pt idx="9">
                  <c:v>43980</c:v>
                </c:pt>
                <c:pt idx="10">
                  <c:v>44012</c:v>
                </c:pt>
                <c:pt idx="11">
                  <c:v>44043</c:v>
                </c:pt>
                <c:pt idx="12">
                  <c:v>44071</c:v>
                </c:pt>
                <c:pt idx="13">
                  <c:v>44104</c:v>
                </c:pt>
                <c:pt idx="14">
                  <c:v>44134</c:v>
                </c:pt>
                <c:pt idx="15">
                  <c:v>44165</c:v>
                </c:pt>
                <c:pt idx="16">
                  <c:v>44253</c:v>
                </c:pt>
                <c:pt idx="17">
                  <c:v>44347</c:v>
                </c:pt>
                <c:pt idx="18">
                  <c:v>44438</c:v>
                </c:pt>
                <c:pt idx="19">
                  <c:v>44530</c:v>
                </c:pt>
                <c:pt idx="20">
                  <c:v>44803</c:v>
                </c:pt>
                <c:pt idx="21">
                  <c:v>45168</c:v>
                </c:pt>
                <c:pt idx="22">
                  <c:v>45534</c:v>
                </c:pt>
                <c:pt idx="23">
                  <c:v>45898</c:v>
                </c:pt>
                <c:pt idx="24">
                  <c:v>46265</c:v>
                </c:pt>
                <c:pt idx="25">
                  <c:v>46629</c:v>
                </c:pt>
                <c:pt idx="26">
                  <c:v>46995</c:v>
                </c:pt>
                <c:pt idx="27">
                  <c:v>47360</c:v>
                </c:pt>
                <c:pt idx="28">
                  <c:v>48089</c:v>
                </c:pt>
                <c:pt idx="29">
                  <c:v>49186</c:v>
                </c:pt>
              </c:numCache>
            </c:numRef>
          </c:cat>
          <c:val>
            <c:numRef>
              <c:f>MercuryChecks!$H$55:$H$84</c:f>
              <c:numCache>
                <c:formatCode>0.000%</c:formatCode>
                <c:ptCount val="30"/>
                <c:pt idx="0">
                  <c:v>4.0810774192387766E-2</c:v>
                </c:pt>
                <c:pt idx="1">
                  <c:v>4.0810774192388211E-2</c:v>
                </c:pt>
                <c:pt idx="2">
                  <c:v>4.0810774192387989E-2</c:v>
                </c:pt>
                <c:pt idx="3">
                  <c:v>4.0832660886058969E-2</c:v>
                </c:pt>
                <c:pt idx="4">
                  <c:v>4.0846661637403914E-2</c:v>
                </c:pt>
                <c:pt idx="5">
                  <c:v>4.0858225047160968E-2</c:v>
                </c:pt>
                <c:pt idx="6">
                  <c:v>4.0866337441050726E-2</c:v>
                </c:pt>
                <c:pt idx="7">
                  <c:v>4.0872499112066807E-2</c:v>
                </c:pt>
                <c:pt idx="8">
                  <c:v>4.0877948786789853E-2</c:v>
                </c:pt>
                <c:pt idx="9">
                  <c:v>4.0882245158238018E-2</c:v>
                </c:pt>
                <c:pt idx="10">
                  <c:v>4.0885500792911866E-2</c:v>
                </c:pt>
                <c:pt idx="11">
                  <c:v>4.0888751699444503E-2</c:v>
                </c:pt>
                <c:pt idx="12">
                  <c:v>4.0891273419642493E-2</c:v>
                </c:pt>
                <c:pt idx="13">
                  <c:v>4.0893533912734092E-2</c:v>
                </c:pt>
                <c:pt idx="14">
                  <c:v>4.0886887452378007E-2</c:v>
                </c:pt>
                <c:pt idx="15">
                  <c:v>4.0875725409203367E-2</c:v>
                </c:pt>
                <c:pt idx="16">
                  <c:v>4.0867650652069321E-2</c:v>
                </c:pt>
                <c:pt idx="17">
                  <c:v>4.0861300213601792E-2</c:v>
                </c:pt>
                <c:pt idx="18">
                  <c:v>4.0848726052005624E-2</c:v>
                </c:pt>
                <c:pt idx="19">
                  <c:v>4.0839250936916205E-2</c:v>
                </c:pt>
                <c:pt idx="20">
                  <c:v>4.0848622205500229E-2</c:v>
                </c:pt>
                <c:pt idx="21">
                  <c:v>4.0848778018074849E-2</c:v>
                </c:pt>
                <c:pt idx="22">
                  <c:v>4.0843325468377101E-2</c:v>
                </c:pt>
                <c:pt idx="23">
                  <c:v>4.0839270428452368E-2</c:v>
                </c:pt>
                <c:pt idx="24">
                  <c:v>4.0844477475475482E-2</c:v>
                </c:pt>
                <c:pt idx="25">
                  <c:v>4.0844974451125227E-2</c:v>
                </c:pt>
                <c:pt idx="26">
                  <c:v>4.0839283437640539E-2</c:v>
                </c:pt>
                <c:pt idx="27">
                  <c:v>4.0841179917478154E-2</c:v>
                </c:pt>
                <c:pt idx="28">
                  <c:v>4.0839282136187149E-2</c:v>
                </c:pt>
                <c:pt idx="29">
                  <c:v>4.0841158304798286E-2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MercuryChecks!$I$49</c:f>
              <c:strCache>
                <c:ptCount val="1"/>
                <c:pt idx="0">
                  <c:v>Abs.difference</c:v>
                </c:pt>
              </c:strCache>
            </c:strRef>
          </c:tx>
          <c:marker>
            <c:symbol val="none"/>
          </c:marker>
          <c:cat>
            <c:numRef>
              <c:f>MercuryChecks!$J$55:$J$84</c:f>
              <c:numCache>
                <c:formatCode>General</c:formatCode>
                <c:ptCount val="30"/>
                <c:pt idx="0">
                  <c:v>43714</c:v>
                </c:pt>
                <c:pt idx="1">
                  <c:v>43738</c:v>
                </c:pt>
                <c:pt idx="2">
                  <c:v>43769</c:v>
                </c:pt>
                <c:pt idx="3">
                  <c:v>43798</c:v>
                </c:pt>
                <c:pt idx="4">
                  <c:v>43830</c:v>
                </c:pt>
                <c:pt idx="5">
                  <c:v>43861</c:v>
                </c:pt>
                <c:pt idx="6">
                  <c:v>43889</c:v>
                </c:pt>
                <c:pt idx="7">
                  <c:v>43921</c:v>
                </c:pt>
                <c:pt idx="8">
                  <c:v>43951</c:v>
                </c:pt>
                <c:pt idx="9">
                  <c:v>43980</c:v>
                </c:pt>
                <c:pt idx="10">
                  <c:v>44012</c:v>
                </c:pt>
                <c:pt idx="11">
                  <c:v>44043</c:v>
                </c:pt>
                <c:pt idx="12">
                  <c:v>44071</c:v>
                </c:pt>
                <c:pt idx="13">
                  <c:v>44104</c:v>
                </c:pt>
                <c:pt idx="14">
                  <c:v>44134</c:v>
                </c:pt>
                <c:pt idx="15">
                  <c:v>44165</c:v>
                </c:pt>
                <c:pt idx="16">
                  <c:v>44253</c:v>
                </c:pt>
                <c:pt idx="17">
                  <c:v>44347</c:v>
                </c:pt>
                <c:pt idx="18">
                  <c:v>44438</c:v>
                </c:pt>
                <c:pt idx="19">
                  <c:v>44530</c:v>
                </c:pt>
                <c:pt idx="20">
                  <c:v>44803</c:v>
                </c:pt>
                <c:pt idx="21">
                  <c:v>45168</c:v>
                </c:pt>
                <c:pt idx="22">
                  <c:v>45534</c:v>
                </c:pt>
                <c:pt idx="23">
                  <c:v>45898</c:v>
                </c:pt>
                <c:pt idx="24">
                  <c:v>46265</c:v>
                </c:pt>
                <c:pt idx="25">
                  <c:v>46629</c:v>
                </c:pt>
                <c:pt idx="26">
                  <c:v>46995</c:v>
                </c:pt>
                <c:pt idx="27">
                  <c:v>47360</c:v>
                </c:pt>
                <c:pt idx="28">
                  <c:v>48089</c:v>
                </c:pt>
                <c:pt idx="29">
                  <c:v>49186</c:v>
                </c:pt>
              </c:numCache>
            </c:numRef>
          </c:cat>
          <c:val>
            <c:numRef>
              <c:f>MercuryChecks!$I$55:$I$84</c:f>
              <c:numCache>
                <c:formatCode>0.000%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412728"/>
        <c:axId val="225412336"/>
      </c:lineChart>
      <c:catAx>
        <c:axId val="225412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5412336"/>
        <c:crosses val="autoZero"/>
        <c:auto val="1"/>
        <c:lblAlgn val="ctr"/>
        <c:lblOffset val="100"/>
        <c:noMultiLvlLbl val="0"/>
      </c:catAx>
      <c:valAx>
        <c:axId val="2254123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%" sourceLinked="1"/>
        <c:majorTickMark val="out"/>
        <c:minorTickMark val="none"/>
        <c:tickLblPos val="nextTo"/>
        <c:crossAx val="225412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309521110308607"/>
          <c:y val="0.42618879703161017"/>
          <c:w val="0.24762182033400165"/>
          <c:h val="0.19897054771851819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</a:t>
            </a:r>
            <a:r>
              <a:rPr lang="en-US" baseline="0"/>
              <a:t> discount collateral in USD</a:t>
            </a:r>
            <a:endParaRPr lang="en-US"/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'MercuryChecks Values II'!$H$91</c:f>
              <c:strCache>
                <c:ptCount val="1"/>
                <c:pt idx="0">
                  <c:v>Mercury Zero Rates</c:v>
                </c:pt>
              </c:strCache>
            </c:strRef>
          </c:tx>
          <c:marker>
            <c:symbol val="none"/>
          </c:marker>
          <c:cat>
            <c:strRef>
              <c:f>'MercuryChecks Values II'!$K$93:$K$112</c:f>
              <c:strCache>
                <c:ptCount val="20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12M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6Y</c:v>
                </c:pt>
                <c:pt idx="9">
                  <c:v>7Y</c:v>
                </c:pt>
                <c:pt idx="10">
                  <c:v>8Y</c:v>
                </c:pt>
                <c:pt idx="11">
                  <c:v>9Y</c:v>
                </c:pt>
                <c:pt idx="12">
                  <c:v>10Y</c:v>
                </c:pt>
                <c:pt idx="13">
                  <c:v>12Y</c:v>
                </c:pt>
                <c:pt idx="14">
                  <c:v>15Y</c:v>
                </c:pt>
                <c:pt idx="15">
                  <c:v>20Y</c:v>
                </c:pt>
                <c:pt idx="16">
                  <c:v>25Y</c:v>
                </c:pt>
                <c:pt idx="17">
                  <c:v>30Y</c:v>
                </c:pt>
                <c:pt idx="18">
                  <c:v>40Y</c:v>
                </c:pt>
                <c:pt idx="19">
                  <c:v>50Y</c:v>
                </c:pt>
              </c:strCache>
            </c:strRef>
          </c:cat>
          <c:val>
            <c:numRef>
              <c:f>'MercuryChecks Values II'!$H$92:$H$112</c:f>
              <c:numCache>
                <c:formatCode>0.00%</c:formatCode>
                <c:ptCount val="21"/>
                <c:pt idx="0">
                  <c:v>-8.0068020154031583E-3</c:v>
                </c:pt>
                <c:pt idx="1">
                  <c:v>-8.0286501623531015E-3</c:v>
                </c:pt>
                <c:pt idx="2">
                  <c:v>-8.255003649490944E-3</c:v>
                </c:pt>
                <c:pt idx="3">
                  <c:v>-8.6317428371011085E-3</c:v>
                </c:pt>
                <c:pt idx="4">
                  <c:v>-8.8457984713564697E-3</c:v>
                </c:pt>
                <c:pt idx="5">
                  <c:v>-9.3624302963778439E-3</c:v>
                </c:pt>
                <c:pt idx="6">
                  <c:v>-1.0821880729454447E-2</c:v>
                </c:pt>
                <c:pt idx="7">
                  <c:v>-9.9058707566551663E-3</c:v>
                </c:pt>
                <c:pt idx="8">
                  <c:v>-8.7788127656386328E-3</c:v>
                </c:pt>
                <c:pt idx="9">
                  <c:v>-7.4836369132041947E-3</c:v>
                </c:pt>
                <c:pt idx="10">
                  <c:v>-6.1064094168330474E-3</c:v>
                </c:pt>
                <c:pt idx="11">
                  <c:v>-4.7578343893309727E-3</c:v>
                </c:pt>
                <c:pt idx="12">
                  <c:v>-3.4817375275388862E-3</c:v>
                </c:pt>
                <c:pt idx="13">
                  <c:v>-2.2899474065553038E-3</c:v>
                </c:pt>
                <c:pt idx="14">
                  <c:v>-2.79960626728748E-4</c:v>
                </c:pt>
                <c:pt idx="15">
                  <c:v>1.9394289123080277E-3</c:v>
                </c:pt>
                <c:pt idx="16">
                  <c:v>3.9679528294096489E-3</c:v>
                </c:pt>
                <c:pt idx="17">
                  <c:v>4.6766246001963552E-3</c:v>
                </c:pt>
                <c:pt idx="18">
                  <c:v>4.8865447320609601E-3</c:v>
                </c:pt>
                <c:pt idx="19">
                  <c:v>4.586751821312296E-3</c:v>
                </c:pt>
                <c:pt idx="20">
                  <c:v>-7.0520364444404127E-4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'MercuryChecks Values II'!$I$91</c:f>
              <c:strCache>
                <c:ptCount val="1"/>
                <c:pt idx="0">
                  <c:v>Quantlib Zero Rates</c:v>
                </c:pt>
              </c:strCache>
            </c:strRef>
          </c:tx>
          <c:marker>
            <c:symbol val="none"/>
          </c:marker>
          <c:cat>
            <c:strRef>
              <c:f>'MercuryChecks Values II'!$K$93:$K$112</c:f>
              <c:strCache>
                <c:ptCount val="20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12M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6Y</c:v>
                </c:pt>
                <c:pt idx="9">
                  <c:v>7Y</c:v>
                </c:pt>
                <c:pt idx="10">
                  <c:v>8Y</c:v>
                </c:pt>
                <c:pt idx="11">
                  <c:v>9Y</c:v>
                </c:pt>
                <c:pt idx="12">
                  <c:v>10Y</c:v>
                </c:pt>
                <c:pt idx="13">
                  <c:v>12Y</c:v>
                </c:pt>
                <c:pt idx="14">
                  <c:v>15Y</c:v>
                </c:pt>
                <c:pt idx="15">
                  <c:v>20Y</c:v>
                </c:pt>
                <c:pt idx="16">
                  <c:v>25Y</c:v>
                </c:pt>
                <c:pt idx="17">
                  <c:v>30Y</c:v>
                </c:pt>
                <c:pt idx="18">
                  <c:v>40Y</c:v>
                </c:pt>
                <c:pt idx="19">
                  <c:v>50Y</c:v>
                </c:pt>
              </c:strCache>
            </c:strRef>
          </c:cat>
          <c:val>
            <c:numRef>
              <c:f>'MercuryChecks Values II'!$I$92:$I$112</c:f>
              <c:numCache>
                <c:formatCode>0.00%</c:formatCode>
                <c:ptCount val="21"/>
                <c:pt idx="0">
                  <c:v>-7.9434037355545772E-3</c:v>
                </c:pt>
                <c:pt idx="1">
                  <c:v>-7.9650795837705735E-3</c:v>
                </c:pt>
                <c:pt idx="2">
                  <c:v>-8.198550497550694E-3</c:v>
                </c:pt>
                <c:pt idx="3">
                  <c:v>-8.5710895675474852E-3</c:v>
                </c:pt>
                <c:pt idx="4">
                  <c:v>-8.8051359994434364E-3</c:v>
                </c:pt>
                <c:pt idx="5">
                  <c:v>-9.3286025164893704E-3</c:v>
                </c:pt>
                <c:pt idx="6">
                  <c:v>-1.0801579239875236E-2</c:v>
                </c:pt>
                <c:pt idx="7">
                  <c:v>-9.8836797551433708E-3</c:v>
                </c:pt>
                <c:pt idx="8">
                  <c:v>-8.7602588509432255E-3</c:v>
                </c:pt>
                <c:pt idx="9">
                  <c:v>-7.4661834421304585E-3</c:v>
                </c:pt>
                <c:pt idx="10">
                  <c:v>-6.1009208304743101E-3</c:v>
                </c:pt>
                <c:pt idx="11">
                  <c:v>-4.7485326956812068E-3</c:v>
                </c:pt>
                <c:pt idx="12">
                  <c:v>-3.47103502289281E-3</c:v>
                </c:pt>
                <c:pt idx="13">
                  <c:v>-2.2781137092652282E-3</c:v>
                </c:pt>
                <c:pt idx="14">
                  <c:v>-2.7916595712917935E-4</c:v>
                </c:pt>
                <c:pt idx="15">
                  <c:v>1.9467014276106642E-3</c:v>
                </c:pt>
                <c:pt idx="16">
                  <c:v>3.973442324930021E-3</c:v>
                </c:pt>
                <c:pt idx="17">
                  <c:v>4.680812569480608E-3</c:v>
                </c:pt>
                <c:pt idx="18">
                  <c:v>4.8779407376982054E-3</c:v>
                </c:pt>
                <c:pt idx="19">
                  <c:v>4.5768966287675905E-3</c:v>
                </c:pt>
                <c:pt idx="20">
                  <c:v>-7.033972686034673E-4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'MercuryChecks Values II'!$J$91</c:f>
              <c:strCache>
                <c:ptCount val="1"/>
                <c:pt idx="0">
                  <c:v>Absolute difference</c:v>
                </c:pt>
              </c:strCache>
            </c:strRef>
          </c:tx>
          <c:marker>
            <c:symbol val="x"/>
            <c:size val="5"/>
          </c:marker>
          <c:cat>
            <c:strRef>
              <c:f>'MercuryChecks Values II'!$K$93:$K$112</c:f>
              <c:strCache>
                <c:ptCount val="20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12M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6Y</c:v>
                </c:pt>
                <c:pt idx="9">
                  <c:v>7Y</c:v>
                </c:pt>
                <c:pt idx="10">
                  <c:v>8Y</c:v>
                </c:pt>
                <c:pt idx="11">
                  <c:v>9Y</c:v>
                </c:pt>
                <c:pt idx="12">
                  <c:v>10Y</c:v>
                </c:pt>
                <c:pt idx="13">
                  <c:v>12Y</c:v>
                </c:pt>
                <c:pt idx="14">
                  <c:v>15Y</c:v>
                </c:pt>
                <c:pt idx="15">
                  <c:v>20Y</c:v>
                </c:pt>
                <c:pt idx="16">
                  <c:v>25Y</c:v>
                </c:pt>
                <c:pt idx="17">
                  <c:v>30Y</c:v>
                </c:pt>
                <c:pt idx="18">
                  <c:v>40Y</c:v>
                </c:pt>
                <c:pt idx="19">
                  <c:v>50Y</c:v>
                </c:pt>
              </c:strCache>
            </c:strRef>
          </c:cat>
          <c:val>
            <c:numRef>
              <c:f>'MercuryChecks Values II'!$J$92:$J$112</c:f>
              <c:numCache>
                <c:formatCode>0.000%</c:formatCode>
                <c:ptCount val="21"/>
                <c:pt idx="0">
                  <c:v>-6.3398279848581041E-5</c:v>
                </c:pt>
                <c:pt idx="1">
                  <c:v>-6.3570578582528015E-5</c:v>
                </c:pt>
                <c:pt idx="2">
                  <c:v>-5.6453151940250024E-5</c:v>
                </c:pt>
                <c:pt idx="3">
                  <c:v>-6.0653269553623268E-5</c:v>
                </c:pt>
                <c:pt idx="4">
                  <c:v>-4.0662471913033293E-5</c:v>
                </c:pt>
                <c:pt idx="5">
                  <c:v>-3.3827779888473408E-5</c:v>
                </c:pt>
                <c:pt idx="6">
                  <c:v>-2.0301489579210852E-5</c:v>
                </c:pt>
                <c:pt idx="7">
                  <c:v>-2.2191001511795427E-5</c:v>
                </c:pt>
                <c:pt idx="8">
                  <c:v>-1.8553914695407236E-5</c:v>
                </c:pt>
                <c:pt idx="9">
                  <c:v>-1.7453471073736182E-5</c:v>
                </c:pt>
                <c:pt idx="10">
                  <c:v>-5.4885863587372796E-6</c:v>
                </c:pt>
                <c:pt idx="11">
                  <c:v>-9.301693649765852E-6</c:v>
                </c:pt>
                <c:pt idx="12">
                  <c:v>-1.070250464607625E-5</c:v>
                </c:pt>
                <c:pt idx="13">
                  <c:v>-1.1833697290075662E-5</c:v>
                </c:pt>
                <c:pt idx="14">
                  <c:v>-7.9466959956864258E-7</c:v>
                </c:pt>
                <c:pt idx="15">
                  <c:v>-7.2725153026365064E-6</c:v>
                </c:pt>
                <c:pt idx="16">
                  <c:v>-5.4894955203721452E-6</c:v>
                </c:pt>
                <c:pt idx="17">
                  <c:v>-4.1879692842528016E-6</c:v>
                </c:pt>
                <c:pt idx="18">
                  <c:v>8.6039943627547188E-6</c:v>
                </c:pt>
                <c:pt idx="19">
                  <c:v>9.85519254470546E-6</c:v>
                </c:pt>
                <c:pt idx="20">
                  <c:v>-1.8063758405739705E-6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3143752"/>
        <c:axId val="223144144"/>
      </c:lineChart>
      <c:catAx>
        <c:axId val="22314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3144144"/>
        <c:crosses val="autoZero"/>
        <c:auto val="1"/>
        <c:lblAlgn val="ctr"/>
        <c:lblOffset val="100"/>
        <c:noMultiLvlLbl val="0"/>
      </c:catAx>
      <c:valAx>
        <c:axId val="2231441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23143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298177181829042"/>
          <c:y val="0.65087494293710335"/>
          <c:w val="0.30803379673938425"/>
          <c:h val="0.2219562240196699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MXN</a:t>
            </a:r>
            <a:r>
              <a:rPr lang="en-US" baseline="0"/>
              <a:t>, TIIE estimation curve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468155240448685"/>
          <c:y val="3.859774466448497E-2"/>
          <c:w val="0.85611329842792883"/>
          <c:h val="0.92280451067103009"/>
        </c:manualLayout>
      </c:layout>
      <c:lineChart>
        <c:grouping val="standard"/>
        <c:varyColors val="0"/>
        <c:ser>
          <c:idx val="0"/>
          <c:order val="0"/>
          <c:tx>
            <c:strRef>
              <c:f>'MercuryChecks Values II'!$I$7</c:f>
              <c:strCache>
                <c:ptCount val="1"/>
                <c:pt idx="0">
                  <c:v>Mercury Forward Rates</c:v>
                </c:pt>
              </c:strCache>
            </c:strRef>
          </c:tx>
          <c:marker>
            <c:symbol val="none"/>
          </c:marker>
          <c:cat>
            <c:strRef>
              <c:f>'MercuryChecks Values II'!$L$9:$L$42</c:f>
              <c:strCache>
                <c:ptCount val="34"/>
                <c:pt idx="0">
                  <c:v>1D</c:v>
                </c:pt>
                <c:pt idx="1">
                  <c:v>2D</c:v>
                </c:pt>
                <c:pt idx="2">
                  <c:v>1W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  <c:pt idx="12">
                  <c:v>10M</c:v>
                </c:pt>
                <c:pt idx="13">
                  <c:v>11M</c:v>
                </c:pt>
                <c:pt idx="14">
                  <c:v>1Y</c:v>
                </c:pt>
                <c:pt idx="15">
                  <c:v>13M</c:v>
                </c:pt>
                <c:pt idx="16">
                  <c:v>14M</c:v>
                </c:pt>
                <c:pt idx="17">
                  <c:v>15M</c:v>
                </c:pt>
                <c:pt idx="18">
                  <c:v>18M</c:v>
                </c:pt>
                <c:pt idx="19">
                  <c:v>21M</c:v>
                </c:pt>
                <c:pt idx="20">
                  <c:v>2Y</c:v>
                </c:pt>
                <c:pt idx="21">
                  <c:v>27M</c:v>
                </c:pt>
                <c:pt idx="22">
                  <c:v>3Y</c:v>
                </c:pt>
                <c:pt idx="23">
                  <c:v>4Y</c:v>
                </c:pt>
                <c:pt idx="24">
                  <c:v>5Y</c:v>
                </c:pt>
                <c:pt idx="25">
                  <c:v>6Y</c:v>
                </c:pt>
                <c:pt idx="26">
                  <c:v>7Y</c:v>
                </c:pt>
                <c:pt idx="27">
                  <c:v>8Y</c:v>
                </c:pt>
                <c:pt idx="28">
                  <c:v>9Y</c:v>
                </c:pt>
                <c:pt idx="29">
                  <c:v>10Y</c:v>
                </c:pt>
                <c:pt idx="30">
                  <c:v>12Y</c:v>
                </c:pt>
                <c:pt idx="31">
                  <c:v>15Y</c:v>
                </c:pt>
                <c:pt idx="32">
                  <c:v>20Y</c:v>
                </c:pt>
                <c:pt idx="33">
                  <c:v>25Y</c:v>
                </c:pt>
              </c:strCache>
            </c:strRef>
          </c:cat>
          <c:val>
            <c:numRef>
              <c:f>'MercuryChecks Values II'!$I$9:$I$42</c:f>
              <c:numCache>
                <c:formatCode>0.000%</c:formatCode>
                <c:ptCount val="34"/>
                <c:pt idx="0">
                  <c:v>4.1061702926077359E-2</c:v>
                </c:pt>
                <c:pt idx="1">
                  <c:v>4.1308517569737441E-2</c:v>
                </c:pt>
                <c:pt idx="2">
                  <c:v>4.1678748390769585E-2</c:v>
                </c:pt>
                <c:pt idx="3">
                  <c:v>4.2727793428141779E-2</c:v>
                </c:pt>
                <c:pt idx="4">
                  <c:v>4.3688734179644202E-2</c:v>
                </c:pt>
                <c:pt idx="5">
                  <c:v>4.6571985951467464E-2</c:v>
                </c:pt>
                <c:pt idx="6">
                  <c:v>4.6571985951467464E-2</c:v>
                </c:pt>
                <c:pt idx="7">
                  <c:v>4.8140725771821699E-2</c:v>
                </c:pt>
                <c:pt idx="8">
                  <c:v>4.9500454549996471E-2</c:v>
                </c:pt>
                <c:pt idx="9">
                  <c:v>4.9500454549996471E-2</c:v>
                </c:pt>
                <c:pt idx="10">
                  <c:v>5.0379073242497859E-2</c:v>
                </c:pt>
                <c:pt idx="11">
                  <c:v>5.0446661773132978E-2</c:v>
                </c:pt>
                <c:pt idx="12">
                  <c:v>5.0446661773132978E-2</c:v>
                </c:pt>
                <c:pt idx="13">
                  <c:v>5.0446661773132978E-2</c:v>
                </c:pt>
                <c:pt idx="14">
                  <c:v>5.2933761487309799E-2</c:v>
                </c:pt>
                <c:pt idx="15">
                  <c:v>5.2933761487309799E-2</c:v>
                </c:pt>
                <c:pt idx="16">
                  <c:v>5.2933761487309799E-2</c:v>
                </c:pt>
                <c:pt idx="17">
                  <c:v>5.2933761487309799E-2</c:v>
                </c:pt>
                <c:pt idx="18">
                  <c:v>5.2933761487309799E-2</c:v>
                </c:pt>
                <c:pt idx="19">
                  <c:v>5.2933761487309799E-2</c:v>
                </c:pt>
                <c:pt idx="20">
                  <c:v>5.7313196019684085E-2</c:v>
                </c:pt>
                <c:pt idx="21">
                  <c:v>5.7313196019681226E-2</c:v>
                </c:pt>
                <c:pt idx="22">
                  <c:v>6.1404631965839167E-2</c:v>
                </c:pt>
                <c:pt idx="23">
                  <c:v>6.6061670002928494E-2</c:v>
                </c:pt>
                <c:pt idx="24">
                  <c:v>7.0117765541397592E-2</c:v>
                </c:pt>
                <c:pt idx="25">
                  <c:v>7.0117765541397592E-2</c:v>
                </c:pt>
                <c:pt idx="26">
                  <c:v>7.3540425859955738E-2</c:v>
                </c:pt>
                <c:pt idx="27">
                  <c:v>7.3540425859952893E-2</c:v>
                </c:pt>
                <c:pt idx="28">
                  <c:v>7.3540425859955738E-2</c:v>
                </c:pt>
                <c:pt idx="29">
                  <c:v>8.0234162239902762E-2</c:v>
                </c:pt>
                <c:pt idx="30">
                  <c:v>8.030947504153213E-2</c:v>
                </c:pt>
                <c:pt idx="31">
                  <c:v>8.2881301079728492E-2</c:v>
                </c:pt>
                <c:pt idx="32">
                  <c:v>8.3083412853114533E-2</c:v>
                </c:pt>
                <c:pt idx="33">
                  <c:v>8.3083412853103111E-2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'MercuryChecks Values II'!$J$7</c:f>
              <c:strCache>
                <c:ptCount val="1"/>
                <c:pt idx="0">
                  <c:v>Quantlib Forwards Rates</c:v>
                </c:pt>
              </c:strCache>
            </c:strRef>
          </c:tx>
          <c:marker>
            <c:symbol val="none"/>
          </c:marker>
          <c:cat>
            <c:strRef>
              <c:f>'MercuryChecks Values II'!$L$9:$L$42</c:f>
              <c:strCache>
                <c:ptCount val="34"/>
                <c:pt idx="0">
                  <c:v>1D</c:v>
                </c:pt>
                <c:pt idx="1">
                  <c:v>2D</c:v>
                </c:pt>
                <c:pt idx="2">
                  <c:v>1W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  <c:pt idx="12">
                  <c:v>10M</c:v>
                </c:pt>
                <c:pt idx="13">
                  <c:v>11M</c:v>
                </c:pt>
                <c:pt idx="14">
                  <c:v>1Y</c:v>
                </c:pt>
                <c:pt idx="15">
                  <c:v>13M</c:v>
                </c:pt>
                <c:pt idx="16">
                  <c:v>14M</c:v>
                </c:pt>
                <c:pt idx="17">
                  <c:v>15M</c:v>
                </c:pt>
                <c:pt idx="18">
                  <c:v>18M</c:v>
                </c:pt>
                <c:pt idx="19">
                  <c:v>21M</c:v>
                </c:pt>
                <c:pt idx="20">
                  <c:v>2Y</c:v>
                </c:pt>
                <c:pt idx="21">
                  <c:v>27M</c:v>
                </c:pt>
                <c:pt idx="22">
                  <c:v>3Y</c:v>
                </c:pt>
                <c:pt idx="23">
                  <c:v>4Y</c:v>
                </c:pt>
                <c:pt idx="24">
                  <c:v>5Y</c:v>
                </c:pt>
                <c:pt idx="25">
                  <c:v>6Y</c:v>
                </c:pt>
                <c:pt idx="26">
                  <c:v>7Y</c:v>
                </c:pt>
                <c:pt idx="27">
                  <c:v>8Y</c:v>
                </c:pt>
                <c:pt idx="28">
                  <c:v>9Y</c:v>
                </c:pt>
                <c:pt idx="29">
                  <c:v>10Y</c:v>
                </c:pt>
                <c:pt idx="30">
                  <c:v>12Y</c:v>
                </c:pt>
                <c:pt idx="31">
                  <c:v>15Y</c:v>
                </c:pt>
                <c:pt idx="32">
                  <c:v>20Y</c:v>
                </c:pt>
                <c:pt idx="33">
                  <c:v>25Y</c:v>
                </c:pt>
              </c:strCache>
            </c:strRef>
          </c:cat>
          <c:val>
            <c:numRef>
              <c:f>'MercuryChecks Values II'!$J$9:$J$42</c:f>
              <c:numCache>
                <c:formatCode>0.000%</c:formatCode>
                <c:ptCount val="34"/>
                <c:pt idx="0">
                  <c:v>4.1190208338277259E-2</c:v>
                </c:pt>
                <c:pt idx="1">
                  <c:v>4.1417983463384163E-2</c:v>
                </c:pt>
                <c:pt idx="2">
                  <c:v>4.1645762610830667E-2</c:v>
                </c:pt>
                <c:pt idx="3">
                  <c:v>4.2727768493490297E-2</c:v>
                </c:pt>
                <c:pt idx="4">
                  <c:v>4.3688674745580816E-2</c:v>
                </c:pt>
                <c:pt idx="5">
                  <c:v>4.6571822988327342E-2</c:v>
                </c:pt>
                <c:pt idx="6">
                  <c:v>4.6571822988327342E-2</c:v>
                </c:pt>
                <c:pt idx="7">
                  <c:v>4.814054709537377E-2</c:v>
                </c:pt>
                <c:pt idx="8">
                  <c:v>4.9500262252267301E-2</c:v>
                </c:pt>
                <c:pt idx="9">
                  <c:v>4.9500262252267301E-2</c:v>
                </c:pt>
                <c:pt idx="10">
                  <c:v>5.0277531036254493E-2</c:v>
                </c:pt>
                <c:pt idx="11">
                  <c:v>5.0446508704940572E-2</c:v>
                </c:pt>
                <c:pt idx="12">
                  <c:v>5.0446508704940572E-2</c:v>
                </c:pt>
                <c:pt idx="13">
                  <c:v>5.0446508704940572E-2</c:v>
                </c:pt>
                <c:pt idx="14">
                  <c:v>5.2933102277745725E-2</c:v>
                </c:pt>
                <c:pt idx="15">
                  <c:v>5.2933102277748577E-2</c:v>
                </c:pt>
                <c:pt idx="16">
                  <c:v>5.2933102277745725E-2</c:v>
                </c:pt>
                <c:pt idx="17">
                  <c:v>5.2933102277748577E-2</c:v>
                </c:pt>
                <c:pt idx="18">
                  <c:v>5.2933102277748577E-2</c:v>
                </c:pt>
                <c:pt idx="19">
                  <c:v>5.2933102277745725E-2</c:v>
                </c:pt>
                <c:pt idx="20">
                  <c:v>5.731338902415363E-2</c:v>
                </c:pt>
                <c:pt idx="21">
                  <c:v>5.731338902415363E-2</c:v>
                </c:pt>
                <c:pt idx="22">
                  <c:v>6.1405314139291178E-2</c:v>
                </c:pt>
                <c:pt idx="23">
                  <c:v>6.6063985341103956E-2</c:v>
                </c:pt>
                <c:pt idx="24">
                  <c:v>7.0114187800933703E-2</c:v>
                </c:pt>
                <c:pt idx="25">
                  <c:v>7.0114187800933703E-2</c:v>
                </c:pt>
                <c:pt idx="26">
                  <c:v>7.354198463694038E-2</c:v>
                </c:pt>
                <c:pt idx="27">
                  <c:v>7.354198463694038E-2</c:v>
                </c:pt>
                <c:pt idx="28">
                  <c:v>7.354198463694038E-2</c:v>
                </c:pt>
                <c:pt idx="29">
                  <c:v>8.0240910751309596E-2</c:v>
                </c:pt>
                <c:pt idx="30">
                  <c:v>8.0312226322166877E-2</c:v>
                </c:pt>
                <c:pt idx="31">
                  <c:v>8.2877471883362794E-2</c:v>
                </c:pt>
                <c:pt idx="32">
                  <c:v>8.3051610024820838E-2</c:v>
                </c:pt>
                <c:pt idx="33">
                  <c:v>8.3051610024820838E-2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'MercuryChecks Values II'!$K$7</c:f>
              <c:strCache>
                <c:ptCount val="1"/>
                <c:pt idx="0">
                  <c:v>Absolute difference</c:v>
                </c:pt>
              </c:strCache>
            </c:strRef>
          </c:tx>
          <c:marker>
            <c:symbol val="x"/>
            <c:size val="7"/>
          </c:marker>
          <c:cat>
            <c:strRef>
              <c:f>'MercuryChecks Values II'!$L$9:$L$42</c:f>
              <c:strCache>
                <c:ptCount val="34"/>
                <c:pt idx="0">
                  <c:v>1D</c:v>
                </c:pt>
                <c:pt idx="1">
                  <c:v>2D</c:v>
                </c:pt>
                <c:pt idx="2">
                  <c:v>1W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  <c:pt idx="12">
                  <c:v>10M</c:v>
                </c:pt>
                <c:pt idx="13">
                  <c:v>11M</c:v>
                </c:pt>
                <c:pt idx="14">
                  <c:v>1Y</c:v>
                </c:pt>
                <c:pt idx="15">
                  <c:v>13M</c:v>
                </c:pt>
                <c:pt idx="16">
                  <c:v>14M</c:v>
                </c:pt>
                <c:pt idx="17">
                  <c:v>15M</c:v>
                </c:pt>
                <c:pt idx="18">
                  <c:v>18M</c:v>
                </c:pt>
                <c:pt idx="19">
                  <c:v>21M</c:v>
                </c:pt>
                <c:pt idx="20">
                  <c:v>2Y</c:v>
                </c:pt>
                <c:pt idx="21">
                  <c:v>27M</c:v>
                </c:pt>
                <c:pt idx="22">
                  <c:v>3Y</c:v>
                </c:pt>
                <c:pt idx="23">
                  <c:v>4Y</c:v>
                </c:pt>
                <c:pt idx="24">
                  <c:v>5Y</c:v>
                </c:pt>
                <c:pt idx="25">
                  <c:v>6Y</c:v>
                </c:pt>
                <c:pt idx="26">
                  <c:v>7Y</c:v>
                </c:pt>
                <c:pt idx="27">
                  <c:v>8Y</c:v>
                </c:pt>
                <c:pt idx="28">
                  <c:v>9Y</c:v>
                </c:pt>
                <c:pt idx="29">
                  <c:v>10Y</c:v>
                </c:pt>
                <c:pt idx="30">
                  <c:v>12Y</c:v>
                </c:pt>
                <c:pt idx="31">
                  <c:v>15Y</c:v>
                </c:pt>
                <c:pt idx="32">
                  <c:v>20Y</c:v>
                </c:pt>
                <c:pt idx="33">
                  <c:v>25Y</c:v>
                </c:pt>
              </c:strCache>
            </c:strRef>
          </c:cat>
          <c:val>
            <c:numRef>
              <c:f>'MercuryChecks Values II'!$K$8:$K$42</c:f>
              <c:numCache>
                <c:formatCode>0.000%</c:formatCode>
                <c:ptCount val="35"/>
                <c:pt idx="0">
                  <c:v>3.1117955434645239E-12</c:v>
                </c:pt>
                <c:pt idx="1">
                  <c:v>-1.2850541219990019E-4</c:v>
                </c:pt>
                <c:pt idx="2">
                  <c:v>-1.0946589364672216E-4</c:v>
                </c:pt>
                <c:pt idx="3">
                  <c:v>3.2985779938918269E-5</c:v>
                </c:pt>
                <c:pt idx="4">
                  <c:v>2.493465148245555E-8</c:v>
                </c:pt>
                <c:pt idx="5">
                  <c:v>5.9434063386099023E-8</c:v>
                </c:pt>
                <c:pt idx="6">
                  <c:v>1.6296314012120838E-7</c:v>
                </c:pt>
                <c:pt idx="7">
                  <c:v>1.6296314012120838E-7</c:v>
                </c:pt>
                <c:pt idx="8">
                  <c:v>1.7867644792890491E-7</c:v>
                </c:pt>
                <c:pt idx="9">
                  <c:v>1.9229772917073173E-7</c:v>
                </c:pt>
                <c:pt idx="10">
                  <c:v>1.9229772917073173E-7</c:v>
                </c:pt>
                <c:pt idx="11">
                  <c:v>1.0154220624336574E-4</c:v>
                </c:pt>
                <c:pt idx="12">
                  <c:v>1.5306819240584746E-7</c:v>
                </c:pt>
                <c:pt idx="13">
                  <c:v>1.5306819240584746E-7</c:v>
                </c:pt>
                <c:pt idx="14">
                  <c:v>1.5306819240584746E-7</c:v>
                </c:pt>
                <c:pt idx="15">
                  <c:v>6.5920956407450326E-7</c:v>
                </c:pt>
                <c:pt idx="16">
                  <c:v>6.5920956122261787E-7</c:v>
                </c:pt>
                <c:pt idx="17">
                  <c:v>6.5920956407450326E-7</c:v>
                </c:pt>
                <c:pt idx="18">
                  <c:v>6.5920956122261787E-7</c:v>
                </c:pt>
                <c:pt idx="19">
                  <c:v>6.5920956122261787E-7</c:v>
                </c:pt>
                <c:pt idx="20">
                  <c:v>6.5920956407450326E-7</c:v>
                </c:pt>
                <c:pt idx="21">
                  <c:v>-1.9300446954528816E-7</c:v>
                </c:pt>
                <c:pt idx="22">
                  <c:v>-1.9300447240411245E-7</c:v>
                </c:pt>
                <c:pt idx="23">
                  <c:v>-6.8217345201154744E-7</c:v>
                </c:pt>
                <c:pt idx="24">
                  <c:v>-2.315338175462589E-6</c:v>
                </c:pt>
                <c:pt idx="25">
                  <c:v>3.5777404638892563E-6</c:v>
                </c:pt>
                <c:pt idx="26">
                  <c:v>3.5777404638892563E-6</c:v>
                </c:pt>
                <c:pt idx="27">
                  <c:v>-1.5587769846420185E-6</c:v>
                </c:pt>
                <c:pt idx="28">
                  <c:v>-1.558776987486965E-6</c:v>
                </c:pt>
                <c:pt idx="29">
                  <c:v>-1.5587769846420185E-6</c:v>
                </c:pt>
                <c:pt idx="30">
                  <c:v>-6.7485114068344121E-6</c:v>
                </c:pt>
                <c:pt idx="31">
                  <c:v>-2.7512806347468333E-6</c:v>
                </c:pt>
                <c:pt idx="32">
                  <c:v>3.8291963656983397E-6</c:v>
                </c:pt>
                <c:pt idx="33">
                  <c:v>3.1802828293694962E-5</c:v>
                </c:pt>
                <c:pt idx="34">
                  <c:v>3.1802828282273543E-5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3144928"/>
        <c:axId val="223145320"/>
      </c:lineChart>
      <c:catAx>
        <c:axId val="223144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23145320"/>
        <c:crosses val="autoZero"/>
        <c:auto val="1"/>
        <c:lblAlgn val="ctr"/>
        <c:lblOffset val="100"/>
        <c:noMultiLvlLbl val="0"/>
      </c:catAx>
      <c:valAx>
        <c:axId val="223145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%" sourceLinked="1"/>
        <c:majorTickMark val="out"/>
        <c:minorTickMark val="none"/>
        <c:tickLblPos val="nextTo"/>
        <c:crossAx val="223144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025777026218087"/>
          <c:y val="0.54476193604636047"/>
          <c:w val="0.36163252017731862"/>
          <c:h val="0.18859493883986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MXN discount</a:t>
            </a:r>
            <a:r>
              <a:rPr lang="en-US" baseline="0"/>
              <a:t> collateral in USD</a:t>
            </a:r>
            <a:endParaRPr lang="en-US"/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'MercuryChecks Values II'!$G$49</c:f>
              <c:strCache>
                <c:ptCount val="1"/>
                <c:pt idx="0">
                  <c:v>Mercury Zero Rates</c:v>
                </c:pt>
              </c:strCache>
            </c:strRef>
          </c:tx>
          <c:marker>
            <c:symbol val="none"/>
          </c:marker>
          <c:cat>
            <c:strRef>
              <c:f>'MercuryChecks Values II'!$J$55:$J$84</c:f>
              <c:strCache>
                <c:ptCount val="30"/>
                <c:pt idx="0">
                  <c:v>2M</c:v>
                </c:pt>
                <c:pt idx="1">
                  <c:v>3M</c:v>
                </c:pt>
                <c:pt idx="2">
                  <c:v>4M</c:v>
                </c:pt>
                <c:pt idx="3">
                  <c:v>5M</c:v>
                </c:pt>
                <c:pt idx="4">
                  <c:v>6M</c:v>
                </c:pt>
                <c:pt idx="5">
                  <c:v>7M</c:v>
                </c:pt>
                <c:pt idx="6">
                  <c:v>8M</c:v>
                </c:pt>
                <c:pt idx="7">
                  <c:v>9M</c:v>
                </c:pt>
                <c:pt idx="8">
                  <c:v>10M</c:v>
                </c:pt>
                <c:pt idx="9">
                  <c:v>11M</c:v>
                </c:pt>
                <c:pt idx="10">
                  <c:v>1Y</c:v>
                </c:pt>
                <c:pt idx="11">
                  <c:v>13M</c:v>
                </c:pt>
                <c:pt idx="12">
                  <c:v>14M</c:v>
                </c:pt>
                <c:pt idx="13">
                  <c:v>15M</c:v>
                </c:pt>
                <c:pt idx="14">
                  <c:v>18M</c:v>
                </c:pt>
                <c:pt idx="15">
                  <c:v>21M</c:v>
                </c:pt>
                <c:pt idx="16">
                  <c:v>2Y</c:v>
                </c:pt>
                <c:pt idx="17">
                  <c:v>27M</c:v>
                </c:pt>
                <c:pt idx="18">
                  <c:v>3Y</c:v>
                </c:pt>
                <c:pt idx="19">
                  <c:v>4Y</c:v>
                </c:pt>
                <c:pt idx="20">
                  <c:v>5Y</c:v>
                </c:pt>
                <c:pt idx="21">
                  <c:v>6Y</c:v>
                </c:pt>
                <c:pt idx="22">
                  <c:v>7Y</c:v>
                </c:pt>
                <c:pt idx="23">
                  <c:v>8Y</c:v>
                </c:pt>
                <c:pt idx="24">
                  <c:v>9Y</c:v>
                </c:pt>
                <c:pt idx="25">
                  <c:v>10Y</c:v>
                </c:pt>
                <c:pt idx="26">
                  <c:v>12Y</c:v>
                </c:pt>
                <c:pt idx="27">
                  <c:v>15Y</c:v>
                </c:pt>
                <c:pt idx="28">
                  <c:v>20Y</c:v>
                </c:pt>
                <c:pt idx="29">
                  <c:v>25Y</c:v>
                </c:pt>
              </c:strCache>
            </c:strRef>
          </c:cat>
          <c:val>
            <c:numRef>
              <c:f>'MercuryChecks Values II'!$G$55:$G$84</c:f>
              <c:numCache>
                <c:formatCode>0.000%</c:formatCode>
                <c:ptCount val="30"/>
                <c:pt idx="0">
                  <c:v>4.2247146350715692E-2</c:v>
                </c:pt>
                <c:pt idx="1">
                  <c:v>4.2862386616932868E-2</c:v>
                </c:pt>
                <c:pt idx="2">
                  <c:v>4.3360093805236533E-2</c:v>
                </c:pt>
                <c:pt idx="3">
                  <c:v>4.3512449949608678E-2</c:v>
                </c:pt>
                <c:pt idx="4">
                  <c:v>4.3585575482569361E-2</c:v>
                </c:pt>
                <c:pt idx="5">
                  <c:v>4.3517435085108858E-2</c:v>
                </c:pt>
                <c:pt idx="6">
                  <c:v>4.3258002368517179E-2</c:v>
                </c:pt>
                <c:pt idx="7">
                  <c:v>4.3126463131583748E-2</c:v>
                </c:pt>
                <c:pt idx="8">
                  <c:v>4.2951973114426112E-2</c:v>
                </c:pt>
                <c:pt idx="9">
                  <c:v>4.2708431375767297E-2</c:v>
                </c:pt>
                <c:pt idx="10">
                  <c:v>4.2446787990188861E-2</c:v>
                </c:pt>
                <c:pt idx="11">
                  <c:v>4.2691357518097828E-2</c:v>
                </c:pt>
                <c:pt idx="12">
                  <c:v>4.2900343007373332E-2</c:v>
                </c:pt>
                <c:pt idx="13">
                  <c:v>4.3061425365478634E-2</c:v>
                </c:pt>
                <c:pt idx="14">
                  <c:v>4.3300842624052871E-2</c:v>
                </c:pt>
                <c:pt idx="15">
                  <c:v>4.3324491898360185E-2</c:v>
                </c:pt>
                <c:pt idx="16">
                  <c:v>4.3245882729890717E-2</c:v>
                </c:pt>
                <c:pt idx="17">
                  <c:v>4.3791318597449447E-2</c:v>
                </c:pt>
                <c:pt idx="18">
                  <c:v>4.4617812895298314E-2</c:v>
                </c:pt>
                <c:pt idx="19">
                  <c:v>4.5907078269755042E-2</c:v>
                </c:pt>
                <c:pt idx="20">
                  <c:v>4.720381629663839E-2</c:v>
                </c:pt>
                <c:pt idx="21">
                  <c:v>4.8448930147150016E-2</c:v>
                </c:pt>
                <c:pt idx="22">
                  <c:v>4.9073258437696499E-2</c:v>
                </c:pt>
                <c:pt idx="23">
                  <c:v>5.045266006952831E-2</c:v>
                </c:pt>
                <c:pt idx="24">
                  <c:v>5.1461342911610419E-2</c:v>
                </c:pt>
                <c:pt idx="25">
                  <c:v>5.2220197877157259E-2</c:v>
                </c:pt>
                <c:pt idx="26">
                  <c:v>5.4282681732972016E-2</c:v>
                </c:pt>
                <c:pt idx="27">
                  <c:v>5.6038412554421768E-2</c:v>
                </c:pt>
                <c:pt idx="28">
                  <c:v>5.7873991343267317E-2</c:v>
                </c:pt>
                <c:pt idx="29">
                  <c:v>5.8146436005470425E-2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'MercuryChecks Values II'!$H$49</c:f>
              <c:strCache>
                <c:ptCount val="1"/>
                <c:pt idx="0">
                  <c:v>Quantlib Zero Rates</c:v>
                </c:pt>
              </c:strCache>
            </c:strRef>
          </c:tx>
          <c:marker>
            <c:symbol val="none"/>
          </c:marker>
          <c:cat>
            <c:strRef>
              <c:f>'MercuryChecks Values II'!$J$55:$J$84</c:f>
              <c:strCache>
                <c:ptCount val="30"/>
                <c:pt idx="0">
                  <c:v>2M</c:v>
                </c:pt>
                <c:pt idx="1">
                  <c:v>3M</c:v>
                </c:pt>
                <c:pt idx="2">
                  <c:v>4M</c:v>
                </c:pt>
                <c:pt idx="3">
                  <c:v>5M</c:v>
                </c:pt>
                <c:pt idx="4">
                  <c:v>6M</c:v>
                </c:pt>
                <c:pt idx="5">
                  <c:v>7M</c:v>
                </c:pt>
                <c:pt idx="6">
                  <c:v>8M</c:v>
                </c:pt>
                <c:pt idx="7">
                  <c:v>9M</c:v>
                </c:pt>
                <c:pt idx="8">
                  <c:v>10M</c:v>
                </c:pt>
                <c:pt idx="9">
                  <c:v>11M</c:v>
                </c:pt>
                <c:pt idx="10">
                  <c:v>1Y</c:v>
                </c:pt>
                <c:pt idx="11">
                  <c:v>13M</c:v>
                </c:pt>
                <c:pt idx="12">
                  <c:v>14M</c:v>
                </c:pt>
                <c:pt idx="13">
                  <c:v>15M</c:v>
                </c:pt>
                <c:pt idx="14">
                  <c:v>18M</c:v>
                </c:pt>
                <c:pt idx="15">
                  <c:v>21M</c:v>
                </c:pt>
                <c:pt idx="16">
                  <c:v>2Y</c:v>
                </c:pt>
                <c:pt idx="17">
                  <c:v>27M</c:v>
                </c:pt>
                <c:pt idx="18">
                  <c:v>3Y</c:v>
                </c:pt>
                <c:pt idx="19">
                  <c:v>4Y</c:v>
                </c:pt>
                <c:pt idx="20">
                  <c:v>5Y</c:v>
                </c:pt>
                <c:pt idx="21">
                  <c:v>6Y</c:v>
                </c:pt>
                <c:pt idx="22">
                  <c:v>7Y</c:v>
                </c:pt>
                <c:pt idx="23">
                  <c:v>8Y</c:v>
                </c:pt>
                <c:pt idx="24">
                  <c:v>9Y</c:v>
                </c:pt>
                <c:pt idx="25">
                  <c:v>10Y</c:v>
                </c:pt>
                <c:pt idx="26">
                  <c:v>12Y</c:v>
                </c:pt>
                <c:pt idx="27">
                  <c:v>15Y</c:v>
                </c:pt>
                <c:pt idx="28">
                  <c:v>20Y</c:v>
                </c:pt>
                <c:pt idx="29">
                  <c:v>25Y</c:v>
                </c:pt>
              </c:strCache>
            </c:strRef>
          </c:cat>
          <c:val>
            <c:numRef>
              <c:f>'MercuryChecks Values II'!$H$55:$H$84</c:f>
              <c:numCache>
                <c:formatCode>0.000%</c:formatCode>
                <c:ptCount val="30"/>
                <c:pt idx="0">
                  <c:v>4.2756600071031547E-2</c:v>
                </c:pt>
                <c:pt idx="1">
                  <c:v>4.2979778116569722E-2</c:v>
                </c:pt>
                <c:pt idx="2">
                  <c:v>4.3332640839411241E-2</c:v>
                </c:pt>
                <c:pt idx="3">
                  <c:v>4.3574672844332696E-2</c:v>
                </c:pt>
                <c:pt idx="4">
                  <c:v>4.354984136941864E-2</c:v>
                </c:pt>
                <c:pt idx="5">
                  <c:v>4.3430302834088774E-2</c:v>
                </c:pt>
                <c:pt idx="6">
                  <c:v>4.3319411243117667E-2</c:v>
                </c:pt>
                <c:pt idx="7">
                  <c:v>4.3089415126306152E-2</c:v>
                </c:pt>
                <c:pt idx="8">
                  <c:v>4.2851283750798164E-2</c:v>
                </c:pt>
                <c:pt idx="9">
                  <c:v>4.2662783123079917E-2</c:v>
                </c:pt>
                <c:pt idx="10">
                  <c:v>4.2535939600915063E-2</c:v>
                </c:pt>
                <c:pt idx="11">
                  <c:v>4.2643695031678863E-2</c:v>
                </c:pt>
                <c:pt idx="12">
                  <c:v>4.2746537924443384E-2</c:v>
                </c:pt>
                <c:pt idx="13">
                  <c:v>4.283814900728089E-2</c:v>
                </c:pt>
                <c:pt idx="14">
                  <c:v>4.3040478969872842E-2</c:v>
                </c:pt>
                <c:pt idx="15">
                  <c:v>4.3185422435145115E-2</c:v>
                </c:pt>
                <c:pt idx="16">
                  <c:v>4.3316817450181233E-2</c:v>
                </c:pt>
                <c:pt idx="17">
                  <c:v>4.3762828652193386E-2</c:v>
                </c:pt>
                <c:pt idx="18">
                  <c:v>4.4667696914268307E-2</c:v>
                </c:pt>
                <c:pt idx="19">
                  <c:v>4.5942312901129823E-2</c:v>
                </c:pt>
                <c:pt idx="20">
                  <c:v>4.7233995488302094E-2</c:v>
                </c:pt>
                <c:pt idx="21">
                  <c:v>4.8317529304627183E-2</c:v>
                </c:pt>
                <c:pt idx="22">
                  <c:v>4.9122890421168464E-2</c:v>
                </c:pt>
                <c:pt idx="23">
                  <c:v>5.0421638911238853E-2</c:v>
                </c:pt>
                <c:pt idx="24">
                  <c:v>5.1439062021473303E-2</c:v>
                </c:pt>
                <c:pt idx="25">
                  <c:v>5.2265051287403441E-2</c:v>
                </c:pt>
                <c:pt idx="26">
                  <c:v>5.4326103162827932E-2</c:v>
                </c:pt>
                <c:pt idx="27">
                  <c:v>5.6074830019219979E-2</c:v>
                </c:pt>
                <c:pt idx="28">
                  <c:v>5.7918332567769237E-2</c:v>
                </c:pt>
                <c:pt idx="29">
                  <c:v>5.7900086262332895E-2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'MercuryChecks Values II'!$I$49</c:f>
              <c:strCache>
                <c:ptCount val="1"/>
                <c:pt idx="0">
                  <c:v>Absolute difference</c:v>
                </c:pt>
              </c:strCache>
            </c:strRef>
          </c:tx>
          <c:marker>
            <c:symbol val="x"/>
            <c:size val="5"/>
          </c:marker>
          <c:cat>
            <c:strRef>
              <c:f>'MercuryChecks Values II'!$J$55:$J$84</c:f>
              <c:strCache>
                <c:ptCount val="30"/>
                <c:pt idx="0">
                  <c:v>2M</c:v>
                </c:pt>
                <c:pt idx="1">
                  <c:v>3M</c:v>
                </c:pt>
                <c:pt idx="2">
                  <c:v>4M</c:v>
                </c:pt>
                <c:pt idx="3">
                  <c:v>5M</c:v>
                </c:pt>
                <c:pt idx="4">
                  <c:v>6M</c:v>
                </c:pt>
                <c:pt idx="5">
                  <c:v>7M</c:v>
                </c:pt>
                <c:pt idx="6">
                  <c:v>8M</c:v>
                </c:pt>
                <c:pt idx="7">
                  <c:v>9M</c:v>
                </c:pt>
                <c:pt idx="8">
                  <c:v>10M</c:v>
                </c:pt>
                <c:pt idx="9">
                  <c:v>11M</c:v>
                </c:pt>
                <c:pt idx="10">
                  <c:v>1Y</c:v>
                </c:pt>
                <c:pt idx="11">
                  <c:v>13M</c:v>
                </c:pt>
                <c:pt idx="12">
                  <c:v>14M</c:v>
                </c:pt>
                <c:pt idx="13">
                  <c:v>15M</c:v>
                </c:pt>
                <c:pt idx="14">
                  <c:v>18M</c:v>
                </c:pt>
                <c:pt idx="15">
                  <c:v>21M</c:v>
                </c:pt>
                <c:pt idx="16">
                  <c:v>2Y</c:v>
                </c:pt>
                <c:pt idx="17">
                  <c:v>27M</c:v>
                </c:pt>
                <c:pt idx="18">
                  <c:v>3Y</c:v>
                </c:pt>
                <c:pt idx="19">
                  <c:v>4Y</c:v>
                </c:pt>
                <c:pt idx="20">
                  <c:v>5Y</c:v>
                </c:pt>
                <c:pt idx="21">
                  <c:v>6Y</c:v>
                </c:pt>
                <c:pt idx="22">
                  <c:v>7Y</c:v>
                </c:pt>
                <c:pt idx="23">
                  <c:v>8Y</c:v>
                </c:pt>
                <c:pt idx="24">
                  <c:v>9Y</c:v>
                </c:pt>
                <c:pt idx="25">
                  <c:v>10Y</c:v>
                </c:pt>
                <c:pt idx="26">
                  <c:v>12Y</c:v>
                </c:pt>
                <c:pt idx="27">
                  <c:v>15Y</c:v>
                </c:pt>
                <c:pt idx="28">
                  <c:v>20Y</c:v>
                </c:pt>
                <c:pt idx="29">
                  <c:v>25Y</c:v>
                </c:pt>
              </c:strCache>
            </c:strRef>
          </c:cat>
          <c:val>
            <c:numRef>
              <c:f>'MercuryChecks Values II'!$I$55:$I$84</c:f>
              <c:numCache>
                <c:formatCode>0.000%</c:formatCode>
                <c:ptCount val="30"/>
                <c:pt idx="0">
                  <c:v>5.0945372031585556E-4</c:v>
                </c:pt>
                <c:pt idx="1">
                  <c:v>1.1739149963685414E-4</c:v>
                </c:pt>
                <c:pt idx="2">
                  <c:v>-2.7452965825291997E-5</c:v>
                </c:pt>
                <c:pt idx="3">
                  <c:v>6.2222894724017763E-5</c:v>
                </c:pt>
                <c:pt idx="4">
                  <c:v>-3.5734113150720503E-5</c:v>
                </c:pt>
                <c:pt idx="5">
                  <c:v>-8.7132251020083373E-5</c:v>
                </c:pt>
                <c:pt idx="6">
                  <c:v>6.1408874600488161E-5</c:v>
                </c:pt>
                <c:pt idx="7">
                  <c:v>-3.7048005277595664E-5</c:v>
                </c:pt>
                <c:pt idx="8">
                  <c:v>-1.0068936362794823E-4</c:v>
                </c:pt>
                <c:pt idx="9">
                  <c:v>-4.5648252687380264E-5</c:v>
                </c:pt>
                <c:pt idx="10">
                  <c:v>8.9151610726201369E-5</c:v>
                </c:pt>
                <c:pt idx="11">
                  <c:v>-4.7662486418964534E-5</c:v>
                </c:pt>
                <c:pt idx="12">
                  <c:v>-1.5380508292994755E-4</c:v>
                </c:pt>
                <c:pt idx="13">
                  <c:v>-2.2327635819774372E-4</c:v>
                </c:pt>
                <c:pt idx="14">
                  <c:v>-2.6036365418002916E-4</c:v>
                </c:pt>
                <c:pt idx="15">
                  <c:v>-1.3906946321506908E-4</c:v>
                </c:pt>
                <c:pt idx="16">
                  <c:v>7.0934720290516395E-5</c:v>
                </c:pt>
                <c:pt idx="17">
                  <c:v>-2.8489945256060523E-5</c:v>
                </c:pt>
                <c:pt idx="18">
                  <c:v>4.9884018969992283E-5</c:v>
                </c:pt>
                <c:pt idx="19">
                  <c:v>3.5234631374780889E-5</c:v>
                </c:pt>
                <c:pt idx="20">
                  <c:v>3.0179191663703975E-5</c:v>
                </c:pt>
                <c:pt idx="21">
                  <c:v>-1.3140084252283302E-4</c:v>
                </c:pt>
                <c:pt idx="22">
                  <c:v>4.9631983471964958E-5</c:v>
                </c:pt>
                <c:pt idx="23">
                  <c:v>-3.1021158289457063E-5</c:v>
                </c:pt>
                <c:pt idx="24">
                  <c:v>-2.2280890137116316E-5</c:v>
                </c:pt>
                <c:pt idx="25">
                  <c:v>4.4853410246181724E-5</c:v>
                </c:pt>
                <c:pt idx="26">
                  <c:v>4.3421429855916571E-5</c:v>
                </c:pt>
                <c:pt idx="27">
                  <c:v>3.641746479821073E-5</c:v>
                </c:pt>
                <c:pt idx="28">
                  <c:v>4.4341224501920351E-5</c:v>
                </c:pt>
                <c:pt idx="29">
                  <c:v>-2.4634974313753055E-4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3146104"/>
        <c:axId val="223146496"/>
      </c:lineChart>
      <c:catAx>
        <c:axId val="223146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3146496"/>
        <c:crosses val="autoZero"/>
        <c:auto val="1"/>
        <c:lblAlgn val="ctr"/>
        <c:lblOffset val="100"/>
        <c:noMultiLvlLbl val="0"/>
      </c:catAx>
      <c:valAx>
        <c:axId val="2231464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%" sourceLinked="1"/>
        <c:majorTickMark val="out"/>
        <c:minorTickMark val="none"/>
        <c:tickLblPos val="nextTo"/>
        <c:crossAx val="223146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309521110308607"/>
          <c:y val="0.42618879703161017"/>
          <c:w val="0.24762182033400165"/>
          <c:h val="0.19897054771851819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MXN</a:t>
            </a:r>
            <a:r>
              <a:rPr lang="en-US" baseline="0"/>
              <a:t>, TIIE estimation curve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468155240448685"/>
          <c:y val="3.859774466448497E-2"/>
          <c:w val="0.85611329842792883"/>
          <c:h val="0.92280451067103009"/>
        </c:manualLayout>
      </c:layout>
      <c:lineChart>
        <c:grouping val="standard"/>
        <c:varyColors val="0"/>
        <c:ser>
          <c:idx val="2"/>
          <c:order val="0"/>
          <c:tx>
            <c:strRef>
              <c:f>'MercuryChecks Values II'!$K$7</c:f>
              <c:strCache>
                <c:ptCount val="1"/>
                <c:pt idx="0">
                  <c:v>Absolute difference</c:v>
                </c:pt>
              </c:strCache>
            </c:strRef>
          </c:tx>
          <c:marker>
            <c:symbol val="x"/>
            <c:size val="7"/>
          </c:marker>
          <c:cat>
            <c:strRef>
              <c:f>'MercuryChecks Values II'!$L$9:$L$42</c:f>
              <c:strCache>
                <c:ptCount val="34"/>
                <c:pt idx="0">
                  <c:v>1D</c:v>
                </c:pt>
                <c:pt idx="1">
                  <c:v>2D</c:v>
                </c:pt>
                <c:pt idx="2">
                  <c:v>1W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  <c:pt idx="12">
                  <c:v>10M</c:v>
                </c:pt>
                <c:pt idx="13">
                  <c:v>11M</c:v>
                </c:pt>
                <c:pt idx="14">
                  <c:v>1Y</c:v>
                </c:pt>
                <c:pt idx="15">
                  <c:v>13M</c:v>
                </c:pt>
                <c:pt idx="16">
                  <c:v>14M</c:v>
                </c:pt>
                <c:pt idx="17">
                  <c:v>15M</c:v>
                </c:pt>
                <c:pt idx="18">
                  <c:v>18M</c:v>
                </c:pt>
                <c:pt idx="19">
                  <c:v>21M</c:v>
                </c:pt>
                <c:pt idx="20">
                  <c:v>2Y</c:v>
                </c:pt>
                <c:pt idx="21">
                  <c:v>27M</c:v>
                </c:pt>
                <c:pt idx="22">
                  <c:v>3Y</c:v>
                </c:pt>
                <c:pt idx="23">
                  <c:v>4Y</c:v>
                </c:pt>
                <c:pt idx="24">
                  <c:v>5Y</c:v>
                </c:pt>
                <c:pt idx="25">
                  <c:v>6Y</c:v>
                </c:pt>
                <c:pt idx="26">
                  <c:v>7Y</c:v>
                </c:pt>
                <c:pt idx="27">
                  <c:v>8Y</c:v>
                </c:pt>
                <c:pt idx="28">
                  <c:v>9Y</c:v>
                </c:pt>
                <c:pt idx="29">
                  <c:v>10Y</c:v>
                </c:pt>
                <c:pt idx="30">
                  <c:v>12Y</c:v>
                </c:pt>
                <c:pt idx="31">
                  <c:v>15Y</c:v>
                </c:pt>
                <c:pt idx="32">
                  <c:v>20Y</c:v>
                </c:pt>
                <c:pt idx="33">
                  <c:v>25Y</c:v>
                </c:pt>
              </c:strCache>
            </c:strRef>
          </c:cat>
          <c:val>
            <c:numRef>
              <c:f>'MercuryChecks Values II'!$K$8:$K$42</c:f>
              <c:numCache>
                <c:formatCode>0.000%</c:formatCode>
                <c:ptCount val="35"/>
                <c:pt idx="0">
                  <c:v>3.1117955434645239E-12</c:v>
                </c:pt>
                <c:pt idx="1">
                  <c:v>-1.2850541219990019E-4</c:v>
                </c:pt>
                <c:pt idx="2">
                  <c:v>-1.0946589364672216E-4</c:v>
                </c:pt>
                <c:pt idx="3">
                  <c:v>3.2985779938918269E-5</c:v>
                </c:pt>
                <c:pt idx="4">
                  <c:v>2.493465148245555E-8</c:v>
                </c:pt>
                <c:pt idx="5">
                  <c:v>5.9434063386099023E-8</c:v>
                </c:pt>
                <c:pt idx="6">
                  <c:v>1.6296314012120838E-7</c:v>
                </c:pt>
                <c:pt idx="7">
                  <c:v>1.6296314012120838E-7</c:v>
                </c:pt>
                <c:pt idx="8">
                  <c:v>1.7867644792890491E-7</c:v>
                </c:pt>
                <c:pt idx="9">
                  <c:v>1.9229772917073173E-7</c:v>
                </c:pt>
                <c:pt idx="10">
                  <c:v>1.9229772917073173E-7</c:v>
                </c:pt>
                <c:pt idx="11">
                  <c:v>1.0154220624336574E-4</c:v>
                </c:pt>
                <c:pt idx="12">
                  <c:v>1.5306819240584746E-7</c:v>
                </c:pt>
                <c:pt idx="13">
                  <c:v>1.5306819240584746E-7</c:v>
                </c:pt>
                <c:pt idx="14">
                  <c:v>1.5306819240584746E-7</c:v>
                </c:pt>
                <c:pt idx="15">
                  <c:v>6.5920956407450326E-7</c:v>
                </c:pt>
                <c:pt idx="16">
                  <c:v>6.5920956122261787E-7</c:v>
                </c:pt>
                <c:pt idx="17">
                  <c:v>6.5920956407450326E-7</c:v>
                </c:pt>
                <c:pt idx="18">
                  <c:v>6.5920956122261787E-7</c:v>
                </c:pt>
                <c:pt idx="19">
                  <c:v>6.5920956122261787E-7</c:v>
                </c:pt>
                <c:pt idx="20">
                  <c:v>6.5920956407450326E-7</c:v>
                </c:pt>
                <c:pt idx="21">
                  <c:v>-1.9300446954528816E-7</c:v>
                </c:pt>
                <c:pt idx="22">
                  <c:v>-1.9300447240411245E-7</c:v>
                </c:pt>
                <c:pt idx="23">
                  <c:v>-6.8217345201154744E-7</c:v>
                </c:pt>
                <c:pt idx="24">
                  <c:v>-2.315338175462589E-6</c:v>
                </c:pt>
                <c:pt idx="25">
                  <c:v>3.5777404638892563E-6</c:v>
                </c:pt>
                <c:pt idx="26">
                  <c:v>3.5777404638892563E-6</c:v>
                </c:pt>
                <c:pt idx="27">
                  <c:v>-1.5587769846420185E-6</c:v>
                </c:pt>
                <c:pt idx="28">
                  <c:v>-1.558776987486965E-6</c:v>
                </c:pt>
                <c:pt idx="29">
                  <c:v>-1.5587769846420185E-6</c:v>
                </c:pt>
                <c:pt idx="30">
                  <c:v>-6.7485114068344121E-6</c:v>
                </c:pt>
                <c:pt idx="31">
                  <c:v>-2.7512806347468333E-6</c:v>
                </c:pt>
                <c:pt idx="32">
                  <c:v>3.8291963656983397E-6</c:v>
                </c:pt>
                <c:pt idx="33">
                  <c:v>3.1802828293694962E-5</c:v>
                </c:pt>
                <c:pt idx="34">
                  <c:v>3.1802828282273543E-5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80928"/>
        <c:axId val="223781320"/>
      </c:lineChart>
      <c:catAx>
        <c:axId val="223780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23781320"/>
        <c:crosses val="autoZero"/>
        <c:auto val="1"/>
        <c:lblAlgn val="ctr"/>
        <c:lblOffset val="100"/>
        <c:noMultiLvlLbl val="0"/>
      </c:catAx>
      <c:valAx>
        <c:axId val="223781320"/>
        <c:scaling>
          <c:orientation val="minMax"/>
          <c:max val="5.0000000000000012E-4"/>
          <c:min val="-5.0000000000000012E-4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%" sourceLinked="1"/>
        <c:majorTickMark val="out"/>
        <c:minorTickMark val="none"/>
        <c:tickLblPos val="nextTo"/>
        <c:crossAx val="223780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025777026218087"/>
          <c:y val="0.54476193604636047"/>
          <c:w val="0.36163252017731862"/>
          <c:h val="0.18859493883986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MXN discount</a:t>
            </a:r>
            <a:r>
              <a:rPr lang="en-US" baseline="0"/>
              <a:t> collateral in USD</a:t>
            </a:r>
            <a:endParaRPr lang="en-US"/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'MercuryChecks Values II'!$I$49</c:f>
              <c:strCache>
                <c:ptCount val="1"/>
                <c:pt idx="0">
                  <c:v>Absolute difference</c:v>
                </c:pt>
              </c:strCache>
            </c:strRef>
          </c:tx>
          <c:marker>
            <c:symbol val="x"/>
            <c:size val="5"/>
          </c:marker>
          <c:cat>
            <c:strRef>
              <c:f>'MercuryChecks Values II'!$J$55:$J$84</c:f>
              <c:strCache>
                <c:ptCount val="30"/>
                <c:pt idx="0">
                  <c:v>2M</c:v>
                </c:pt>
                <c:pt idx="1">
                  <c:v>3M</c:v>
                </c:pt>
                <c:pt idx="2">
                  <c:v>4M</c:v>
                </c:pt>
                <c:pt idx="3">
                  <c:v>5M</c:v>
                </c:pt>
                <c:pt idx="4">
                  <c:v>6M</c:v>
                </c:pt>
                <c:pt idx="5">
                  <c:v>7M</c:v>
                </c:pt>
                <c:pt idx="6">
                  <c:v>8M</c:v>
                </c:pt>
                <c:pt idx="7">
                  <c:v>9M</c:v>
                </c:pt>
                <c:pt idx="8">
                  <c:v>10M</c:v>
                </c:pt>
                <c:pt idx="9">
                  <c:v>11M</c:v>
                </c:pt>
                <c:pt idx="10">
                  <c:v>1Y</c:v>
                </c:pt>
                <c:pt idx="11">
                  <c:v>13M</c:v>
                </c:pt>
                <c:pt idx="12">
                  <c:v>14M</c:v>
                </c:pt>
                <c:pt idx="13">
                  <c:v>15M</c:v>
                </c:pt>
                <c:pt idx="14">
                  <c:v>18M</c:v>
                </c:pt>
                <c:pt idx="15">
                  <c:v>21M</c:v>
                </c:pt>
                <c:pt idx="16">
                  <c:v>2Y</c:v>
                </c:pt>
                <c:pt idx="17">
                  <c:v>27M</c:v>
                </c:pt>
                <c:pt idx="18">
                  <c:v>3Y</c:v>
                </c:pt>
                <c:pt idx="19">
                  <c:v>4Y</c:v>
                </c:pt>
                <c:pt idx="20">
                  <c:v>5Y</c:v>
                </c:pt>
                <c:pt idx="21">
                  <c:v>6Y</c:v>
                </c:pt>
                <c:pt idx="22">
                  <c:v>7Y</c:v>
                </c:pt>
                <c:pt idx="23">
                  <c:v>8Y</c:v>
                </c:pt>
                <c:pt idx="24">
                  <c:v>9Y</c:v>
                </c:pt>
                <c:pt idx="25">
                  <c:v>10Y</c:v>
                </c:pt>
                <c:pt idx="26">
                  <c:v>12Y</c:v>
                </c:pt>
                <c:pt idx="27">
                  <c:v>15Y</c:v>
                </c:pt>
                <c:pt idx="28">
                  <c:v>20Y</c:v>
                </c:pt>
                <c:pt idx="29">
                  <c:v>25Y</c:v>
                </c:pt>
              </c:strCache>
            </c:strRef>
          </c:cat>
          <c:val>
            <c:numRef>
              <c:f>'MercuryChecks Values II'!$I$55:$I$84</c:f>
              <c:numCache>
                <c:formatCode>0.000%</c:formatCode>
                <c:ptCount val="30"/>
                <c:pt idx="0">
                  <c:v>5.0945372031585556E-4</c:v>
                </c:pt>
                <c:pt idx="1">
                  <c:v>1.1739149963685414E-4</c:v>
                </c:pt>
                <c:pt idx="2">
                  <c:v>-2.7452965825291997E-5</c:v>
                </c:pt>
                <c:pt idx="3">
                  <c:v>6.2222894724017763E-5</c:v>
                </c:pt>
                <c:pt idx="4">
                  <c:v>-3.5734113150720503E-5</c:v>
                </c:pt>
                <c:pt idx="5">
                  <c:v>-8.7132251020083373E-5</c:v>
                </c:pt>
                <c:pt idx="6">
                  <c:v>6.1408874600488161E-5</c:v>
                </c:pt>
                <c:pt idx="7">
                  <c:v>-3.7048005277595664E-5</c:v>
                </c:pt>
                <c:pt idx="8">
                  <c:v>-1.0068936362794823E-4</c:v>
                </c:pt>
                <c:pt idx="9">
                  <c:v>-4.5648252687380264E-5</c:v>
                </c:pt>
                <c:pt idx="10">
                  <c:v>8.9151610726201369E-5</c:v>
                </c:pt>
                <c:pt idx="11">
                  <c:v>-4.7662486418964534E-5</c:v>
                </c:pt>
                <c:pt idx="12">
                  <c:v>-1.5380508292994755E-4</c:v>
                </c:pt>
                <c:pt idx="13">
                  <c:v>-2.2327635819774372E-4</c:v>
                </c:pt>
                <c:pt idx="14">
                  <c:v>-2.6036365418002916E-4</c:v>
                </c:pt>
                <c:pt idx="15">
                  <c:v>-1.3906946321506908E-4</c:v>
                </c:pt>
                <c:pt idx="16">
                  <c:v>7.0934720290516395E-5</c:v>
                </c:pt>
                <c:pt idx="17">
                  <c:v>-2.8489945256060523E-5</c:v>
                </c:pt>
                <c:pt idx="18">
                  <c:v>4.9884018969992283E-5</c:v>
                </c:pt>
                <c:pt idx="19">
                  <c:v>3.5234631374780889E-5</c:v>
                </c:pt>
                <c:pt idx="20">
                  <c:v>3.0179191663703975E-5</c:v>
                </c:pt>
                <c:pt idx="21">
                  <c:v>-1.3140084252283302E-4</c:v>
                </c:pt>
                <c:pt idx="22">
                  <c:v>4.9631983471964958E-5</c:v>
                </c:pt>
                <c:pt idx="23">
                  <c:v>-3.1021158289457063E-5</c:v>
                </c:pt>
                <c:pt idx="24">
                  <c:v>-2.2280890137116316E-5</c:v>
                </c:pt>
                <c:pt idx="25">
                  <c:v>4.4853410246181724E-5</c:v>
                </c:pt>
                <c:pt idx="26">
                  <c:v>4.3421429855916571E-5</c:v>
                </c:pt>
                <c:pt idx="27">
                  <c:v>3.641746479821073E-5</c:v>
                </c:pt>
                <c:pt idx="28">
                  <c:v>4.4341224501920351E-5</c:v>
                </c:pt>
                <c:pt idx="29">
                  <c:v>-2.4634974313753055E-4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82104"/>
        <c:axId val="223782496"/>
      </c:lineChart>
      <c:catAx>
        <c:axId val="223782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3782496"/>
        <c:crosses val="autoZero"/>
        <c:auto val="1"/>
        <c:lblAlgn val="ctr"/>
        <c:lblOffset val="100"/>
        <c:noMultiLvlLbl val="0"/>
      </c:catAx>
      <c:valAx>
        <c:axId val="223782496"/>
        <c:scaling>
          <c:orientation val="minMax"/>
          <c:max val="5.0000000000000012E-4"/>
          <c:min val="-5.0000000000000012E-4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%" sourceLinked="1"/>
        <c:majorTickMark val="out"/>
        <c:minorTickMark val="none"/>
        <c:tickLblPos val="nextTo"/>
        <c:crossAx val="223782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79170004252589"/>
          <c:y val="0.19878860446055557"/>
          <c:w val="0.24762182033400165"/>
          <c:h val="0.19897054771851819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</a:t>
            </a:r>
            <a:r>
              <a:rPr lang="en-US" baseline="0"/>
              <a:t> discount collateral in USD</a:t>
            </a:r>
            <a:endParaRPr lang="en-US"/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'MercuryChecks Values II'!$J$91</c:f>
              <c:strCache>
                <c:ptCount val="1"/>
                <c:pt idx="0">
                  <c:v>Absolute difference</c:v>
                </c:pt>
              </c:strCache>
            </c:strRef>
          </c:tx>
          <c:marker>
            <c:symbol val="x"/>
            <c:size val="5"/>
          </c:marker>
          <c:cat>
            <c:strRef>
              <c:f>'MercuryChecks Values II'!$K$93:$K$112</c:f>
              <c:strCache>
                <c:ptCount val="20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12M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6Y</c:v>
                </c:pt>
                <c:pt idx="9">
                  <c:v>7Y</c:v>
                </c:pt>
                <c:pt idx="10">
                  <c:v>8Y</c:v>
                </c:pt>
                <c:pt idx="11">
                  <c:v>9Y</c:v>
                </c:pt>
                <c:pt idx="12">
                  <c:v>10Y</c:v>
                </c:pt>
                <c:pt idx="13">
                  <c:v>12Y</c:v>
                </c:pt>
                <c:pt idx="14">
                  <c:v>15Y</c:v>
                </c:pt>
                <c:pt idx="15">
                  <c:v>20Y</c:v>
                </c:pt>
                <c:pt idx="16">
                  <c:v>25Y</c:v>
                </c:pt>
                <c:pt idx="17">
                  <c:v>30Y</c:v>
                </c:pt>
                <c:pt idx="18">
                  <c:v>40Y</c:v>
                </c:pt>
                <c:pt idx="19">
                  <c:v>50Y</c:v>
                </c:pt>
              </c:strCache>
            </c:strRef>
          </c:cat>
          <c:val>
            <c:numRef>
              <c:f>'MercuryChecks Values II'!$J$92:$J$112</c:f>
              <c:numCache>
                <c:formatCode>0.000%</c:formatCode>
                <c:ptCount val="21"/>
                <c:pt idx="0">
                  <c:v>-6.3398279848581041E-5</c:v>
                </c:pt>
                <c:pt idx="1">
                  <c:v>-6.3570578582528015E-5</c:v>
                </c:pt>
                <c:pt idx="2">
                  <c:v>-5.6453151940250024E-5</c:v>
                </c:pt>
                <c:pt idx="3">
                  <c:v>-6.0653269553623268E-5</c:v>
                </c:pt>
                <c:pt idx="4">
                  <c:v>-4.0662471913033293E-5</c:v>
                </c:pt>
                <c:pt idx="5">
                  <c:v>-3.3827779888473408E-5</c:v>
                </c:pt>
                <c:pt idx="6">
                  <c:v>-2.0301489579210852E-5</c:v>
                </c:pt>
                <c:pt idx="7">
                  <c:v>-2.2191001511795427E-5</c:v>
                </c:pt>
                <c:pt idx="8">
                  <c:v>-1.8553914695407236E-5</c:v>
                </c:pt>
                <c:pt idx="9">
                  <c:v>-1.7453471073736182E-5</c:v>
                </c:pt>
                <c:pt idx="10">
                  <c:v>-5.4885863587372796E-6</c:v>
                </c:pt>
                <c:pt idx="11">
                  <c:v>-9.301693649765852E-6</c:v>
                </c:pt>
                <c:pt idx="12">
                  <c:v>-1.070250464607625E-5</c:v>
                </c:pt>
                <c:pt idx="13">
                  <c:v>-1.1833697290075662E-5</c:v>
                </c:pt>
                <c:pt idx="14">
                  <c:v>-7.9466959956864258E-7</c:v>
                </c:pt>
                <c:pt idx="15">
                  <c:v>-7.2725153026365064E-6</c:v>
                </c:pt>
                <c:pt idx="16">
                  <c:v>-5.4894955203721452E-6</c:v>
                </c:pt>
                <c:pt idx="17">
                  <c:v>-4.1879692842528016E-6</c:v>
                </c:pt>
                <c:pt idx="18">
                  <c:v>8.6039943627547188E-6</c:v>
                </c:pt>
                <c:pt idx="19">
                  <c:v>9.85519254470546E-6</c:v>
                </c:pt>
                <c:pt idx="20">
                  <c:v>-1.8063758405739705E-6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83280"/>
        <c:axId val="223783672"/>
      </c:lineChart>
      <c:catAx>
        <c:axId val="22378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3783672"/>
        <c:crosses val="autoZero"/>
        <c:auto val="1"/>
        <c:lblAlgn val="ctr"/>
        <c:lblOffset val="100"/>
        <c:noMultiLvlLbl val="0"/>
      </c:catAx>
      <c:valAx>
        <c:axId val="223783672"/>
        <c:scaling>
          <c:orientation val="minMax"/>
          <c:max val="5.0000000000000012E-4"/>
          <c:min val="-5.0000000000000012E-4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%" sourceLinked="1"/>
        <c:majorTickMark val="out"/>
        <c:minorTickMark val="none"/>
        <c:tickLblPos val="nextTo"/>
        <c:crossAx val="2237832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052327643211882"/>
          <c:y val="0.69764735378648701"/>
          <c:w val="0.30803379673938425"/>
          <c:h val="0.2219562240196699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Convergence!$C$45:$L$45</c:f>
              <c:numCache>
                <c:formatCode>General</c:formatCode>
                <c:ptCount val="10"/>
                <c:pt idx="0">
                  <c:v>5516.4202739141901</c:v>
                </c:pt>
                <c:pt idx="1">
                  <c:v>5482.9328154420909</c:v>
                </c:pt>
                <c:pt idx="2">
                  <c:v>5449.512885223894</c:v>
                </c:pt>
                <c:pt idx="3">
                  <c:v>5416.1599165598291</c:v>
                </c:pt>
                <c:pt idx="4">
                  <c:v>5382.8733506721828</c:v>
                </c:pt>
                <c:pt idx="5">
                  <c:v>5349.6526365518275</c:v>
                </c:pt>
                <c:pt idx="6">
                  <c:v>5316.497230803714</c:v>
                </c:pt>
                <c:pt idx="7">
                  <c:v>5283.4065975069798</c:v>
                </c:pt>
                <c:pt idx="8">
                  <c:v>5250.3802080678515</c:v>
                </c:pt>
                <c:pt idx="9">
                  <c:v>5217.417541079627</c:v>
                </c:pt>
              </c:numCache>
            </c:numRef>
          </c:val>
        </c:ser>
        <c:ser>
          <c:idx val="1"/>
          <c:order val="1"/>
          <c:val>
            <c:numRef>
              <c:f>Convergence!$C$46:$L$46</c:f>
              <c:numCache>
                <c:formatCode>General</c:formatCode>
                <c:ptCount val="10"/>
                <c:pt idx="0">
                  <c:v>6562.6051190820108</c:v>
                </c:pt>
                <c:pt idx="1">
                  <c:v>6531.7540522704821</c:v>
                </c:pt>
                <c:pt idx="2">
                  <c:v>6500.9651973688951</c:v>
                </c:pt>
                <c:pt idx="3">
                  <c:v>6470.2380322921063</c:v>
                </c:pt>
                <c:pt idx="4">
                  <c:v>6439.572042254269</c:v>
                </c:pt>
                <c:pt idx="5">
                  <c:v>6408.9667196242817</c:v>
                </c:pt>
                <c:pt idx="6">
                  <c:v>6378.4215637902689</c:v>
                </c:pt>
                <c:pt idx="7">
                  <c:v>6347.9360810206581</c:v>
                </c:pt>
                <c:pt idx="8">
                  <c:v>6317.5097843374651</c:v>
                </c:pt>
                <c:pt idx="9">
                  <c:v>6287.1421933835563</c:v>
                </c:pt>
              </c:numCache>
            </c:numRef>
          </c:val>
        </c:ser>
        <c:ser>
          <c:idx val="2"/>
          <c:order val="2"/>
          <c:val>
            <c:numRef>
              <c:f>Convergence!$C$47:$L$47</c:f>
              <c:numCache>
                <c:formatCode>General</c:formatCode>
                <c:ptCount val="10"/>
                <c:pt idx="0">
                  <c:v>7598.4036585856629</c:v>
                </c:pt>
                <c:pt idx="1">
                  <c:v>7570.1628098860738</c:v>
                </c:pt>
                <c:pt idx="2">
                  <c:v>7541.978909531801</c:v>
                </c:pt>
                <c:pt idx="3">
                  <c:v>7513.8514796099762</c:v>
                </c:pt>
                <c:pt idx="4">
                  <c:v>7485.7800488888215</c:v>
                </c:pt>
                <c:pt idx="5">
                  <c:v>7457.7641526874731</c:v>
                </c:pt>
                <c:pt idx="6">
                  <c:v>7429.8033327481635</c:v>
                </c:pt>
                <c:pt idx="7">
                  <c:v>7401.897137112529</c:v>
                </c:pt>
                <c:pt idx="8">
                  <c:v>7374.0451200050811</c:v>
                </c:pt>
                <c:pt idx="9">
                  <c:v>7346.2468417098808</c:v>
                </c:pt>
              </c:numCache>
            </c:numRef>
          </c:val>
        </c:ser>
        <c:ser>
          <c:idx val="3"/>
          <c:order val="3"/>
          <c:val>
            <c:numRef>
              <c:f>Convergence!$C$48:$L$48</c:f>
              <c:numCache>
                <c:formatCode>General</c:formatCode>
                <c:ptCount val="10"/>
                <c:pt idx="0">
                  <c:v>8624.0193287846105</c:v>
                </c:pt>
                <c:pt idx="1">
                  <c:v>8598.3630373085107</c:v>
                </c:pt>
                <c:pt idx="2">
                  <c:v>8598.3630373085107</c:v>
                </c:pt>
                <c:pt idx="3">
                  <c:v>8598.3630373085107</c:v>
                </c:pt>
                <c:pt idx="4">
                  <c:v>8598.3630373085107</c:v>
                </c:pt>
                <c:pt idx="5">
                  <c:v>8598.3630373085107</c:v>
                </c:pt>
                <c:pt idx="6">
                  <c:v>8598.3630373085107</c:v>
                </c:pt>
                <c:pt idx="7">
                  <c:v>8598.3630373085107</c:v>
                </c:pt>
                <c:pt idx="8">
                  <c:v>8598.3630373085107</c:v>
                </c:pt>
                <c:pt idx="9">
                  <c:v>8598.3630373085107</c:v>
                </c:pt>
              </c:numCache>
            </c:numRef>
          </c:val>
        </c:ser>
        <c:ser>
          <c:idx val="4"/>
          <c:order val="4"/>
          <c:val>
            <c:numRef>
              <c:f>Convergence!$C$49:$L$49</c:f>
              <c:numCache>
                <c:formatCode>General</c:formatCode>
                <c:ptCount val="10"/>
                <c:pt idx="0">
                  <c:v>8598.3630373085107</c:v>
                </c:pt>
                <c:pt idx="1">
                  <c:v>8598.3630373085107</c:v>
                </c:pt>
                <c:pt idx="2">
                  <c:v>8598.3630373085107</c:v>
                </c:pt>
                <c:pt idx="3">
                  <c:v>8598.3630373085107</c:v>
                </c:pt>
                <c:pt idx="4">
                  <c:v>8598.3630373085107</c:v>
                </c:pt>
                <c:pt idx="5" formatCode="#,##0.00">
                  <c:v>8598.3630373085107</c:v>
                </c:pt>
                <c:pt idx="6">
                  <c:v>8598.3630373085107</c:v>
                </c:pt>
                <c:pt idx="7">
                  <c:v>8598.3630373085107</c:v>
                </c:pt>
                <c:pt idx="8">
                  <c:v>1070.1853077788658</c:v>
                </c:pt>
                <c:pt idx="9">
                  <c:v>1044.0436635553576</c:v>
                </c:pt>
              </c:numCache>
            </c:numRef>
          </c:val>
        </c:ser>
        <c:ser>
          <c:idx val="5"/>
          <c:order val="5"/>
          <c:val>
            <c:numRef>
              <c:f>Convergence!$C$50:$L$50</c:f>
              <c:numCache>
                <c:formatCode>General</c:formatCode>
                <c:ptCount val="10"/>
                <c:pt idx="0">
                  <c:v>2287.014889448737</c:v>
                </c:pt>
                <c:pt idx="1">
                  <c:v>2262.9918028546608</c:v>
                </c:pt>
                <c:pt idx="2">
                  <c:v>2239.0171591458889</c:v>
                </c:pt>
                <c:pt idx="3">
                  <c:v>2215.0905517887063</c:v>
                </c:pt>
                <c:pt idx="4">
                  <c:v>2191.2115799305971</c:v>
                </c:pt>
                <c:pt idx="5">
                  <c:v>2167.3798482903212</c:v>
                </c:pt>
                <c:pt idx="6">
                  <c:v>2143.5949670526084</c:v>
                </c:pt>
                <c:pt idx="7">
                  <c:v>2119.8565517610855</c:v>
                </c:pt>
                <c:pt idx="8">
                  <c:v>2096.1642232163076</c:v>
                </c:pt>
                <c:pt idx="9">
                  <c:v>2072.5176073757825</c:v>
                </c:pt>
              </c:numCache>
            </c:numRef>
          </c:val>
        </c:ser>
        <c:ser>
          <c:idx val="6"/>
          <c:order val="6"/>
          <c:val>
            <c:numRef>
              <c:f>Convergence!$C$51:$L$51</c:f>
              <c:numCache>
                <c:formatCode>General</c:formatCode>
                <c:ptCount val="10"/>
                <c:pt idx="0">
                  <c:v>3283.2492828748668</c:v>
                </c:pt>
                <c:pt idx="1">
                  <c:v>3261.7367367362031</c:v>
                </c:pt>
                <c:pt idx="2">
                  <c:v>3240.2675709391783</c:v>
                </c:pt>
                <c:pt idx="3">
                  <c:v>3218.8414214342465</c:v>
                </c:pt>
                <c:pt idx="4">
                  <c:v>3197.4579292602684</c:v>
                </c:pt>
                <c:pt idx="5">
                  <c:v>3176.1167404441157</c:v>
                </c:pt>
                <c:pt idx="6">
                  <c:v>3154.8175059099808</c:v>
                </c:pt>
                <c:pt idx="7">
                  <c:v>3133.5598813786155</c:v>
                </c:pt>
                <c:pt idx="8">
                  <c:v>3112.3435272788279</c:v>
                </c:pt>
                <c:pt idx="9">
                  <c:v>3091.1681086575163</c:v>
                </c:pt>
              </c:numCache>
            </c:numRef>
          </c:val>
        </c:ser>
        <c:ser>
          <c:idx val="7"/>
          <c:order val="7"/>
          <c:val>
            <c:numRef>
              <c:f>Convergence!$C$52:$L$52</c:f>
              <c:numCache>
                <c:formatCode>General</c:formatCode>
                <c:ptCount val="10"/>
                <c:pt idx="0">
                  <c:v>4270.0575155852812</c:v>
                </c:pt>
                <c:pt idx="1">
                  <c:v>4251.0317557330982</c:v>
                </c:pt>
                <c:pt idx="2">
                  <c:v>4232.0443615782497</c:v>
                </c:pt>
                <c:pt idx="3">
                  <c:v>4213.0950111555358</c:v>
                </c:pt>
                <c:pt idx="4">
                  <c:v>4194.1833869977363</c:v>
                </c:pt>
                <c:pt idx="5">
                  <c:v>4175.309176050685</c:v>
                </c:pt>
                <c:pt idx="6">
                  <c:v>4156.4720695893147</c:v>
                </c:pt>
                <c:pt idx="7">
                  <c:v>4137.6717631334541</c:v>
                </c:pt>
                <c:pt idx="8">
                  <c:v>4118.9079563649084</c:v>
                </c:pt>
                <c:pt idx="9">
                  <c:v>4100.1803530504731</c:v>
                </c:pt>
              </c:numCache>
            </c:numRef>
          </c:val>
        </c:ser>
        <c:ser>
          <c:idx val="8"/>
          <c:order val="8"/>
          <c:val>
            <c:numRef>
              <c:f>Convergence!$C$53:$L$53</c:f>
              <c:numCache>
                <c:formatCode>General</c:formatCode>
                <c:ptCount val="10"/>
                <c:pt idx="0">
                  <c:v>5247.615630910208</c:v>
                </c:pt>
                <c:pt idx="1">
                  <c:v>5231.0533468088352</c:v>
                </c:pt>
                <c:pt idx="2">
                  <c:v>5214.5244607677578</c:v>
                </c:pt>
                <c:pt idx="3">
                  <c:v>5198.0286925084802</c:v>
                </c:pt>
                <c:pt idx="4">
                  <c:v>5181.5657656712219</c:v>
                </c:pt>
                <c:pt idx="5">
                  <c:v>5165.1354077359993</c:v>
                </c:pt>
                <c:pt idx="6">
                  <c:v>5148.7373499524383</c:v>
                </c:pt>
                <c:pt idx="7">
                  <c:v>5132.3713272639498</c:v>
                </c:pt>
                <c:pt idx="8">
                  <c:v>5116.0370782382652</c:v>
                </c:pt>
                <c:pt idx="9">
                  <c:v>5099.7343449986511</c:v>
                </c:pt>
              </c:numCache>
            </c:numRef>
          </c:val>
        </c:ser>
        <c:ser>
          <c:idx val="9"/>
          <c:order val="9"/>
          <c:val>
            <c:numRef>
              <c:f>Convergence!$C$54:$L$54</c:f>
              <c:numCache>
                <c:formatCode>General</c:formatCode>
                <c:ptCount val="10"/>
                <c:pt idx="0">
                  <c:v>6216.0947921615034</c:v>
                </c:pt>
                <c:pt idx="1">
                  <c:v>6201.9731046106062</c:v>
                </c:pt>
                <c:pt idx="2">
                  <c:v>6187.8798936178482</c:v>
                </c:pt>
                <c:pt idx="3">
                  <c:v>6173.8149202069571</c:v>
                </c:pt>
                <c:pt idx="4">
                  <c:v>6159.7779487423313</c:v>
                </c:pt>
                <c:pt idx="5">
                  <c:v>6145.768746862851</c:v>
                </c:pt>
                <c:pt idx="6">
                  <c:v>6131.7870854195244</c:v>
                </c:pt>
                <c:pt idx="7">
                  <c:v>6117.8327384149388</c:v>
                </c:pt>
                <c:pt idx="8">
                  <c:v>6103.9054829410297</c:v>
                </c:pt>
                <c:pt idx="9">
                  <c:v>6090.0050991206572</c:v>
                </c:pt>
              </c:numCache>
            </c:numRef>
          </c:val>
        </c:ser>
        <c:bandFmts/>
        <c:axId val="227232944"/>
        <c:axId val="227233336"/>
        <c:axId val="223660680"/>
      </c:surface3DChart>
      <c:catAx>
        <c:axId val="227232944"/>
        <c:scaling>
          <c:orientation val="minMax"/>
        </c:scaling>
        <c:delete val="0"/>
        <c:axPos val="b"/>
        <c:majorTickMark val="out"/>
        <c:minorTickMark val="none"/>
        <c:tickLblPos val="nextTo"/>
        <c:crossAx val="227233336"/>
        <c:crosses val="autoZero"/>
        <c:auto val="1"/>
        <c:lblAlgn val="ctr"/>
        <c:lblOffset val="100"/>
        <c:noMultiLvlLbl val="0"/>
      </c:catAx>
      <c:valAx>
        <c:axId val="227233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232944"/>
        <c:crosses val="autoZero"/>
        <c:crossBetween val="midCat"/>
      </c:valAx>
      <c:serAx>
        <c:axId val="223660680"/>
        <c:scaling>
          <c:orientation val="minMax"/>
        </c:scaling>
        <c:delete val="1"/>
        <c:axPos val="b"/>
        <c:majorTickMark val="out"/>
        <c:minorTickMark val="none"/>
        <c:tickLblPos val="nextTo"/>
        <c:crossAx val="227233336"/>
        <c:crosses val="autoZero"/>
      </c:ser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Convergence!$C$74:$L$74</c:f>
              <c:numCache>
                <c:formatCode>_(* #,##0.00_);_(* \(#,##0.00\);_(* "-"??_);_(@_)</c:formatCode>
                <c:ptCount val="10"/>
                <c:pt idx="0">
                  <c:v>29918.748321326671</c:v>
                </c:pt>
                <c:pt idx="1">
                  <c:v>20192.612681298677</c:v>
                </c:pt>
                <c:pt idx="2">
                  <c:v>10925.260733107512</c:v>
                </c:pt>
                <c:pt idx="3">
                  <c:v>5438.1738992788814</c:v>
                </c:pt>
                <c:pt idx="4">
                  <c:v>11745.929902783992</c:v>
                </c:pt>
                <c:pt idx="5">
                  <c:v>21074.477254411031</c:v>
                </c:pt>
                <c:pt idx="6">
                  <c:v>30784.274042380843</c:v>
                </c:pt>
                <c:pt idx="7">
                  <c:v>40597.819887319325</c:v>
                </c:pt>
                <c:pt idx="8">
                  <c:v>50450.716909086637</c:v>
                </c:pt>
                <c:pt idx="9">
                  <c:v>60320.465027867613</c:v>
                </c:pt>
              </c:numCache>
            </c:numRef>
          </c:val>
        </c:ser>
        <c:ser>
          <c:idx val="1"/>
          <c:order val="1"/>
          <c:val>
            <c:numRef>
              <c:f>Convergence!$C$75:$L$75</c:f>
              <c:numCache>
                <c:formatCode>_(* #,##0.00_);_(* \(#,##0.00\);_(* "-"??_);_(@_)</c:formatCode>
                <c:ptCount val="10"/>
                <c:pt idx="0">
                  <c:v>45938.701876955602</c:v>
                </c:pt>
                <c:pt idx="1">
                  <c:v>36131.484027818013</c:v>
                </c:pt>
                <c:pt idx="2">
                  <c:v>26423.910592655033</c:v>
                </c:pt>
                <c:pt idx="3">
                  <c:v>16975.536424033267</c:v>
                </c:pt>
                <c:pt idx="4">
                  <c:v>8655.2957155542317</c:v>
                </c:pt>
                <c:pt idx="5">
                  <c:v>7619.4758957299036</c:v>
                </c:pt>
                <c:pt idx="6">
                  <c:v>15401.226947949812</c:v>
                </c:pt>
                <c:pt idx="7">
                  <c:v>24737.523125197866</c:v>
                </c:pt>
                <c:pt idx="8">
                  <c:v>34378.910709872071</c:v>
                </c:pt>
                <c:pt idx="9">
                  <c:v>44121.501773697419</c:v>
                </c:pt>
              </c:numCache>
            </c:numRef>
          </c:val>
        </c:ser>
        <c:ser>
          <c:idx val="2"/>
          <c:order val="2"/>
          <c:val>
            <c:numRef>
              <c:f>Convergence!$C$76:$L$76</c:f>
              <c:numCache>
                <c:formatCode>_(* #,##0.00_);_(* \(#,##0.00\);_(* "-"??_);_(@_)</c:formatCode>
                <c:ptCount val="10"/>
                <c:pt idx="0">
                  <c:v>61838.417433318107</c:v>
                </c:pt>
                <c:pt idx="1">
                  <c:v>52032.176249127268</c:v>
                </c:pt>
                <c:pt idx="2">
                  <c:v>42272.314042169564</c:v>
                </c:pt>
                <c:pt idx="3">
                  <c:v>32594.259982088879</c:v>
                </c:pt>
                <c:pt idx="4">
                  <c:v>23092.343877279854</c:v>
                </c:pt>
                <c:pt idx="5">
                  <c:v>14112.483601623286</c:v>
                </c:pt>
                <c:pt idx="6">
                  <c:v>7727.2217107661636</c:v>
                </c:pt>
                <c:pt idx="7">
                  <c:v>10700.973460586023</c:v>
                </c:pt>
                <c:pt idx="8">
                  <c:v>19057.295704814442</c:v>
                </c:pt>
                <c:pt idx="9">
                  <c:v>28378.497515952447</c:v>
                </c:pt>
              </c:numCache>
            </c:numRef>
          </c:val>
        </c:ser>
        <c:ser>
          <c:idx val="3"/>
          <c:order val="3"/>
          <c:val>
            <c:numRef>
              <c:f>Convergence!$C$77:$L$77</c:f>
              <c:numCache>
                <c:formatCode>_(* #,##0.00_);_(* \(#,##0.00\);_(* "-"??_);_(@_)</c:formatCode>
                <c:ptCount val="10"/>
                <c:pt idx="0">
                  <c:v>77596.483213623564</c:v>
                </c:pt>
                <c:pt idx="1">
                  <c:v>67811.501868305233</c:v>
                </c:pt>
                <c:pt idx="2">
                  <c:v>58059.521472960201</c:v>
                </c:pt>
                <c:pt idx="3">
                  <c:v>48351.774589846536</c:v>
                </c:pt>
                <c:pt idx="4">
                  <c:v>38716.402134247328</c:v>
                </c:pt>
                <c:pt idx="5">
                  <c:v>29218.343184832724</c:v>
                </c:pt>
                <c:pt idx="6">
                  <c:v>20043.965260885438</c:v>
                </c:pt>
                <c:pt idx="7">
                  <c:v>11946.643723195772</c:v>
                </c:pt>
                <c:pt idx="8">
                  <c:v>8730.2283472590188</c:v>
                </c:pt>
                <c:pt idx="9">
                  <c:v>14208.051591749208</c:v>
                </c:pt>
              </c:numCache>
            </c:numRef>
          </c:val>
        </c:ser>
        <c:ser>
          <c:idx val="4"/>
          <c:order val="4"/>
          <c:val>
            <c:numRef>
              <c:f>Convergence!$C$78:$L$78</c:f>
              <c:numCache>
                <c:formatCode>_(* #,##0.00_);_(* \(#,##0.00\);_(* "-"??_);_(@_)</c:formatCode>
                <c:ptCount val="10"/>
                <c:pt idx="0">
                  <c:v>93106.282490669939</c:v>
                </c:pt>
                <c:pt idx="1">
                  <c:v>83340.839692231646</c:v>
                </c:pt>
                <c:pt idx="2">
                  <c:v>73594.470822010728</c:v>
                </c:pt>
                <c:pt idx="3">
                  <c:v>63872.788699119752</c:v>
                </c:pt>
                <c:pt idx="4">
                  <c:v>54185.448754768709</c:v>
                </c:pt>
                <c:pt idx="5">
                  <c:v>44550.490778953266</c:v>
                </c:pt>
                <c:pt idx="6">
                  <c:v>35005.69578574536</c:v>
                </c:pt>
                <c:pt idx="7">
                  <c:v>25644.49925109007</c:v>
                </c:pt>
                <c:pt idx="8">
                  <c:v>14432.908375025954</c:v>
                </c:pt>
                <c:pt idx="9">
                  <c:v>4748.7624687185798</c:v>
                </c:pt>
              </c:numCache>
            </c:numRef>
          </c:val>
        </c:ser>
        <c:ser>
          <c:idx val="5"/>
          <c:order val="5"/>
          <c:val>
            <c:numRef>
              <c:f>Convergence!$C$79:$L$79</c:f>
              <c:numCache>
                <c:formatCode>_(* #,##0.00_);_(* \(#,##0.00\);_(* "-"??_);_(@_)</c:formatCode>
                <c:ptCount val="10"/>
                <c:pt idx="0">
                  <c:v>108256.18228257218</c:v>
                </c:pt>
                <c:pt idx="1">
                  <c:v>98485.537899000541</c:v>
                </c:pt>
                <c:pt idx="2">
                  <c:v>88721.876601863594</c:v>
                </c:pt>
                <c:pt idx="3">
                  <c:v>78965.295290355643</c:v>
                </c:pt>
                <c:pt idx="4">
                  <c:v>69215.977071834815</c:v>
                </c:pt>
                <c:pt idx="5">
                  <c:v>59474.261043977298</c:v>
                </c:pt>
                <c:pt idx="6">
                  <c:v>49740.793830352988</c:v>
                </c:pt>
                <c:pt idx="7">
                  <c:v>40016.901595944342</c:v>
                </c:pt>
                <c:pt idx="8">
                  <c:v>30305.675990056036</c:v>
                </c:pt>
                <c:pt idx="9">
                  <c:v>20616.118290286515</c:v>
                </c:pt>
              </c:numCache>
            </c:numRef>
          </c:val>
        </c:ser>
        <c:ser>
          <c:idx val="6"/>
          <c:order val="6"/>
          <c:val>
            <c:numRef>
              <c:f>Convergence!$C$80:$L$80</c:f>
              <c:numCache>
                <c:formatCode>_(* #,##0.00_);_(* \(#,##0.00\);_(* "-"??_);_(@_)</c:formatCode>
                <c:ptCount val="10"/>
                <c:pt idx="0">
                  <c:v>123569.52045987318</c:v>
                </c:pt>
                <c:pt idx="1">
                  <c:v>113838.68728426367</c:v>
                </c:pt>
                <c:pt idx="2">
                  <c:v>104114.93243765435</c:v>
                </c:pt>
                <c:pt idx="3">
                  <c:v>94398.38126632692</c:v>
                </c:pt>
                <c:pt idx="4">
                  <c:v>84689.242084717538</c:v>
                </c:pt>
                <c:pt idx="5">
                  <c:v>74987.859169902687</c:v>
                </c:pt>
                <c:pt idx="6">
                  <c:v>65294.812822496118</c:v>
                </c:pt>
                <c:pt idx="7">
                  <c:v>55611.123674482522</c:v>
                </c:pt>
                <c:pt idx="8">
                  <c:v>45938.714382972968</c:v>
                </c:pt>
                <c:pt idx="9">
                  <c:v>36281.606669550907</c:v>
                </c:pt>
              </c:numCache>
            </c:numRef>
          </c:val>
        </c:ser>
        <c:ser>
          <c:idx val="7"/>
          <c:order val="7"/>
          <c:val>
            <c:numRef>
              <c:f>Convergence!$C$81:$L$81</c:f>
              <c:numCache>
                <c:formatCode>_(* #,##0.00_);_(* \(#,##0.00\);_(* "-"??_);_(@_)</c:formatCode>
                <c:ptCount val="10"/>
                <c:pt idx="0">
                  <c:v>138740.78592368477</c:v>
                </c:pt>
                <c:pt idx="1">
                  <c:v>129049.32799392262</c:v>
                </c:pt>
                <c:pt idx="2">
                  <c:v>119364.9873742753</c:v>
                </c:pt>
                <c:pt idx="3">
                  <c:v>109687.89486747664</c:v>
                </c:pt>
                <c:pt idx="4">
                  <c:v>100018.25316904641</c:v>
                </c:pt>
                <c:pt idx="5">
                  <c:v>90356.374744769608</c:v>
                </c:pt>
                <c:pt idx="6">
                  <c:v>80702.746798716937</c:v>
                </c:pt>
                <c:pt idx="7">
                  <c:v>71058.148963807151</c:v>
                </c:pt>
                <c:pt idx="8">
                  <c:v>61423.881360182211</c:v>
                </c:pt>
                <c:pt idx="9">
                  <c:v>51802.245905267569</c:v>
                </c:pt>
              </c:numCache>
            </c:numRef>
          </c:val>
        </c:ser>
        <c:ser>
          <c:idx val="8"/>
          <c:order val="8"/>
          <c:val>
            <c:numRef>
              <c:f>Convergence!$C$82:$L$82</c:f>
              <c:numCache>
                <c:formatCode>_(* #,##0.00_);_(* \(#,##0.00\);_(* "-"??_);_(@_)</c:formatCode>
                <c:ptCount val="10"/>
                <c:pt idx="0">
                  <c:v>153771.78674841922</c:v>
                </c:pt>
                <c:pt idx="1">
                  <c:v>144119.23811466582</c:v>
                </c:pt>
                <c:pt idx="2">
                  <c:v>134473.80415841861</c:v>
                </c:pt>
                <c:pt idx="3">
                  <c:v>124835.61017482444</c:v>
                </c:pt>
                <c:pt idx="4">
                  <c:v>115204.84163763761</c:v>
                </c:pt>
                <c:pt idx="5">
                  <c:v>105581.77115200044</c:v>
                </c:pt>
                <c:pt idx="6">
                  <c:v>95966.801545072478</c:v>
                </c:pt>
                <c:pt idx="7">
                  <c:v>86360.537598096431</c:v>
                </c:pt>
                <c:pt idx="8">
                  <c:v>76763.911360767524</c:v>
                </c:pt>
                <c:pt idx="9">
                  <c:v>67178.414296793489</c:v>
                </c:pt>
              </c:numCache>
            </c:numRef>
          </c:val>
        </c:ser>
        <c:ser>
          <c:idx val="9"/>
          <c:order val="9"/>
          <c:val>
            <c:numRef>
              <c:f>Convergence!$C$83:$L$83</c:f>
              <c:numCache>
                <c:formatCode>_(* #,##0.00_);_(* \(#,##0.00\);_(* "-"??_);_(@_)</c:formatCode>
                <c:ptCount val="10"/>
                <c:pt idx="0">
                  <c:v>168664.58922079622</c:v>
                </c:pt>
                <c:pt idx="1">
                  <c:v>159050.48818751521</c:v>
                </c:pt>
                <c:pt idx="2">
                  <c:v>149443.47051444635</c:v>
                </c:pt>
                <c:pt idx="3">
                  <c:v>139843.65133801391</c:v>
                </c:pt>
                <c:pt idx="4">
                  <c:v>130251.1956986609</c:v>
                </c:pt>
                <c:pt idx="5">
                  <c:v>120666.33795854161</c:v>
                </c:pt>
                <c:pt idx="6">
                  <c:v>111089.41121856385</c:v>
                </c:pt>
                <c:pt idx="7">
                  <c:v>101520.89329536301</c:v>
                </c:pt>
                <c:pt idx="8">
                  <c:v>91961.481239605768</c:v>
                </c:pt>
                <c:pt idx="9">
                  <c:v>82412.217413872379</c:v>
                </c:pt>
              </c:numCache>
            </c:numRef>
          </c:val>
        </c:ser>
        <c:bandFmts/>
        <c:axId val="227234120"/>
        <c:axId val="227234512"/>
        <c:axId val="227286192"/>
      </c:surface3DChart>
      <c:catAx>
        <c:axId val="227234120"/>
        <c:scaling>
          <c:orientation val="minMax"/>
        </c:scaling>
        <c:delete val="0"/>
        <c:axPos val="b"/>
        <c:majorTickMark val="out"/>
        <c:minorTickMark val="none"/>
        <c:tickLblPos val="nextTo"/>
        <c:crossAx val="227234512"/>
        <c:crosses val="autoZero"/>
        <c:auto val="1"/>
        <c:lblAlgn val="ctr"/>
        <c:lblOffset val="100"/>
        <c:noMultiLvlLbl val="0"/>
      </c:catAx>
      <c:valAx>
        <c:axId val="2272345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227234120"/>
        <c:crosses val="autoZero"/>
        <c:crossBetween val="midCat"/>
      </c:valAx>
      <c:serAx>
        <c:axId val="227286192"/>
        <c:scaling>
          <c:orientation val="minMax"/>
        </c:scaling>
        <c:delete val="0"/>
        <c:axPos val="b"/>
        <c:majorTickMark val="out"/>
        <c:minorTickMark val="none"/>
        <c:tickLblPos val="nextTo"/>
        <c:crossAx val="227234512"/>
        <c:crosses val="autoZero"/>
      </c:ser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818029</xdr:colOff>
      <xdr:row>7</xdr:row>
      <xdr:rowOff>112057</xdr:rowOff>
    </xdr:from>
    <xdr:to>
      <xdr:col>12</xdr:col>
      <xdr:colOff>974914</xdr:colOff>
      <xdr:row>16</xdr:row>
      <xdr:rowOff>44822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67235</xdr:colOff>
      <xdr:row>39</xdr:row>
      <xdr:rowOff>44822</xdr:rowOff>
    </xdr:from>
    <xdr:to>
      <xdr:col>19</xdr:col>
      <xdr:colOff>100852</xdr:colOff>
      <xdr:row>46</xdr:row>
      <xdr:rowOff>89645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67235</xdr:colOff>
      <xdr:row>39</xdr:row>
      <xdr:rowOff>44822</xdr:rowOff>
    </xdr:from>
    <xdr:to>
      <xdr:col>19</xdr:col>
      <xdr:colOff>100852</xdr:colOff>
      <xdr:row>46</xdr:row>
      <xdr:rowOff>89645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638175</xdr:colOff>
          <xdr:row>9</xdr:row>
          <xdr:rowOff>57150</xdr:rowOff>
        </xdr:from>
        <xdr:to>
          <xdr:col>32</xdr:col>
          <xdr:colOff>733425</xdr:colOff>
          <xdr:row>10</xdr:row>
          <xdr:rowOff>180975</xdr:rowOff>
        </xdr:to>
        <xdr:sp macro="" textlink="">
          <xdr:nvSpPr>
            <xdr:cNvPr id="7215" name="Button 47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619125</xdr:colOff>
          <xdr:row>3</xdr:row>
          <xdr:rowOff>161925</xdr:rowOff>
        </xdr:from>
        <xdr:to>
          <xdr:col>32</xdr:col>
          <xdr:colOff>695325</xdr:colOff>
          <xdr:row>5</xdr:row>
          <xdr:rowOff>114300</xdr:rowOff>
        </xdr:to>
        <xdr:sp macro="" textlink="">
          <xdr:nvSpPr>
            <xdr:cNvPr id="7258" name="Button 90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Calibrate Newton Raphson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590550</xdr:colOff>
          <xdr:row>6</xdr:row>
          <xdr:rowOff>76200</xdr:rowOff>
        </xdr:from>
        <xdr:to>
          <xdr:col>32</xdr:col>
          <xdr:colOff>714375</xdr:colOff>
          <xdr:row>8</xdr:row>
          <xdr:rowOff>0</xdr:rowOff>
        </xdr:to>
        <xdr:sp macro="" textlink="">
          <xdr:nvSpPr>
            <xdr:cNvPr id="7260" name="Button 92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Calibrate Mkt quotes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1</xdr:row>
          <xdr:rowOff>9525</xdr:rowOff>
        </xdr:from>
        <xdr:to>
          <xdr:col>11</xdr:col>
          <xdr:colOff>1085850</xdr:colOff>
          <xdr:row>4</xdr:row>
          <xdr:rowOff>19050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Calibration NewtonRaphson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493059</xdr:colOff>
      <xdr:row>90</xdr:row>
      <xdr:rowOff>56027</xdr:rowOff>
    </xdr:from>
    <xdr:to>
      <xdr:col>17</xdr:col>
      <xdr:colOff>89648</xdr:colOff>
      <xdr:row>106</xdr:row>
      <xdr:rowOff>112058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1008528</xdr:colOff>
      <xdr:row>4</xdr:row>
      <xdr:rowOff>123264</xdr:rowOff>
    </xdr:from>
    <xdr:to>
      <xdr:col>18</xdr:col>
      <xdr:colOff>465047</xdr:colOff>
      <xdr:row>23</xdr:row>
      <xdr:rowOff>156879</xdr:rowOff>
    </xdr:to>
    <xdr:graphicFrame macro="">
      <xdr:nvGraphicFramePr>
        <xdr:cNvPr id="4" name="Chart 3" title="dfg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246529</xdr:colOff>
      <xdr:row>49</xdr:row>
      <xdr:rowOff>156883</xdr:rowOff>
    </xdr:from>
    <xdr:to>
      <xdr:col>17</xdr:col>
      <xdr:colOff>918882</xdr:colOff>
      <xdr:row>68</xdr:row>
      <xdr:rowOff>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493059</xdr:colOff>
      <xdr:row>90</xdr:row>
      <xdr:rowOff>56027</xdr:rowOff>
    </xdr:from>
    <xdr:to>
      <xdr:col>17</xdr:col>
      <xdr:colOff>694765</xdr:colOff>
      <xdr:row>108</xdr:row>
      <xdr:rowOff>156882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1008527</xdr:colOff>
      <xdr:row>4</xdr:row>
      <xdr:rowOff>123263</xdr:rowOff>
    </xdr:from>
    <xdr:to>
      <xdr:col>18</xdr:col>
      <xdr:colOff>672352</xdr:colOff>
      <xdr:row>24</xdr:row>
      <xdr:rowOff>123264</xdr:rowOff>
    </xdr:to>
    <xdr:graphicFrame macro="">
      <xdr:nvGraphicFramePr>
        <xdr:cNvPr id="3" name="Chart 2" title="dfg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246529</xdr:colOff>
      <xdr:row>49</xdr:row>
      <xdr:rowOff>156883</xdr:rowOff>
    </xdr:from>
    <xdr:to>
      <xdr:col>17</xdr:col>
      <xdr:colOff>918882</xdr:colOff>
      <xdr:row>68</xdr:row>
      <xdr:rowOff>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1008530</xdr:colOff>
      <xdr:row>24</xdr:row>
      <xdr:rowOff>145677</xdr:rowOff>
    </xdr:from>
    <xdr:to>
      <xdr:col>18</xdr:col>
      <xdr:colOff>644342</xdr:colOff>
      <xdr:row>44</xdr:row>
      <xdr:rowOff>89645</xdr:rowOff>
    </xdr:to>
    <xdr:graphicFrame macro="">
      <xdr:nvGraphicFramePr>
        <xdr:cNvPr id="5" name="Chart 4" title="dfg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70</xdr:row>
      <xdr:rowOff>0</xdr:rowOff>
    </xdr:from>
    <xdr:to>
      <xdr:col>17</xdr:col>
      <xdr:colOff>672353</xdr:colOff>
      <xdr:row>88</xdr:row>
      <xdr:rowOff>33618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113</xdr:row>
      <xdr:rowOff>0</xdr:rowOff>
    </xdr:from>
    <xdr:to>
      <xdr:col>17</xdr:col>
      <xdr:colOff>806824</xdr:colOff>
      <xdr:row>131</xdr:row>
      <xdr:rowOff>100855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1</xdr:row>
          <xdr:rowOff>9525</xdr:rowOff>
        </xdr:from>
        <xdr:to>
          <xdr:col>11</xdr:col>
          <xdr:colOff>1085850</xdr:colOff>
          <xdr:row>4</xdr:row>
          <xdr:rowOff>19050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Calibration NewtonRaphson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274544</xdr:colOff>
      <xdr:row>41</xdr:row>
      <xdr:rowOff>163606</xdr:rowOff>
    </xdr:from>
    <xdr:to>
      <xdr:col>37</xdr:col>
      <xdr:colOff>778809</xdr:colOff>
      <xdr:row>56</xdr:row>
      <xdr:rowOff>49306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235323</xdr:colOff>
      <xdr:row>60</xdr:row>
      <xdr:rowOff>85164</xdr:rowOff>
    </xdr:from>
    <xdr:to>
      <xdr:col>38</xdr:col>
      <xdr:colOff>308161</xdr:colOff>
      <xdr:row>78</xdr:row>
      <xdr:rowOff>156881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workspace\Derivatives\Mexican%20Curve\2016-02%20Baseline%20Validation\BU\Development\ConvertidorMXN-NY_CJB_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ercury/excel/JUNO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 Guide"/>
      <sheetName val="Init"/>
      <sheetName val="Curves"/>
      <sheetName val="RT INPUT"/>
      <sheetName val="RISK INPUT"/>
      <sheetName val="Calibration"/>
      <sheetName val="Checks"/>
      <sheetName val="Checks2"/>
      <sheetName val="Project"/>
      <sheetName val="OUTPUT"/>
      <sheetName val="Jacobians"/>
      <sheetName val="Swap"/>
      <sheetName val="Xccy"/>
      <sheetName val="MX Curves Replica"/>
      <sheetName val="MX Replica Calibration"/>
      <sheetName val="Points Check"/>
      <sheetName val="Greeks"/>
      <sheetName val="ReplicaChecks"/>
      <sheetName val="Swap Pricer"/>
      <sheetName val="Folder Pricer"/>
      <sheetName val="XCCY Pricer"/>
      <sheetName val="ZC Sens Input"/>
      <sheetName val="DeltaViewer"/>
      <sheetName val="deltas"/>
      <sheetName val="pnl deltas"/>
      <sheetName val="fijas"/>
    </sheetNames>
    <sheetDataSet>
      <sheetData sheetId="0"/>
      <sheetData sheetId="1">
        <row r="2">
          <cell r="C2">
            <v>42485</v>
          </cell>
        </row>
        <row r="5">
          <cell r="C5" t="str">
            <v>IL__0636229432</v>
          </cell>
          <cell r="F5" t="str">
            <v>IL__0636229792</v>
          </cell>
        </row>
        <row r="6">
          <cell r="C6" t="str">
            <v>IL__0755882304</v>
          </cell>
        </row>
        <row r="10">
          <cell r="B10" t="str">
            <v>empty</v>
          </cell>
          <cell r="C10">
            <v>0</v>
          </cell>
        </row>
        <row r="11">
          <cell r="C11" t="str">
            <v>fsolve</v>
          </cell>
        </row>
        <row r="12">
          <cell r="C12">
            <v>1E-10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1</v>
          </cell>
        </row>
        <row r="19">
          <cell r="C19" t="str">
            <v>IL__0755774488</v>
          </cell>
        </row>
        <row r="20">
          <cell r="C20" t="str">
            <v>IL__0755906600</v>
          </cell>
        </row>
        <row r="30">
          <cell r="B30" t="str">
            <v>NY</v>
          </cell>
        </row>
        <row r="35">
          <cell r="H35" t="str">
            <v>USD-O/N</v>
          </cell>
          <cell r="I35">
            <v>0</v>
          </cell>
        </row>
        <row r="36">
          <cell r="H36" t="str">
            <v>USD-T/N</v>
          </cell>
          <cell r="I36">
            <v>0</v>
          </cell>
        </row>
        <row r="37">
          <cell r="H37" t="str">
            <v>USD-DEPO</v>
          </cell>
          <cell r="I37" t="str">
            <v>1D</v>
          </cell>
        </row>
        <row r="38">
          <cell r="H38" t="str">
            <v>USD-DEPO</v>
          </cell>
          <cell r="I38" t="str">
            <v>1W</v>
          </cell>
        </row>
        <row r="39">
          <cell r="H39" t="str">
            <v>USD-DEPO</v>
          </cell>
          <cell r="I39" t="str">
            <v>1M</v>
          </cell>
        </row>
        <row r="40">
          <cell r="H40" t="str">
            <v>USD-DEPO</v>
          </cell>
          <cell r="I40" t="str">
            <v>2M</v>
          </cell>
        </row>
        <row r="41">
          <cell r="H41" t="str">
            <v>USD-DEPO</v>
          </cell>
          <cell r="I41" t="str">
            <v>3M</v>
          </cell>
        </row>
        <row r="42">
          <cell r="H42" t="str">
            <v>USD-DEPO</v>
          </cell>
          <cell r="I42" t="str">
            <v>4M</v>
          </cell>
        </row>
        <row r="43">
          <cell r="H43" t="str">
            <v>USD-DEPO</v>
          </cell>
          <cell r="I43" t="str">
            <v>5M</v>
          </cell>
        </row>
        <row r="44">
          <cell r="H44" t="str">
            <v>USD-DEPO</v>
          </cell>
          <cell r="I44" t="str">
            <v>6M</v>
          </cell>
        </row>
        <row r="45">
          <cell r="H45" t="str">
            <v>USD-DEPO</v>
          </cell>
          <cell r="I45" t="str">
            <v>7M</v>
          </cell>
        </row>
        <row r="46">
          <cell r="H46" t="str">
            <v>USD-DEPO</v>
          </cell>
          <cell r="I46" t="str">
            <v>8M</v>
          </cell>
        </row>
        <row r="47">
          <cell r="H47" t="str">
            <v>USD-DEPO</v>
          </cell>
          <cell r="I47" t="str">
            <v>9M</v>
          </cell>
        </row>
        <row r="48">
          <cell r="H48" t="str">
            <v>USD-DEPO</v>
          </cell>
          <cell r="I48" t="str">
            <v>10M</v>
          </cell>
        </row>
        <row r="49">
          <cell r="H49" t="str">
            <v>USD-DEPO</v>
          </cell>
          <cell r="I49" t="str">
            <v>11M</v>
          </cell>
        </row>
        <row r="50">
          <cell r="H50" t="str">
            <v>USD-DEPO</v>
          </cell>
          <cell r="I50" t="str">
            <v>12M</v>
          </cell>
        </row>
        <row r="51">
          <cell r="H51" t="str">
            <v>USD-DEPO</v>
          </cell>
          <cell r="I51" t="str">
            <v>15M</v>
          </cell>
        </row>
        <row r="52">
          <cell r="H52" t="str">
            <v>USD-DEPO</v>
          </cell>
          <cell r="I52" t="str">
            <v>18M</v>
          </cell>
        </row>
        <row r="53">
          <cell r="H53" t="str">
            <v>USD-SWAP-3M</v>
          </cell>
          <cell r="I53" t="str">
            <v>2Y</v>
          </cell>
        </row>
        <row r="54">
          <cell r="H54" t="str">
            <v>USD-SWAP-3M</v>
          </cell>
          <cell r="I54" t="str">
            <v>3Y</v>
          </cell>
        </row>
        <row r="55">
          <cell r="H55" t="str">
            <v>USD-SWAP-3M</v>
          </cell>
          <cell r="I55" t="str">
            <v>4Y</v>
          </cell>
        </row>
        <row r="56">
          <cell r="H56" t="str">
            <v>USD-SWAP-3M</v>
          </cell>
          <cell r="I56" t="str">
            <v>5Y</v>
          </cell>
        </row>
        <row r="57">
          <cell r="H57" t="str">
            <v>USD-SWAP-3M</v>
          </cell>
          <cell r="I57" t="str">
            <v>6Y</v>
          </cell>
        </row>
        <row r="58">
          <cell r="H58" t="str">
            <v>USD-SWAP-3M</v>
          </cell>
          <cell r="I58" t="str">
            <v>7Y</v>
          </cell>
        </row>
        <row r="59">
          <cell r="H59" t="str">
            <v>USD-SWAP-3M</v>
          </cell>
          <cell r="I59" t="str">
            <v>8Y</v>
          </cell>
        </row>
        <row r="60">
          <cell r="H60" t="str">
            <v>USD-SWAP-3M</v>
          </cell>
          <cell r="I60" t="str">
            <v>9Y</v>
          </cell>
        </row>
        <row r="61">
          <cell r="H61" t="str">
            <v>USD-SWAP-3M</v>
          </cell>
          <cell r="I61" t="str">
            <v>10Y</v>
          </cell>
        </row>
        <row r="62">
          <cell r="H62" t="str">
            <v>USD-SWAP-3M</v>
          </cell>
          <cell r="I62" t="str">
            <v>12Y</v>
          </cell>
        </row>
        <row r="63">
          <cell r="H63" t="str">
            <v>USD-SWAP-3M</v>
          </cell>
          <cell r="I63" t="str">
            <v>15Y</v>
          </cell>
        </row>
        <row r="64">
          <cell r="H64" t="str">
            <v>USD-SWAP-3M</v>
          </cell>
          <cell r="I64" t="str">
            <v>20Y</v>
          </cell>
        </row>
        <row r="65">
          <cell r="H65" t="str">
            <v>USD-SWAP-3M</v>
          </cell>
          <cell r="I65" t="str">
            <v>25Y</v>
          </cell>
        </row>
        <row r="66">
          <cell r="H66" t="str">
            <v>USD-SWAP-3M</v>
          </cell>
          <cell r="I66" t="str">
            <v>30Y</v>
          </cell>
        </row>
        <row r="67">
          <cell r="H67" t="str">
            <v>USD-SWAP-3M</v>
          </cell>
          <cell r="I67" t="str">
            <v>40Y</v>
          </cell>
        </row>
        <row r="68">
          <cell r="H68" t="str">
            <v>USD-SWAP-3M</v>
          </cell>
          <cell r="I68" t="str">
            <v>50Y</v>
          </cell>
        </row>
        <row r="69">
          <cell r="H69">
            <v>0</v>
          </cell>
          <cell r="I69">
            <v>0</v>
          </cell>
        </row>
        <row r="70">
          <cell r="H70">
            <v>0</v>
          </cell>
          <cell r="I70">
            <v>0</v>
          </cell>
        </row>
        <row r="74">
          <cell r="H74" t="str">
            <v>USD-O/N</v>
          </cell>
          <cell r="I74">
            <v>0</v>
          </cell>
        </row>
        <row r="75">
          <cell r="H75" t="str">
            <v>USD-T/N</v>
          </cell>
          <cell r="I75">
            <v>0</v>
          </cell>
        </row>
        <row r="76">
          <cell r="H76" t="str">
            <v>USD-DEPO</v>
          </cell>
          <cell r="I76" t="str">
            <v>1D</v>
          </cell>
        </row>
        <row r="77">
          <cell r="H77" t="str">
            <v>USD-DEPO</v>
          </cell>
          <cell r="I77" t="str">
            <v>1W</v>
          </cell>
        </row>
        <row r="78">
          <cell r="H78" t="str">
            <v>USD-DEPO</v>
          </cell>
          <cell r="I78" t="str">
            <v>1M</v>
          </cell>
        </row>
        <row r="79">
          <cell r="H79" t="str">
            <v>USD-DEPO</v>
          </cell>
          <cell r="I79" t="str">
            <v>2M</v>
          </cell>
        </row>
        <row r="80">
          <cell r="H80" t="str">
            <v>USD-DEPO</v>
          </cell>
          <cell r="I80" t="str">
            <v>3M</v>
          </cell>
        </row>
        <row r="81">
          <cell r="H81" t="str">
            <v>USD-DEPO</v>
          </cell>
          <cell r="I81" t="str">
            <v>4M</v>
          </cell>
        </row>
        <row r="82">
          <cell r="H82" t="str">
            <v>USD-DEPO</v>
          </cell>
          <cell r="I82" t="str">
            <v>5M</v>
          </cell>
        </row>
        <row r="83">
          <cell r="H83" t="str">
            <v>USD-DEPO</v>
          </cell>
          <cell r="I83" t="str">
            <v>6M</v>
          </cell>
        </row>
        <row r="84">
          <cell r="H84" t="str">
            <v>USD-DEPO</v>
          </cell>
          <cell r="I84" t="str">
            <v>7M</v>
          </cell>
        </row>
        <row r="85">
          <cell r="H85" t="str">
            <v>USD-DEPO</v>
          </cell>
          <cell r="I85" t="str">
            <v>8M</v>
          </cell>
        </row>
        <row r="86">
          <cell r="H86" t="str">
            <v>USD-DEPO</v>
          </cell>
          <cell r="I86" t="str">
            <v>9M</v>
          </cell>
        </row>
        <row r="87">
          <cell r="H87" t="str">
            <v>USD-DEPO</v>
          </cell>
          <cell r="I87" t="str">
            <v>10M</v>
          </cell>
        </row>
        <row r="88">
          <cell r="H88" t="str">
            <v>USD-DEPO</v>
          </cell>
          <cell r="I88" t="str">
            <v>11M</v>
          </cell>
        </row>
        <row r="89">
          <cell r="H89" t="str">
            <v>USD-DEPO</v>
          </cell>
          <cell r="I89" t="str">
            <v>12M</v>
          </cell>
        </row>
        <row r="90">
          <cell r="H90" t="str">
            <v>USD-DEPO</v>
          </cell>
          <cell r="I90" t="str">
            <v>15M</v>
          </cell>
        </row>
        <row r="91">
          <cell r="H91" t="str">
            <v>USD-DEPO</v>
          </cell>
          <cell r="I91" t="str">
            <v>18M</v>
          </cell>
        </row>
        <row r="92">
          <cell r="H92" t="str">
            <v>USD-SWAP-6M</v>
          </cell>
          <cell r="I92" t="str">
            <v>2Y</v>
          </cell>
        </row>
        <row r="93">
          <cell r="H93" t="str">
            <v>USD-SWAP-6M</v>
          </cell>
          <cell r="I93" t="str">
            <v>3Y</v>
          </cell>
        </row>
        <row r="94">
          <cell r="H94" t="str">
            <v>USD-SWAP-6M</v>
          </cell>
          <cell r="I94" t="str">
            <v>4Y</v>
          </cell>
        </row>
        <row r="95">
          <cell r="H95" t="str">
            <v>USD-SWAP-6M</v>
          </cell>
          <cell r="I95" t="str">
            <v>5Y</v>
          </cell>
        </row>
        <row r="96">
          <cell r="H96" t="str">
            <v>USD-SWAP-6M</v>
          </cell>
          <cell r="I96" t="str">
            <v>6Y</v>
          </cell>
        </row>
        <row r="97">
          <cell r="H97" t="str">
            <v>USD-SWAP-6M</v>
          </cell>
          <cell r="I97" t="str">
            <v>7Y</v>
          </cell>
        </row>
        <row r="98">
          <cell r="H98" t="str">
            <v>USD-SWAP-6M</v>
          </cell>
          <cell r="I98" t="str">
            <v>8Y</v>
          </cell>
        </row>
        <row r="99">
          <cell r="H99" t="str">
            <v>USD-SWAP-6M</v>
          </cell>
          <cell r="I99" t="str">
            <v>9Y</v>
          </cell>
        </row>
        <row r="100">
          <cell r="H100" t="str">
            <v>USD-SWAP-6M</v>
          </cell>
          <cell r="I100" t="str">
            <v>10Y</v>
          </cell>
        </row>
        <row r="101">
          <cell r="H101" t="str">
            <v>USD-SWAP-6M</v>
          </cell>
          <cell r="I101" t="str">
            <v>12Y</v>
          </cell>
        </row>
        <row r="102">
          <cell r="H102" t="str">
            <v>USD-SWAP-6M</v>
          </cell>
          <cell r="I102" t="str">
            <v>15Y</v>
          </cell>
        </row>
        <row r="103">
          <cell r="H103" t="str">
            <v>USD-SWAP-6M</v>
          </cell>
          <cell r="I103" t="str">
            <v>20Y</v>
          </cell>
        </row>
        <row r="104">
          <cell r="H104" t="str">
            <v>USD-SWAP-6M</v>
          </cell>
          <cell r="I104" t="str">
            <v>25Y</v>
          </cell>
        </row>
        <row r="105">
          <cell r="H105" t="str">
            <v>USD-SWAP-6M</v>
          </cell>
          <cell r="I105" t="str">
            <v>30Y</v>
          </cell>
        </row>
        <row r="106">
          <cell r="H106" t="str">
            <v>USD-SWAP-6M</v>
          </cell>
          <cell r="I106" t="str">
            <v>40Y</v>
          </cell>
        </row>
        <row r="107">
          <cell r="H107" t="str">
            <v>USD-SWAP-6M</v>
          </cell>
          <cell r="I107" t="str">
            <v>50Y</v>
          </cell>
        </row>
        <row r="108">
          <cell r="H108">
            <v>0</v>
          </cell>
          <cell r="I108">
            <v>0</v>
          </cell>
        </row>
        <row r="109">
          <cell r="H109">
            <v>0</v>
          </cell>
          <cell r="I109">
            <v>0</v>
          </cell>
        </row>
        <row r="156">
          <cell r="H156" t="str">
            <v>EUR-O/N*</v>
          </cell>
          <cell r="I156" t="str">
            <v>O/N</v>
          </cell>
        </row>
        <row r="157">
          <cell r="H157" t="str">
            <v>EUR-T/N*</v>
          </cell>
          <cell r="I157" t="str">
            <v>T/N</v>
          </cell>
        </row>
        <row r="158">
          <cell r="H158" t="str">
            <v>EUR-1D</v>
          </cell>
          <cell r="I158" t="str">
            <v>1D</v>
          </cell>
        </row>
        <row r="159">
          <cell r="H159" t="str">
            <v>EUR-DEPO</v>
          </cell>
          <cell r="I159" t="str">
            <v>1W</v>
          </cell>
        </row>
        <row r="160">
          <cell r="H160" t="str">
            <v>EUR-DEPO</v>
          </cell>
          <cell r="I160" t="str">
            <v>1M</v>
          </cell>
        </row>
        <row r="161">
          <cell r="H161" t="str">
            <v>EUR-DEPO</v>
          </cell>
          <cell r="I161" t="str">
            <v>2M</v>
          </cell>
        </row>
        <row r="162">
          <cell r="H162" t="str">
            <v>EUR-DEPO</v>
          </cell>
          <cell r="I162" t="str">
            <v>3M</v>
          </cell>
        </row>
        <row r="163">
          <cell r="H163" t="str">
            <v>EUR-DEPO</v>
          </cell>
          <cell r="I163" t="str">
            <v>4M</v>
          </cell>
        </row>
        <row r="164">
          <cell r="H164" t="str">
            <v>EUR-DEPO</v>
          </cell>
          <cell r="I164" t="str">
            <v>5M</v>
          </cell>
        </row>
        <row r="165">
          <cell r="H165" t="str">
            <v>EUR-DEPO</v>
          </cell>
          <cell r="I165" t="str">
            <v>6M</v>
          </cell>
        </row>
        <row r="166">
          <cell r="H166" t="str">
            <v>EUR-DEPO</v>
          </cell>
          <cell r="I166" t="str">
            <v>7M</v>
          </cell>
        </row>
        <row r="167">
          <cell r="H167" t="str">
            <v>EUR-DEPO</v>
          </cell>
          <cell r="I167" t="str">
            <v>8M</v>
          </cell>
        </row>
        <row r="168">
          <cell r="H168" t="str">
            <v>EUR-DEPO</v>
          </cell>
          <cell r="I168" t="str">
            <v>9M</v>
          </cell>
        </row>
        <row r="169">
          <cell r="H169" t="str">
            <v>EUR-DEPO</v>
          </cell>
          <cell r="I169" t="str">
            <v>10M</v>
          </cell>
        </row>
        <row r="170">
          <cell r="H170" t="str">
            <v>EUR-DEPO</v>
          </cell>
          <cell r="I170" t="str">
            <v>11M</v>
          </cell>
        </row>
        <row r="171">
          <cell r="H171" t="str">
            <v>EUR-DEPO</v>
          </cell>
          <cell r="I171" t="str">
            <v>1Y</v>
          </cell>
        </row>
        <row r="172">
          <cell r="H172" t="str">
            <v>EUR-SWAP</v>
          </cell>
          <cell r="I172" t="str">
            <v>13M</v>
          </cell>
        </row>
        <row r="173">
          <cell r="H173" t="str">
            <v>EUR-SWAP</v>
          </cell>
          <cell r="I173" t="str">
            <v>14M</v>
          </cell>
        </row>
        <row r="174">
          <cell r="H174" t="str">
            <v>EUR-SWAP</v>
          </cell>
          <cell r="I174" t="str">
            <v>15M</v>
          </cell>
        </row>
        <row r="175">
          <cell r="H175" t="str">
            <v>EUR-SWAP</v>
          </cell>
          <cell r="I175" t="str">
            <v>16M</v>
          </cell>
        </row>
        <row r="176">
          <cell r="H176" t="str">
            <v>EUR-SWAP</v>
          </cell>
          <cell r="I176" t="str">
            <v>17M</v>
          </cell>
        </row>
        <row r="177">
          <cell r="H177" t="str">
            <v>EUR-SWAP</v>
          </cell>
          <cell r="I177" t="str">
            <v>18M</v>
          </cell>
        </row>
        <row r="178">
          <cell r="H178" t="str">
            <v>EUR-SWAP</v>
          </cell>
          <cell r="I178" t="str">
            <v>21M</v>
          </cell>
        </row>
        <row r="179">
          <cell r="H179" t="str">
            <v>EUR-SWAP</v>
          </cell>
          <cell r="I179" t="str">
            <v>2Y</v>
          </cell>
        </row>
        <row r="180">
          <cell r="H180" t="str">
            <v>EUR-SWAP</v>
          </cell>
          <cell r="I180" t="str">
            <v>3Y</v>
          </cell>
        </row>
        <row r="181">
          <cell r="H181" t="str">
            <v>EUR-SWAP</v>
          </cell>
          <cell r="I181" t="str">
            <v>4Y</v>
          </cell>
        </row>
        <row r="182">
          <cell r="H182" t="str">
            <v>EUR-SWAP</v>
          </cell>
          <cell r="I182" t="str">
            <v>5Y</v>
          </cell>
        </row>
        <row r="183">
          <cell r="H183" t="str">
            <v>EUR-SWAP</v>
          </cell>
          <cell r="I183" t="str">
            <v>6Y</v>
          </cell>
        </row>
        <row r="184">
          <cell r="H184" t="str">
            <v>EUR-SWAP</v>
          </cell>
          <cell r="I184" t="str">
            <v>7Y</v>
          </cell>
        </row>
        <row r="185">
          <cell r="H185" t="str">
            <v>EUR-SWAP</v>
          </cell>
          <cell r="I185" t="str">
            <v>8Y</v>
          </cell>
        </row>
        <row r="186">
          <cell r="H186" t="str">
            <v>EUR-SWAP</v>
          </cell>
          <cell r="I186" t="str">
            <v>9Y</v>
          </cell>
        </row>
        <row r="187">
          <cell r="H187" t="str">
            <v>EUR-SWAP</v>
          </cell>
          <cell r="I187" t="str">
            <v>10Y</v>
          </cell>
        </row>
        <row r="188">
          <cell r="H188" t="str">
            <v>EUR-SWAP</v>
          </cell>
          <cell r="I188" t="str">
            <v>12Y</v>
          </cell>
        </row>
        <row r="189">
          <cell r="H189" t="str">
            <v>EUR-SWAP</v>
          </cell>
          <cell r="I189" t="str">
            <v>15Y</v>
          </cell>
        </row>
        <row r="190">
          <cell r="H190" t="str">
            <v>EUR-SWAP</v>
          </cell>
          <cell r="I190" t="str">
            <v>20Y</v>
          </cell>
        </row>
        <row r="191">
          <cell r="H191" t="str">
            <v>EUR-SWAP</v>
          </cell>
          <cell r="I191" t="str">
            <v>25Y</v>
          </cell>
        </row>
        <row r="192">
          <cell r="H192" t="str">
            <v>EUR-SWAP</v>
          </cell>
          <cell r="I192" t="str">
            <v>30Y</v>
          </cell>
        </row>
        <row r="193">
          <cell r="H193" t="str">
            <v>EUR-SWAP</v>
          </cell>
          <cell r="I193" t="str">
            <v>35Y</v>
          </cell>
        </row>
        <row r="194">
          <cell r="H194" t="str">
            <v>EUR-SWAP</v>
          </cell>
          <cell r="I194" t="str">
            <v>40Y</v>
          </cell>
        </row>
        <row r="195">
          <cell r="H195" t="str">
            <v>EUR-SWAP</v>
          </cell>
          <cell r="I195" t="str">
            <v>50Y</v>
          </cell>
        </row>
      </sheetData>
      <sheetData sheetId="2"/>
      <sheetData sheetId="3"/>
      <sheetData sheetId="4">
        <row r="6">
          <cell r="AK6" t="str">
            <v>USD/MXN</v>
          </cell>
          <cell r="AL6">
            <v>17.475184200000001</v>
          </cell>
        </row>
      </sheetData>
      <sheetData sheetId="5">
        <row r="2">
          <cell r="F2" t="str">
            <v>EOD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9">
          <cell r="A9">
            <v>1</v>
          </cell>
          <cell r="B9" t="str">
            <v>USD_OIS_COL</v>
          </cell>
          <cell r="C9" t="str">
            <v>IL__0777611504</v>
          </cell>
        </row>
        <row r="10">
          <cell r="A10">
            <v>2</v>
          </cell>
          <cell r="B10" t="str">
            <v>USD_DEPOSWAP_3M</v>
          </cell>
          <cell r="C10" t="str">
            <v>IL__0691663016</v>
          </cell>
        </row>
        <row r="11">
          <cell r="A11">
            <v>3</v>
          </cell>
          <cell r="B11" t="str">
            <v>USD_SWAP_1M</v>
          </cell>
          <cell r="C11" t="str">
            <v>IL__0777607848</v>
          </cell>
        </row>
        <row r="12">
          <cell r="A12">
            <v>4</v>
          </cell>
          <cell r="B12" t="str">
            <v>USD_DEPOSWAP_6M</v>
          </cell>
          <cell r="C12" t="str">
            <v>IL__0777611664</v>
          </cell>
        </row>
        <row r="13">
          <cell r="A13">
            <v>5</v>
          </cell>
          <cell r="B13" t="str">
            <v>MXN_BO_SWAP_COL</v>
          </cell>
          <cell r="C13" t="str">
            <v>IL__0840614856</v>
          </cell>
        </row>
        <row r="14">
          <cell r="A14">
            <v>6</v>
          </cell>
          <cell r="B14" t="str">
            <v>MXN_SWAP_NCOL</v>
          </cell>
          <cell r="C14" t="str">
            <v>IL__0777615920</v>
          </cell>
        </row>
        <row r="15">
          <cell r="A15">
            <v>7</v>
          </cell>
          <cell r="B15" t="str">
            <v>MXN_BASIS_COL</v>
          </cell>
          <cell r="C15" t="str">
            <v>IL__0777591144</v>
          </cell>
        </row>
        <row r="16">
          <cell r="A16">
            <v>8</v>
          </cell>
          <cell r="B16" t="str">
            <v>MXN_DISC_COL</v>
          </cell>
          <cell r="C16" t="str">
            <v>IL__0777613224</v>
          </cell>
        </row>
        <row r="17">
          <cell r="A17">
            <v>9</v>
          </cell>
          <cell r="B17" t="str">
            <v>USD_BASIS_COL</v>
          </cell>
          <cell r="C17" t="str">
            <v>IL__0691663576</v>
          </cell>
        </row>
        <row r="18">
          <cell r="A18">
            <v>10</v>
          </cell>
          <cell r="B18" t="str">
            <v>USD_BASIS_NCOL</v>
          </cell>
          <cell r="C18" t="str">
            <v>IL__0685791952</v>
          </cell>
        </row>
        <row r="19">
          <cell r="A19">
            <v>11</v>
          </cell>
          <cell r="B19" t="str">
            <v>UDI_TIIE_COLUSD</v>
          </cell>
          <cell r="C19" t="str">
            <v>IL__0748776544</v>
          </cell>
        </row>
        <row r="20">
          <cell r="A20">
            <v>12</v>
          </cell>
          <cell r="B20" t="str">
            <v>UDI_TIIE_COLMXN</v>
          </cell>
          <cell r="C20" t="str">
            <v>IL__0840733000</v>
          </cell>
        </row>
        <row r="21">
          <cell r="A21">
            <v>13</v>
          </cell>
          <cell r="B21" t="str">
            <v>UDI_TIIE_NCOL</v>
          </cell>
          <cell r="C21" t="str">
            <v>IL__0838257600</v>
          </cell>
        </row>
        <row r="22">
          <cell r="A22">
            <v>14</v>
          </cell>
          <cell r="B22" t="str">
            <v>EUR-TR-EON-DISC</v>
          </cell>
          <cell r="C22" t="str">
            <v>IL__0777605688</v>
          </cell>
        </row>
        <row r="23">
          <cell r="A23">
            <v>15</v>
          </cell>
          <cell r="B23" t="str">
            <v>EUR-TRADER-3M</v>
          </cell>
          <cell r="C23" t="str">
            <v>IL__0838432008</v>
          </cell>
        </row>
        <row r="24">
          <cell r="A24">
            <v>16</v>
          </cell>
          <cell r="B24" t="str">
            <v>USDBASISTRADCOL</v>
          </cell>
          <cell r="C24" t="str">
            <v>IL__0777610664</v>
          </cell>
        </row>
        <row r="25">
          <cell r="A25">
            <v>17</v>
          </cell>
          <cell r="B25" t="str">
            <v>EURBASTRACOLUSD</v>
          </cell>
          <cell r="C25" t="str">
            <v>IL__0840544464</v>
          </cell>
        </row>
        <row r="26">
          <cell r="A26">
            <v>18</v>
          </cell>
          <cell r="B26" t="str">
            <v>EURBASTRACOLMXN</v>
          </cell>
          <cell r="C26" t="str">
            <v>IL__0777630024</v>
          </cell>
        </row>
        <row r="27">
          <cell r="A27">
            <v>19</v>
          </cell>
          <cell r="B27" t="str">
            <v>MXN_COL_EUR</v>
          </cell>
          <cell r="C27" t="str">
            <v>IL__0755880024</v>
          </cell>
        </row>
        <row r="28">
          <cell r="A28">
            <v>20</v>
          </cell>
          <cell r="B28" t="str">
            <v>UDI_COL_EUR</v>
          </cell>
          <cell r="C28" t="str">
            <v>IL__0840664488</v>
          </cell>
        </row>
        <row r="29">
          <cell r="A29">
            <v>21</v>
          </cell>
          <cell r="B29" t="str">
            <v>EUR_UNCOLAT</v>
          </cell>
          <cell r="C29" t="str">
            <v>IL__0840544664</v>
          </cell>
        </row>
        <row r="30">
          <cell r="A30">
            <v>22</v>
          </cell>
          <cell r="B30" t="str">
            <v>MXN_BASIS_COL_FX</v>
          </cell>
          <cell r="C30" t="str">
            <v>IL__0777591744</v>
          </cell>
        </row>
        <row r="31">
          <cell r="A31">
            <v>23</v>
          </cell>
          <cell r="B31" t="str">
            <v>EUR_FUTSWAP2</v>
          </cell>
          <cell r="C31" t="str">
            <v>IL__0777591904</v>
          </cell>
        </row>
        <row r="34">
          <cell r="C34" t="str">
            <v>data=api.GetXLSMatrix(params[0])</v>
          </cell>
        </row>
        <row r="35">
          <cell r="C35" t="str">
            <v>mkt_h=store[params[1]].d</v>
          </cell>
        </row>
        <row r="36">
          <cell r="C36" t="str">
            <v>for a, b in data:</v>
          </cell>
        </row>
        <row r="37">
          <cell r="C37" t="str">
            <v xml:space="preserve"> mkt_h['FX_SPOTS'][a]={'DATE':int(float(params[2])),'VALUE':float(b)}</v>
          </cell>
        </row>
        <row r="38">
          <cell r="C38" t="str">
            <v>result=params[1]</v>
          </cell>
        </row>
        <row r="39">
          <cell r="C39">
            <v>0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"/>
      <sheetName val="Sheet2"/>
      <sheetName val="Sheet3"/>
    </sheetNames>
    <definedNames>
      <definedName name="IL_ReadFromFile"/>
      <definedName name="McyCreateIndex"/>
      <definedName name="McyCreateRateCurve"/>
      <definedName name="McyDF"/>
      <definedName name="McyForwar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BM76"/>
  <sheetViews>
    <sheetView zoomScale="80" zoomScaleNormal="80" workbookViewId="0">
      <selection activeCell="A7" sqref="A7"/>
    </sheetView>
  </sheetViews>
  <sheetFormatPr defaultColWidth="9.140625" defaultRowHeight="14.25"/>
  <cols>
    <col min="1" max="1" width="1.85546875" style="155" customWidth="1"/>
    <col min="2" max="2" width="21.42578125" style="155" bestFit="1" customWidth="1"/>
    <col min="3" max="3" width="30.5703125" style="155" bestFit="1" customWidth="1"/>
    <col min="4" max="4" width="11.42578125" style="155" bestFit="1" customWidth="1"/>
    <col min="5" max="5" width="3.28515625" style="155" customWidth="1"/>
    <col min="6" max="6" width="29.85546875" style="155" bestFit="1" customWidth="1"/>
    <col min="7" max="7" width="10.42578125" style="155" bestFit="1" customWidth="1"/>
    <col min="8" max="8" width="3.28515625" style="155" customWidth="1"/>
    <col min="9" max="9" width="29.85546875" style="155" bestFit="1" customWidth="1"/>
    <col min="10" max="10" width="10.42578125" style="155" customWidth="1"/>
    <col min="11" max="11" width="3.28515625" style="155" customWidth="1"/>
    <col min="12" max="12" width="29.85546875" style="155" bestFit="1" customWidth="1"/>
    <col min="13" max="13" width="10" style="155" customWidth="1"/>
    <col min="14" max="14" width="3.28515625" style="155" customWidth="1"/>
    <col min="15" max="15" width="32.28515625" style="155" bestFit="1" customWidth="1"/>
    <col min="16" max="16" width="23.28515625" style="155" customWidth="1"/>
    <col min="17" max="17" width="3" style="155" customWidth="1"/>
    <col min="18" max="18" width="30.85546875" style="155" bestFit="1" customWidth="1"/>
    <col min="19" max="19" width="11.7109375" style="155" bestFit="1" customWidth="1"/>
    <col min="20" max="20" width="4" style="155" customWidth="1"/>
    <col min="21" max="21" width="35.140625" style="155" customWidth="1"/>
    <col min="22" max="22" width="11.5703125" style="155" bestFit="1" customWidth="1"/>
    <col min="23" max="23" width="4" style="155" customWidth="1"/>
    <col min="24" max="24" width="27.42578125" style="155" bestFit="1" customWidth="1"/>
    <col min="25" max="25" width="15.28515625" style="155" bestFit="1" customWidth="1"/>
    <col min="26" max="26" width="4" style="155" customWidth="1"/>
    <col min="27" max="27" width="35.28515625" style="155" bestFit="1" customWidth="1"/>
    <col min="28" max="28" width="15.28515625" style="155" bestFit="1" customWidth="1"/>
    <col min="29" max="29" width="4" style="155" customWidth="1"/>
    <col min="30" max="30" width="32.28515625" style="155" bestFit="1" customWidth="1"/>
    <col min="31" max="31" width="15.28515625" style="155" bestFit="1" customWidth="1"/>
    <col min="32" max="32" width="4" style="155" customWidth="1"/>
    <col min="33" max="33" width="27.42578125" style="155" bestFit="1" customWidth="1"/>
    <col min="34" max="34" width="15.28515625" style="155" bestFit="1" customWidth="1"/>
    <col min="35" max="35" width="4" style="155" customWidth="1"/>
    <col min="36" max="36" width="27.42578125" style="155" bestFit="1" customWidth="1"/>
    <col min="37" max="37" width="15.28515625" style="155" bestFit="1" customWidth="1"/>
    <col min="38" max="38" width="4" style="155" customWidth="1"/>
    <col min="39" max="39" width="30.28515625" style="155" bestFit="1" customWidth="1"/>
    <col min="40" max="40" width="18.28515625" style="155" customWidth="1"/>
    <col min="41" max="41" width="4" style="155" customWidth="1"/>
    <col min="42" max="42" width="30.28515625" style="155" bestFit="1" customWidth="1"/>
    <col min="43" max="43" width="18.28515625" style="155" customWidth="1"/>
    <col min="44" max="44" width="4" style="155" customWidth="1"/>
    <col min="45" max="45" width="30.28515625" style="155" bestFit="1" customWidth="1"/>
    <col min="46" max="46" width="18.28515625" style="155" customWidth="1"/>
    <col min="47" max="47" width="4" style="155" customWidth="1"/>
    <col min="48" max="48" width="30.28515625" style="155" bestFit="1" customWidth="1"/>
    <col min="49" max="49" width="18.28515625" style="155" customWidth="1"/>
    <col min="50" max="51" width="9.140625" style="155"/>
    <col min="52" max="52" width="12.140625" style="155" bestFit="1" customWidth="1"/>
    <col min="53" max="53" width="10" style="155" bestFit="1" customWidth="1"/>
    <col min="54" max="59" width="9.140625" style="155"/>
    <col min="60" max="60" width="12.7109375" style="155" bestFit="1" customWidth="1"/>
    <col min="61" max="16384" width="9.140625" style="155"/>
  </cols>
  <sheetData>
    <row r="1" spans="1:65">
      <c r="A1" s="256"/>
      <c r="B1" s="382"/>
      <c r="C1" s="382"/>
      <c r="D1" s="386">
        <v>0.05</v>
      </c>
      <c r="E1" s="382"/>
      <c r="F1" s="382"/>
      <c r="G1" s="382"/>
      <c r="H1" s="382"/>
      <c r="I1" s="382"/>
      <c r="J1" s="382"/>
      <c r="K1" s="382"/>
      <c r="L1" s="382"/>
      <c r="M1" s="382"/>
      <c r="N1" s="382"/>
      <c r="O1" s="382"/>
      <c r="P1" s="395">
        <v>0.01</v>
      </c>
      <c r="Q1" s="382"/>
      <c r="R1" s="382"/>
      <c r="S1" s="382"/>
      <c r="T1" s="382"/>
      <c r="U1" s="382"/>
      <c r="V1" s="382"/>
      <c r="W1" s="382"/>
      <c r="X1" s="382"/>
      <c r="Y1" s="382"/>
      <c r="Z1" s="382"/>
      <c r="AA1" s="382"/>
      <c r="AB1" s="382"/>
      <c r="AC1" s="382"/>
      <c r="AD1" s="382"/>
      <c r="AE1" s="382"/>
      <c r="AF1" s="382"/>
      <c r="AG1" s="382"/>
      <c r="AH1" s="382"/>
      <c r="AI1" s="382"/>
      <c r="AJ1" s="382"/>
      <c r="AK1" s="382"/>
      <c r="AL1" s="382"/>
      <c r="AM1" s="382"/>
      <c r="AN1" s="382"/>
      <c r="AO1" s="382"/>
      <c r="AP1" s="382"/>
      <c r="AQ1" s="382"/>
      <c r="AR1" s="382"/>
      <c r="AS1" s="382"/>
      <c r="AT1" s="382"/>
      <c r="AU1" s="382"/>
      <c r="AV1" s="382"/>
      <c r="AW1" s="382"/>
      <c r="AX1" s="382"/>
      <c r="AY1" s="382"/>
      <c r="AZ1" s="382"/>
      <c r="BA1" s="382"/>
      <c r="BB1" s="382"/>
      <c r="BC1" s="382"/>
      <c r="BD1" s="382"/>
      <c r="BE1" s="382"/>
      <c r="BF1" s="382"/>
      <c r="BG1" s="382"/>
      <c r="BH1" s="382"/>
      <c r="BI1" s="382"/>
      <c r="BJ1" s="382"/>
      <c r="BK1" s="382"/>
      <c r="BL1" s="382"/>
      <c r="BM1" s="382"/>
    </row>
    <row r="2" spans="1:65" ht="60.75" customHeight="1" thickBot="1">
      <c r="A2" s="256"/>
      <c r="B2" s="382"/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>
        <v>13277</v>
      </c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  <c r="AN2" s="382"/>
      <c r="AO2" s="382"/>
      <c r="AP2" s="382"/>
      <c r="AQ2" s="382"/>
      <c r="AR2" s="382"/>
      <c r="AS2" s="382"/>
      <c r="AT2" s="382"/>
      <c r="AU2" s="382"/>
      <c r="AV2" s="382"/>
      <c r="AW2" s="382"/>
      <c r="AX2" s="382"/>
      <c r="AY2" s="382"/>
      <c r="AZ2" s="382"/>
      <c r="BA2" s="382"/>
      <c r="BB2" s="382"/>
      <c r="BC2" s="382"/>
      <c r="BD2" s="382"/>
      <c r="BE2" s="382"/>
      <c r="BF2" s="382"/>
      <c r="BG2" s="382"/>
      <c r="BH2" s="382"/>
      <c r="BI2" s="382"/>
      <c r="BJ2" s="382"/>
      <c r="BK2" s="382"/>
      <c r="BL2" s="382"/>
      <c r="BM2" s="382"/>
    </row>
    <row r="3" spans="1:65" ht="18" thickBot="1">
      <c r="A3" s="256"/>
      <c r="B3" s="382"/>
      <c r="C3" s="479" t="s">
        <v>203</v>
      </c>
      <c r="D3" s="480"/>
      <c r="E3" s="382"/>
      <c r="F3" s="479" t="s">
        <v>202</v>
      </c>
      <c r="G3" s="480"/>
      <c r="H3" s="382"/>
      <c r="I3" s="479" t="s">
        <v>201</v>
      </c>
      <c r="J3" s="480"/>
      <c r="K3" s="382"/>
      <c r="L3" s="479" t="s">
        <v>200</v>
      </c>
      <c r="M3" s="480"/>
      <c r="N3" s="382"/>
      <c r="O3" s="479" t="s">
        <v>199</v>
      </c>
      <c r="P3" s="480"/>
      <c r="Q3" s="382"/>
      <c r="R3" s="479" t="s">
        <v>198</v>
      </c>
      <c r="S3" s="480"/>
      <c r="T3" s="382"/>
      <c r="U3" s="479" t="s">
        <v>362</v>
      </c>
      <c r="V3" s="480"/>
      <c r="W3" s="382"/>
      <c r="X3" s="479" t="s">
        <v>318</v>
      </c>
      <c r="Y3" s="480"/>
      <c r="Z3" s="382"/>
      <c r="AA3" s="479" t="s">
        <v>310</v>
      </c>
      <c r="AB3" s="480"/>
      <c r="AC3" s="382"/>
      <c r="AD3" s="479" t="s">
        <v>363</v>
      </c>
      <c r="AE3" s="480"/>
      <c r="AF3" s="382"/>
      <c r="AG3" s="479" t="s">
        <v>320</v>
      </c>
      <c r="AH3" s="480"/>
      <c r="AI3" s="382"/>
      <c r="AJ3" s="479" t="s">
        <v>369</v>
      </c>
      <c r="AK3" s="480"/>
      <c r="AL3" s="382"/>
      <c r="AM3" s="479" t="s">
        <v>370</v>
      </c>
      <c r="AN3" s="480"/>
      <c r="AO3" s="382"/>
      <c r="AP3" s="479" t="s">
        <v>371</v>
      </c>
      <c r="AQ3" s="480"/>
      <c r="AR3" s="382"/>
      <c r="AS3" s="479" t="s">
        <v>372</v>
      </c>
      <c r="AT3" s="480"/>
      <c r="AU3" s="382"/>
      <c r="AV3" s="479" t="s">
        <v>373</v>
      </c>
      <c r="AW3" s="480"/>
      <c r="AX3" s="382"/>
      <c r="AY3" s="382"/>
      <c r="AZ3" s="382"/>
      <c r="BA3" s="382"/>
      <c r="BB3" s="382"/>
      <c r="BC3" s="382"/>
      <c r="BD3" s="382"/>
      <c r="BE3" s="382"/>
      <c r="BF3" s="382"/>
      <c r="BG3" s="382"/>
      <c r="BH3" s="382"/>
      <c r="BI3" s="382"/>
      <c r="BJ3" s="382"/>
      <c r="BK3" s="382"/>
      <c r="BL3" s="382"/>
      <c r="BM3" s="382"/>
    </row>
    <row r="4" spans="1:65">
      <c r="A4" s="256"/>
      <c r="B4" s="382"/>
      <c r="C4" s="481" t="s">
        <v>197</v>
      </c>
      <c r="D4" s="481"/>
      <c r="E4" s="382"/>
      <c r="F4" s="481" t="s">
        <v>196</v>
      </c>
      <c r="G4" s="481"/>
      <c r="H4" s="382"/>
      <c r="I4" s="481" t="s">
        <v>196</v>
      </c>
      <c r="J4" s="481"/>
      <c r="K4" s="382"/>
      <c r="L4" s="481" t="s">
        <v>196</v>
      </c>
      <c r="M4" s="481"/>
      <c r="N4" s="382"/>
      <c r="O4" s="481" t="s">
        <v>195</v>
      </c>
      <c r="P4" s="481"/>
      <c r="Q4" s="382"/>
      <c r="R4" s="481" t="s">
        <v>195</v>
      </c>
      <c r="S4" s="481"/>
      <c r="T4" s="382"/>
      <c r="U4" s="481" t="s">
        <v>194</v>
      </c>
      <c r="V4" s="481"/>
      <c r="W4" s="382"/>
      <c r="X4" s="481" t="s">
        <v>194</v>
      </c>
      <c r="Y4" s="481"/>
      <c r="Z4" s="382"/>
      <c r="AA4" s="481" t="s">
        <v>194</v>
      </c>
      <c r="AB4" s="481"/>
      <c r="AC4" s="382"/>
      <c r="AD4" s="481" t="s">
        <v>194</v>
      </c>
      <c r="AE4" s="481"/>
      <c r="AF4" s="382"/>
      <c r="AG4" s="481" t="s">
        <v>194</v>
      </c>
      <c r="AH4" s="481"/>
      <c r="AI4" s="382"/>
      <c r="AJ4" s="481"/>
      <c r="AK4" s="481"/>
      <c r="AL4" s="382"/>
      <c r="AM4" s="481"/>
      <c r="AN4" s="481"/>
      <c r="AO4" s="382"/>
      <c r="AP4" s="481"/>
      <c r="AQ4" s="481"/>
      <c r="AR4" s="382"/>
      <c r="AS4" s="481"/>
      <c r="AT4" s="481"/>
      <c r="AU4" s="382"/>
      <c r="AV4" s="481"/>
      <c r="AW4" s="481"/>
      <c r="AX4" s="382"/>
      <c r="AY4" s="382"/>
      <c r="AZ4" s="382"/>
      <c r="BA4" s="382"/>
      <c r="BB4" s="382"/>
      <c r="BC4" s="382"/>
      <c r="BD4" s="382"/>
      <c r="BE4" s="382"/>
      <c r="BF4" s="382"/>
      <c r="BG4" s="382"/>
      <c r="BH4" s="382"/>
      <c r="BI4" s="382"/>
      <c r="BJ4" s="382"/>
      <c r="BK4" s="382"/>
      <c r="BL4" s="382"/>
      <c r="BM4" s="382"/>
    </row>
    <row r="5" spans="1:65" ht="15" thickBot="1">
      <c r="A5" s="256"/>
      <c r="B5" s="382"/>
      <c r="C5" s="382"/>
      <c r="D5" s="383" t="s">
        <v>817</v>
      </c>
      <c r="E5" s="382"/>
      <c r="F5" s="382"/>
      <c r="G5" s="383" t="s">
        <v>817</v>
      </c>
      <c r="H5" s="382"/>
      <c r="I5" s="382"/>
      <c r="J5" s="383" t="s">
        <v>817</v>
      </c>
      <c r="K5" s="382"/>
      <c r="L5" s="382"/>
      <c r="M5" s="383" t="s">
        <v>817</v>
      </c>
      <c r="N5" s="382"/>
      <c r="O5" s="383" t="s">
        <v>817</v>
      </c>
      <c r="P5" s="383" t="s">
        <v>817</v>
      </c>
      <c r="Q5" s="382"/>
      <c r="R5" s="382"/>
      <c r="S5" s="383" t="s">
        <v>817</v>
      </c>
      <c r="T5" s="382"/>
      <c r="U5" s="382"/>
      <c r="V5" s="383" t="s">
        <v>817</v>
      </c>
      <c r="W5" s="382"/>
      <c r="X5" s="382"/>
      <c r="Y5" s="383" t="s">
        <v>817</v>
      </c>
      <c r="Z5" s="382"/>
      <c r="AA5" s="382"/>
      <c r="AB5" s="383" t="s">
        <v>817</v>
      </c>
      <c r="AC5" s="382"/>
      <c r="AD5" s="382"/>
      <c r="AE5" s="383" t="s">
        <v>817</v>
      </c>
      <c r="AF5" s="382"/>
      <c r="AG5" s="382"/>
      <c r="AH5" s="383" t="s">
        <v>817</v>
      </c>
      <c r="AI5" s="382"/>
      <c r="AJ5" s="382"/>
      <c r="AK5" s="383" t="s">
        <v>817</v>
      </c>
      <c r="AL5" s="382"/>
      <c r="AM5" s="382"/>
      <c r="AN5" s="382"/>
      <c r="AO5" s="382"/>
      <c r="AP5" s="382"/>
      <c r="AQ5" s="382"/>
      <c r="AR5" s="382"/>
      <c r="AS5" s="382"/>
      <c r="AT5" s="382"/>
      <c r="AU5" s="382"/>
      <c r="AV5" s="382"/>
      <c r="AW5" s="382"/>
      <c r="AX5" s="382"/>
      <c r="AY5" s="382"/>
      <c r="AZ5" s="382"/>
      <c r="BA5" s="382"/>
      <c r="BB5" s="382"/>
      <c r="BC5" s="382"/>
      <c r="BD5" s="382"/>
      <c r="BE5" s="382"/>
      <c r="BF5" s="382"/>
      <c r="BG5" s="382"/>
      <c r="BH5" s="382"/>
      <c r="BI5" s="382"/>
      <c r="BJ5" s="382"/>
      <c r="BK5" s="382"/>
      <c r="BL5" s="382"/>
      <c r="BM5" s="382"/>
    </row>
    <row r="6" spans="1:65">
      <c r="A6" s="256"/>
      <c r="B6" s="382"/>
      <c r="C6" s="384" t="s">
        <v>192</v>
      </c>
      <c r="D6" s="405">
        <v>0.39499567000000002</v>
      </c>
      <c r="E6" s="382">
        <v>0.01</v>
      </c>
      <c r="F6" s="384" t="s">
        <v>192</v>
      </c>
      <c r="G6" s="401">
        <v>0.30663744999999998</v>
      </c>
      <c r="H6" s="382" t="s">
        <v>820</v>
      </c>
      <c r="I6" s="384" t="s">
        <v>193</v>
      </c>
      <c r="J6" s="403">
        <v>0.44471929999999998</v>
      </c>
      <c r="K6" s="382"/>
      <c r="L6" s="384" t="s">
        <v>192</v>
      </c>
      <c r="M6" s="403">
        <v>0.67606189999999999</v>
      </c>
      <c r="N6" s="382"/>
      <c r="O6" s="384" t="s">
        <v>191</v>
      </c>
      <c r="P6" s="405">
        <v>3.7349999999999999</v>
      </c>
      <c r="Q6" s="382"/>
      <c r="R6" s="384" t="s">
        <v>190</v>
      </c>
      <c r="S6" s="392">
        <v>3</v>
      </c>
      <c r="T6" s="382"/>
      <c r="U6" s="384" t="s">
        <v>459</v>
      </c>
      <c r="V6" s="407">
        <v>-0.34200974699999998</v>
      </c>
      <c r="W6" s="382"/>
      <c r="X6" s="384" t="s">
        <v>460</v>
      </c>
      <c r="Y6" s="409">
        <v>-0.25365254790000002</v>
      </c>
      <c r="Z6" s="382"/>
      <c r="AA6" s="384" t="s">
        <v>461</v>
      </c>
      <c r="AB6" s="411">
        <v>-0.3075</v>
      </c>
      <c r="AC6" s="382"/>
      <c r="AD6" s="384" t="s">
        <v>462</v>
      </c>
      <c r="AE6" s="392">
        <v>20.5</v>
      </c>
      <c r="AF6" s="382"/>
      <c r="AG6" s="384" t="s">
        <v>460</v>
      </c>
      <c r="AH6" s="405">
        <v>-0.13355323</v>
      </c>
      <c r="AI6" s="382"/>
      <c r="AJ6" s="389" t="s">
        <v>463</v>
      </c>
      <c r="AK6" s="392">
        <v>0.79920000000000002</v>
      </c>
      <c r="AL6" s="382"/>
      <c r="AM6" s="384" t="s">
        <v>464</v>
      </c>
      <c r="AN6" s="392">
        <v>7.5999999999999998E-2</v>
      </c>
      <c r="AO6" s="382"/>
      <c r="AP6" s="384" t="s">
        <v>465</v>
      </c>
      <c r="AQ6" s="392">
        <v>0.13089999999999999</v>
      </c>
      <c r="AR6" s="382"/>
      <c r="AS6" s="384" t="s">
        <v>466</v>
      </c>
      <c r="AT6" s="392">
        <v>8.9300000000000004E-2</v>
      </c>
      <c r="AU6" s="382"/>
      <c r="AV6" s="384" t="s">
        <v>467</v>
      </c>
      <c r="AW6" s="392">
        <v>-0.42749999999999999</v>
      </c>
      <c r="AX6" s="382"/>
      <c r="AY6" s="382"/>
      <c r="AZ6" s="396" t="s">
        <v>189</v>
      </c>
      <c r="BA6" s="388">
        <v>15.352600000000001</v>
      </c>
      <c r="BB6" s="382"/>
      <c r="BC6" s="382"/>
      <c r="BD6" s="382"/>
      <c r="BE6" s="399"/>
      <c r="BF6" s="399"/>
      <c r="BG6" s="399"/>
      <c r="BH6" s="399" t="s">
        <v>374</v>
      </c>
      <c r="BI6" s="399" t="s">
        <v>375</v>
      </c>
      <c r="BJ6" s="399" t="s">
        <v>376</v>
      </c>
      <c r="BK6" s="394"/>
      <c r="BL6" s="394"/>
      <c r="BM6" s="394"/>
    </row>
    <row r="7" spans="1:65">
      <c r="A7" s="256"/>
      <c r="B7" s="382"/>
      <c r="C7" s="384" t="s">
        <v>187</v>
      </c>
      <c r="D7" s="405">
        <v>0.39499567000000002</v>
      </c>
      <c r="E7" s="382"/>
      <c r="F7" s="384" t="s">
        <v>187</v>
      </c>
      <c r="G7" s="401">
        <v>0.30663744999999998</v>
      </c>
      <c r="H7" s="382"/>
      <c r="I7" s="384" t="s">
        <v>188</v>
      </c>
      <c r="J7" s="403">
        <v>0.44471929999999998</v>
      </c>
      <c r="K7" s="382"/>
      <c r="L7" s="384" t="s">
        <v>187</v>
      </c>
      <c r="M7" s="403">
        <v>0.67606189999999999</v>
      </c>
      <c r="N7" s="382"/>
      <c r="O7" s="384" t="s">
        <v>186</v>
      </c>
      <c r="P7" s="405">
        <v>4.0999999999999996</v>
      </c>
      <c r="Q7" s="382"/>
      <c r="R7" s="384" t="s">
        <v>185</v>
      </c>
      <c r="S7" s="392">
        <v>3</v>
      </c>
      <c r="T7" s="382"/>
      <c r="U7" s="384" t="s">
        <v>468</v>
      </c>
      <c r="V7" s="407">
        <v>-0.34200974699999998</v>
      </c>
      <c r="W7" s="382"/>
      <c r="X7" s="384" t="s">
        <v>469</v>
      </c>
      <c r="Y7" s="409">
        <v>-0.25365254790000002</v>
      </c>
      <c r="Z7" s="382"/>
      <c r="AA7" s="384" t="s">
        <v>470</v>
      </c>
      <c r="AB7" s="411">
        <v>-0.30498327868000003</v>
      </c>
      <c r="AC7" s="382"/>
      <c r="AD7" s="384" t="s">
        <v>471</v>
      </c>
      <c r="AE7" s="392">
        <v>20</v>
      </c>
      <c r="AF7" s="382"/>
      <c r="AG7" s="384" t="s">
        <v>469</v>
      </c>
      <c r="AH7" s="405">
        <v>-0.13355323</v>
      </c>
      <c r="AI7" s="382"/>
      <c r="AJ7" s="390" t="s">
        <v>472</v>
      </c>
      <c r="AK7" s="392">
        <v>0.79920000000000002</v>
      </c>
      <c r="AL7" s="382"/>
      <c r="AM7" s="384" t="s">
        <v>473</v>
      </c>
      <c r="AN7" s="392">
        <v>7.5999999999999998E-2</v>
      </c>
      <c r="AO7" s="382"/>
      <c r="AP7" s="384" t="s">
        <v>474</v>
      </c>
      <c r="AQ7" s="392">
        <v>0.125</v>
      </c>
      <c r="AR7" s="382"/>
      <c r="AS7" s="384" t="s">
        <v>475</v>
      </c>
      <c r="AT7" s="392">
        <v>99.91</v>
      </c>
      <c r="AU7" s="382"/>
      <c r="AV7" s="384" t="s">
        <v>476</v>
      </c>
      <c r="AW7" s="392">
        <v>-0.53749999999999998</v>
      </c>
      <c r="AX7" s="382"/>
      <c r="AY7" s="382"/>
      <c r="AZ7" s="396" t="s">
        <v>808</v>
      </c>
      <c r="BA7" s="388">
        <v>1.1182000000000001</v>
      </c>
      <c r="BB7" s="382"/>
      <c r="BC7" s="382"/>
      <c r="BD7" s="382"/>
      <c r="BE7" s="399" t="s">
        <v>377</v>
      </c>
      <c r="BF7" s="399"/>
      <c r="BG7" s="399"/>
      <c r="BH7" s="386" t="e">
        <v>#NAME?</v>
      </c>
      <c r="BI7" s="386" t="e">
        <v>#NAME?</v>
      </c>
      <c r="BJ7" s="386" t="e">
        <v>#NAME?</v>
      </c>
      <c r="BK7" s="394"/>
      <c r="BL7" s="394"/>
      <c r="BM7" s="394"/>
    </row>
    <row r="8" spans="1:65">
      <c r="A8" s="256"/>
      <c r="B8" s="382"/>
      <c r="C8" s="384" t="s">
        <v>183</v>
      </c>
      <c r="D8" s="405">
        <v>0.39500000000000002</v>
      </c>
      <c r="E8" s="382"/>
      <c r="F8" s="384" t="s">
        <v>183</v>
      </c>
      <c r="G8" s="401">
        <v>0.30664005999999999</v>
      </c>
      <c r="H8" s="382"/>
      <c r="I8" s="384" t="s">
        <v>184</v>
      </c>
      <c r="J8" s="403">
        <v>0.44472479999999998</v>
      </c>
      <c r="K8" s="382"/>
      <c r="L8" s="384" t="s">
        <v>183</v>
      </c>
      <c r="M8" s="403">
        <v>0.67607450000000002</v>
      </c>
      <c r="N8" s="382"/>
      <c r="O8" s="384" t="s">
        <v>182</v>
      </c>
      <c r="P8" s="405">
        <v>4.2149999999999999</v>
      </c>
      <c r="Q8" s="382"/>
      <c r="R8" s="384" t="s">
        <v>181</v>
      </c>
      <c r="S8" s="392">
        <v>3</v>
      </c>
      <c r="T8" s="382"/>
      <c r="U8" s="384" t="s">
        <v>477</v>
      </c>
      <c r="V8" s="407">
        <v>-0.34200649799999999</v>
      </c>
      <c r="W8" s="382"/>
      <c r="X8" s="384" t="s">
        <v>478</v>
      </c>
      <c r="Y8" s="409">
        <v>-0.25365076069999998</v>
      </c>
      <c r="Z8" s="382"/>
      <c r="AA8" s="384" t="s">
        <v>479</v>
      </c>
      <c r="AB8" s="411">
        <v>-0.32744320076</v>
      </c>
      <c r="AC8" s="382"/>
      <c r="AD8" s="384" t="s">
        <v>480</v>
      </c>
      <c r="AE8" s="392">
        <v>61.5</v>
      </c>
      <c r="AF8" s="382"/>
      <c r="AG8" s="384" t="s">
        <v>478</v>
      </c>
      <c r="AH8" s="405">
        <v>-0.13355273000000001</v>
      </c>
      <c r="AI8" s="382"/>
      <c r="AJ8" s="390" t="s">
        <v>481</v>
      </c>
      <c r="AK8" s="392">
        <v>0.79920000000000002</v>
      </c>
      <c r="AL8" s="382"/>
      <c r="AM8" s="384" t="s">
        <v>482</v>
      </c>
      <c r="AN8" s="392">
        <v>7.4999999999999997E-2</v>
      </c>
      <c r="AO8" s="382"/>
      <c r="AP8" s="384" t="s">
        <v>483</v>
      </c>
      <c r="AQ8" s="392">
        <v>0.12</v>
      </c>
      <c r="AR8" s="382"/>
      <c r="AS8" s="384" t="s">
        <v>484</v>
      </c>
      <c r="AT8" s="392">
        <v>99.912499999999994</v>
      </c>
      <c r="AU8" s="382"/>
      <c r="AV8" s="384" t="s">
        <v>485</v>
      </c>
      <c r="AW8" s="392">
        <v>-0.625</v>
      </c>
      <c r="AX8" s="382"/>
      <c r="AY8" s="382"/>
      <c r="AZ8" s="382"/>
      <c r="BA8" s="382"/>
      <c r="BB8" s="382"/>
      <c r="BC8" s="382"/>
      <c r="BD8" s="382"/>
      <c r="BE8" s="399" t="s">
        <v>378</v>
      </c>
      <c r="BF8" s="399"/>
      <c r="BG8" s="399"/>
      <c r="BH8" s="386" t="e">
        <v>#NAME?</v>
      </c>
      <c r="BI8" s="386" t="e">
        <v>#NAME?</v>
      </c>
      <c r="BJ8" s="386" t="e">
        <v>#NAME?</v>
      </c>
      <c r="BK8" s="394"/>
      <c r="BL8" s="394"/>
      <c r="BM8" s="394"/>
    </row>
    <row r="9" spans="1:65">
      <c r="A9" s="256"/>
      <c r="B9" s="383" t="s">
        <v>180</v>
      </c>
      <c r="C9" s="384" t="s">
        <v>179</v>
      </c>
      <c r="D9" s="405">
        <v>0.34899999999999998</v>
      </c>
      <c r="E9" s="382"/>
      <c r="F9" s="384" t="s">
        <v>177</v>
      </c>
      <c r="G9" s="401">
        <v>0.26059617000000002</v>
      </c>
      <c r="H9" s="382"/>
      <c r="I9" s="384" t="s">
        <v>178</v>
      </c>
      <c r="J9" s="403">
        <v>0.39874989999999999</v>
      </c>
      <c r="K9" s="382"/>
      <c r="L9" s="384" t="s">
        <v>177</v>
      </c>
      <c r="M9" s="403">
        <v>0.63021970000000005</v>
      </c>
      <c r="N9" s="382"/>
      <c r="O9" s="384" t="s">
        <v>176</v>
      </c>
      <c r="P9" s="405">
        <v>4.4349999999999996</v>
      </c>
      <c r="Q9" s="382"/>
      <c r="R9" s="384" t="s">
        <v>175</v>
      </c>
      <c r="S9" s="392">
        <v>3</v>
      </c>
      <c r="T9" s="382"/>
      <c r="U9" s="384" t="s">
        <v>486</v>
      </c>
      <c r="V9" s="407">
        <v>-0.34200000000000003</v>
      </c>
      <c r="W9" s="382"/>
      <c r="X9" s="384" t="s">
        <v>487</v>
      </c>
      <c r="Y9" s="409">
        <v>-0.25364718629999999</v>
      </c>
      <c r="Z9" s="382"/>
      <c r="AA9" s="384" t="s">
        <v>488</v>
      </c>
      <c r="AB9" s="411">
        <v>-0.33618703153000001</v>
      </c>
      <c r="AC9" s="382"/>
      <c r="AD9" s="384" t="s">
        <v>489</v>
      </c>
      <c r="AE9" s="398">
        <v>150</v>
      </c>
      <c r="AF9" s="382"/>
      <c r="AG9" s="384" t="s">
        <v>487</v>
      </c>
      <c r="AH9" s="405">
        <v>-0.13355174</v>
      </c>
      <c r="AI9" s="382"/>
      <c r="AJ9" s="390" t="s">
        <v>490</v>
      </c>
      <c r="AK9" s="392">
        <v>0.8</v>
      </c>
      <c r="AL9" s="382"/>
      <c r="AM9" s="384" t="s">
        <v>491</v>
      </c>
      <c r="AN9" s="392">
        <v>7.3999999999999996E-2</v>
      </c>
      <c r="AO9" s="382"/>
      <c r="AP9" s="384" t="s">
        <v>492</v>
      </c>
      <c r="AQ9" s="392">
        <v>0.13500000000000001</v>
      </c>
      <c r="AR9" s="382"/>
      <c r="AS9" s="384" t="s">
        <v>493</v>
      </c>
      <c r="AT9" s="392">
        <v>99.912499999999994</v>
      </c>
      <c r="AU9" s="382"/>
      <c r="AV9" s="384" t="s">
        <v>494</v>
      </c>
      <c r="AW9" s="392">
        <v>-0.6875</v>
      </c>
      <c r="AX9" s="382"/>
      <c r="AY9" s="382"/>
      <c r="AZ9" s="382"/>
      <c r="BA9" s="382"/>
      <c r="BB9" s="382"/>
      <c r="BC9" s="382"/>
      <c r="BD9" s="382"/>
      <c r="BE9" s="399" t="s">
        <v>379</v>
      </c>
      <c r="BF9" s="399"/>
      <c r="BG9" s="399"/>
      <c r="BH9" s="386" t="e">
        <v>#NAME?</v>
      </c>
      <c r="BI9" s="386" t="e">
        <v>#NAME?</v>
      </c>
      <c r="BJ9" s="400" t="e">
        <v>#NAME?</v>
      </c>
      <c r="BK9" s="394"/>
      <c r="BL9" s="394"/>
      <c r="BM9" s="394"/>
    </row>
    <row r="10" spans="1:65">
      <c r="A10" s="256"/>
      <c r="B10" s="383" t="s">
        <v>174</v>
      </c>
      <c r="C10" s="384" t="s">
        <v>173</v>
      </c>
      <c r="D10" s="405">
        <v>0.4</v>
      </c>
      <c r="E10" s="382"/>
      <c r="F10" s="384" t="s">
        <v>171</v>
      </c>
      <c r="G10" s="401">
        <v>0.46955000000000002</v>
      </c>
      <c r="H10" s="382"/>
      <c r="I10" s="384" t="s">
        <v>172</v>
      </c>
      <c r="J10" s="403">
        <v>0.60746880000000003</v>
      </c>
      <c r="K10" s="382"/>
      <c r="L10" s="384" t="s">
        <v>171</v>
      </c>
      <c r="M10" s="403">
        <v>0.83857559999999998</v>
      </c>
      <c r="N10" s="382"/>
      <c r="O10" s="384" t="s">
        <v>170</v>
      </c>
      <c r="P10" s="405">
        <v>4.6050000000000004</v>
      </c>
      <c r="Q10" s="382"/>
      <c r="R10" s="384" t="s">
        <v>169</v>
      </c>
      <c r="S10" s="392">
        <v>3</v>
      </c>
      <c r="T10" s="382"/>
      <c r="U10" s="384" t="s">
        <v>495</v>
      </c>
      <c r="V10" s="407">
        <v>-0.34</v>
      </c>
      <c r="W10" s="382"/>
      <c r="X10" s="384" t="s">
        <v>496</v>
      </c>
      <c r="Y10" s="409">
        <v>-0.25293077730000002</v>
      </c>
      <c r="Z10" s="382"/>
      <c r="AA10" s="384" t="s">
        <v>497</v>
      </c>
      <c r="AB10" s="411">
        <v>-0.35860182295999998</v>
      </c>
      <c r="AC10" s="382"/>
      <c r="AD10" s="384" t="s">
        <v>498</v>
      </c>
      <c r="AE10" s="398">
        <v>321.83330000000001</v>
      </c>
      <c r="AF10" s="382"/>
      <c r="AG10" s="384" t="s">
        <v>496</v>
      </c>
      <c r="AH10" s="405">
        <v>-0.13285161000000001</v>
      </c>
      <c r="AI10" s="382"/>
      <c r="AJ10" s="390" t="s">
        <v>499</v>
      </c>
      <c r="AK10" s="392">
        <v>0.96899999999999997</v>
      </c>
      <c r="AL10" s="382"/>
      <c r="AM10" s="384" t="s">
        <v>500</v>
      </c>
      <c r="AN10" s="392">
        <v>7.2499999999999995E-2</v>
      </c>
      <c r="AO10" s="382"/>
      <c r="AP10" s="384" t="s">
        <v>501</v>
      </c>
      <c r="AQ10" s="392">
        <v>0.17</v>
      </c>
      <c r="AR10" s="382"/>
      <c r="AS10" s="384" t="s">
        <v>502</v>
      </c>
      <c r="AT10" s="392">
        <v>99.917500000000004</v>
      </c>
      <c r="AU10" s="382"/>
      <c r="AV10" s="384" t="s">
        <v>503</v>
      </c>
      <c r="AW10" s="392">
        <v>-0.73</v>
      </c>
      <c r="AX10" s="382"/>
      <c r="AY10" s="382"/>
      <c r="AZ10" s="382"/>
      <c r="BA10" s="382"/>
      <c r="BB10" s="382"/>
      <c r="BC10" s="382"/>
      <c r="BD10" s="382"/>
      <c r="BE10" s="399" t="s">
        <v>380</v>
      </c>
      <c r="BF10" s="399"/>
      <c r="BG10" s="399"/>
      <c r="BH10" s="386" t="e">
        <v>#NAME?</v>
      </c>
      <c r="BI10" s="386" t="e">
        <v>#NAME?</v>
      </c>
      <c r="BJ10" s="400" t="e">
        <v>#NAME?</v>
      </c>
      <c r="BK10" s="394"/>
      <c r="BL10" s="394"/>
      <c r="BM10" s="394"/>
    </row>
    <row r="11" spans="1:65">
      <c r="A11" s="256"/>
      <c r="B11" s="383" t="s">
        <v>168</v>
      </c>
      <c r="C11" s="384" t="s">
        <v>167</v>
      </c>
      <c r="D11" s="405">
        <v>0.41699999999999998</v>
      </c>
      <c r="E11" s="382"/>
      <c r="F11" s="384" t="s">
        <v>165</v>
      </c>
      <c r="G11" s="401">
        <v>0.49217115</v>
      </c>
      <c r="H11" s="382"/>
      <c r="I11" s="384" t="s">
        <v>166</v>
      </c>
      <c r="J11" s="403">
        <v>0.66028160000000002</v>
      </c>
      <c r="K11" s="382"/>
      <c r="L11" s="384" t="s">
        <v>165</v>
      </c>
      <c r="M11" s="403">
        <v>0.8914204</v>
      </c>
      <c r="N11" s="382"/>
      <c r="O11" s="384" t="s">
        <v>164</v>
      </c>
      <c r="P11" s="405">
        <v>4.7383499999999996</v>
      </c>
      <c r="Q11" s="382"/>
      <c r="R11" s="384" t="s">
        <v>163</v>
      </c>
      <c r="S11" s="392">
        <v>3</v>
      </c>
      <c r="T11" s="382"/>
      <c r="U11" s="384" t="s">
        <v>504</v>
      </c>
      <c r="V11" s="407">
        <v>-0.34081230699999998</v>
      </c>
      <c r="W11" s="382"/>
      <c r="X11" s="384" t="s">
        <v>505</v>
      </c>
      <c r="Y11" s="409">
        <v>-0.25886781980000001</v>
      </c>
      <c r="Z11" s="382"/>
      <c r="AA11" s="384" t="s">
        <v>506</v>
      </c>
      <c r="AB11" s="411">
        <v>-0.37850101101</v>
      </c>
      <c r="AC11" s="382"/>
      <c r="AD11" s="384" t="s">
        <v>507</v>
      </c>
      <c r="AE11" s="398">
        <v>493.66669999999999</v>
      </c>
      <c r="AF11" s="382"/>
      <c r="AG11" s="384" t="s">
        <v>505</v>
      </c>
      <c r="AH11" s="405">
        <v>-0.14234717</v>
      </c>
      <c r="AI11" s="382"/>
      <c r="AJ11" s="390" t="s">
        <v>508</v>
      </c>
      <c r="AK11" s="392">
        <v>0.94069999999999998</v>
      </c>
      <c r="AL11" s="382"/>
      <c r="AM11" s="384" t="s">
        <v>509</v>
      </c>
      <c r="AN11" s="392">
        <v>7.0999999999999994E-2</v>
      </c>
      <c r="AO11" s="382"/>
      <c r="AP11" s="384" t="s">
        <v>510</v>
      </c>
      <c r="AQ11" s="392">
        <v>0.22</v>
      </c>
      <c r="AR11" s="382"/>
      <c r="AS11" s="384" t="s">
        <v>511</v>
      </c>
      <c r="AT11" s="392">
        <v>3.2500000000000001E-2</v>
      </c>
      <c r="AU11" s="382"/>
      <c r="AV11" s="384" t="s">
        <v>512</v>
      </c>
      <c r="AW11" s="392">
        <v>-0.75749999999999995</v>
      </c>
      <c r="AX11" s="382"/>
      <c r="AY11" s="382"/>
      <c r="AZ11" s="383" t="s">
        <v>162</v>
      </c>
      <c r="BA11" s="382"/>
      <c r="BB11" s="382"/>
      <c r="BC11" s="382"/>
      <c r="BD11" s="382"/>
      <c r="BE11" s="399"/>
      <c r="BF11" s="386">
        <v>2</v>
      </c>
      <c r="BG11" s="399"/>
      <c r="BH11" s="386"/>
      <c r="BI11" s="386"/>
      <c r="BJ11" s="400" t="e">
        <v>#NAME?</v>
      </c>
      <c r="BK11" s="394"/>
      <c r="BL11" s="394">
        <v>1</v>
      </c>
      <c r="BM11" s="394" t="e">
        <v>#NAME?</v>
      </c>
    </row>
    <row r="12" spans="1:65">
      <c r="A12" s="256"/>
      <c r="B12" s="383" t="s">
        <v>161</v>
      </c>
      <c r="C12" s="384" t="s">
        <v>160</v>
      </c>
      <c r="D12" s="405">
        <v>0.45700000000000002</v>
      </c>
      <c r="E12" s="382"/>
      <c r="F12" s="384" t="s">
        <v>158</v>
      </c>
      <c r="G12" s="401">
        <v>0.53449186000000004</v>
      </c>
      <c r="H12" s="382"/>
      <c r="I12" s="384" t="s">
        <v>159</v>
      </c>
      <c r="J12" s="403">
        <v>0.68130000000000002</v>
      </c>
      <c r="K12" s="382"/>
      <c r="L12" s="384" t="s">
        <v>158</v>
      </c>
      <c r="M12" s="403">
        <v>0.9125721</v>
      </c>
      <c r="N12" s="382"/>
      <c r="O12" s="384" t="s">
        <v>157</v>
      </c>
      <c r="P12" s="405">
        <v>5.01</v>
      </c>
      <c r="Q12" s="382"/>
      <c r="R12" s="384" t="s">
        <v>156</v>
      </c>
      <c r="S12" s="393">
        <v>3</v>
      </c>
      <c r="T12" s="382"/>
      <c r="U12" s="384" t="s">
        <v>513</v>
      </c>
      <c r="V12" s="407">
        <v>-0.34252622900000002</v>
      </c>
      <c r="W12" s="382"/>
      <c r="X12" s="384" t="s">
        <v>514</v>
      </c>
      <c r="Y12" s="409">
        <v>-0.26100000000000001</v>
      </c>
      <c r="Z12" s="382"/>
      <c r="AA12" s="384" t="s">
        <v>515</v>
      </c>
      <c r="AB12" s="411">
        <v>-0.39463988115999998</v>
      </c>
      <c r="AC12" s="382"/>
      <c r="AD12" s="384" t="s">
        <v>516</v>
      </c>
      <c r="AE12" s="398">
        <v>665.5</v>
      </c>
      <c r="AF12" s="382"/>
      <c r="AG12" s="384" t="s">
        <v>514</v>
      </c>
      <c r="AH12" s="405">
        <v>-0.14793786</v>
      </c>
      <c r="AI12" s="382"/>
      <c r="AJ12" s="390" t="s">
        <v>517</v>
      </c>
      <c r="AK12" s="392">
        <v>0.94979999999999998</v>
      </c>
      <c r="AL12" s="382"/>
      <c r="AM12" s="384" t="s">
        <v>518</v>
      </c>
      <c r="AN12" s="392">
        <v>7.0999999999999994E-2</v>
      </c>
      <c r="AO12" s="382"/>
      <c r="AP12" s="384" t="s">
        <v>519</v>
      </c>
      <c r="AQ12" s="392">
        <v>0.27750000000000002</v>
      </c>
      <c r="AR12" s="382"/>
      <c r="AS12" s="384" t="s">
        <v>520</v>
      </c>
      <c r="AT12" s="392">
        <v>3.5000000000000003E-2</v>
      </c>
      <c r="AU12" s="382"/>
      <c r="AV12" s="384" t="s">
        <v>521</v>
      </c>
      <c r="AW12" s="392">
        <v>-0.70750000000000002</v>
      </c>
      <c r="AX12" s="382"/>
      <c r="AY12" s="382"/>
      <c r="AZ12" s="383" t="s">
        <v>155</v>
      </c>
      <c r="BA12" s="382"/>
      <c r="BB12" s="382"/>
      <c r="BC12" s="382"/>
      <c r="BD12" s="382"/>
      <c r="BE12" s="399"/>
      <c r="BF12" s="386">
        <v>3</v>
      </c>
      <c r="BG12" s="399"/>
      <c r="BH12" s="386"/>
      <c r="BI12" s="386"/>
      <c r="BJ12" s="400" t="e">
        <v>#NAME?</v>
      </c>
      <c r="BK12" s="394"/>
      <c r="BL12" s="394">
        <v>4</v>
      </c>
      <c r="BM12" s="394" t="e">
        <v>#NAME?</v>
      </c>
    </row>
    <row r="13" spans="1:65">
      <c r="A13" s="256"/>
      <c r="B13" s="383" t="s">
        <v>154</v>
      </c>
      <c r="C13" s="384" t="s">
        <v>153</v>
      </c>
      <c r="D13" s="405">
        <v>0.47599999999999998</v>
      </c>
      <c r="E13" s="382"/>
      <c r="F13" s="384" t="s">
        <v>151</v>
      </c>
      <c r="G13" s="401">
        <v>0.55518756999999996</v>
      </c>
      <c r="H13" s="382"/>
      <c r="I13" s="384" t="s">
        <v>152</v>
      </c>
      <c r="J13" s="403">
        <v>0.70780390000000004</v>
      </c>
      <c r="K13" s="382"/>
      <c r="L13" s="384" t="s">
        <v>151</v>
      </c>
      <c r="M13" s="403">
        <v>0.93917320000000004</v>
      </c>
      <c r="N13" s="382"/>
      <c r="O13" s="384" t="s">
        <v>150</v>
      </c>
      <c r="P13" s="405">
        <v>5.24</v>
      </c>
      <c r="Q13" s="382"/>
      <c r="R13" s="384" t="s">
        <v>149</v>
      </c>
      <c r="S13" s="392">
        <v>3</v>
      </c>
      <c r="T13" s="382"/>
      <c r="U13" s="384" t="s">
        <v>522</v>
      </c>
      <c r="V13" s="407">
        <v>-0.34846857799999997</v>
      </c>
      <c r="W13" s="382"/>
      <c r="X13" s="384" t="s">
        <v>523</v>
      </c>
      <c r="Y13" s="409">
        <v>-0.2618909063</v>
      </c>
      <c r="Z13" s="382"/>
      <c r="AA13" s="384" t="s">
        <v>524</v>
      </c>
      <c r="AB13" s="411">
        <v>-0.41075381768000002</v>
      </c>
      <c r="AC13" s="382"/>
      <c r="AD13" s="384" t="s">
        <v>525</v>
      </c>
      <c r="AE13" s="398">
        <v>1212.5</v>
      </c>
      <c r="AF13" s="382"/>
      <c r="AG13" s="384" t="s">
        <v>523</v>
      </c>
      <c r="AH13" s="405">
        <v>-0.15030479999999999</v>
      </c>
      <c r="AI13" s="382"/>
      <c r="AJ13" s="390" t="s">
        <v>526</v>
      </c>
      <c r="AK13" s="392">
        <v>0.95279999999999998</v>
      </c>
      <c r="AL13" s="382"/>
      <c r="AM13" s="384" t="s">
        <v>527</v>
      </c>
      <c r="AN13" s="392">
        <v>7.0000000000000007E-2</v>
      </c>
      <c r="AO13" s="382"/>
      <c r="AP13" s="384" t="s">
        <v>528</v>
      </c>
      <c r="AQ13" s="392">
        <v>0.34250000000000003</v>
      </c>
      <c r="AR13" s="382"/>
      <c r="AS13" s="384" t="s">
        <v>529</v>
      </c>
      <c r="AT13" s="392">
        <v>3.7499999999999999E-2</v>
      </c>
      <c r="AU13" s="382"/>
      <c r="AV13" s="384" t="s">
        <v>530</v>
      </c>
      <c r="AW13" s="392">
        <v>-0.59499999999999997</v>
      </c>
      <c r="AX13" s="382"/>
      <c r="AY13" s="382"/>
      <c r="AZ13" s="383" t="s">
        <v>148</v>
      </c>
      <c r="BA13" s="382"/>
      <c r="BB13" s="382"/>
      <c r="BC13" s="382"/>
      <c r="BD13" s="382"/>
      <c r="BE13" s="399" t="s">
        <v>381</v>
      </c>
      <c r="BF13" s="399"/>
      <c r="BG13" s="399"/>
      <c r="BH13" s="386" t="e">
        <v>#NAME?</v>
      </c>
      <c r="BI13" s="386" t="e">
        <v>#NAME?</v>
      </c>
      <c r="BJ13" s="400" t="e">
        <v>#NAME?</v>
      </c>
      <c r="BK13" s="394"/>
      <c r="BL13" s="394">
        <v>3</v>
      </c>
      <c r="BM13" s="394" t="e">
        <v>#NAME?</v>
      </c>
    </row>
    <row r="14" spans="1:65">
      <c r="A14" s="256"/>
      <c r="B14" s="383" t="s">
        <v>147</v>
      </c>
      <c r="C14" s="384" t="s">
        <v>146</v>
      </c>
      <c r="D14" s="405">
        <v>0.496</v>
      </c>
      <c r="E14" s="382"/>
      <c r="F14" s="384" t="s">
        <v>144</v>
      </c>
      <c r="G14" s="401">
        <v>0.57838794000000004</v>
      </c>
      <c r="H14" s="382"/>
      <c r="I14" s="384" t="s">
        <v>145</v>
      </c>
      <c r="J14" s="403">
        <v>0.73507710000000004</v>
      </c>
      <c r="K14" s="382"/>
      <c r="L14" s="384" t="s">
        <v>144</v>
      </c>
      <c r="M14" s="403">
        <v>0.96657349999999997</v>
      </c>
      <c r="N14" s="382"/>
      <c r="O14" s="384" t="s">
        <v>143</v>
      </c>
      <c r="P14" s="405">
        <v>5.45</v>
      </c>
      <c r="Q14" s="382"/>
      <c r="R14" s="384" t="s">
        <v>142</v>
      </c>
      <c r="S14" s="392">
        <v>3</v>
      </c>
      <c r="T14" s="382"/>
      <c r="U14" s="384" t="s">
        <v>531</v>
      </c>
      <c r="V14" s="407">
        <v>-0.35402672200000002</v>
      </c>
      <c r="W14" s="382"/>
      <c r="X14" s="384" t="s">
        <v>532</v>
      </c>
      <c r="Y14" s="409">
        <v>-0.26537826910000001</v>
      </c>
      <c r="Z14" s="382"/>
      <c r="AA14" s="384" t="s">
        <v>533</v>
      </c>
      <c r="AB14" s="411">
        <v>-0.41944476586000001</v>
      </c>
      <c r="AC14" s="382"/>
      <c r="AD14" s="384" t="s">
        <v>534</v>
      </c>
      <c r="AE14" s="398">
        <v>1827.5</v>
      </c>
      <c r="AF14" s="382"/>
      <c r="AG14" s="384" t="s">
        <v>532</v>
      </c>
      <c r="AH14" s="405">
        <v>-0.15191064000000001</v>
      </c>
      <c r="AI14" s="382"/>
      <c r="AJ14" s="390" t="s">
        <v>535</v>
      </c>
      <c r="AK14" s="392">
        <v>0.95789999999999997</v>
      </c>
      <c r="AL14" s="382"/>
      <c r="AM14" s="384" t="s">
        <v>536</v>
      </c>
      <c r="AN14" s="392">
        <v>6.9000000000000006E-2</v>
      </c>
      <c r="AO14" s="382"/>
      <c r="AP14" s="384" t="s">
        <v>537</v>
      </c>
      <c r="AQ14" s="392">
        <v>0.41</v>
      </c>
      <c r="AR14" s="382"/>
      <c r="AS14" s="384" t="s">
        <v>538</v>
      </c>
      <c r="AT14" s="392">
        <v>3.7499999999999999E-2</v>
      </c>
      <c r="AU14" s="382"/>
      <c r="AV14" s="384" t="s">
        <v>539</v>
      </c>
      <c r="AW14" s="392">
        <v>-0.52249999999999996</v>
      </c>
      <c r="AX14" s="382"/>
      <c r="AY14" s="382"/>
      <c r="AZ14" s="383" t="s">
        <v>141</v>
      </c>
      <c r="BA14" s="382"/>
      <c r="BB14" s="382"/>
      <c r="BC14" s="382"/>
      <c r="BD14" s="382"/>
      <c r="BE14" s="399" t="s">
        <v>382</v>
      </c>
      <c r="BF14" s="399"/>
      <c r="BG14" s="399"/>
      <c r="BH14" s="386" t="e">
        <v>#NAME?</v>
      </c>
      <c r="BI14" s="386" t="e">
        <v>#NAME?</v>
      </c>
      <c r="BJ14" s="400" t="e">
        <v>#NAME?</v>
      </c>
      <c r="BK14" s="394"/>
      <c r="BL14" s="394">
        <v>6</v>
      </c>
      <c r="BM14" s="394" t="e">
        <v>#NAME?</v>
      </c>
    </row>
    <row r="15" spans="1:65">
      <c r="A15" s="256"/>
      <c r="B15" s="383" t="s">
        <v>140</v>
      </c>
      <c r="C15" s="384" t="s">
        <v>139</v>
      </c>
      <c r="D15" s="405">
        <v>0.51100000000000001</v>
      </c>
      <c r="E15" s="382"/>
      <c r="F15" s="384" t="s">
        <v>137</v>
      </c>
      <c r="G15" s="401">
        <v>0.59753858999999998</v>
      </c>
      <c r="H15" s="382"/>
      <c r="I15" s="384" t="s">
        <v>138</v>
      </c>
      <c r="J15" s="403">
        <v>0.75375000000000003</v>
      </c>
      <c r="K15" s="382"/>
      <c r="L15" s="384" t="s">
        <v>137</v>
      </c>
      <c r="M15" s="403">
        <v>0.98540000000000005</v>
      </c>
      <c r="N15" s="382"/>
      <c r="O15" s="384" t="s">
        <v>136</v>
      </c>
      <c r="P15" s="405">
        <v>5.66</v>
      </c>
      <c r="Q15" s="382"/>
      <c r="R15" s="384" t="s">
        <v>135</v>
      </c>
      <c r="S15" s="392">
        <v>3</v>
      </c>
      <c r="T15" s="382"/>
      <c r="U15" s="384" t="s">
        <v>540</v>
      </c>
      <c r="V15" s="407">
        <v>-0.35880853200000001</v>
      </c>
      <c r="W15" s="382"/>
      <c r="X15" s="384" t="s">
        <v>541</v>
      </c>
      <c r="Y15" s="409">
        <v>-0.26782273449999999</v>
      </c>
      <c r="Z15" s="382"/>
      <c r="AA15" s="384" t="s">
        <v>542</v>
      </c>
      <c r="AB15" s="411">
        <v>-0.42442160975999998</v>
      </c>
      <c r="AC15" s="382"/>
      <c r="AD15" s="384" t="s">
        <v>543</v>
      </c>
      <c r="AE15" s="398">
        <v>2394.1667000000002</v>
      </c>
      <c r="AF15" s="382"/>
      <c r="AG15" s="384" t="s">
        <v>541</v>
      </c>
      <c r="AH15" s="405">
        <v>-0.153</v>
      </c>
      <c r="AI15" s="382"/>
      <c r="AJ15" s="390" t="s">
        <v>544</v>
      </c>
      <c r="AK15" s="392">
        <v>0.98180000000000001</v>
      </c>
      <c r="AL15" s="382"/>
      <c r="AM15" s="384" t="s">
        <v>545</v>
      </c>
      <c r="AN15" s="392">
        <v>6.8000000000000005E-2</v>
      </c>
      <c r="AO15" s="382"/>
      <c r="AP15" s="384" t="s">
        <v>546</v>
      </c>
      <c r="AQ15" s="392">
        <v>0.48</v>
      </c>
      <c r="AR15" s="382"/>
      <c r="AS15" s="384" t="s">
        <v>547</v>
      </c>
      <c r="AT15" s="392">
        <v>0.04</v>
      </c>
      <c r="AU15" s="382"/>
      <c r="AV15" s="384" t="s">
        <v>548</v>
      </c>
      <c r="AW15" s="392">
        <v>-0.435</v>
      </c>
      <c r="AX15" s="382"/>
      <c r="AY15" s="382"/>
      <c r="AZ15" s="383" t="s">
        <v>134</v>
      </c>
      <c r="BA15" s="382"/>
      <c r="BB15" s="382"/>
      <c r="BC15" s="382"/>
      <c r="BD15" s="382"/>
      <c r="BE15" s="399" t="s">
        <v>383</v>
      </c>
      <c r="BF15" s="386">
        <v>3</v>
      </c>
      <c r="BG15" s="399"/>
      <c r="BH15" s="386" t="e">
        <v>#NAME?</v>
      </c>
      <c r="BI15" s="386" t="e">
        <v>#NAME?</v>
      </c>
      <c r="BJ15" s="400" t="e">
        <v>#NAME?</v>
      </c>
      <c r="BK15" s="394"/>
      <c r="BL15" s="394">
        <v>9</v>
      </c>
      <c r="BM15" s="394" t="e">
        <v>#NAME?</v>
      </c>
    </row>
    <row r="16" spans="1:65">
      <c r="A16" s="256"/>
      <c r="B16" s="383" t="s">
        <v>133</v>
      </c>
      <c r="C16" s="384" t="s">
        <v>132</v>
      </c>
      <c r="D16" s="405">
        <v>0.52800000000000002</v>
      </c>
      <c r="E16" s="382"/>
      <c r="F16" s="384" t="s">
        <v>130</v>
      </c>
      <c r="G16" s="401">
        <v>0.61726579000000004</v>
      </c>
      <c r="H16" s="382"/>
      <c r="I16" s="384" t="s">
        <v>131</v>
      </c>
      <c r="J16" s="403">
        <v>0.77341680000000002</v>
      </c>
      <c r="K16" s="382"/>
      <c r="L16" s="384" t="s">
        <v>130</v>
      </c>
      <c r="M16" s="403">
        <v>1.0037923</v>
      </c>
      <c r="N16" s="382"/>
      <c r="O16" s="384" t="s">
        <v>129</v>
      </c>
      <c r="P16" s="405">
        <v>6</v>
      </c>
      <c r="Q16" s="382"/>
      <c r="R16" s="384" t="e">
        <v>#N/A</v>
      </c>
      <c r="S16" s="387" t="e">
        <v>#N/A</v>
      </c>
      <c r="T16" s="382"/>
      <c r="U16" s="384" t="s">
        <v>549</v>
      </c>
      <c r="V16" s="407">
        <v>-0.363661022</v>
      </c>
      <c r="W16" s="382"/>
      <c r="X16" s="384" t="s">
        <v>550</v>
      </c>
      <c r="Y16" s="409">
        <v>-0.26779727660000002</v>
      </c>
      <c r="Z16" s="382"/>
      <c r="AA16" s="384" t="s">
        <v>551</v>
      </c>
      <c r="AB16" s="411">
        <v>-0.42448601072999997</v>
      </c>
      <c r="AC16" s="382"/>
      <c r="AD16" s="384" t="s">
        <v>552</v>
      </c>
      <c r="AE16" s="398">
        <v>2960.8332999999998</v>
      </c>
      <c r="AF16" s="382"/>
      <c r="AG16" s="384" t="s">
        <v>550</v>
      </c>
      <c r="AH16" s="405">
        <v>-0.15090176</v>
      </c>
      <c r="AI16" s="382"/>
      <c r="AJ16" s="390" t="s">
        <v>553</v>
      </c>
      <c r="AK16" s="392">
        <v>0.999</v>
      </c>
      <c r="AL16" s="382"/>
      <c r="AM16" s="384" t="s">
        <v>554</v>
      </c>
      <c r="AN16" s="392">
        <v>6.7000000000000004E-2</v>
      </c>
      <c r="AO16" s="382"/>
      <c r="AP16" s="384" t="s">
        <v>555</v>
      </c>
      <c r="AQ16" s="392">
        <v>0.55000000000000004</v>
      </c>
      <c r="AR16" s="382"/>
      <c r="AS16" s="384" t="s">
        <v>556</v>
      </c>
      <c r="AT16" s="392">
        <v>4.2500000000000003E-2</v>
      </c>
      <c r="AU16" s="382"/>
      <c r="AV16" s="384"/>
      <c r="AW16" s="392"/>
      <c r="AX16" s="382"/>
      <c r="AY16" s="382"/>
      <c r="AZ16" s="383" t="s">
        <v>821</v>
      </c>
      <c r="BA16" s="382"/>
      <c r="BB16" s="382"/>
      <c r="BC16" s="382"/>
      <c r="BD16" s="382"/>
      <c r="BE16" s="399"/>
      <c r="BF16" s="386">
        <v>4</v>
      </c>
      <c r="BG16" s="399"/>
      <c r="BH16" s="386"/>
      <c r="BI16" s="386"/>
      <c r="BJ16" s="400" t="e">
        <v>#NAME?</v>
      </c>
      <c r="BK16" s="394"/>
      <c r="BL16" s="394">
        <v>12</v>
      </c>
      <c r="BM16" s="394" t="e">
        <v>#NAME?</v>
      </c>
    </row>
    <row r="17" spans="1:65">
      <c r="A17" s="256"/>
      <c r="B17" s="383" t="s">
        <v>128</v>
      </c>
      <c r="C17" s="384" t="s">
        <v>127</v>
      </c>
      <c r="D17" s="405">
        <v>0.54800000000000004</v>
      </c>
      <c r="E17" s="382"/>
      <c r="F17" s="384" t="s">
        <v>125</v>
      </c>
      <c r="G17" s="401">
        <v>0.63739992999999995</v>
      </c>
      <c r="H17" s="382"/>
      <c r="I17" s="384" t="s">
        <v>126</v>
      </c>
      <c r="J17" s="403">
        <v>0.79798840000000004</v>
      </c>
      <c r="K17" s="382"/>
      <c r="L17" s="384" t="s">
        <v>125</v>
      </c>
      <c r="M17" s="403">
        <v>1.0270386</v>
      </c>
      <c r="N17" s="382"/>
      <c r="O17" s="384" t="s">
        <v>124</v>
      </c>
      <c r="P17" s="406">
        <v>6.33499999</v>
      </c>
      <c r="Q17" s="382"/>
      <c r="R17" s="384" t="e">
        <v>#N/A</v>
      </c>
      <c r="S17" s="387" t="e">
        <v>#N/A</v>
      </c>
      <c r="T17" s="382"/>
      <c r="U17" s="384" t="s">
        <v>557</v>
      </c>
      <c r="V17" s="407">
        <v>-0.36825348000000002</v>
      </c>
      <c r="W17" s="382"/>
      <c r="X17" s="384" t="s">
        <v>558</v>
      </c>
      <c r="Y17" s="409">
        <v>-0.27176031859999999</v>
      </c>
      <c r="Z17" s="382"/>
      <c r="AA17" s="384" t="s">
        <v>559</v>
      </c>
      <c r="AB17" s="411">
        <v>-0.42331945124999998</v>
      </c>
      <c r="AC17" s="382"/>
      <c r="AD17" s="384" t="s">
        <v>560</v>
      </c>
      <c r="AE17" s="398">
        <v>3527.5</v>
      </c>
      <c r="AF17" s="382"/>
      <c r="AG17" s="384" t="s">
        <v>558</v>
      </c>
      <c r="AH17" s="405">
        <v>-0.15182161999999999</v>
      </c>
      <c r="AI17" s="382"/>
      <c r="AJ17" s="390" t="s">
        <v>561</v>
      </c>
      <c r="AK17" s="392">
        <v>1.04</v>
      </c>
      <c r="AL17" s="382"/>
      <c r="AM17" s="384" t="s">
        <v>562</v>
      </c>
      <c r="AN17" s="392">
        <v>6.6000000000000003E-2</v>
      </c>
      <c r="AO17" s="382"/>
      <c r="AP17" s="384" t="s">
        <v>563</v>
      </c>
      <c r="AQ17" s="392">
        <v>0.69499999999999995</v>
      </c>
      <c r="AR17" s="382"/>
      <c r="AS17" s="384" t="s">
        <v>564</v>
      </c>
      <c r="AT17" s="392">
        <v>4.4999999999999998E-2</v>
      </c>
      <c r="AU17" s="382"/>
      <c r="AV17" s="384"/>
      <c r="AW17" s="392"/>
      <c r="AX17" s="382"/>
      <c r="AY17" s="382"/>
      <c r="AZ17" s="382"/>
      <c r="BA17" s="382"/>
      <c r="BB17" s="382"/>
      <c r="BC17" s="382"/>
      <c r="BD17" s="382"/>
      <c r="BE17" s="399"/>
      <c r="BF17" s="386">
        <v>5</v>
      </c>
      <c r="BG17" s="399"/>
      <c r="BH17" s="386"/>
      <c r="BI17" s="386"/>
      <c r="BJ17" s="400" t="e">
        <v>#NAME?</v>
      </c>
      <c r="BK17" s="394"/>
      <c r="BL17" s="394"/>
      <c r="BM17" s="394"/>
    </row>
    <row r="18" spans="1:65">
      <c r="A18" s="256"/>
      <c r="B18" s="383" t="s">
        <v>123</v>
      </c>
      <c r="C18" s="384" t="s">
        <v>122</v>
      </c>
      <c r="D18" s="405">
        <v>0.56399999999999995</v>
      </c>
      <c r="E18" s="382"/>
      <c r="F18" s="384" t="s">
        <v>120</v>
      </c>
      <c r="G18" s="401">
        <v>0.65651404000000002</v>
      </c>
      <c r="H18" s="382"/>
      <c r="I18" s="384" t="s">
        <v>121</v>
      </c>
      <c r="J18" s="403">
        <v>0.81546399999999997</v>
      </c>
      <c r="K18" s="382"/>
      <c r="L18" s="384" t="s">
        <v>120</v>
      </c>
      <c r="M18" s="403">
        <v>1.0433299</v>
      </c>
      <c r="N18" s="382"/>
      <c r="O18" s="384" t="s">
        <v>119</v>
      </c>
      <c r="P18" s="405">
        <v>6.54499999</v>
      </c>
      <c r="Q18" s="382"/>
      <c r="R18" s="384" t="e">
        <v>#N/A</v>
      </c>
      <c r="S18" s="387" t="e">
        <v>#N/A</v>
      </c>
      <c r="T18" s="382"/>
      <c r="U18" s="384" t="s">
        <v>565</v>
      </c>
      <c r="V18" s="407">
        <v>-0.37192492100000002</v>
      </c>
      <c r="W18" s="382"/>
      <c r="X18" s="384" t="s">
        <v>566</v>
      </c>
      <c r="Y18" s="409">
        <v>-0.2745587122</v>
      </c>
      <c r="Z18" s="382"/>
      <c r="AA18" s="384" t="s">
        <v>567</v>
      </c>
      <c r="AB18" s="412">
        <v>-0.41850628206000001</v>
      </c>
      <c r="AC18" s="382"/>
      <c r="AD18" s="384" t="s">
        <v>568</v>
      </c>
      <c r="AE18" s="393">
        <v>4051.6667000000002</v>
      </c>
      <c r="AF18" s="382"/>
      <c r="AG18" s="384" t="s">
        <v>566</v>
      </c>
      <c r="AH18" s="405">
        <v>-0.15491341</v>
      </c>
      <c r="AI18" s="382"/>
      <c r="AJ18" s="390" t="s">
        <v>569</v>
      </c>
      <c r="AK18" s="392">
        <v>1.0934999999999999</v>
      </c>
      <c r="AL18" s="382"/>
      <c r="AM18" s="384" t="s">
        <v>570</v>
      </c>
      <c r="AN18" s="392">
        <v>6.7000000000000004E-2</v>
      </c>
      <c r="AO18" s="382"/>
      <c r="AP18" s="384" t="s">
        <v>571</v>
      </c>
      <c r="AQ18" s="392">
        <v>0.91</v>
      </c>
      <c r="AR18" s="382"/>
      <c r="AS18" s="384" t="s">
        <v>572</v>
      </c>
      <c r="AT18" s="392">
        <v>4.7500000000000001E-2</v>
      </c>
      <c r="AU18" s="382"/>
      <c r="AV18" s="384"/>
      <c r="AW18" s="392"/>
      <c r="AX18" s="382"/>
      <c r="AY18" s="382"/>
      <c r="AZ18" s="382"/>
      <c r="BA18" s="382"/>
      <c r="BB18" s="382"/>
      <c r="BC18" s="382"/>
      <c r="BD18" s="382"/>
      <c r="BE18" s="399" t="s">
        <v>384</v>
      </c>
      <c r="BF18" s="386">
        <v>6</v>
      </c>
      <c r="BG18" s="399"/>
      <c r="BH18" s="386" t="e">
        <v>#NAME?</v>
      </c>
      <c r="BI18" s="386" t="e">
        <v>#NAME?</v>
      </c>
      <c r="BJ18" s="400" t="e">
        <v>#NAME?</v>
      </c>
      <c r="BK18" s="394"/>
      <c r="BL18" s="394"/>
      <c r="BM18" s="394"/>
    </row>
    <row r="19" spans="1:65">
      <c r="A19" s="256"/>
      <c r="B19" s="383" t="s">
        <v>118</v>
      </c>
      <c r="C19" s="384" t="s">
        <v>117</v>
      </c>
      <c r="D19" s="405">
        <v>0.57999999999999996</v>
      </c>
      <c r="E19" s="382"/>
      <c r="F19" s="384" t="s">
        <v>115</v>
      </c>
      <c r="G19" s="401">
        <v>0.67562522000000003</v>
      </c>
      <c r="H19" s="382"/>
      <c r="I19" s="384" t="s">
        <v>116</v>
      </c>
      <c r="J19" s="403">
        <v>0.83469079999999996</v>
      </c>
      <c r="K19" s="382"/>
      <c r="L19" s="384" t="s">
        <v>115</v>
      </c>
      <c r="M19" s="403">
        <v>1.0612206</v>
      </c>
      <c r="N19" s="382"/>
      <c r="O19" s="384" t="s">
        <v>114</v>
      </c>
      <c r="P19" s="405">
        <v>6.7499999900000001</v>
      </c>
      <c r="Q19" s="382"/>
      <c r="R19" s="384" t="e">
        <v>#N/A</v>
      </c>
      <c r="S19" s="387" t="e">
        <v>#N/A</v>
      </c>
      <c r="T19" s="382"/>
      <c r="U19" s="384" t="s">
        <v>573</v>
      </c>
      <c r="V19" s="407">
        <v>-0.37584539099999997</v>
      </c>
      <c r="W19" s="382"/>
      <c r="X19" s="384" t="s">
        <v>574</v>
      </c>
      <c r="Y19" s="409">
        <v>-0.27698425059999998</v>
      </c>
      <c r="Z19" s="382"/>
      <c r="AA19" s="384" t="s">
        <v>575</v>
      </c>
      <c r="AB19" s="411">
        <v>-0.40039258837000002</v>
      </c>
      <c r="AC19" s="382"/>
      <c r="AD19" s="384" t="s">
        <v>576</v>
      </c>
      <c r="AE19" s="398">
        <v>4575.8333000000002</v>
      </c>
      <c r="AF19" s="382"/>
      <c r="AG19" s="384" t="s">
        <v>574</v>
      </c>
      <c r="AH19" s="405">
        <v>-0.15665875000000001</v>
      </c>
      <c r="AI19" s="382"/>
      <c r="AJ19" s="390" t="s">
        <v>577</v>
      </c>
      <c r="AK19" s="392">
        <v>1.1659999999999999</v>
      </c>
      <c r="AL19" s="382"/>
      <c r="AM19" s="384" t="s">
        <v>578</v>
      </c>
      <c r="AN19" s="392">
        <v>6.3E-2</v>
      </c>
      <c r="AO19" s="382"/>
      <c r="AP19" s="384" t="s">
        <v>579</v>
      </c>
      <c r="AQ19" s="392">
        <v>1.1850000000000001</v>
      </c>
      <c r="AR19" s="382"/>
      <c r="AS19" s="384" t="s">
        <v>580</v>
      </c>
      <c r="AT19" s="392">
        <v>0.05</v>
      </c>
      <c r="AU19" s="382"/>
      <c r="AV19" s="384"/>
      <c r="AW19" s="392"/>
      <c r="AX19" s="382"/>
      <c r="AY19" s="382"/>
      <c r="AZ19" s="382"/>
      <c r="BA19" s="382"/>
      <c r="BB19" s="382"/>
      <c r="BC19" s="382"/>
      <c r="BD19" s="382"/>
      <c r="BE19" s="399"/>
      <c r="BF19" s="386">
        <v>7</v>
      </c>
      <c r="BG19" s="399"/>
      <c r="BH19" s="386"/>
      <c r="BI19" s="386"/>
      <c r="BJ19" s="400" t="e">
        <v>#NAME?</v>
      </c>
      <c r="BK19" s="394"/>
      <c r="BL19" s="394"/>
      <c r="BM19" s="394"/>
    </row>
    <row r="20" spans="1:65">
      <c r="A20" s="256"/>
      <c r="B20" s="383" t="s">
        <v>113</v>
      </c>
      <c r="C20" s="384" t="s">
        <v>112</v>
      </c>
      <c r="D20" s="405">
        <v>0.59699999999999998</v>
      </c>
      <c r="E20" s="382"/>
      <c r="F20" s="384" t="s">
        <v>110</v>
      </c>
      <c r="G20" s="401">
        <v>0.69270754000000001</v>
      </c>
      <c r="H20" s="382"/>
      <c r="I20" s="384" t="s">
        <v>111</v>
      </c>
      <c r="J20" s="403">
        <v>0.85431590000000002</v>
      </c>
      <c r="K20" s="382"/>
      <c r="L20" s="384" t="s">
        <v>110</v>
      </c>
      <c r="M20" s="403">
        <v>1.0794942999999999</v>
      </c>
      <c r="N20" s="382"/>
      <c r="O20" s="384" t="s">
        <v>109</v>
      </c>
      <c r="P20" s="405">
        <v>6.9850000000000003</v>
      </c>
      <c r="Q20" s="382"/>
      <c r="R20" s="384" t="e">
        <v>#N/A</v>
      </c>
      <c r="S20" s="387" t="e">
        <v>#N/A</v>
      </c>
      <c r="T20" s="382"/>
      <c r="U20" s="384" t="s">
        <v>581</v>
      </c>
      <c r="V20" s="407">
        <v>-0.379072727</v>
      </c>
      <c r="W20" s="382"/>
      <c r="X20" s="384" t="s">
        <v>582</v>
      </c>
      <c r="Y20" s="409">
        <v>-0.2788181515</v>
      </c>
      <c r="Z20" s="382"/>
      <c r="AA20" s="384" t="s">
        <v>583</v>
      </c>
      <c r="AB20" s="411">
        <v>-0.37139136212000001</v>
      </c>
      <c r="AC20" s="382"/>
      <c r="AD20" s="384" t="s">
        <v>584</v>
      </c>
      <c r="AE20" s="398">
        <v>5100</v>
      </c>
      <c r="AF20" s="382"/>
      <c r="AG20" s="384" t="s">
        <v>582</v>
      </c>
      <c r="AH20" s="405">
        <v>-0.15677998000000001</v>
      </c>
      <c r="AI20" s="382"/>
      <c r="AJ20" s="390" t="s">
        <v>585</v>
      </c>
      <c r="AK20" s="392">
        <v>1.2549999999999999</v>
      </c>
      <c r="AL20" s="382"/>
      <c r="AM20" s="384" t="s">
        <v>586</v>
      </c>
      <c r="AN20" s="392">
        <v>6.3E-2</v>
      </c>
      <c r="AO20" s="382"/>
      <c r="AP20" s="384" t="s">
        <v>587</v>
      </c>
      <c r="AQ20" s="392">
        <v>1.34</v>
      </c>
      <c r="AR20" s="382"/>
      <c r="AS20" s="384" t="s">
        <v>588</v>
      </c>
      <c r="AT20" s="392">
        <v>4.7500000000000001E-2</v>
      </c>
      <c r="AU20" s="382"/>
      <c r="AV20" s="384"/>
      <c r="AW20" s="392"/>
      <c r="AX20" s="382"/>
      <c r="AY20" s="382"/>
      <c r="AZ20" s="382"/>
      <c r="BA20" s="382"/>
      <c r="BB20" s="382"/>
      <c r="BC20" s="382"/>
      <c r="BD20" s="382"/>
      <c r="BE20" s="399"/>
      <c r="BF20" s="386">
        <v>8</v>
      </c>
      <c r="BG20" s="399"/>
      <c r="BH20" s="386"/>
      <c r="BI20" s="386"/>
      <c r="BJ20" s="400" t="e">
        <v>#NAME?</v>
      </c>
      <c r="BK20" s="394"/>
      <c r="BL20" s="394"/>
      <c r="BM20" s="394"/>
    </row>
    <row r="21" spans="1:65">
      <c r="A21" s="256"/>
      <c r="B21" s="383" t="s">
        <v>108</v>
      </c>
      <c r="C21" s="384" t="s">
        <v>107</v>
      </c>
      <c r="D21" s="405">
        <v>0.61299999999999999</v>
      </c>
      <c r="E21" s="382"/>
      <c r="F21" s="384" t="s">
        <v>105</v>
      </c>
      <c r="G21" s="401">
        <v>0.71080158999999998</v>
      </c>
      <c r="H21" s="382"/>
      <c r="I21" s="384" t="s">
        <v>106</v>
      </c>
      <c r="J21" s="403">
        <v>0.87228439999999996</v>
      </c>
      <c r="K21" s="382"/>
      <c r="L21" s="384" t="s">
        <v>105</v>
      </c>
      <c r="M21" s="403">
        <v>1.0958703000000001</v>
      </c>
      <c r="N21" s="382"/>
      <c r="O21" s="384" t="s">
        <v>104</v>
      </c>
      <c r="P21" s="405">
        <v>7.2049999400000004</v>
      </c>
      <c r="Q21" s="382"/>
      <c r="R21" s="384" t="e">
        <v>#N/A</v>
      </c>
      <c r="S21" s="387" t="e">
        <v>#N/A</v>
      </c>
      <c r="T21" s="382"/>
      <c r="U21" s="384" t="s">
        <v>589</v>
      </c>
      <c r="V21" s="407">
        <v>-0.38200000000000001</v>
      </c>
      <c r="W21" s="382"/>
      <c r="X21" s="384" t="s">
        <v>590</v>
      </c>
      <c r="Y21" s="410">
        <v>-0.28048217469999998</v>
      </c>
      <c r="Z21" s="382"/>
      <c r="AA21" s="384" t="s">
        <v>591</v>
      </c>
      <c r="AB21" s="411">
        <v>-0.33156864700999999</v>
      </c>
      <c r="AC21" s="382"/>
      <c r="AD21" s="384" t="s">
        <v>592</v>
      </c>
      <c r="AE21" s="398">
        <v>5626</v>
      </c>
      <c r="AF21" s="382"/>
      <c r="AG21" s="384" t="s">
        <v>593</v>
      </c>
      <c r="AH21" s="406">
        <v>-0.15839110000000001</v>
      </c>
      <c r="AI21" s="382"/>
      <c r="AJ21" s="390" t="s">
        <v>594</v>
      </c>
      <c r="AK21" s="393">
        <v>1.355</v>
      </c>
      <c r="AL21" s="382"/>
      <c r="AM21" s="384" t="s">
        <v>595</v>
      </c>
      <c r="AN21" s="393">
        <v>6.1499999999999999E-2</v>
      </c>
      <c r="AO21" s="382"/>
      <c r="AP21" s="384" t="s">
        <v>596</v>
      </c>
      <c r="AQ21" s="392">
        <v>1.4275</v>
      </c>
      <c r="AR21" s="382"/>
      <c r="AS21" s="384" t="s">
        <v>597</v>
      </c>
      <c r="AT21" s="392">
        <v>4.2500000000000003E-2</v>
      </c>
      <c r="AU21" s="382"/>
      <c r="AV21" s="384"/>
      <c r="AW21" s="392"/>
      <c r="AX21" s="382"/>
      <c r="AY21" s="382"/>
      <c r="AZ21" s="382"/>
      <c r="BA21" s="382"/>
      <c r="BB21" s="382"/>
      <c r="BC21" s="382"/>
      <c r="BD21" s="382"/>
      <c r="BE21" s="399" t="s">
        <v>385</v>
      </c>
      <c r="BF21" s="386">
        <v>9</v>
      </c>
      <c r="BG21" s="399"/>
      <c r="BH21" s="386" t="e">
        <v>#NAME?</v>
      </c>
      <c r="BI21" s="386" t="e">
        <v>#NAME?</v>
      </c>
      <c r="BJ21" s="400" t="e">
        <v>#NAME?</v>
      </c>
      <c r="BK21" s="394"/>
      <c r="BL21" s="394"/>
      <c r="BM21" s="394"/>
    </row>
    <row r="22" spans="1:65">
      <c r="A22" s="256"/>
      <c r="B22" s="383" t="s">
        <v>103</v>
      </c>
      <c r="C22" s="384" t="s">
        <v>102</v>
      </c>
      <c r="D22" s="405">
        <v>0.65400000000000003</v>
      </c>
      <c r="E22" s="382"/>
      <c r="F22" s="384" t="s">
        <v>100</v>
      </c>
      <c r="G22" s="401">
        <v>0.75579110000000005</v>
      </c>
      <c r="H22" s="382"/>
      <c r="I22" s="384" t="s">
        <v>101</v>
      </c>
      <c r="J22" s="403">
        <v>0.91820550000000001</v>
      </c>
      <c r="K22" s="382"/>
      <c r="L22" s="384" t="s">
        <v>100</v>
      </c>
      <c r="M22" s="403">
        <v>1.1356763000000001</v>
      </c>
      <c r="N22" s="382"/>
      <c r="O22" s="384" t="s">
        <v>99</v>
      </c>
      <c r="P22" s="405">
        <v>0.03</v>
      </c>
      <c r="Q22" s="382"/>
      <c r="R22" s="384" t="e">
        <v>#N/A</v>
      </c>
      <c r="S22" s="387" t="e">
        <v>#N/A</v>
      </c>
      <c r="T22" s="382"/>
      <c r="U22" s="384" t="s">
        <v>598</v>
      </c>
      <c r="V22" s="407">
        <v>-0.389999977</v>
      </c>
      <c r="W22" s="382"/>
      <c r="X22" s="384" t="s">
        <v>599</v>
      </c>
      <c r="Y22" s="409">
        <v>-0.28623894770000002</v>
      </c>
      <c r="Z22" s="382"/>
      <c r="AA22" s="384" t="s">
        <v>600</v>
      </c>
      <c r="AB22" s="411">
        <v>-0.29908286568999998</v>
      </c>
      <c r="AC22" s="382"/>
      <c r="AD22" s="384" t="s">
        <v>601</v>
      </c>
      <c r="AE22" s="398">
        <v>6152</v>
      </c>
      <c r="AF22" s="382"/>
      <c r="AG22" s="384" t="s">
        <v>602</v>
      </c>
      <c r="AH22" s="405">
        <v>-0.16093030999999999</v>
      </c>
      <c r="AI22" s="382"/>
      <c r="AJ22" s="390" t="s">
        <v>603</v>
      </c>
      <c r="AK22" s="392">
        <v>1.4570000000000001</v>
      </c>
      <c r="AL22" s="382"/>
      <c r="AM22" s="384" t="s">
        <v>604</v>
      </c>
      <c r="AN22" s="392">
        <v>5.8500000000000003E-2</v>
      </c>
      <c r="AO22" s="382"/>
      <c r="AP22" s="384"/>
      <c r="AQ22" s="392"/>
      <c r="AR22" s="382"/>
      <c r="AS22" s="384" t="s">
        <v>605</v>
      </c>
      <c r="AT22" s="392">
        <v>3.5000000000000003E-2</v>
      </c>
      <c r="AU22" s="382"/>
      <c r="AV22" s="384"/>
      <c r="AW22" s="392"/>
      <c r="AX22" s="382"/>
      <c r="AY22" s="382"/>
      <c r="AZ22" s="382"/>
      <c r="BA22" s="382"/>
      <c r="BB22" s="382"/>
      <c r="BC22" s="382"/>
      <c r="BD22" s="382"/>
      <c r="BE22" s="399"/>
      <c r="BF22" s="386">
        <v>10</v>
      </c>
      <c r="BG22" s="399"/>
      <c r="BH22" s="386"/>
      <c r="BI22" s="386"/>
      <c r="BJ22" s="400" t="e">
        <v>#NAME?</v>
      </c>
      <c r="BK22" s="394"/>
      <c r="BL22" s="394"/>
      <c r="BM22" s="394"/>
    </row>
    <row r="23" spans="1:65">
      <c r="A23" s="256"/>
      <c r="B23" s="383" t="s">
        <v>98</v>
      </c>
      <c r="C23" s="384" t="s">
        <v>97</v>
      </c>
      <c r="D23" s="405">
        <v>0.69</v>
      </c>
      <c r="E23" s="382"/>
      <c r="F23" s="384" t="s">
        <v>95</v>
      </c>
      <c r="G23" s="401">
        <v>0.79573205999999996</v>
      </c>
      <c r="H23" s="382"/>
      <c r="I23" s="384" t="s">
        <v>96</v>
      </c>
      <c r="J23" s="403">
        <v>0.95856450000000004</v>
      </c>
      <c r="K23" s="382"/>
      <c r="L23" s="384" t="s">
        <v>95</v>
      </c>
      <c r="M23" s="403">
        <v>1.1696614999999999</v>
      </c>
      <c r="N23" s="382"/>
      <c r="O23" s="384" t="s">
        <v>94</v>
      </c>
      <c r="P23" s="405">
        <v>0.15</v>
      </c>
      <c r="Q23" s="382"/>
      <c r="R23" s="384" t="e">
        <v>#N/A</v>
      </c>
      <c r="S23" s="387" t="e">
        <v>#N/A</v>
      </c>
      <c r="T23" s="382"/>
      <c r="U23" s="384" t="s">
        <v>606</v>
      </c>
      <c r="V23" s="407">
        <v>-0.396999981</v>
      </c>
      <c r="W23" s="382"/>
      <c r="X23" s="384" t="s">
        <v>607</v>
      </c>
      <c r="Y23" s="409">
        <v>-0.28790481130000001</v>
      </c>
      <c r="Z23" s="382"/>
      <c r="AA23" s="384" t="s">
        <v>608</v>
      </c>
      <c r="AB23" s="411">
        <v>-0.28674021132999999</v>
      </c>
      <c r="AC23" s="382"/>
      <c r="AD23" s="384" t="s">
        <v>609</v>
      </c>
      <c r="AE23" s="393">
        <v>6678</v>
      </c>
      <c r="AF23" s="382"/>
      <c r="AG23" s="384" t="s">
        <v>610</v>
      </c>
      <c r="AH23" s="405">
        <v>-0.16160901999999999</v>
      </c>
      <c r="AI23" s="382"/>
      <c r="AJ23" s="390" t="s">
        <v>611</v>
      </c>
      <c r="AK23" s="392">
        <v>1.5509999999999999</v>
      </c>
      <c r="AL23" s="382"/>
      <c r="AM23" s="384" t="s">
        <v>612</v>
      </c>
      <c r="AN23" s="392">
        <v>5.6000000000000001E-2</v>
      </c>
      <c r="AO23" s="382"/>
      <c r="AP23" s="384"/>
      <c r="AQ23" s="392"/>
      <c r="AR23" s="382"/>
      <c r="AS23" s="384"/>
      <c r="AT23" s="392"/>
      <c r="AU23" s="382"/>
      <c r="AV23" s="384"/>
      <c r="AW23" s="392"/>
      <c r="AX23" s="382"/>
      <c r="AY23" s="382"/>
      <c r="AZ23" s="382"/>
      <c r="BA23" s="382"/>
      <c r="BB23" s="382"/>
      <c r="BC23" s="382"/>
      <c r="BD23" s="382"/>
      <c r="BE23" s="399"/>
      <c r="BF23" s="386">
        <v>11</v>
      </c>
      <c r="BG23" s="399"/>
      <c r="BH23" s="386"/>
      <c r="BI23" s="386"/>
      <c r="BJ23" s="400" t="e">
        <v>#NAME?</v>
      </c>
      <c r="BK23" s="394"/>
      <c r="BL23" s="394"/>
      <c r="BM23" s="394"/>
    </row>
    <row r="24" spans="1:65">
      <c r="A24" s="256"/>
      <c r="B24" s="383" t="s">
        <v>93</v>
      </c>
      <c r="C24" s="384" t="s">
        <v>92</v>
      </c>
      <c r="D24" s="405">
        <v>0.72499999999999998</v>
      </c>
      <c r="E24" s="382"/>
      <c r="F24" s="384" t="s">
        <v>91</v>
      </c>
      <c r="G24" s="401">
        <v>0.872</v>
      </c>
      <c r="H24" s="382"/>
      <c r="I24" s="384" t="s">
        <v>90</v>
      </c>
      <c r="J24" s="403">
        <v>1.0345599999999999</v>
      </c>
      <c r="K24" s="382"/>
      <c r="L24" s="384" t="s">
        <v>89</v>
      </c>
      <c r="M24" s="403">
        <v>1.2326064000000001</v>
      </c>
      <c r="N24" s="382"/>
      <c r="O24" s="384" t="s">
        <v>88</v>
      </c>
      <c r="P24" s="405">
        <v>0.34</v>
      </c>
      <c r="Q24" s="382"/>
      <c r="R24" s="384" t="e">
        <v>#N/A</v>
      </c>
      <c r="S24" s="387" t="e">
        <v>#N/A</v>
      </c>
      <c r="T24" s="382"/>
      <c r="U24" s="384" t="s">
        <v>613</v>
      </c>
      <c r="V24" s="407">
        <v>-0.40200027999999999</v>
      </c>
      <c r="W24" s="382"/>
      <c r="X24" s="384" t="s">
        <v>614</v>
      </c>
      <c r="Y24" s="409">
        <v>-0.28935717830000002</v>
      </c>
      <c r="Z24" s="382"/>
      <c r="AA24" s="384" t="s">
        <v>615</v>
      </c>
      <c r="AB24" s="411">
        <v>-0.32884304423999999</v>
      </c>
      <c r="AC24" s="382"/>
      <c r="AD24" s="384" t="s">
        <v>616</v>
      </c>
      <c r="AE24" s="398">
        <v>8298.5</v>
      </c>
      <c r="AF24" s="382"/>
      <c r="AG24" s="384" t="s">
        <v>617</v>
      </c>
      <c r="AH24" s="405">
        <v>-0.16371347999999999</v>
      </c>
      <c r="AI24" s="382"/>
      <c r="AJ24" s="390" t="s">
        <v>618</v>
      </c>
      <c r="AK24" s="392">
        <v>1.728</v>
      </c>
      <c r="AL24" s="382"/>
      <c r="AM24" s="384" t="s">
        <v>619</v>
      </c>
      <c r="AN24" s="392">
        <v>5.8999999999999997E-2</v>
      </c>
      <c r="AO24" s="382"/>
      <c r="AP24" s="384"/>
      <c r="AQ24" s="392"/>
      <c r="AR24" s="382"/>
      <c r="AS24" s="384"/>
      <c r="AT24" s="392"/>
      <c r="AU24" s="382"/>
      <c r="AV24" s="384"/>
      <c r="AW24" s="392"/>
      <c r="AX24" s="382"/>
      <c r="AY24" s="382"/>
      <c r="AZ24" s="382"/>
      <c r="BA24" s="382"/>
      <c r="BB24" s="382"/>
      <c r="BC24" s="382"/>
      <c r="BD24" s="382"/>
      <c r="BE24" s="399" t="s">
        <v>386</v>
      </c>
      <c r="BF24" s="386">
        <v>12</v>
      </c>
      <c r="BG24" s="399"/>
      <c r="BH24" s="386" t="e">
        <v>#NAME?</v>
      </c>
      <c r="BI24" s="386" t="e">
        <v>#NAME?</v>
      </c>
      <c r="BJ24" s="400" t="e">
        <v>#NAME?</v>
      </c>
      <c r="BK24" s="394"/>
      <c r="BL24" s="394"/>
      <c r="BM24" s="394"/>
    </row>
    <row r="25" spans="1:65">
      <c r="A25" s="256"/>
      <c r="B25" s="383" t="s">
        <v>87</v>
      </c>
      <c r="C25" s="384" t="s">
        <v>86</v>
      </c>
      <c r="D25" s="405">
        <v>0.75800000000000001</v>
      </c>
      <c r="E25" s="382"/>
      <c r="F25" s="384" t="s">
        <v>85</v>
      </c>
      <c r="G25" s="401">
        <v>0.99819926000000003</v>
      </c>
      <c r="H25" s="382"/>
      <c r="I25" s="384" t="s">
        <v>84</v>
      </c>
      <c r="J25" s="403">
        <v>1.157</v>
      </c>
      <c r="K25" s="382"/>
      <c r="L25" s="384" t="s">
        <v>83</v>
      </c>
      <c r="M25" s="403">
        <v>1.3351058</v>
      </c>
      <c r="N25" s="382"/>
      <c r="O25" s="384" t="s">
        <v>82</v>
      </c>
      <c r="P25" s="405">
        <v>0.53</v>
      </c>
      <c r="Q25" s="382"/>
      <c r="R25" s="384" t="e">
        <v>#N/A</v>
      </c>
      <c r="S25" s="387" t="e">
        <v>#N/A</v>
      </c>
      <c r="T25" s="382"/>
      <c r="U25" s="384" t="s">
        <v>620</v>
      </c>
      <c r="V25" s="407">
        <v>-0.40400000400000002</v>
      </c>
      <c r="W25" s="382"/>
      <c r="X25" s="384" t="s">
        <v>621</v>
      </c>
      <c r="Y25" s="409">
        <v>-0.292640234</v>
      </c>
      <c r="Z25" s="382"/>
      <c r="AA25" s="384" t="s">
        <v>622</v>
      </c>
      <c r="AB25" s="411">
        <v>-0.80125000000000002</v>
      </c>
      <c r="AC25" s="382"/>
      <c r="AD25" s="384" t="s">
        <v>623</v>
      </c>
      <c r="AE25" s="398">
        <v>9919</v>
      </c>
      <c r="AF25" s="382"/>
      <c r="AG25" s="384" t="s">
        <v>624</v>
      </c>
      <c r="AH25" s="405">
        <v>-0.16393469999999999</v>
      </c>
      <c r="AI25" s="382"/>
      <c r="AJ25" s="390" t="s">
        <v>625</v>
      </c>
      <c r="AK25" s="392">
        <v>1.9179999999999999</v>
      </c>
      <c r="AL25" s="382"/>
      <c r="AM25" s="384" t="s">
        <v>626</v>
      </c>
      <c r="AN25" s="392">
        <v>8.6999999999999994E-2</v>
      </c>
      <c r="AO25" s="382"/>
      <c r="AP25" s="384"/>
      <c r="AQ25" s="392"/>
      <c r="AR25" s="382"/>
      <c r="AS25" s="384"/>
      <c r="AT25" s="392"/>
      <c r="AU25" s="382"/>
      <c r="AV25" s="384"/>
      <c r="AW25" s="392"/>
      <c r="AX25" s="382"/>
      <c r="AY25" s="382"/>
      <c r="AZ25" s="382"/>
      <c r="BA25" s="382"/>
      <c r="BB25" s="382"/>
      <c r="BC25" s="382"/>
      <c r="BD25" s="382"/>
      <c r="BE25" s="399"/>
      <c r="BF25" s="386"/>
      <c r="BG25" s="399"/>
      <c r="BH25" s="386"/>
      <c r="BI25" s="386"/>
      <c r="BJ25" s="400" t="e">
        <v>#NAME?</v>
      </c>
      <c r="BK25" s="394"/>
      <c r="BL25" s="394"/>
      <c r="BM25" s="394"/>
    </row>
    <row r="26" spans="1:65">
      <c r="A26" s="256"/>
      <c r="B26" s="383" t="s">
        <v>81</v>
      </c>
      <c r="C26" s="384" t="s">
        <v>80</v>
      </c>
      <c r="D26" s="405">
        <v>0.86899850000000001</v>
      </c>
      <c r="E26" s="382"/>
      <c r="F26" s="384" t="s">
        <v>79</v>
      </c>
      <c r="G26" s="401">
        <v>1.0981428499999999</v>
      </c>
      <c r="H26" s="382"/>
      <c r="I26" s="384" t="s">
        <v>78</v>
      </c>
      <c r="J26" s="403">
        <v>1.25</v>
      </c>
      <c r="K26" s="382"/>
      <c r="L26" s="384" t="s">
        <v>77</v>
      </c>
      <c r="M26" s="403">
        <v>1.4131480000000001</v>
      </c>
      <c r="N26" s="382"/>
      <c r="O26" s="384" t="s">
        <v>76</v>
      </c>
      <c r="P26" s="405">
        <v>0.69</v>
      </c>
      <c r="Q26" s="382"/>
      <c r="R26" s="384" t="e">
        <v>#N/A</v>
      </c>
      <c r="S26" s="387" t="e">
        <v>#N/A</v>
      </c>
      <c r="T26" s="382"/>
      <c r="U26" s="384" t="s">
        <v>627</v>
      </c>
      <c r="V26" s="407">
        <v>-0.386999965</v>
      </c>
      <c r="W26" s="382"/>
      <c r="X26" s="384" t="s">
        <v>628</v>
      </c>
      <c r="Y26" s="409">
        <v>-0.29411493900000002</v>
      </c>
      <c r="Z26" s="382"/>
      <c r="AA26" s="384"/>
      <c r="AB26" s="392" t="e">
        <v>#N/A</v>
      </c>
      <c r="AC26" s="382"/>
      <c r="AD26" s="384" t="s">
        <v>629</v>
      </c>
      <c r="AE26" s="398">
        <v>13350</v>
      </c>
      <c r="AF26" s="382"/>
      <c r="AG26" s="384" t="s">
        <v>630</v>
      </c>
      <c r="AH26" s="405">
        <v>-0.44020398999999999</v>
      </c>
      <c r="AI26" s="382"/>
      <c r="AJ26" s="390" t="s">
        <v>631</v>
      </c>
      <c r="AK26" s="392">
        <v>2.0590000000000002</v>
      </c>
      <c r="AL26" s="382"/>
      <c r="AM26" s="384" t="s">
        <v>632</v>
      </c>
      <c r="AN26" s="392">
        <v>0.129</v>
      </c>
      <c r="AO26" s="382"/>
      <c r="AP26" s="384"/>
      <c r="AQ26" s="392"/>
      <c r="AR26" s="382"/>
      <c r="AS26" s="384"/>
      <c r="AT26" s="392"/>
      <c r="AU26" s="382"/>
      <c r="AV26" s="384"/>
      <c r="AW26" s="392"/>
      <c r="AX26" s="382"/>
      <c r="AY26" s="382"/>
      <c r="AZ26" s="382"/>
      <c r="BA26" s="382"/>
      <c r="BB26" s="382"/>
      <c r="BC26" s="382"/>
      <c r="BD26" s="382"/>
      <c r="BE26" s="399" t="s">
        <v>387</v>
      </c>
      <c r="BF26" s="399"/>
      <c r="BG26" s="399"/>
      <c r="BH26" s="386" t="e">
        <v>#NAME?</v>
      </c>
      <c r="BI26" s="386" t="e">
        <v>#NAME?</v>
      </c>
      <c r="BJ26" s="400" t="e">
        <v>#NAME?</v>
      </c>
      <c r="BK26" s="394"/>
      <c r="BL26" s="394"/>
      <c r="BM26" s="394"/>
    </row>
    <row r="27" spans="1:65">
      <c r="A27" s="256"/>
      <c r="B27" s="383" t="s">
        <v>75</v>
      </c>
      <c r="C27" s="384" t="s">
        <v>74</v>
      </c>
      <c r="D27" s="405">
        <v>0.95308451000000005</v>
      </c>
      <c r="E27" s="382"/>
      <c r="F27" s="384" t="s">
        <v>73</v>
      </c>
      <c r="G27" s="401">
        <v>1.1945891399999999</v>
      </c>
      <c r="H27" s="382"/>
      <c r="I27" s="384" t="s">
        <v>72</v>
      </c>
      <c r="J27" s="403">
        <v>1.3405</v>
      </c>
      <c r="K27" s="382"/>
      <c r="L27" s="384" t="s">
        <v>71</v>
      </c>
      <c r="M27" s="403">
        <v>1.4906862000000001</v>
      </c>
      <c r="N27" s="382"/>
      <c r="O27" s="384" t="s">
        <v>70</v>
      </c>
      <c r="P27" s="405">
        <v>0.76</v>
      </c>
      <c r="Q27" s="382"/>
      <c r="R27" s="384" t="e">
        <v>#N/A</v>
      </c>
      <c r="S27" s="387" t="e">
        <v>#N/A</v>
      </c>
      <c r="T27" s="382"/>
      <c r="U27" s="384" t="s">
        <v>633</v>
      </c>
      <c r="V27" s="407">
        <v>-0.34330087999999997</v>
      </c>
      <c r="W27" s="382"/>
      <c r="X27" s="384" t="s">
        <v>634</v>
      </c>
      <c r="Y27" s="409">
        <v>-0.2948124775</v>
      </c>
      <c r="Z27" s="382"/>
      <c r="AA27" s="384"/>
      <c r="AB27" s="392" t="e">
        <v>#N/A</v>
      </c>
      <c r="AC27" s="382"/>
      <c r="AD27" s="384" t="s">
        <v>635</v>
      </c>
      <c r="AE27" s="392">
        <v>0.76</v>
      </c>
      <c r="AF27" s="382"/>
      <c r="AG27" s="384" t="s">
        <v>636</v>
      </c>
      <c r="AH27" s="405">
        <v>-0.43776503999999999</v>
      </c>
      <c r="AI27" s="382"/>
      <c r="AJ27" s="390" t="s">
        <v>637</v>
      </c>
      <c r="AK27" s="392">
        <v>2.056</v>
      </c>
      <c r="AL27" s="382"/>
      <c r="AM27" s="384" t="s">
        <v>638</v>
      </c>
      <c r="AN27" s="392">
        <v>0.182</v>
      </c>
      <c r="AO27" s="382"/>
      <c r="AP27" s="384"/>
      <c r="AQ27" s="392"/>
      <c r="AR27" s="382"/>
      <c r="AS27" s="384"/>
      <c r="AT27" s="392"/>
      <c r="AU27" s="382"/>
      <c r="AV27" s="384"/>
      <c r="AW27" s="392"/>
      <c r="AX27" s="382"/>
      <c r="AY27" s="382"/>
      <c r="AZ27" s="382"/>
      <c r="BA27" s="382"/>
      <c r="BB27" s="382"/>
      <c r="BC27" s="382"/>
      <c r="BD27" s="382"/>
      <c r="BE27" s="399" t="s">
        <v>388</v>
      </c>
      <c r="BF27" s="399"/>
      <c r="BG27" s="399"/>
      <c r="BH27" s="386" t="e">
        <v>#NAME?</v>
      </c>
      <c r="BI27" s="386" t="e">
        <v>#NAME?</v>
      </c>
      <c r="BJ27" s="400" t="e">
        <v>#NAME?</v>
      </c>
      <c r="BK27" s="394"/>
      <c r="BL27" s="394"/>
      <c r="BM27" s="394"/>
    </row>
    <row r="28" spans="1:65">
      <c r="A28" s="256"/>
      <c r="B28" s="383" t="s">
        <v>69</v>
      </c>
      <c r="C28" s="384" t="s">
        <v>68</v>
      </c>
      <c r="D28" s="405">
        <v>1.03669301</v>
      </c>
      <c r="E28" s="382"/>
      <c r="F28" s="384" t="s">
        <v>67</v>
      </c>
      <c r="G28" s="401">
        <v>1.27706232</v>
      </c>
      <c r="H28" s="382"/>
      <c r="I28" s="384" t="s">
        <v>66</v>
      </c>
      <c r="J28" s="403">
        <v>1.4139999999999999</v>
      </c>
      <c r="K28" s="382"/>
      <c r="L28" s="384" t="s">
        <v>65</v>
      </c>
      <c r="M28" s="403">
        <v>1.558233</v>
      </c>
      <c r="N28" s="382"/>
      <c r="O28" s="384" t="s">
        <v>64</v>
      </c>
      <c r="P28" s="405">
        <v>0.82</v>
      </c>
      <c r="Q28" s="382"/>
      <c r="R28" s="384" t="e">
        <v>#N/A</v>
      </c>
      <c r="S28" s="387" t="e">
        <v>#N/A</v>
      </c>
      <c r="T28" s="382"/>
      <c r="U28" s="384" t="s">
        <v>639</v>
      </c>
      <c r="V28" s="407">
        <v>-0.27090564299999997</v>
      </c>
      <c r="W28" s="382"/>
      <c r="X28" s="384" t="s">
        <v>640</v>
      </c>
      <c r="Y28" s="409">
        <v>-0.47463828299999999</v>
      </c>
      <c r="Z28" s="382"/>
      <c r="AA28" s="384"/>
      <c r="AB28" s="392" t="e">
        <v>#N/A</v>
      </c>
      <c r="AC28" s="382"/>
      <c r="AD28" s="384" t="s">
        <v>641</v>
      </c>
      <c r="AE28" s="392">
        <v>0.82</v>
      </c>
      <c r="AF28" s="382"/>
      <c r="AG28" s="384" t="s">
        <v>642</v>
      </c>
      <c r="AH28" s="405">
        <v>-0.4241936</v>
      </c>
      <c r="AI28" s="382"/>
      <c r="AJ28" s="390" t="s">
        <v>643</v>
      </c>
      <c r="AK28" s="392">
        <v>2.0310000000000001</v>
      </c>
      <c r="AL28" s="382"/>
      <c r="AM28" s="384" t="s">
        <v>644</v>
      </c>
      <c r="AN28" s="392">
        <v>0.23899999999999999</v>
      </c>
      <c r="AO28" s="382"/>
      <c r="AP28" s="384"/>
      <c r="AQ28" s="392"/>
      <c r="AR28" s="382"/>
      <c r="AS28" s="384"/>
      <c r="AT28" s="392"/>
      <c r="AU28" s="382"/>
      <c r="AV28" s="384"/>
      <c r="AW28" s="392"/>
      <c r="AX28" s="382"/>
      <c r="AY28" s="382"/>
      <c r="AZ28" s="382"/>
      <c r="BA28" s="382"/>
      <c r="BB28" s="382"/>
      <c r="BC28" s="382"/>
      <c r="BD28" s="382"/>
      <c r="BE28" s="399" t="s">
        <v>389</v>
      </c>
      <c r="BF28" s="399"/>
      <c r="BG28" s="399"/>
      <c r="BH28" s="386" t="e">
        <v>#NAME?</v>
      </c>
      <c r="BI28" s="386" t="e">
        <v>#NAME?</v>
      </c>
      <c r="BJ28" s="386" t="e">
        <v>#NAME?</v>
      </c>
      <c r="BK28" s="394"/>
      <c r="BL28" s="394"/>
      <c r="BM28" s="394"/>
    </row>
    <row r="29" spans="1:65">
      <c r="A29" s="256"/>
      <c r="B29" s="383" t="s">
        <v>63</v>
      </c>
      <c r="C29" s="384" t="s">
        <v>62</v>
      </c>
      <c r="D29" s="405">
        <v>1.10529039</v>
      </c>
      <c r="E29" s="382"/>
      <c r="F29" s="384" t="s">
        <v>61</v>
      </c>
      <c r="G29" s="401">
        <v>1.36657523</v>
      </c>
      <c r="H29" s="382"/>
      <c r="I29" s="384" t="s">
        <v>60</v>
      </c>
      <c r="J29" s="403">
        <v>1.49655</v>
      </c>
      <c r="K29" s="382"/>
      <c r="L29" s="384" t="s">
        <v>59</v>
      </c>
      <c r="M29" s="403">
        <v>1.6358391000000001</v>
      </c>
      <c r="N29" s="382"/>
      <c r="O29" s="384" t="s">
        <v>58</v>
      </c>
      <c r="P29" s="405">
        <v>0.88</v>
      </c>
      <c r="Q29" s="382"/>
      <c r="R29" s="384" t="e">
        <v>#N/A</v>
      </c>
      <c r="S29" s="387" t="e">
        <v>#N/A</v>
      </c>
      <c r="T29" s="382"/>
      <c r="U29" s="384" t="s">
        <v>645</v>
      </c>
      <c r="V29" s="407">
        <v>-0.17627413</v>
      </c>
      <c r="W29" s="382"/>
      <c r="X29" s="384" t="s">
        <v>646</v>
      </c>
      <c r="Y29" s="409">
        <v>-0.41299999999999998</v>
      </c>
      <c r="Z29" s="382"/>
      <c r="AA29" s="384"/>
      <c r="AB29" s="392" t="e">
        <v>#N/A</v>
      </c>
      <c r="AC29" s="382"/>
      <c r="AD29" s="384" t="s">
        <v>647</v>
      </c>
      <c r="AE29" s="392">
        <v>0.88</v>
      </c>
      <c r="AF29" s="382"/>
      <c r="AG29" s="384" t="s">
        <v>648</v>
      </c>
      <c r="AH29" s="405">
        <v>-0.40760716000000002</v>
      </c>
      <c r="AI29" s="382"/>
      <c r="AJ29" s="390" t="s">
        <v>649</v>
      </c>
      <c r="AK29" s="392">
        <v>2.0310000000000001</v>
      </c>
      <c r="AL29" s="382"/>
      <c r="AM29" s="384" t="s">
        <v>650</v>
      </c>
      <c r="AN29" s="392">
        <v>0.29799999999999999</v>
      </c>
      <c r="AO29" s="382"/>
      <c r="AP29" s="384"/>
      <c r="AQ29" s="392"/>
      <c r="AR29" s="382"/>
      <c r="AS29" s="384"/>
      <c r="AT29" s="392"/>
      <c r="AU29" s="382"/>
      <c r="AV29" s="384"/>
      <c r="AW29" s="392"/>
      <c r="AX29" s="382"/>
      <c r="AY29" s="382"/>
      <c r="AZ29" s="382"/>
      <c r="BA29" s="382"/>
      <c r="BB29" s="382"/>
      <c r="BC29" s="382"/>
      <c r="BD29" s="382"/>
      <c r="BE29" s="399" t="s">
        <v>390</v>
      </c>
      <c r="BF29" s="399"/>
      <c r="BG29" s="399"/>
      <c r="BH29" s="386" t="e">
        <v>#NAME?</v>
      </c>
      <c r="BI29" s="386" t="e">
        <v>#NAME?</v>
      </c>
      <c r="BJ29" s="386" t="e">
        <v>#NAME?</v>
      </c>
      <c r="BK29" s="394"/>
      <c r="BL29" s="394"/>
      <c r="BM29" s="394"/>
    </row>
    <row r="30" spans="1:65" ht="15" thickBot="1">
      <c r="A30" s="256"/>
      <c r="B30" s="383" t="s">
        <v>57</v>
      </c>
      <c r="C30" s="384" t="s">
        <v>56</v>
      </c>
      <c r="D30" s="405">
        <v>1.18500261</v>
      </c>
      <c r="E30" s="382"/>
      <c r="F30" s="384" t="s">
        <v>55</v>
      </c>
      <c r="G30" s="401">
        <v>1.43900026</v>
      </c>
      <c r="H30" s="382"/>
      <c r="I30" s="384" t="s">
        <v>54</v>
      </c>
      <c r="J30" s="403">
        <v>1.5629999999999999</v>
      </c>
      <c r="K30" s="382"/>
      <c r="L30" s="384" t="s">
        <v>53</v>
      </c>
      <c r="M30" s="403">
        <v>1.7013499999999999</v>
      </c>
      <c r="N30" s="382"/>
      <c r="O30" s="384" t="s">
        <v>52</v>
      </c>
      <c r="P30" s="405">
        <v>0.98</v>
      </c>
      <c r="Q30" s="382"/>
      <c r="R30" s="384" t="e">
        <v>#N/A</v>
      </c>
      <c r="S30" s="387" t="e">
        <v>#N/A</v>
      </c>
      <c r="T30" s="382"/>
      <c r="U30" s="384" t="s">
        <v>651</v>
      </c>
      <c r="V30" s="407">
        <v>-6.5346072000000005E-2</v>
      </c>
      <c r="W30" s="382"/>
      <c r="X30" s="384" t="s">
        <v>652</v>
      </c>
      <c r="Y30" s="409">
        <v>-0.29499999999999998</v>
      </c>
      <c r="Z30" s="382"/>
      <c r="AA30" s="384"/>
      <c r="AB30" s="392" t="e">
        <v>#N/A</v>
      </c>
      <c r="AC30" s="382"/>
      <c r="AD30" s="384" t="s">
        <v>653</v>
      </c>
      <c r="AE30" s="392">
        <v>0.98</v>
      </c>
      <c r="AF30" s="382"/>
      <c r="AG30" s="384" t="s">
        <v>654</v>
      </c>
      <c r="AH30" s="405">
        <v>-0.32200000000000001</v>
      </c>
      <c r="AI30" s="382"/>
      <c r="AJ30" s="397" t="s">
        <v>655</v>
      </c>
      <c r="AK30" s="392">
        <v>2.0015999999999998</v>
      </c>
      <c r="AL30" s="382"/>
      <c r="AM30" s="384" t="s">
        <v>656</v>
      </c>
      <c r="AN30" s="392">
        <v>0.35899999999999999</v>
      </c>
      <c r="AO30" s="382"/>
      <c r="AP30" s="384"/>
      <c r="AQ30" s="392"/>
      <c r="AR30" s="382"/>
      <c r="AS30" s="384"/>
      <c r="AT30" s="392"/>
      <c r="AU30" s="382"/>
      <c r="AV30" s="384"/>
      <c r="AW30" s="392"/>
      <c r="AX30" s="382"/>
      <c r="AY30" s="382"/>
      <c r="AZ30" s="382"/>
      <c r="BA30" s="382"/>
      <c r="BB30" s="382"/>
      <c r="BC30" s="382"/>
      <c r="BD30" s="382"/>
      <c r="BE30" s="382"/>
      <c r="BF30" s="382"/>
      <c r="BG30" s="382"/>
      <c r="BH30" s="382"/>
      <c r="BI30" s="382"/>
      <c r="BJ30" s="382"/>
      <c r="BK30" s="382"/>
      <c r="BL30" s="382"/>
      <c r="BM30" s="382"/>
    </row>
    <row r="31" spans="1:65">
      <c r="A31" s="256"/>
      <c r="B31" s="383" t="s">
        <v>51</v>
      </c>
      <c r="C31" s="384" t="s">
        <v>50</v>
      </c>
      <c r="D31" s="405">
        <v>1.2475738599999999</v>
      </c>
      <c r="E31" s="382"/>
      <c r="F31" s="384" t="s">
        <v>49</v>
      </c>
      <c r="G31" s="401">
        <v>1.5109722299999999</v>
      </c>
      <c r="H31" s="382"/>
      <c r="I31" s="384" t="s">
        <v>48</v>
      </c>
      <c r="J31" s="403">
        <v>1.63</v>
      </c>
      <c r="K31" s="382"/>
      <c r="L31" s="384" t="s">
        <v>47</v>
      </c>
      <c r="M31" s="403">
        <v>1.7674101</v>
      </c>
      <c r="N31" s="382"/>
      <c r="O31" s="384" t="s">
        <v>46</v>
      </c>
      <c r="P31" s="406">
        <v>0.96999999000000003</v>
      </c>
      <c r="Q31" s="382"/>
      <c r="R31" s="384" t="e">
        <v>#N/A</v>
      </c>
      <c r="S31" s="387" t="e">
        <v>#N/A</v>
      </c>
      <c r="T31" s="382"/>
      <c r="U31" s="384" t="s">
        <v>657</v>
      </c>
      <c r="V31" s="407">
        <v>5.4434902E-2</v>
      </c>
      <c r="W31" s="382"/>
      <c r="X31" s="384" t="s">
        <v>658</v>
      </c>
      <c r="Y31" s="409">
        <v>-0.158</v>
      </c>
      <c r="Z31" s="382"/>
      <c r="AA31" s="384"/>
      <c r="AB31" s="392" t="e">
        <v>#N/A</v>
      </c>
      <c r="AC31" s="382"/>
      <c r="AD31" s="384" t="s">
        <v>659</v>
      </c>
      <c r="AE31" s="392">
        <v>0.97</v>
      </c>
      <c r="AF31" s="382"/>
      <c r="AG31" s="384" t="s">
        <v>660</v>
      </c>
      <c r="AH31" s="405">
        <v>-0.19900000000000001</v>
      </c>
      <c r="AI31" s="382"/>
      <c r="AJ31" s="389" t="s">
        <v>661</v>
      </c>
      <c r="AK31" s="392">
        <v>-9.5899999999999999E-2</v>
      </c>
      <c r="AL31" s="382"/>
      <c r="AM31" s="384" t="s">
        <v>662</v>
      </c>
      <c r="AN31" s="392">
        <v>0.42199999999999999</v>
      </c>
      <c r="AO31" s="382"/>
      <c r="AP31" s="384"/>
      <c r="AQ31" s="392"/>
      <c r="AR31" s="382"/>
      <c r="AS31" s="384"/>
      <c r="AT31" s="392"/>
      <c r="AU31" s="382"/>
      <c r="AV31" s="384"/>
      <c r="AW31" s="392"/>
      <c r="AX31" s="382"/>
      <c r="AY31" s="382"/>
      <c r="AZ31" s="382"/>
      <c r="BA31" s="382"/>
      <c r="BB31" s="382"/>
      <c r="BC31" s="382"/>
      <c r="BD31" s="382"/>
      <c r="BE31" s="382"/>
      <c r="BF31" s="382"/>
      <c r="BG31" s="382"/>
      <c r="BH31" s="382"/>
      <c r="BI31" s="382"/>
      <c r="BJ31" s="382"/>
      <c r="BK31" s="382"/>
      <c r="BL31" s="382"/>
      <c r="BM31" s="382"/>
    </row>
    <row r="32" spans="1:65">
      <c r="A32" s="256"/>
      <c r="B32" s="383" t="s">
        <v>45</v>
      </c>
      <c r="C32" s="384" t="s">
        <v>44</v>
      </c>
      <c r="D32" s="405">
        <v>1.31171561</v>
      </c>
      <c r="E32" s="382"/>
      <c r="F32" s="384" t="s">
        <v>43</v>
      </c>
      <c r="G32" s="402">
        <v>1.5754442900000001</v>
      </c>
      <c r="H32" s="382"/>
      <c r="I32" s="384" t="s">
        <v>42</v>
      </c>
      <c r="J32" s="404">
        <v>1.6915</v>
      </c>
      <c r="K32" s="382"/>
      <c r="L32" s="384" t="s">
        <v>41</v>
      </c>
      <c r="M32" s="404">
        <v>1.8299715999999999</v>
      </c>
      <c r="N32" s="382"/>
      <c r="O32" s="384" t="s">
        <v>40</v>
      </c>
      <c r="P32" s="405">
        <v>0.97</v>
      </c>
      <c r="Q32" s="382"/>
      <c r="R32" s="384" t="e">
        <v>#N/A</v>
      </c>
      <c r="S32" s="387" t="e">
        <v>#N/A</v>
      </c>
      <c r="T32" s="382"/>
      <c r="U32" s="384" t="s">
        <v>663</v>
      </c>
      <c r="V32" s="407">
        <v>0.17425575800000001</v>
      </c>
      <c r="W32" s="382"/>
      <c r="X32" s="384" t="s">
        <v>664</v>
      </c>
      <c r="Y32" s="409">
        <v>-1.4500000000000001E-2</v>
      </c>
      <c r="Z32" s="382"/>
      <c r="AA32" s="384"/>
      <c r="AB32" s="392" t="e">
        <v>#N/A</v>
      </c>
      <c r="AC32" s="382"/>
      <c r="AD32" s="384" t="s">
        <v>665</v>
      </c>
      <c r="AE32" s="392">
        <v>0.97</v>
      </c>
      <c r="AF32" s="382"/>
      <c r="AG32" s="384" t="s">
        <v>666</v>
      </c>
      <c r="AH32" s="405">
        <v>-0.06</v>
      </c>
      <c r="AI32" s="382"/>
      <c r="AJ32" s="390" t="s">
        <v>667</v>
      </c>
      <c r="AK32" s="392">
        <v>-0.24460000000000001</v>
      </c>
      <c r="AL32" s="382"/>
      <c r="AM32" s="384" t="s">
        <v>668</v>
      </c>
      <c r="AN32" s="392">
        <v>0.48799999999999999</v>
      </c>
      <c r="AO32" s="382"/>
      <c r="AP32" s="384"/>
      <c r="AQ32" s="392"/>
      <c r="AR32" s="382"/>
      <c r="AS32" s="384"/>
      <c r="AT32" s="392"/>
      <c r="AU32" s="382"/>
      <c r="AV32" s="384"/>
      <c r="AW32" s="392"/>
      <c r="AX32" s="382"/>
      <c r="AY32" s="382"/>
      <c r="AZ32" s="382"/>
      <c r="BA32" s="382"/>
      <c r="BB32" s="382"/>
      <c r="BC32" s="382"/>
      <c r="BD32" s="382"/>
      <c r="BE32" s="382"/>
      <c r="BF32" s="382"/>
      <c r="BG32" s="382"/>
      <c r="BH32" s="382"/>
      <c r="BI32" s="382"/>
      <c r="BJ32" s="382"/>
      <c r="BK32" s="382"/>
      <c r="BL32" s="382"/>
      <c r="BM32" s="382"/>
    </row>
    <row r="33" spans="1:65">
      <c r="A33" s="256"/>
      <c r="B33" s="383" t="s">
        <v>39</v>
      </c>
      <c r="C33" s="384" t="s">
        <v>38</v>
      </c>
      <c r="D33" s="406">
        <v>1.37237085</v>
      </c>
      <c r="E33" s="382"/>
      <c r="F33" s="384" t="s">
        <v>37</v>
      </c>
      <c r="G33" s="401">
        <v>1.6833914699999999</v>
      </c>
      <c r="H33" s="382"/>
      <c r="I33" s="384" t="s">
        <v>36</v>
      </c>
      <c r="J33" s="403">
        <v>1.7955000000000001</v>
      </c>
      <c r="K33" s="382"/>
      <c r="L33" s="384" t="s">
        <v>35</v>
      </c>
      <c r="M33" s="403">
        <v>1.9380967</v>
      </c>
      <c r="N33" s="382"/>
      <c r="O33" s="384" t="s">
        <v>34</v>
      </c>
      <c r="P33" s="405">
        <v>0.96999999000000003</v>
      </c>
      <c r="Q33" s="382"/>
      <c r="R33" s="384" t="e">
        <v>#N/A</v>
      </c>
      <c r="S33" s="387" t="e">
        <v>#N/A</v>
      </c>
      <c r="T33" s="382"/>
      <c r="U33" s="384" t="s">
        <v>669</v>
      </c>
      <c r="V33" s="408">
        <v>0.28569428200000002</v>
      </c>
      <c r="W33" s="382"/>
      <c r="X33" s="384" t="s">
        <v>670</v>
      </c>
      <c r="Y33" s="409">
        <v>0.1305</v>
      </c>
      <c r="Z33" s="382"/>
      <c r="AA33" s="384"/>
      <c r="AB33" s="392" t="e">
        <v>#N/A</v>
      </c>
      <c r="AC33" s="382"/>
      <c r="AD33" s="384" t="s">
        <v>671</v>
      </c>
      <c r="AE33" s="392">
        <v>0.97</v>
      </c>
      <c r="AF33" s="382"/>
      <c r="AG33" s="384" t="s">
        <v>672</v>
      </c>
      <c r="AH33" s="405">
        <v>8.3000000000000004E-2</v>
      </c>
      <c r="AI33" s="382"/>
      <c r="AJ33" s="390" t="s">
        <v>673</v>
      </c>
      <c r="AK33" s="392">
        <v>-0.2092</v>
      </c>
      <c r="AL33" s="382"/>
      <c r="AM33" s="384" t="s">
        <v>674</v>
      </c>
      <c r="AN33" s="392">
        <v>0.55600000000000005</v>
      </c>
      <c r="AO33" s="382"/>
      <c r="AP33" s="384"/>
      <c r="AQ33" s="392"/>
      <c r="AR33" s="382"/>
      <c r="AS33" s="384"/>
      <c r="AT33" s="392"/>
      <c r="AU33" s="382"/>
      <c r="AV33" s="384"/>
      <c r="AW33" s="392"/>
      <c r="AX33" s="256"/>
      <c r="AY33" s="256"/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</row>
    <row r="34" spans="1:65">
      <c r="A34" s="256"/>
      <c r="B34" s="383" t="s">
        <v>33</v>
      </c>
      <c r="C34" s="384" t="s">
        <v>32</v>
      </c>
      <c r="D34" s="405">
        <v>1.4736314100000001</v>
      </c>
      <c r="E34" s="382"/>
      <c r="F34" s="384" t="s">
        <v>31</v>
      </c>
      <c r="G34" s="401">
        <v>1.7993085799999999</v>
      </c>
      <c r="H34" s="382"/>
      <c r="I34" s="384" t="s">
        <v>30</v>
      </c>
      <c r="J34" s="403">
        <v>1.9125000000000001</v>
      </c>
      <c r="K34" s="382"/>
      <c r="L34" s="384" t="s">
        <v>29</v>
      </c>
      <c r="M34" s="403">
        <v>2.0572210000000002</v>
      </c>
      <c r="N34" s="382"/>
      <c r="O34" s="384" t="s">
        <v>28</v>
      </c>
      <c r="P34" s="405">
        <v>0.97</v>
      </c>
      <c r="Q34" s="382"/>
      <c r="R34" s="384" t="e">
        <v>#N/A</v>
      </c>
      <c r="S34" s="387" t="e">
        <v>#N/A</v>
      </c>
      <c r="T34" s="382"/>
      <c r="U34" s="384" t="s">
        <v>675</v>
      </c>
      <c r="V34" s="407">
        <v>0.47739760199999998</v>
      </c>
      <c r="W34" s="382"/>
      <c r="X34" s="384" t="s">
        <v>676</v>
      </c>
      <c r="Y34" s="409">
        <v>0.26800000000000002</v>
      </c>
      <c r="Z34" s="382"/>
      <c r="AA34" s="384"/>
      <c r="AB34" s="392" t="e">
        <v>#N/A</v>
      </c>
      <c r="AC34" s="382"/>
      <c r="AD34" s="384" t="s">
        <v>677</v>
      </c>
      <c r="AE34" s="392">
        <v>0.97</v>
      </c>
      <c r="AF34" s="382"/>
      <c r="AG34" s="384" t="s">
        <v>678</v>
      </c>
      <c r="AH34" s="405">
        <v>0.22600000000000001</v>
      </c>
      <c r="AI34" s="382"/>
      <c r="AJ34" s="390" t="s">
        <v>679</v>
      </c>
      <c r="AK34" s="392">
        <v>-0.21</v>
      </c>
      <c r="AL34" s="382"/>
      <c r="AM34" s="384" t="s">
        <v>680</v>
      </c>
      <c r="AN34" s="392">
        <v>0.77</v>
      </c>
      <c r="AO34" s="382"/>
      <c r="AP34" s="384"/>
      <c r="AQ34" s="392"/>
      <c r="AR34" s="382"/>
      <c r="AS34" s="384"/>
      <c r="AT34" s="392"/>
      <c r="AU34" s="382"/>
      <c r="AV34" s="384"/>
      <c r="AW34" s="392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J34" s="256"/>
      <c r="BK34" s="256"/>
      <c r="BL34" s="256"/>
      <c r="BM34" s="256"/>
    </row>
    <row r="35" spans="1:65">
      <c r="A35" s="256"/>
      <c r="B35" s="383" t="s">
        <v>27</v>
      </c>
      <c r="C35" s="384" t="s">
        <v>26</v>
      </c>
      <c r="D35" s="405">
        <v>1.58794686</v>
      </c>
      <c r="E35" s="382"/>
      <c r="F35" s="384" t="s">
        <v>25</v>
      </c>
      <c r="G35" s="401">
        <v>1.9086584600000001</v>
      </c>
      <c r="H35" s="382"/>
      <c r="I35" s="384" t="s">
        <v>24</v>
      </c>
      <c r="J35" s="403">
        <v>2.0339999999999998</v>
      </c>
      <c r="K35" s="382"/>
      <c r="L35" s="384" t="s">
        <v>23</v>
      </c>
      <c r="M35" s="403">
        <v>2.17984</v>
      </c>
      <c r="N35" s="382"/>
      <c r="O35" s="384" t="s">
        <v>22</v>
      </c>
      <c r="P35" s="405">
        <v>0.96999995999999999</v>
      </c>
      <c r="Q35" s="382"/>
      <c r="R35" s="384" t="e">
        <v>#N/A</v>
      </c>
      <c r="S35" s="387" t="e">
        <v>#N/A</v>
      </c>
      <c r="T35" s="382"/>
      <c r="U35" s="384" t="s">
        <v>681</v>
      </c>
      <c r="V35" s="407">
        <v>0.68752258700000002</v>
      </c>
      <c r="W35" s="382"/>
      <c r="X35" s="384" t="s">
        <v>682</v>
      </c>
      <c r="Y35" s="409">
        <v>0.39500000000000002</v>
      </c>
      <c r="Z35" s="382"/>
      <c r="AA35" s="384"/>
      <c r="AB35" s="392" t="e">
        <v>#N/A</v>
      </c>
      <c r="AC35" s="382"/>
      <c r="AD35" s="384" t="s">
        <v>683</v>
      </c>
      <c r="AE35" s="392">
        <v>0.97</v>
      </c>
      <c r="AF35" s="382"/>
      <c r="AG35" s="384" t="s">
        <v>684</v>
      </c>
      <c r="AH35" s="405">
        <v>0.36099999999999999</v>
      </c>
      <c r="AI35" s="382"/>
      <c r="AJ35" s="390" t="s">
        <v>685</v>
      </c>
      <c r="AK35" s="392">
        <v>-0.16250000000000001</v>
      </c>
      <c r="AL35" s="382"/>
      <c r="AM35" s="384" t="s">
        <v>686</v>
      </c>
      <c r="AN35" s="392">
        <v>1.046</v>
      </c>
      <c r="AO35" s="382"/>
      <c r="AP35" s="384"/>
      <c r="AQ35" s="392"/>
      <c r="AR35" s="382"/>
      <c r="AS35" s="384"/>
      <c r="AT35" s="392"/>
      <c r="AU35" s="382"/>
      <c r="AV35" s="384"/>
      <c r="AW35" s="392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</row>
    <row r="36" spans="1:65">
      <c r="A36" s="256"/>
      <c r="B36" s="383" t="s">
        <v>21</v>
      </c>
      <c r="C36" s="384" t="s">
        <v>20</v>
      </c>
      <c r="D36" s="405">
        <v>1.7088001100000001</v>
      </c>
      <c r="E36" s="382"/>
      <c r="F36" s="384" t="s">
        <v>19</v>
      </c>
      <c r="G36" s="401">
        <v>1.9545213100000001</v>
      </c>
      <c r="H36" s="382"/>
      <c r="I36" s="384" t="s">
        <v>18</v>
      </c>
      <c r="J36" s="403">
        <v>2.0950000000000002</v>
      </c>
      <c r="K36" s="382"/>
      <c r="L36" s="384" t="s">
        <v>17</v>
      </c>
      <c r="M36" s="403">
        <v>2.2429117000000001</v>
      </c>
      <c r="N36" s="382"/>
      <c r="O36" s="384" t="e">
        <v>#N/A</v>
      </c>
      <c r="P36" s="413">
        <v>1.5</v>
      </c>
      <c r="Q36" s="382"/>
      <c r="R36" s="384" t="e">
        <v>#N/A</v>
      </c>
      <c r="S36" s="387" t="e">
        <v>#N/A</v>
      </c>
      <c r="T36" s="382"/>
      <c r="U36" s="384" t="s">
        <v>687</v>
      </c>
      <c r="V36" s="407">
        <v>0.869941093</v>
      </c>
      <c r="W36" s="382"/>
      <c r="X36" s="384" t="s">
        <v>688</v>
      </c>
      <c r="Y36" s="409">
        <v>0.50700000000000001</v>
      </c>
      <c r="Z36" s="382"/>
      <c r="AA36" s="384"/>
      <c r="AB36" s="392" t="e">
        <v>#N/A</v>
      </c>
      <c r="AC36" s="382"/>
      <c r="AD36" s="384"/>
      <c r="AE36" s="392" t="e">
        <v>#N/A</v>
      </c>
      <c r="AF36" s="382"/>
      <c r="AG36" s="384" t="s">
        <v>689</v>
      </c>
      <c r="AH36" s="405">
        <v>0.48399999999999999</v>
      </c>
      <c r="AI36" s="382"/>
      <c r="AJ36" s="390" t="s">
        <v>690</v>
      </c>
      <c r="AK36" s="392">
        <v>-0.125</v>
      </c>
      <c r="AL36" s="382"/>
      <c r="AM36" s="384" t="s">
        <v>691</v>
      </c>
      <c r="AN36" s="392">
        <v>1.2010000000000001</v>
      </c>
      <c r="AO36" s="382"/>
      <c r="AP36" s="384"/>
      <c r="AQ36" s="392"/>
      <c r="AR36" s="382"/>
      <c r="AS36" s="384"/>
      <c r="AT36" s="392"/>
      <c r="AU36" s="382"/>
      <c r="AV36" s="384"/>
      <c r="AW36" s="392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</row>
    <row r="37" spans="1:65" ht="15" thickBot="1">
      <c r="A37" s="256"/>
      <c r="B37" s="383" t="s">
        <v>16</v>
      </c>
      <c r="C37" s="384" t="s">
        <v>15</v>
      </c>
      <c r="D37" s="405">
        <v>1.76896236</v>
      </c>
      <c r="E37" s="382"/>
      <c r="F37" s="384" t="s">
        <v>14</v>
      </c>
      <c r="G37" s="401">
        <v>1.9774151099999999</v>
      </c>
      <c r="H37" s="382"/>
      <c r="I37" s="384" t="s">
        <v>13</v>
      </c>
      <c r="J37" s="403">
        <v>2.13</v>
      </c>
      <c r="K37" s="382"/>
      <c r="L37" s="384" t="s">
        <v>12</v>
      </c>
      <c r="M37" s="403">
        <v>2.2789557</v>
      </c>
      <c r="N37" s="382"/>
      <c r="O37" s="384" t="e">
        <v>#N/A</v>
      </c>
      <c r="P37" s="385" t="e">
        <v>#N/A</v>
      </c>
      <c r="Q37" s="382"/>
      <c r="R37" s="384" t="e">
        <v>#N/A</v>
      </c>
      <c r="S37" s="387" t="e">
        <v>#N/A</v>
      </c>
      <c r="T37" s="382"/>
      <c r="U37" s="384" t="s">
        <v>692</v>
      </c>
      <c r="V37" s="407">
        <v>0.93417270900000005</v>
      </c>
      <c r="W37" s="382"/>
      <c r="X37" s="384" t="s">
        <v>693</v>
      </c>
      <c r="Y37" s="409">
        <v>0.6855</v>
      </c>
      <c r="Z37" s="382"/>
      <c r="AA37" s="384"/>
      <c r="AB37" s="392" t="e">
        <v>#N/A</v>
      </c>
      <c r="AC37" s="382"/>
      <c r="AD37" s="384"/>
      <c r="AE37" s="392" t="e">
        <v>#N/A</v>
      </c>
      <c r="AF37" s="382"/>
      <c r="AG37" s="384" t="s">
        <v>694</v>
      </c>
      <c r="AH37" s="405">
        <v>0.59199999999999997</v>
      </c>
      <c r="AI37" s="382"/>
      <c r="AJ37" s="391" t="s">
        <v>695</v>
      </c>
      <c r="AK37" s="392">
        <v>-0.09</v>
      </c>
      <c r="AL37" s="382"/>
      <c r="AM37" s="384" t="s">
        <v>696</v>
      </c>
      <c r="AN37" s="392">
        <v>1.2889999999999999</v>
      </c>
      <c r="AO37" s="382"/>
      <c r="AP37" s="384"/>
      <c r="AQ37" s="392"/>
      <c r="AR37" s="382"/>
      <c r="AS37" s="384"/>
      <c r="AT37" s="392"/>
      <c r="AU37" s="382"/>
      <c r="AV37" s="384"/>
      <c r="AW37" s="392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</row>
    <row r="38" spans="1:65">
      <c r="A38" s="256"/>
      <c r="B38" s="383" t="s">
        <v>11</v>
      </c>
      <c r="C38" s="384" t="s">
        <v>10</v>
      </c>
      <c r="D38" s="405">
        <v>1.8020356200000001</v>
      </c>
      <c r="E38" s="382"/>
      <c r="F38" s="384" t="s">
        <v>9</v>
      </c>
      <c r="G38" s="401">
        <v>1.9893627199999999</v>
      </c>
      <c r="H38" s="382"/>
      <c r="I38" s="384" t="s">
        <v>8</v>
      </c>
      <c r="J38" s="403">
        <v>2.1480000000000001</v>
      </c>
      <c r="K38" s="382"/>
      <c r="L38" s="384" t="s">
        <v>7</v>
      </c>
      <c r="M38" s="403">
        <v>2.2969705</v>
      </c>
      <c r="N38" s="382"/>
      <c r="O38" s="384" t="e">
        <v>#N/A</v>
      </c>
      <c r="P38" s="385" t="e">
        <v>#N/A</v>
      </c>
      <c r="Q38" s="382"/>
      <c r="R38" s="384" t="e">
        <v>#N/A</v>
      </c>
      <c r="S38" s="387" t="e">
        <v>#N/A</v>
      </c>
      <c r="T38" s="382"/>
      <c r="U38" s="384" t="s">
        <v>697</v>
      </c>
      <c r="V38" s="407">
        <v>0.95795759999999996</v>
      </c>
      <c r="W38" s="382"/>
      <c r="X38" s="384" t="s">
        <v>698</v>
      </c>
      <c r="Y38" s="409">
        <v>0.87</v>
      </c>
      <c r="Z38" s="382"/>
      <c r="AA38" s="384"/>
      <c r="AB38" s="392" t="e">
        <v>#N/A</v>
      </c>
      <c r="AC38" s="382"/>
      <c r="AD38" s="384"/>
      <c r="AE38" s="392" t="e">
        <v>#N/A</v>
      </c>
      <c r="AF38" s="382"/>
      <c r="AG38" s="384" t="s">
        <v>699</v>
      </c>
      <c r="AH38" s="405">
        <v>0.76300000000000001</v>
      </c>
      <c r="AI38" s="382"/>
      <c r="AJ38" s="389" t="s">
        <v>700</v>
      </c>
      <c r="AK38" s="392">
        <v>-5.5E-2</v>
      </c>
      <c r="AL38" s="382"/>
      <c r="AM38" s="384" t="s">
        <v>701</v>
      </c>
      <c r="AN38" s="392">
        <v>1.353</v>
      </c>
      <c r="AO38" s="382"/>
      <c r="AP38" s="384"/>
      <c r="AQ38" s="392"/>
      <c r="AR38" s="382"/>
      <c r="AS38" s="384"/>
      <c r="AT38" s="392"/>
      <c r="AU38" s="382"/>
      <c r="AV38" s="384"/>
      <c r="AW38" s="392"/>
      <c r="AX38" s="256"/>
      <c r="AY38" s="256"/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</row>
    <row r="39" spans="1:65">
      <c r="A39" s="256"/>
      <c r="B39" s="383" t="s">
        <v>6</v>
      </c>
      <c r="C39" s="384" t="s">
        <v>5</v>
      </c>
      <c r="D39" s="405">
        <v>1.8200604899999999</v>
      </c>
      <c r="E39" s="382"/>
      <c r="F39" s="384" t="s">
        <v>4</v>
      </c>
      <c r="G39" s="401">
        <v>1.9728555800000001</v>
      </c>
      <c r="H39" s="382"/>
      <c r="I39" s="384" t="s">
        <v>3</v>
      </c>
      <c r="J39" s="403">
        <v>2.1345000000000001</v>
      </c>
      <c r="K39" s="382"/>
      <c r="L39" s="384" t="s">
        <v>2</v>
      </c>
      <c r="M39" s="403">
        <v>2.2834561</v>
      </c>
      <c r="N39" s="382"/>
      <c r="O39" s="384" t="e">
        <v>#N/A</v>
      </c>
      <c r="P39" s="385" t="e">
        <v>#N/A</v>
      </c>
      <c r="Q39" s="382"/>
      <c r="R39" s="384" t="e">
        <v>#N/A</v>
      </c>
      <c r="S39" s="387" t="e">
        <v>#N/A</v>
      </c>
      <c r="T39" s="382"/>
      <c r="U39" s="384" t="s">
        <v>702</v>
      </c>
      <c r="V39" s="407">
        <v>0.97140937599999999</v>
      </c>
      <c r="W39" s="382"/>
      <c r="X39" s="384" t="s">
        <v>703</v>
      </c>
      <c r="Y39" s="409">
        <v>1.022</v>
      </c>
      <c r="Z39" s="382"/>
      <c r="AA39" s="384"/>
      <c r="AB39" s="392" t="e">
        <v>#N/A</v>
      </c>
      <c r="AC39" s="382"/>
      <c r="AD39" s="384"/>
      <c r="AE39" s="392" t="e">
        <v>#N/A</v>
      </c>
      <c r="AF39" s="382"/>
      <c r="AG39" s="384" t="s">
        <v>704</v>
      </c>
      <c r="AH39" s="405">
        <v>0.93799999999999994</v>
      </c>
      <c r="AI39" s="382"/>
      <c r="AJ39" s="390" t="s">
        <v>705</v>
      </c>
      <c r="AK39" s="392">
        <v>-2.9499999999999998E-2</v>
      </c>
      <c r="AL39" s="382"/>
      <c r="AM39" s="384" t="s">
        <v>706</v>
      </c>
      <c r="AN39" s="392">
        <v>1.407</v>
      </c>
      <c r="AO39" s="382"/>
      <c r="AP39" s="384"/>
      <c r="AQ39" s="392"/>
      <c r="AR39" s="382"/>
      <c r="AS39" s="384"/>
      <c r="AT39" s="392"/>
      <c r="AU39" s="382"/>
      <c r="AV39" s="384"/>
      <c r="AW39" s="392"/>
      <c r="AX39" s="256"/>
      <c r="AY39" s="256"/>
      <c r="AZ39" s="256"/>
      <c r="BA39" s="256"/>
      <c r="BB39" s="256"/>
      <c r="BC39" s="256"/>
      <c r="BD39" s="256"/>
      <c r="BE39" s="256"/>
      <c r="BF39" s="256"/>
      <c r="BG39" s="256"/>
      <c r="BH39" s="256"/>
      <c r="BI39" s="256"/>
      <c r="BJ39" s="256"/>
      <c r="BK39" s="256"/>
      <c r="BL39" s="256"/>
      <c r="BM39" s="256"/>
    </row>
    <row r="40" spans="1:65">
      <c r="A40" s="256"/>
      <c r="B40" s="383" t="s">
        <v>1</v>
      </c>
      <c r="C40" s="384" t="s">
        <v>0</v>
      </c>
      <c r="D40" s="405">
        <v>1.8064943099999999</v>
      </c>
      <c r="E40" s="382"/>
      <c r="F40" s="384" t="e">
        <v>#N/A</v>
      </c>
      <c r="G40" s="385"/>
      <c r="H40" s="382"/>
      <c r="I40" s="384" t="e">
        <v>#N/A</v>
      </c>
      <c r="J40" s="385" t="e">
        <v>#N/A</v>
      </c>
      <c r="K40" s="382"/>
      <c r="L40" s="384" t="e">
        <v>#N/A</v>
      </c>
      <c r="M40" s="385" t="e">
        <v>#N/A</v>
      </c>
      <c r="N40" s="382"/>
      <c r="O40" s="384" t="e">
        <v>#N/A</v>
      </c>
      <c r="P40" s="385" t="e">
        <v>#N/A</v>
      </c>
      <c r="Q40" s="382"/>
      <c r="R40" s="384" t="e">
        <v>#N/A</v>
      </c>
      <c r="S40" s="385" t="e">
        <v>#N/A</v>
      </c>
      <c r="T40" s="382"/>
      <c r="U40" s="384" t="s">
        <v>707</v>
      </c>
      <c r="V40" s="407">
        <v>0.96499999999999997</v>
      </c>
      <c r="W40" s="382"/>
      <c r="X40" s="384" t="s">
        <v>708</v>
      </c>
      <c r="Y40" s="409">
        <v>1.0605</v>
      </c>
      <c r="Z40" s="382"/>
      <c r="AA40" s="384"/>
      <c r="AB40" s="392" t="e">
        <v>#N/A</v>
      </c>
      <c r="AC40" s="382"/>
      <c r="AD40" s="384"/>
      <c r="AE40" s="392" t="e">
        <v>#N/A</v>
      </c>
      <c r="AF40" s="382"/>
      <c r="AG40" s="384" t="s">
        <v>709</v>
      </c>
      <c r="AH40" s="405">
        <v>1.079</v>
      </c>
      <c r="AI40" s="382"/>
      <c r="AJ40" s="390" t="s">
        <v>710</v>
      </c>
      <c r="AK40" s="392">
        <v>-1.2500000000000001E-2</v>
      </c>
      <c r="AL40" s="382"/>
      <c r="AM40" s="384" t="s">
        <v>711</v>
      </c>
      <c r="AN40" s="392">
        <v>1.407</v>
      </c>
      <c r="AO40" s="382"/>
      <c r="AP40" s="384"/>
      <c r="AQ40" s="392"/>
      <c r="AR40" s="382"/>
      <c r="AS40" s="384"/>
      <c r="AT40" s="392"/>
      <c r="AU40" s="382"/>
      <c r="AV40" s="384"/>
      <c r="AW40" s="392"/>
      <c r="AX40" s="256"/>
      <c r="AY40" s="256"/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</row>
    <row r="41" spans="1:65">
      <c r="A41" s="256"/>
      <c r="B41" s="382"/>
      <c r="C41" s="384" t="e">
        <v>#N/A</v>
      </c>
      <c r="D41" s="385">
        <v>0.01</v>
      </c>
      <c r="E41" s="382"/>
      <c r="F41" s="384" t="e">
        <v>#N/A</v>
      </c>
      <c r="G41" s="385">
        <v>0.01</v>
      </c>
      <c r="H41" s="382"/>
      <c r="I41" s="384" t="e">
        <v>#N/A</v>
      </c>
      <c r="J41" s="385" t="e">
        <v>#N/A</v>
      </c>
      <c r="K41" s="382"/>
      <c r="L41" s="384" t="e">
        <v>#N/A</v>
      </c>
      <c r="M41" s="385" t="e">
        <v>#N/A</v>
      </c>
      <c r="N41" s="382"/>
      <c r="O41" s="384" t="e">
        <v>#N/A</v>
      </c>
      <c r="P41" s="385" t="e">
        <v>#N/A</v>
      </c>
      <c r="Q41" s="382"/>
      <c r="R41" s="384" t="e">
        <v>#N/A</v>
      </c>
      <c r="S41" s="385" t="e">
        <v>#N/A</v>
      </c>
      <c r="T41" s="382"/>
      <c r="U41" s="384"/>
      <c r="V41" s="392">
        <v>1.5</v>
      </c>
      <c r="W41" s="382"/>
      <c r="X41" s="384" t="s">
        <v>712</v>
      </c>
      <c r="Y41" s="409">
        <v>1.0745</v>
      </c>
      <c r="Z41" s="382"/>
      <c r="AA41" s="384"/>
      <c r="AB41" s="392" t="e">
        <v>#N/A</v>
      </c>
      <c r="AC41" s="382"/>
      <c r="AD41" s="384"/>
      <c r="AE41" s="392" t="e">
        <v>#N/A</v>
      </c>
      <c r="AF41" s="382"/>
      <c r="AG41" s="384" t="s">
        <v>713</v>
      </c>
      <c r="AH41" s="405">
        <v>1.1100000000000001</v>
      </c>
      <c r="AI41" s="382"/>
      <c r="AJ41" s="390" t="s">
        <v>714</v>
      </c>
      <c r="AK41" s="392">
        <v>2.8999999999999998E-3</v>
      </c>
      <c r="AL41" s="382"/>
      <c r="AM41" s="384"/>
      <c r="AN41" s="392"/>
      <c r="AO41" s="382"/>
      <c r="AP41" s="384"/>
      <c r="AQ41" s="392"/>
      <c r="AR41" s="382"/>
      <c r="AS41" s="384"/>
      <c r="AT41" s="392"/>
      <c r="AU41" s="382"/>
      <c r="AV41" s="384"/>
      <c r="AW41" s="392"/>
      <c r="AX41" s="256"/>
      <c r="AY41" s="256"/>
      <c r="AZ41" s="256"/>
      <c r="BA41" s="256"/>
      <c r="BB41" s="256"/>
      <c r="BC41" s="256"/>
      <c r="BD41" s="256"/>
      <c r="BE41" s="256"/>
      <c r="BF41" s="256"/>
      <c r="BG41" s="256"/>
      <c r="BH41" s="256"/>
      <c r="BI41" s="256"/>
      <c r="BJ41" s="256"/>
      <c r="BK41" s="256"/>
      <c r="BL41" s="256"/>
      <c r="BM41" s="256"/>
    </row>
    <row r="42" spans="1:65">
      <c r="A42" s="256"/>
      <c r="B42" s="382"/>
      <c r="C42" s="384" t="e">
        <v>#N/A</v>
      </c>
      <c r="D42" s="385">
        <v>0.01</v>
      </c>
      <c r="E42" s="382"/>
      <c r="F42" s="384" t="e">
        <v>#N/A</v>
      </c>
      <c r="G42" s="385">
        <v>0.01</v>
      </c>
      <c r="H42" s="382"/>
      <c r="I42" s="384" t="e">
        <v>#N/A</v>
      </c>
      <c r="J42" s="385" t="e">
        <v>#N/A</v>
      </c>
      <c r="K42" s="382"/>
      <c r="L42" s="384" t="e">
        <v>#N/A</v>
      </c>
      <c r="M42" s="385" t="e">
        <v>#N/A</v>
      </c>
      <c r="N42" s="382"/>
      <c r="O42" s="384" t="e">
        <v>#N/A</v>
      </c>
      <c r="P42" s="385" t="e">
        <v>#N/A</v>
      </c>
      <c r="Q42" s="382"/>
      <c r="R42" s="384" t="e">
        <v>#N/A</v>
      </c>
      <c r="S42" s="385" t="e">
        <v>#N/A</v>
      </c>
      <c r="T42" s="382"/>
      <c r="U42" s="384"/>
      <c r="V42" s="392" t="e">
        <v>#N/A</v>
      </c>
      <c r="W42" s="382"/>
      <c r="X42" s="384" t="s">
        <v>715</v>
      </c>
      <c r="Y42" s="409">
        <v>1.0965</v>
      </c>
      <c r="Z42" s="382"/>
      <c r="AA42" s="384"/>
      <c r="AB42" s="392" t="e">
        <v>#N/A</v>
      </c>
      <c r="AC42" s="382"/>
      <c r="AD42" s="384"/>
      <c r="AE42" s="392" t="e">
        <v>#N/A</v>
      </c>
      <c r="AF42" s="382"/>
      <c r="AG42" s="384" t="s">
        <v>716</v>
      </c>
      <c r="AH42" s="405">
        <v>1.1180000000000001</v>
      </c>
      <c r="AI42" s="382"/>
      <c r="AJ42" s="390" t="s">
        <v>717</v>
      </c>
      <c r="AK42" s="392">
        <v>1.4E-2</v>
      </c>
      <c r="AL42" s="382"/>
      <c r="AM42" s="384"/>
      <c r="AN42" s="392"/>
      <c r="AO42" s="382"/>
      <c r="AP42" s="384"/>
      <c r="AQ42" s="392"/>
      <c r="AR42" s="382"/>
      <c r="AS42" s="384"/>
      <c r="AT42" s="392"/>
      <c r="AU42" s="382"/>
      <c r="AV42" s="384"/>
      <c r="AW42" s="392"/>
      <c r="AX42" s="256"/>
      <c r="AY42" s="256"/>
      <c r="AZ42" s="256"/>
      <c r="BA42" s="256"/>
      <c r="BB42" s="256"/>
      <c r="BC42" s="256"/>
      <c r="BD42" s="256"/>
      <c r="BE42" s="256"/>
      <c r="BF42" s="256"/>
      <c r="BG42" s="256"/>
      <c r="BH42" s="256"/>
      <c r="BI42" s="256"/>
      <c r="BJ42" s="256"/>
      <c r="BK42" s="256"/>
      <c r="BL42" s="256"/>
      <c r="BM42" s="256"/>
    </row>
    <row r="43" spans="1:65">
      <c r="A43" s="256"/>
      <c r="B43" s="382"/>
      <c r="C43" s="384" t="e">
        <v>#N/A</v>
      </c>
      <c r="D43" s="385">
        <v>0.01</v>
      </c>
      <c r="E43" s="382"/>
      <c r="F43" s="384" t="e">
        <v>#N/A</v>
      </c>
      <c r="G43" s="385">
        <v>0.01</v>
      </c>
      <c r="H43" s="382"/>
      <c r="I43" s="384" t="e">
        <v>#N/A</v>
      </c>
      <c r="J43" s="385" t="e">
        <v>#N/A</v>
      </c>
      <c r="K43" s="382"/>
      <c r="L43" s="384" t="e">
        <v>#N/A</v>
      </c>
      <c r="M43" s="385" t="e">
        <v>#N/A</v>
      </c>
      <c r="N43" s="382"/>
      <c r="O43" s="384" t="e">
        <v>#N/A</v>
      </c>
      <c r="P43" s="385" t="e">
        <v>#N/A</v>
      </c>
      <c r="Q43" s="382"/>
      <c r="R43" s="384" t="e">
        <v>#N/A</v>
      </c>
      <c r="S43" s="385" t="e">
        <v>#N/A</v>
      </c>
      <c r="T43" s="382"/>
      <c r="U43" s="384"/>
      <c r="V43" s="392" t="e">
        <v>#N/A</v>
      </c>
      <c r="W43" s="382"/>
      <c r="X43" s="384" t="s">
        <v>718</v>
      </c>
      <c r="Y43" s="409">
        <v>1.0640000000000001</v>
      </c>
      <c r="Z43" s="382"/>
      <c r="AA43" s="384"/>
      <c r="AB43" s="392" t="e">
        <v>#N/A</v>
      </c>
      <c r="AC43" s="382"/>
      <c r="AD43" s="384"/>
      <c r="AE43" s="392" t="e">
        <v>#N/A</v>
      </c>
      <c r="AF43" s="382"/>
      <c r="AG43" s="384" t="s">
        <v>719</v>
      </c>
      <c r="AH43" s="405">
        <v>1.129</v>
      </c>
      <c r="AI43" s="382"/>
      <c r="AJ43" s="390" t="s">
        <v>720</v>
      </c>
      <c r="AK43" s="392">
        <v>2.5000000000000001E-2</v>
      </c>
      <c r="AL43" s="382"/>
      <c r="AM43" s="384"/>
      <c r="AN43" s="392"/>
      <c r="AO43" s="382"/>
      <c r="AP43" s="384"/>
      <c r="AQ43" s="392"/>
      <c r="AR43" s="382"/>
      <c r="AS43" s="384"/>
      <c r="AT43" s="392"/>
      <c r="AU43" s="382"/>
      <c r="AV43" s="384"/>
      <c r="AW43" s="392"/>
      <c r="AX43" s="256"/>
      <c r="AY43" s="256"/>
      <c r="AZ43" s="256"/>
      <c r="BA43" s="256"/>
      <c r="BB43" s="256"/>
      <c r="BC43" s="256"/>
      <c r="BD43" s="256"/>
      <c r="BE43" s="256"/>
      <c r="BF43" s="256"/>
      <c r="BG43" s="256"/>
      <c r="BH43" s="256"/>
      <c r="BI43" s="256"/>
      <c r="BJ43" s="256"/>
      <c r="BK43" s="256"/>
      <c r="BL43" s="256"/>
      <c r="BM43" s="256"/>
    </row>
    <row r="44" spans="1:65">
      <c r="A44" s="256"/>
      <c r="B44" s="382"/>
      <c r="C44" s="384" t="e">
        <v>#N/A</v>
      </c>
      <c r="D44" s="385">
        <v>0.01</v>
      </c>
      <c r="E44" s="382"/>
      <c r="F44" s="384" t="e">
        <v>#N/A</v>
      </c>
      <c r="G44" s="385">
        <v>0.01</v>
      </c>
      <c r="H44" s="382"/>
      <c r="I44" s="384" t="e">
        <v>#N/A</v>
      </c>
      <c r="J44" s="385" t="e">
        <v>#N/A</v>
      </c>
      <c r="K44" s="382"/>
      <c r="L44" s="384" t="e">
        <v>#N/A</v>
      </c>
      <c r="M44" s="385" t="e">
        <v>#N/A</v>
      </c>
      <c r="N44" s="382"/>
      <c r="O44" s="384" t="e">
        <v>#N/A</v>
      </c>
      <c r="P44" s="385" t="e">
        <v>#N/A</v>
      </c>
      <c r="Q44" s="382"/>
      <c r="R44" s="384" t="e">
        <v>#N/A</v>
      </c>
      <c r="S44" s="385" t="e">
        <v>#N/A</v>
      </c>
      <c r="T44" s="382"/>
      <c r="U44" s="384"/>
      <c r="V44" s="392" t="e">
        <v>#N/A</v>
      </c>
      <c r="W44" s="382"/>
      <c r="X44" s="384"/>
      <c r="Y44" s="392" t="e">
        <v>#N/A</v>
      </c>
      <c r="Z44" s="382"/>
      <c r="AA44" s="384"/>
      <c r="AB44" s="392" t="e">
        <v>#N/A</v>
      </c>
      <c r="AC44" s="382"/>
      <c r="AD44" s="384"/>
      <c r="AE44" s="392" t="e">
        <v>#N/A</v>
      </c>
      <c r="AF44" s="382"/>
      <c r="AG44" s="384" t="s">
        <v>721</v>
      </c>
      <c r="AH44" s="405">
        <v>1.133</v>
      </c>
      <c r="AI44" s="382"/>
      <c r="AJ44" s="390" t="s">
        <v>722</v>
      </c>
      <c r="AK44" s="392">
        <v>3.0200000000000001E-2</v>
      </c>
      <c r="AL44" s="382"/>
      <c r="AM44" s="384"/>
      <c r="AN44" s="392"/>
      <c r="AO44" s="382"/>
      <c r="AP44" s="384"/>
      <c r="AQ44" s="392"/>
      <c r="AR44" s="382"/>
      <c r="AS44" s="384"/>
      <c r="AT44" s="392"/>
      <c r="AU44" s="382"/>
      <c r="AV44" s="384"/>
      <c r="AW44" s="392"/>
      <c r="AX44" s="256"/>
      <c r="AY44" s="256"/>
      <c r="AZ44" s="256"/>
      <c r="BA44" s="256"/>
      <c r="BB44" s="256"/>
      <c r="BC44" s="256"/>
      <c r="BD44" s="256"/>
      <c r="BE44" s="256"/>
      <c r="BF44" s="256"/>
      <c r="BG44" s="256"/>
      <c r="BH44" s="256"/>
      <c r="BI44" s="256"/>
      <c r="BJ44" s="256"/>
      <c r="BK44" s="256"/>
      <c r="BL44" s="256"/>
      <c r="BM44" s="256"/>
    </row>
    <row r="45" spans="1:65">
      <c r="A45" s="256"/>
      <c r="B45" s="382"/>
      <c r="C45" s="384" t="e">
        <v>#N/A</v>
      </c>
      <c r="D45" s="385">
        <v>0.01</v>
      </c>
      <c r="E45" s="382"/>
      <c r="F45" s="384" t="e">
        <v>#N/A</v>
      </c>
      <c r="G45" s="385">
        <v>0.01</v>
      </c>
      <c r="H45" s="382"/>
      <c r="I45" s="384" t="e">
        <v>#N/A</v>
      </c>
      <c r="J45" s="385" t="e">
        <v>#N/A</v>
      </c>
      <c r="K45" s="382"/>
      <c r="L45" s="384" t="e">
        <v>#N/A</v>
      </c>
      <c r="M45" s="385" t="e">
        <v>#N/A</v>
      </c>
      <c r="N45" s="382"/>
      <c r="O45" s="384" t="e">
        <v>#N/A</v>
      </c>
      <c r="P45" s="385" t="e">
        <v>#N/A</v>
      </c>
      <c r="Q45" s="382"/>
      <c r="R45" s="384" t="e">
        <v>#N/A</v>
      </c>
      <c r="S45" s="385" t="e">
        <v>#N/A</v>
      </c>
      <c r="T45" s="382"/>
      <c r="U45" s="384"/>
      <c r="V45" s="385" t="e">
        <v>#N/A</v>
      </c>
      <c r="W45" s="382"/>
      <c r="X45" s="384"/>
      <c r="Y45" s="385" t="e">
        <v>#N/A</v>
      </c>
      <c r="Z45" s="382"/>
      <c r="AA45" s="384"/>
      <c r="AB45" s="385" t="e">
        <v>#N/A</v>
      </c>
      <c r="AC45" s="382"/>
      <c r="AD45" s="384"/>
      <c r="AE45" s="385" t="e">
        <v>#N/A</v>
      </c>
      <c r="AF45" s="382"/>
      <c r="AG45" s="384" t="s">
        <v>723</v>
      </c>
      <c r="AH45" s="413">
        <v>1.0960000000000001</v>
      </c>
      <c r="AI45" s="382"/>
      <c r="AJ45" s="390" t="s">
        <v>724</v>
      </c>
      <c r="AK45" s="385">
        <v>0.03</v>
      </c>
      <c r="AL45" s="382"/>
      <c r="AM45" s="384"/>
      <c r="AN45" s="385"/>
      <c r="AO45" s="382"/>
      <c r="AP45" s="384"/>
      <c r="AQ45" s="385"/>
      <c r="AR45" s="382"/>
      <c r="AS45" s="384"/>
      <c r="AT45" s="385"/>
      <c r="AU45" s="382"/>
      <c r="AV45" s="384"/>
      <c r="AW45" s="385"/>
      <c r="AX45" s="256"/>
      <c r="AY45" s="256"/>
      <c r="AZ45" s="256"/>
      <c r="BA45" s="256"/>
      <c r="BB45" s="256"/>
      <c r="BC45" s="256"/>
      <c r="BD45" s="256"/>
      <c r="BE45" s="256"/>
      <c r="BF45" s="256"/>
      <c r="BG45" s="256"/>
      <c r="BH45" s="256"/>
      <c r="BI45" s="256"/>
      <c r="BJ45" s="256"/>
      <c r="BK45" s="256"/>
      <c r="BL45" s="256"/>
      <c r="BM45" s="256"/>
    </row>
    <row r="46" spans="1:65">
      <c r="A46" s="256"/>
      <c r="B46" s="382"/>
      <c r="C46" s="384" t="e">
        <v>#N/A</v>
      </c>
      <c r="D46" s="385">
        <v>0.01</v>
      </c>
      <c r="E46" s="382"/>
      <c r="F46" s="384" t="e">
        <v>#N/A</v>
      </c>
      <c r="G46" s="385">
        <v>0.01</v>
      </c>
      <c r="H46" s="382"/>
      <c r="I46" s="384" t="e">
        <v>#N/A</v>
      </c>
      <c r="J46" s="385" t="e">
        <v>#N/A</v>
      </c>
      <c r="K46" s="382"/>
      <c r="L46" s="384" t="e">
        <v>#N/A</v>
      </c>
      <c r="M46" s="385" t="e">
        <v>#N/A</v>
      </c>
      <c r="N46" s="382"/>
      <c r="O46" s="384" t="e">
        <v>#N/A</v>
      </c>
      <c r="P46" s="385" t="e">
        <v>#N/A</v>
      </c>
      <c r="Q46" s="382"/>
      <c r="R46" s="384" t="e">
        <v>#N/A</v>
      </c>
      <c r="S46" s="385" t="e">
        <v>#N/A</v>
      </c>
      <c r="T46" s="382"/>
      <c r="U46" s="384"/>
      <c r="V46" s="385" t="e">
        <v>#N/A</v>
      </c>
      <c r="W46" s="382"/>
      <c r="X46" s="384"/>
      <c r="Y46" s="385" t="e">
        <v>#N/A</v>
      </c>
      <c r="Z46" s="382"/>
      <c r="AA46" s="384"/>
      <c r="AB46" s="385" t="e">
        <v>#N/A</v>
      </c>
      <c r="AC46" s="382"/>
      <c r="AD46" s="384"/>
      <c r="AE46" s="385" t="e">
        <v>#N/A</v>
      </c>
      <c r="AF46" s="382"/>
      <c r="AG46" s="384"/>
      <c r="AH46" s="385" t="e">
        <v>#N/A</v>
      </c>
      <c r="AI46" s="382"/>
      <c r="AJ46" s="390" t="s">
        <v>725</v>
      </c>
      <c r="AK46" s="385">
        <v>5.0000000000000001E-3</v>
      </c>
      <c r="AL46" s="382"/>
      <c r="AM46" s="384"/>
      <c r="AN46" s="385"/>
      <c r="AO46" s="382"/>
      <c r="AP46" s="384"/>
      <c r="AQ46" s="385"/>
      <c r="AR46" s="382"/>
      <c r="AS46" s="384"/>
      <c r="AT46" s="385"/>
      <c r="AU46" s="382"/>
      <c r="AV46" s="384"/>
      <c r="AW46" s="385"/>
      <c r="AX46" s="256"/>
      <c r="AY46" s="256"/>
      <c r="AZ46" s="256"/>
      <c r="BA46" s="256"/>
      <c r="BB46" s="256"/>
      <c r="BC46" s="256"/>
      <c r="BD46" s="256"/>
      <c r="BE46" s="256"/>
      <c r="BF46" s="256"/>
      <c r="BG46" s="256"/>
      <c r="BH46" s="256"/>
      <c r="BI46" s="256"/>
      <c r="BJ46" s="256"/>
      <c r="BK46" s="256"/>
      <c r="BL46" s="256"/>
      <c r="BM46" s="256"/>
    </row>
    <row r="47" spans="1:65">
      <c r="A47" s="256"/>
      <c r="B47" s="382"/>
      <c r="C47" s="384" t="e">
        <v>#N/A</v>
      </c>
      <c r="D47" s="385"/>
      <c r="E47" s="382"/>
      <c r="F47" s="384" t="e">
        <v>#N/A</v>
      </c>
      <c r="G47" s="385"/>
      <c r="H47" s="382"/>
      <c r="I47" s="384" t="e">
        <v>#N/A</v>
      </c>
      <c r="J47" s="385"/>
      <c r="K47" s="382"/>
      <c r="L47" s="384" t="e">
        <v>#N/A</v>
      </c>
      <c r="M47" s="385"/>
      <c r="N47" s="382"/>
      <c r="O47" s="384" t="e">
        <v>#N/A</v>
      </c>
      <c r="P47" s="385"/>
      <c r="Q47" s="382"/>
      <c r="R47" s="384" t="e">
        <v>#N/A</v>
      </c>
      <c r="S47" s="385"/>
      <c r="T47" s="382"/>
      <c r="U47" s="384"/>
      <c r="V47" s="385"/>
      <c r="W47" s="382"/>
      <c r="X47" s="384"/>
      <c r="Y47" s="385"/>
      <c r="Z47" s="382"/>
      <c r="AA47" s="384"/>
      <c r="AB47" s="385"/>
      <c r="AC47" s="382"/>
      <c r="AD47" s="384"/>
      <c r="AE47" s="385"/>
      <c r="AF47" s="382"/>
      <c r="AG47" s="384"/>
      <c r="AH47" s="385"/>
      <c r="AI47" s="382"/>
      <c r="AJ47" s="390" t="s">
        <v>726</v>
      </c>
      <c r="AK47" s="385">
        <v>-0.03</v>
      </c>
      <c r="AL47" s="382"/>
      <c r="AM47" s="384"/>
      <c r="AN47" s="385"/>
      <c r="AO47" s="382"/>
      <c r="AP47" s="384"/>
      <c r="AQ47" s="385"/>
      <c r="AR47" s="382"/>
      <c r="AS47" s="384"/>
      <c r="AT47" s="385"/>
      <c r="AU47" s="382"/>
      <c r="AV47" s="384"/>
      <c r="AW47" s="385"/>
      <c r="AX47" s="256"/>
      <c r="AY47" s="256"/>
      <c r="AZ47" s="256"/>
      <c r="BA47" s="256"/>
      <c r="BB47" s="256"/>
      <c r="BC47" s="256"/>
      <c r="BD47" s="256"/>
      <c r="BE47" s="256"/>
      <c r="BF47" s="256"/>
      <c r="BG47" s="256"/>
      <c r="BH47" s="256"/>
      <c r="BI47" s="256"/>
      <c r="BJ47" s="256"/>
      <c r="BK47" s="256"/>
      <c r="BL47" s="256"/>
      <c r="BM47" s="256"/>
    </row>
    <row r="48" spans="1:65">
      <c r="A48" s="256"/>
      <c r="B48" s="382"/>
      <c r="C48" s="384" t="e">
        <v>#N/A</v>
      </c>
      <c r="D48" s="385"/>
      <c r="E48" s="382"/>
      <c r="F48" s="384" t="e">
        <v>#N/A</v>
      </c>
      <c r="G48" s="385"/>
      <c r="H48" s="382"/>
      <c r="I48" s="384" t="e">
        <v>#N/A</v>
      </c>
      <c r="J48" s="385"/>
      <c r="K48" s="382"/>
      <c r="L48" s="384" t="e">
        <v>#N/A</v>
      </c>
      <c r="M48" s="385"/>
      <c r="N48" s="382"/>
      <c r="O48" s="384" t="e">
        <v>#N/A</v>
      </c>
      <c r="P48" s="385"/>
      <c r="Q48" s="382"/>
      <c r="R48" s="384" t="e">
        <v>#N/A</v>
      </c>
      <c r="S48" s="385"/>
      <c r="T48" s="382"/>
      <c r="U48" s="384"/>
      <c r="V48" s="385"/>
      <c r="W48" s="382"/>
      <c r="X48" s="384"/>
      <c r="Y48" s="385"/>
      <c r="Z48" s="382"/>
      <c r="AA48" s="384"/>
      <c r="AB48" s="385"/>
      <c r="AC48" s="382"/>
      <c r="AD48" s="384"/>
      <c r="AE48" s="385"/>
      <c r="AF48" s="382"/>
      <c r="AG48" s="384"/>
      <c r="AH48" s="385"/>
      <c r="AI48" s="382"/>
      <c r="AJ48" s="390" t="s">
        <v>727</v>
      </c>
      <c r="AK48" s="385">
        <v>6.7699999999999996E-2</v>
      </c>
      <c r="AL48" s="382"/>
      <c r="AM48" s="384"/>
      <c r="AN48" s="385"/>
      <c r="AO48" s="382"/>
      <c r="AP48" s="384"/>
      <c r="AQ48" s="385"/>
      <c r="AR48" s="382"/>
      <c r="AS48" s="384"/>
      <c r="AT48" s="385"/>
      <c r="AU48" s="382"/>
      <c r="AV48" s="384"/>
      <c r="AW48" s="385"/>
      <c r="AX48" s="256"/>
      <c r="AY48" s="256"/>
      <c r="AZ48" s="256"/>
      <c r="BA48" s="256"/>
      <c r="BB48" s="256"/>
      <c r="BC48" s="256"/>
      <c r="BD48" s="256"/>
      <c r="BE48" s="256"/>
      <c r="BF48" s="256"/>
      <c r="BG48" s="256"/>
      <c r="BH48" s="256"/>
      <c r="BI48" s="256"/>
      <c r="BJ48" s="256"/>
      <c r="BK48" s="256"/>
      <c r="BL48" s="256"/>
      <c r="BM48" s="256"/>
    </row>
    <row r="49" spans="1:65" ht="15" thickBot="1">
      <c r="A49" s="256"/>
      <c r="B49" s="256"/>
      <c r="C49" s="384" t="e">
        <v>#N/A</v>
      </c>
      <c r="D49" s="385"/>
      <c r="E49" s="382"/>
      <c r="F49" s="384" t="e">
        <v>#N/A</v>
      </c>
      <c r="G49" s="385"/>
      <c r="H49" s="382"/>
      <c r="I49" s="384" t="e">
        <v>#N/A</v>
      </c>
      <c r="J49" s="385"/>
      <c r="K49" s="382"/>
      <c r="L49" s="384" t="e">
        <v>#N/A</v>
      </c>
      <c r="M49" s="385"/>
      <c r="N49" s="382"/>
      <c r="O49" s="384" t="e">
        <v>#N/A</v>
      </c>
      <c r="P49" s="385"/>
      <c r="Q49" s="382"/>
      <c r="R49" s="384" t="e">
        <v>#N/A</v>
      </c>
      <c r="S49" s="385"/>
      <c r="T49" s="382"/>
      <c r="U49" s="384"/>
      <c r="V49" s="385"/>
      <c r="W49" s="382"/>
      <c r="X49" s="384"/>
      <c r="Y49" s="385"/>
      <c r="Z49" s="382"/>
      <c r="AA49" s="384"/>
      <c r="AB49" s="385"/>
      <c r="AC49" s="382"/>
      <c r="AD49" s="384"/>
      <c r="AE49" s="385"/>
      <c r="AF49" s="382"/>
      <c r="AG49" s="384"/>
      <c r="AH49" s="385"/>
      <c r="AI49" s="382"/>
      <c r="AJ49" s="391" t="s">
        <v>728</v>
      </c>
      <c r="AK49" s="385">
        <v>0.47489999999999999</v>
      </c>
      <c r="AL49" s="382"/>
      <c r="AM49" s="384"/>
      <c r="AN49" s="385"/>
      <c r="AO49" s="382"/>
      <c r="AP49" s="384"/>
      <c r="AQ49" s="385"/>
      <c r="AR49" s="382"/>
      <c r="AS49" s="384"/>
      <c r="AT49" s="385"/>
      <c r="AU49" s="382"/>
      <c r="AV49" s="384"/>
      <c r="AW49" s="385"/>
      <c r="AX49" s="256"/>
      <c r="AY49" s="256"/>
      <c r="AZ49" s="256"/>
      <c r="BA49" s="256"/>
      <c r="BB49" s="256"/>
      <c r="BC49" s="256"/>
      <c r="BD49" s="256"/>
      <c r="BE49" s="256"/>
      <c r="BF49" s="256"/>
      <c r="BG49" s="256"/>
      <c r="BH49" s="256"/>
      <c r="BI49" s="256"/>
      <c r="BJ49" s="256"/>
      <c r="BK49" s="256"/>
      <c r="BL49" s="256"/>
      <c r="BM49" s="256"/>
    </row>
    <row r="50" spans="1:65">
      <c r="A50" s="256"/>
      <c r="B50" s="256"/>
      <c r="C50" s="384" t="e">
        <v>#N/A</v>
      </c>
      <c r="D50" s="385"/>
      <c r="E50" s="382"/>
      <c r="F50" s="384" t="e">
        <v>#N/A</v>
      </c>
      <c r="G50" s="385"/>
      <c r="H50" s="382"/>
      <c r="I50" s="384" t="e">
        <v>#N/A</v>
      </c>
      <c r="J50" s="385"/>
      <c r="K50" s="382"/>
      <c r="L50" s="384" t="e">
        <v>#N/A</v>
      </c>
      <c r="M50" s="385"/>
      <c r="N50" s="382"/>
      <c r="O50" s="384" t="e">
        <v>#N/A</v>
      </c>
      <c r="P50" s="385"/>
      <c r="Q50" s="382"/>
      <c r="R50" s="384" t="e">
        <v>#N/A</v>
      </c>
      <c r="S50" s="385"/>
      <c r="T50" s="382"/>
      <c r="U50" s="384"/>
      <c r="V50" s="385"/>
      <c r="W50" s="382"/>
      <c r="X50" s="384"/>
      <c r="Y50" s="385"/>
      <c r="Z50" s="382"/>
      <c r="AA50" s="384"/>
      <c r="AB50" s="385"/>
      <c r="AC50" s="382"/>
      <c r="AD50" s="384"/>
      <c r="AE50" s="385"/>
      <c r="AF50" s="382"/>
      <c r="AG50" s="384"/>
      <c r="AH50" s="385"/>
      <c r="AI50" s="382"/>
      <c r="AJ50" s="384"/>
      <c r="AK50" s="385"/>
      <c r="AL50" s="382"/>
      <c r="AM50" s="384"/>
      <c r="AN50" s="385"/>
      <c r="AO50" s="382"/>
      <c r="AP50" s="384"/>
      <c r="AQ50" s="385"/>
      <c r="AR50" s="382"/>
      <c r="AS50" s="384"/>
      <c r="AT50" s="385"/>
      <c r="AU50" s="382"/>
      <c r="AV50" s="384"/>
      <c r="AW50" s="385"/>
      <c r="AX50" s="256"/>
      <c r="AY50" s="256"/>
      <c r="AZ50" s="256"/>
      <c r="BA50" s="256"/>
      <c r="BB50" s="256"/>
      <c r="BC50" s="256"/>
      <c r="BD50" s="256"/>
      <c r="BE50" s="256"/>
      <c r="BF50" s="256"/>
      <c r="BG50" s="256"/>
      <c r="BH50" s="256"/>
      <c r="BI50" s="256"/>
      <c r="BJ50" s="256"/>
      <c r="BK50" s="256"/>
      <c r="BL50" s="256"/>
      <c r="BM50" s="256"/>
    </row>
    <row r="51" spans="1:65">
      <c r="A51" s="256"/>
      <c r="B51" s="256"/>
      <c r="C51" s="384" t="e">
        <v>#N/A</v>
      </c>
      <c r="D51" s="385"/>
      <c r="E51" s="382"/>
      <c r="F51" s="384" t="e">
        <v>#N/A</v>
      </c>
      <c r="G51" s="385"/>
      <c r="H51" s="382"/>
      <c r="I51" s="384" t="e">
        <v>#N/A</v>
      </c>
      <c r="J51" s="385"/>
      <c r="K51" s="382"/>
      <c r="L51" s="384" t="e">
        <v>#N/A</v>
      </c>
      <c r="M51" s="385"/>
      <c r="N51" s="382"/>
      <c r="O51" s="384" t="e">
        <v>#N/A</v>
      </c>
      <c r="P51" s="385"/>
      <c r="Q51" s="382"/>
      <c r="R51" s="384" t="e">
        <v>#N/A</v>
      </c>
      <c r="S51" s="385"/>
      <c r="T51" s="382"/>
      <c r="U51" s="384"/>
      <c r="V51" s="385"/>
      <c r="W51" s="382"/>
      <c r="X51" s="384"/>
      <c r="Y51" s="385"/>
      <c r="Z51" s="382"/>
      <c r="AA51" s="384"/>
      <c r="AB51" s="385"/>
      <c r="AC51" s="382"/>
      <c r="AD51" s="384"/>
      <c r="AE51" s="385"/>
      <c r="AF51" s="382"/>
      <c r="AG51" s="384"/>
      <c r="AH51" s="385"/>
      <c r="AI51" s="382"/>
      <c r="AJ51" s="384"/>
      <c r="AK51" s="385"/>
      <c r="AL51" s="382"/>
      <c r="AM51" s="384"/>
      <c r="AN51" s="385"/>
      <c r="AO51" s="382"/>
      <c r="AP51" s="384"/>
      <c r="AQ51" s="385"/>
      <c r="AR51" s="382"/>
      <c r="AS51" s="384"/>
      <c r="AT51" s="385"/>
      <c r="AU51" s="382"/>
      <c r="AV51" s="384"/>
      <c r="AW51" s="385"/>
      <c r="AX51" s="256"/>
      <c r="AY51" s="256"/>
      <c r="AZ51" s="256"/>
      <c r="BA51" s="256"/>
      <c r="BB51" s="256"/>
      <c r="BC51" s="256"/>
      <c r="BD51" s="256"/>
      <c r="BE51" s="256"/>
      <c r="BF51" s="256"/>
      <c r="BG51" s="256"/>
      <c r="BH51" s="256"/>
      <c r="BI51" s="256"/>
      <c r="BJ51" s="256"/>
      <c r="BK51" s="256"/>
      <c r="BL51" s="256"/>
      <c r="BM51" s="256"/>
    </row>
    <row r="52" spans="1:65">
      <c r="A52" s="256"/>
      <c r="B52" s="256"/>
      <c r="C52" s="384" t="e">
        <v>#N/A</v>
      </c>
      <c r="D52" s="385"/>
      <c r="E52" s="382"/>
      <c r="F52" s="384" t="e">
        <v>#N/A</v>
      </c>
      <c r="G52" s="385"/>
      <c r="H52" s="382"/>
      <c r="I52" s="384" t="e">
        <v>#N/A</v>
      </c>
      <c r="J52" s="385"/>
      <c r="K52" s="382"/>
      <c r="L52" s="384" t="e">
        <v>#N/A</v>
      </c>
      <c r="M52" s="385"/>
      <c r="N52" s="382"/>
      <c r="O52" s="384" t="e">
        <v>#N/A</v>
      </c>
      <c r="P52" s="385"/>
      <c r="Q52" s="382"/>
      <c r="R52" s="384" t="e">
        <v>#N/A</v>
      </c>
      <c r="S52" s="385"/>
      <c r="T52" s="382"/>
      <c r="U52" s="384"/>
      <c r="V52" s="385"/>
      <c r="W52" s="382"/>
      <c r="X52" s="384"/>
      <c r="Y52" s="385"/>
      <c r="Z52" s="382"/>
      <c r="AA52" s="384"/>
      <c r="AB52" s="385"/>
      <c r="AC52" s="382"/>
      <c r="AD52" s="384"/>
      <c r="AE52" s="385"/>
      <c r="AF52" s="382"/>
      <c r="AG52" s="384"/>
      <c r="AH52" s="385"/>
      <c r="AI52" s="382"/>
      <c r="AJ52" s="384"/>
      <c r="AK52" s="385"/>
      <c r="AL52" s="382"/>
      <c r="AM52" s="384"/>
      <c r="AN52" s="385"/>
      <c r="AO52" s="382"/>
      <c r="AP52" s="384"/>
      <c r="AQ52" s="385"/>
      <c r="AR52" s="382"/>
      <c r="AS52" s="384"/>
      <c r="AT52" s="385"/>
      <c r="AU52" s="382"/>
      <c r="AV52" s="384"/>
      <c r="AW52" s="385"/>
      <c r="AX52" s="256"/>
      <c r="AY52" s="256"/>
      <c r="AZ52" s="256"/>
      <c r="BA52" s="256"/>
      <c r="BB52" s="256"/>
      <c r="BC52" s="256"/>
      <c r="BD52" s="256"/>
      <c r="BE52" s="256"/>
      <c r="BF52" s="256"/>
      <c r="BG52" s="256"/>
      <c r="BH52" s="256"/>
      <c r="BI52" s="256"/>
      <c r="BJ52" s="256"/>
      <c r="BK52" s="256"/>
      <c r="BL52" s="256"/>
      <c r="BM52" s="256"/>
    </row>
    <row r="53" spans="1:65">
      <c r="A53" s="256"/>
      <c r="B53" s="256"/>
      <c r="C53" s="384" t="e">
        <v>#N/A</v>
      </c>
      <c r="D53" s="385"/>
      <c r="E53" s="382"/>
      <c r="F53" s="384" t="e">
        <v>#N/A</v>
      </c>
      <c r="G53" s="385"/>
      <c r="H53" s="382"/>
      <c r="I53" s="384" t="e">
        <v>#N/A</v>
      </c>
      <c r="J53" s="385"/>
      <c r="K53" s="382"/>
      <c r="L53" s="384" t="e">
        <v>#N/A</v>
      </c>
      <c r="M53" s="385"/>
      <c r="N53" s="382"/>
      <c r="O53" s="384" t="e">
        <v>#N/A</v>
      </c>
      <c r="P53" s="385"/>
      <c r="Q53" s="382"/>
      <c r="R53" s="384" t="e">
        <v>#N/A</v>
      </c>
      <c r="S53" s="385"/>
      <c r="T53" s="382"/>
      <c r="U53" s="384"/>
      <c r="V53" s="385"/>
      <c r="W53" s="382"/>
      <c r="X53" s="384"/>
      <c r="Y53" s="385"/>
      <c r="Z53" s="382"/>
      <c r="AA53" s="384"/>
      <c r="AB53" s="385"/>
      <c r="AC53" s="382"/>
      <c r="AD53" s="384"/>
      <c r="AE53" s="385"/>
      <c r="AF53" s="382"/>
      <c r="AG53" s="384"/>
      <c r="AH53" s="385"/>
      <c r="AI53" s="382"/>
      <c r="AJ53" s="384"/>
      <c r="AK53" s="385"/>
      <c r="AL53" s="382"/>
      <c r="AM53" s="384"/>
      <c r="AN53" s="385"/>
      <c r="AO53" s="382"/>
      <c r="AP53" s="384"/>
      <c r="AQ53" s="385"/>
      <c r="AR53" s="382"/>
      <c r="AS53" s="384"/>
      <c r="AT53" s="385"/>
      <c r="AU53" s="382"/>
      <c r="AV53" s="384"/>
      <c r="AW53" s="385"/>
      <c r="AX53" s="256"/>
      <c r="AY53" s="256"/>
      <c r="AZ53" s="256"/>
      <c r="BA53" s="256"/>
      <c r="BB53" s="256"/>
      <c r="BC53" s="256"/>
      <c r="BD53" s="256"/>
      <c r="BE53" s="256"/>
      <c r="BF53" s="256"/>
      <c r="BG53" s="256"/>
      <c r="BH53" s="256"/>
      <c r="BI53" s="256"/>
      <c r="BJ53" s="256"/>
      <c r="BK53" s="256"/>
      <c r="BL53" s="256"/>
      <c r="BM53" s="256"/>
    </row>
    <row r="54" spans="1:65">
      <c r="A54" s="256"/>
      <c r="B54" s="256"/>
      <c r="C54" s="384" t="e">
        <v>#N/A</v>
      </c>
      <c r="D54" s="385"/>
      <c r="E54" s="382"/>
      <c r="F54" s="384" t="e">
        <v>#N/A</v>
      </c>
      <c r="G54" s="385"/>
      <c r="H54" s="382"/>
      <c r="I54" s="384" t="e">
        <v>#N/A</v>
      </c>
      <c r="J54" s="385"/>
      <c r="K54" s="382"/>
      <c r="L54" s="384" t="e">
        <v>#N/A</v>
      </c>
      <c r="M54" s="385"/>
      <c r="N54" s="382"/>
      <c r="O54" s="384" t="e">
        <v>#N/A</v>
      </c>
      <c r="P54" s="385"/>
      <c r="Q54" s="382"/>
      <c r="R54" s="384" t="e">
        <v>#N/A</v>
      </c>
      <c r="S54" s="385"/>
      <c r="T54" s="382"/>
      <c r="U54" s="384"/>
      <c r="V54" s="385"/>
      <c r="W54" s="382"/>
      <c r="X54" s="384"/>
      <c r="Y54" s="385"/>
      <c r="Z54" s="382"/>
      <c r="AA54" s="384"/>
      <c r="AB54" s="385"/>
      <c r="AC54" s="382"/>
      <c r="AD54" s="384"/>
      <c r="AE54" s="385"/>
      <c r="AF54" s="382"/>
      <c r="AG54" s="384"/>
      <c r="AH54" s="385"/>
      <c r="AI54" s="382"/>
      <c r="AJ54" s="384"/>
      <c r="AK54" s="385"/>
      <c r="AL54" s="382"/>
      <c r="AM54" s="384"/>
      <c r="AN54" s="385"/>
      <c r="AO54" s="382"/>
      <c r="AP54" s="384"/>
      <c r="AQ54" s="385"/>
      <c r="AR54" s="382"/>
      <c r="AS54" s="384"/>
      <c r="AT54" s="385"/>
      <c r="AU54" s="382"/>
      <c r="AV54" s="384"/>
      <c r="AW54" s="385"/>
      <c r="AX54" s="256"/>
      <c r="AY54" s="256"/>
      <c r="AZ54" s="256"/>
      <c r="BA54" s="256"/>
      <c r="BB54" s="256"/>
      <c r="BC54" s="256"/>
      <c r="BD54" s="256"/>
      <c r="BE54" s="256"/>
      <c r="BF54" s="256"/>
      <c r="BG54" s="256"/>
      <c r="BH54" s="256"/>
      <c r="BI54" s="256"/>
      <c r="BJ54" s="256"/>
      <c r="BK54" s="256"/>
      <c r="BL54" s="256"/>
      <c r="BM54" s="256"/>
    </row>
    <row r="55" spans="1:65">
      <c r="A55" s="256"/>
      <c r="B55" s="256"/>
      <c r="C55" s="384" t="e">
        <v>#N/A</v>
      </c>
      <c r="D55" s="385"/>
      <c r="E55" s="382"/>
      <c r="F55" s="384" t="e">
        <v>#N/A</v>
      </c>
      <c r="G55" s="385"/>
      <c r="H55" s="382"/>
      <c r="I55" s="384" t="e">
        <v>#N/A</v>
      </c>
      <c r="J55" s="385"/>
      <c r="K55" s="382"/>
      <c r="L55" s="384" t="e">
        <v>#N/A</v>
      </c>
      <c r="M55" s="385"/>
      <c r="N55" s="382"/>
      <c r="O55" s="384" t="e">
        <v>#N/A</v>
      </c>
      <c r="P55" s="385"/>
      <c r="Q55" s="382"/>
      <c r="R55" s="384" t="e">
        <v>#N/A</v>
      </c>
      <c r="S55" s="385"/>
      <c r="T55" s="382"/>
      <c r="U55" s="384"/>
      <c r="V55" s="385"/>
      <c r="W55" s="382"/>
      <c r="X55" s="384"/>
      <c r="Y55" s="385"/>
      <c r="Z55" s="382"/>
      <c r="AA55" s="384"/>
      <c r="AB55" s="385"/>
      <c r="AC55" s="382"/>
      <c r="AD55" s="384"/>
      <c r="AE55" s="385"/>
      <c r="AF55" s="382"/>
      <c r="AG55" s="384"/>
      <c r="AH55" s="385"/>
      <c r="AI55" s="382"/>
      <c r="AJ55" s="384"/>
      <c r="AK55" s="385"/>
      <c r="AL55" s="382"/>
      <c r="AM55" s="384"/>
      <c r="AN55" s="385"/>
      <c r="AO55" s="382"/>
      <c r="AP55" s="384"/>
      <c r="AQ55" s="385"/>
      <c r="AR55" s="382"/>
      <c r="AS55" s="384"/>
      <c r="AT55" s="385"/>
      <c r="AU55" s="382"/>
      <c r="AV55" s="384"/>
      <c r="AW55" s="385"/>
      <c r="AX55" s="256"/>
      <c r="AY55" s="256"/>
      <c r="AZ55" s="256"/>
      <c r="BA55" s="256"/>
      <c r="BB55" s="256"/>
      <c r="BC55" s="256"/>
      <c r="BD55" s="256"/>
      <c r="BE55" s="256"/>
      <c r="BF55" s="256"/>
      <c r="BG55" s="256"/>
      <c r="BH55" s="256"/>
      <c r="BI55" s="256"/>
      <c r="BJ55" s="256"/>
      <c r="BK55" s="256"/>
      <c r="BL55" s="256"/>
      <c r="BM55" s="256"/>
    </row>
    <row r="56" spans="1:65">
      <c r="A56" s="256"/>
      <c r="B56" s="256"/>
      <c r="C56" s="384" t="e">
        <v>#N/A</v>
      </c>
      <c r="D56" s="385"/>
      <c r="E56" s="382"/>
      <c r="F56" s="384" t="e">
        <v>#N/A</v>
      </c>
      <c r="G56" s="385"/>
      <c r="H56" s="382"/>
      <c r="I56" s="384" t="e">
        <v>#N/A</v>
      </c>
      <c r="J56" s="385"/>
      <c r="K56" s="382"/>
      <c r="L56" s="384" t="e">
        <v>#N/A</v>
      </c>
      <c r="M56" s="385"/>
      <c r="N56" s="382"/>
      <c r="O56" s="384" t="e">
        <v>#N/A</v>
      </c>
      <c r="P56" s="385"/>
      <c r="Q56" s="382"/>
      <c r="R56" s="384" t="e">
        <v>#N/A</v>
      </c>
      <c r="S56" s="385"/>
      <c r="T56" s="382"/>
      <c r="U56" s="384"/>
      <c r="V56" s="385"/>
      <c r="W56" s="382"/>
      <c r="X56" s="384"/>
      <c r="Y56" s="385"/>
      <c r="Z56" s="382"/>
      <c r="AA56" s="384"/>
      <c r="AB56" s="385"/>
      <c r="AC56" s="382"/>
      <c r="AD56" s="384"/>
      <c r="AE56" s="385"/>
      <c r="AF56" s="382"/>
      <c r="AG56" s="384"/>
      <c r="AH56" s="385"/>
      <c r="AI56" s="382"/>
      <c r="AJ56" s="384"/>
      <c r="AK56" s="385"/>
      <c r="AL56" s="382"/>
      <c r="AM56" s="384"/>
      <c r="AN56" s="385"/>
      <c r="AO56" s="382"/>
      <c r="AP56" s="384"/>
      <c r="AQ56" s="385"/>
      <c r="AR56" s="382"/>
      <c r="AS56" s="384"/>
      <c r="AT56" s="385"/>
      <c r="AU56" s="382"/>
      <c r="AV56" s="384"/>
      <c r="AW56" s="385"/>
      <c r="AX56" s="256"/>
      <c r="AY56" s="256"/>
      <c r="AZ56" s="256"/>
      <c r="BA56" s="256"/>
      <c r="BB56" s="256"/>
      <c r="BC56" s="256"/>
      <c r="BD56" s="256"/>
      <c r="BE56" s="256"/>
      <c r="BF56" s="256"/>
      <c r="BG56" s="256"/>
      <c r="BH56" s="256"/>
      <c r="BI56" s="256"/>
      <c r="BJ56" s="256"/>
      <c r="BK56" s="256"/>
      <c r="BL56" s="256"/>
      <c r="BM56" s="256"/>
    </row>
    <row r="57" spans="1:65">
      <c r="A57" s="256"/>
      <c r="B57" s="256"/>
      <c r="C57" s="384" t="e">
        <v>#N/A</v>
      </c>
      <c r="D57" s="385"/>
      <c r="E57" s="382"/>
      <c r="F57" s="384" t="e">
        <v>#N/A</v>
      </c>
      <c r="G57" s="385"/>
      <c r="H57" s="382"/>
      <c r="I57" s="384" t="e">
        <v>#N/A</v>
      </c>
      <c r="J57" s="385"/>
      <c r="K57" s="382"/>
      <c r="L57" s="384" t="e">
        <v>#N/A</v>
      </c>
      <c r="M57" s="385"/>
      <c r="N57" s="382"/>
      <c r="O57" s="384" t="e">
        <v>#N/A</v>
      </c>
      <c r="P57" s="385"/>
      <c r="Q57" s="382"/>
      <c r="R57" s="384" t="e">
        <v>#N/A</v>
      </c>
      <c r="S57" s="385"/>
      <c r="T57" s="382"/>
      <c r="U57" s="384"/>
      <c r="V57" s="385"/>
      <c r="W57" s="382"/>
      <c r="X57" s="384"/>
      <c r="Y57" s="385"/>
      <c r="Z57" s="382"/>
      <c r="AA57" s="384"/>
      <c r="AB57" s="385"/>
      <c r="AC57" s="382"/>
      <c r="AD57" s="384"/>
      <c r="AE57" s="385"/>
      <c r="AF57" s="382"/>
      <c r="AG57" s="384"/>
      <c r="AH57" s="385"/>
      <c r="AI57" s="382"/>
      <c r="AJ57" s="384"/>
      <c r="AK57" s="385"/>
      <c r="AL57" s="382"/>
      <c r="AM57" s="384"/>
      <c r="AN57" s="385"/>
      <c r="AO57" s="382"/>
      <c r="AP57" s="384"/>
      <c r="AQ57" s="385"/>
      <c r="AR57" s="382"/>
      <c r="AS57" s="384"/>
      <c r="AT57" s="385"/>
      <c r="AU57" s="382"/>
      <c r="AV57" s="384"/>
      <c r="AW57" s="385"/>
      <c r="AX57" s="256"/>
      <c r="AY57" s="256"/>
      <c r="AZ57" s="256"/>
      <c r="BA57" s="256"/>
      <c r="BB57" s="256"/>
      <c r="BC57" s="256"/>
      <c r="BD57" s="256"/>
      <c r="BE57" s="256"/>
      <c r="BF57" s="256"/>
      <c r="BG57" s="256"/>
      <c r="BH57" s="256"/>
      <c r="BI57" s="256"/>
      <c r="BJ57" s="256"/>
      <c r="BK57" s="256"/>
      <c r="BL57" s="256"/>
      <c r="BM57" s="256"/>
    </row>
    <row r="58" spans="1:65">
      <c r="A58" s="256"/>
      <c r="B58" s="256"/>
      <c r="C58" s="384" t="e">
        <v>#N/A</v>
      </c>
      <c r="D58" s="385"/>
      <c r="E58" s="382"/>
      <c r="F58" s="384" t="e">
        <v>#N/A</v>
      </c>
      <c r="G58" s="385"/>
      <c r="H58" s="382"/>
      <c r="I58" s="384" t="e">
        <v>#N/A</v>
      </c>
      <c r="J58" s="385"/>
      <c r="K58" s="382"/>
      <c r="L58" s="384" t="e">
        <v>#N/A</v>
      </c>
      <c r="M58" s="385"/>
      <c r="N58" s="382"/>
      <c r="O58" s="384" t="e">
        <v>#N/A</v>
      </c>
      <c r="P58" s="385"/>
      <c r="Q58" s="382"/>
      <c r="R58" s="384" t="e">
        <v>#N/A</v>
      </c>
      <c r="S58" s="385"/>
      <c r="T58" s="382"/>
      <c r="U58" s="384"/>
      <c r="V58" s="385"/>
      <c r="W58" s="382"/>
      <c r="X58" s="384"/>
      <c r="Y58" s="385"/>
      <c r="Z58" s="382"/>
      <c r="AA58" s="384"/>
      <c r="AB58" s="385"/>
      <c r="AC58" s="382"/>
      <c r="AD58" s="384"/>
      <c r="AE58" s="385"/>
      <c r="AF58" s="382"/>
      <c r="AG58" s="384"/>
      <c r="AH58" s="385"/>
      <c r="AI58" s="382"/>
      <c r="AJ58" s="384"/>
      <c r="AK58" s="385"/>
      <c r="AL58" s="382"/>
      <c r="AM58" s="384"/>
      <c r="AN58" s="385"/>
      <c r="AO58" s="382"/>
      <c r="AP58" s="384"/>
      <c r="AQ58" s="385"/>
      <c r="AR58" s="382"/>
      <c r="AS58" s="384"/>
      <c r="AT58" s="385"/>
      <c r="AU58" s="382"/>
      <c r="AV58" s="384"/>
      <c r="AW58" s="385"/>
      <c r="AX58" s="256"/>
      <c r="AY58" s="256"/>
      <c r="AZ58" s="256"/>
      <c r="BA58" s="256"/>
      <c r="BB58" s="256"/>
      <c r="BC58" s="256"/>
      <c r="BD58" s="256"/>
      <c r="BE58" s="256"/>
      <c r="BF58" s="256"/>
      <c r="BG58" s="256"/>
      <c r="BH58" s="256"/>
      <c r="BI58" s="256"/>
      <c r="BJ58" s="256"/>
      <c r="BK58" s="256"/>
      <c r="BL58" s="256"/>
      <c r="BM58" s="256"/>
    </row>
    <row r="59" spans="1:65">
      <c r="A59" s="256"/>
      <c r="B59" s="256"/>
      <c r="C59" s="384" t="e">
        <v>#N/A</v>
      </c>
      <c r="D59" s="385"/>
      <c r="E59" s="382"/>
      <c r="F59" s="384" t="e">
        <v>#N/A</v>
      </c>
      <c r="G59" s="385"/>
      <c r="H59" s="382"/>
      <c r="I59" s="384" t="e">
        <v>#N/A</v>
      </c>
      <c r="J59" s="385"/>
      <c r="K59" s="382"/>
      <c r="L59" s="384" t="e">
        <v>#N/A</v>
      </c>
      <c r="M59" s="385"/>
      <c r="N59" s="382"/>
      <c r="O59" s="384" t="e">
        <v>#N/A</v>
      </c>
      <c r="P59" s="385"/>
      <c r="Q59" s="382"/>
      <c r="R59" s="384" t="e">
        <v>#N/A</v>
      </c>
      <c r="S59" s="385"/>
      <c r="T59" s="382"/>
      <c r="U59" s="384"/>
      <c r="V59" s="385"/>
      <c r="W59" s="382"/>
      <c r="X59" s="384"/>
      <c r="Y59" s="385"/>
      <c r="Z59" s="382"/>
      <c r="AA59" s="384"/>
      <c r="AB59" s="385"/>
      <c r="AC59" s="382"/>
      <c r="AD59" s="384"/>
      <c r="AE59" s="385"/>
      <c r="AF59" s="382"/>
      <c r="AG59" s="384"/>
      <c r="AH59" s="385"/>
      <c r="AI59" s="382"/>
      <c r="AJ59" s="384"/>
      <c r="AK59" s="385"/>
      <c r="AL59" s="382"/>
      <c r="AM59" s="384"/>
      <c r="AN59" s="385"/>
      <c r="AO59" s="382"/>
      <c r="AP59" s="384"/>
      <c r="AQ59" s="385"/>
      <c r="AR59" s="382"/>
      <c r="AS59" s="384"/>
      <c r="AT59" s="385"/>
      <c r="AU59" s="382"/>
      <c r="AV59" s="384"/>
      <c r="AW59" s="385"/>
      <c r="AX59" s="256"/>
      <c r="AY59" s="256"/>
      <c r="AZ59" s="256"/>
      <c r="BA59" s="256"/>
      <c r="BB59" s="256"/>
      <c r="BC59" s="256"/>
      <c r="BD59" s="256"/>
      <c r="BE59" s="256"/>
      <c r="BF59" s="256"/>
      <c r="BG59" s="256"/>
      <c r="BH59" s="256"/>
      <c r="BI59" s="256"/>
      <c r="BJ59" s="256"/>
      <c r="BK59" s="256"/>
      <c r="BL59" s="256"/>
      <c r="BM59" s="256"/>
    </row>
    <row r="60" spans="1:65">
      <c r="A60" s="256"/>
      <c r="B60" s="256"/>
      <c r="C60" s="384" t="e">
        <v>#N/A</v>
      </c>
      <c r="D60" s="385"/>
      <c r="E60" s="382"/>
      <c r="F60" s="384" t="e">
        <v>#N/A</v>
      </c>
      <c r="G60" s="385"/>
      <c r="H60" s="382"/>
      <c r="I60" s="384" t="e">
        <v>#N/A</v>
      </c>
      <c r="J60" s="385"/>
      <c r="K60" s="382"/>
      <c r="L60" s="384" t="e">
        <v>#N/A</v>
      </c>
      <c r="M60" s="385"/>
      <c r="N60" s="382"/>
      <c r="O60" s="384" t="e">
        <v>#N/A</v>
      </c>
      <c r="P60" s="385"/>
      <c r="Q60" s="382"/>
      <c r="R60" s="384" t="e">
        <v>#N/A</v>
      </c>
      <c r="S60" s="385"/>
      <c r="T60" s="382"/>
      <c r="U60" s="384"/>
      <c r="V60" s="385"/>
      <c r="W60" s="382"/>
      <c r="X60" s="384"/>
      <c r="Y60" s="385"/>
      <c r="Z60" s="382"/>
      <c r="AA60" s="384"/>
      <c r="AB60" s="385"/>
      <c r="AC60" s="382"/>
      <c r="AD60" s="384"/>
      <c r="AE60" s="385"/>
      <c r="AF60" s="382"/>
      <c r="AG60" s="384"/>
      <c r="AH60" s="385"/>
      <c r="AI60" s="382"/>
      <c r="AJ60" s="384"/>
      <c r="AK60" s="385"/>
      <c r="AL60" s="382"/>
      <c r="AM60" s="384"/>
      <c r="AN60" s="385"/>
      <c r="AO60" s="382"/>
      <c r="AP60" s="384"/>
      <c r="AQ60" s="385"/>
      <c r="AR60" s="382"/>
      <c r="AS60" s="384"/>
      <c r="AT60" s="385"/>
      <c r="AU60" s="382"/>
      <c r="AV60" s="384"/>
      <c r="AW60" s="385"/>
      <c r="AX60" s="256"/>
      <c r="AY60" s="256"/>
      <c r="AZ60" s="256"/>
      <c r="BA60" s="256"/>
      <c r="BB60" s="256"/>
      <c r="BC60" s="256"/>
      <c r="BD60" s="256"/>
      <c r="BE60" s="256"/>
      <c r="BF60" s="256"/>
      <c r="BG60" s="256"/>
      <c r="BH60" s="256"/>
      <c r="BI60" s="256"/>
      <c r="BJ60" s="256"/>
      <c r="BK60" s="256"/>
      <c r="BL60" s="256"/>
      <c r="BM60" s="256"/>
    </row>
    <row r="61" spans="1:65">
      <c r="A61" s="256"/>
      <c r="B61" s="256"/>
      <c r="C61" s="384" t="e">
        <v>#N/A</v>
      </c>
      <c r="D61" s="385"/>
      <c r="E61" s="382"/>
      <c r="F61" s="384" t="e">
        <v>#N/A</v>
      </c>
      <c r="G61" s="385"/>
      <c r="H61" s="382"/>
      <c r="I61" s="384" t="e">
        <v>#N/A</v>
      </c>
      <c r="J61" s="385"/>
      <c r="K61" s="382"/>
      <c r="L61" s="384" t="e">
        <v>#N/A</v>
      </c>
      <c r="M61" s="385"/>
      <c r="N61" s="382"/>
      <c r="O61" s="384" t="e">
        <v>#N/A</v>
      </c>
      <c r="P61" s="385"/>
      <c r="Q61" s="382"/>
      <c r="R61" s="384" t="e">
        <v>#N/A</v>
      </c>
      <c r="S61" s="385"/>
      <c r="T61" s="382"/>
      <c r="U61" s="384"/>
      <c r="V61" s="385"/>
      <c r="W61" s="382"/>
      <c r="X61" s="384"/>
      <c r="Y61" s="385"/>
      <c r="Z61" s="382"/>
      <c r="AA61" s="384"/>
      <c r="AB61" s="385"/>
      <c r="AC61" s="382"/>
      <c r="AD61" s="384"/>
      <c r="AE61" s="385"/>
      <c r="AF61" s="382"/>
      <c r="AG61" s="384"/>
      <c r="AH61" s="385"/>
      <c r="AI61" s="382"/>
      <c r="AJ61" s="384"/>
      <c r="AK61" s="385"/>
      <c r="AL61" s="382"/>
      <c r="AM61" s="384"/>
      <c r="AN61" s="385"/>
      <c r="AO61" s="382"/>
      <c r="AP61" s="384"/>
      <c r="AQ61" s="385"/>
      <c r="AR61" s="382"/>
      <c r="AS61" s="384"/>
      <c r="AT61" s="385"/>
      <c r="AU61" s="382"/>
      <c r="AV61" s="384"/>
      <c r="AW61" s="385"/>
      <c r="AX61" s="256"/>
      <c r="AY61" s="256"/>
      <c r="AZ61" s="256"/>
      <c r="BA61" s="256"/>
      <c r="BB61" s="256"/>
      <c r="BC61" s="256"/>
      <c r="BD61" s="256"/>
      <c r="BE61" s="256"/>
      <c r="BF61" s="256"/>
      <c r="BG61" s="256"/>
      <c r="BH61" s="256"/>
      <c r="BI61" s="256"/>
      <c r="BJ61" s="256"/>
      <c r="BK61" s="256"/>
      <c r="BL61" s="256"/>
      <c r="BM61" s="256"/>
    </row>
    <row r="62" spans="1:65">
      <c r="A62" s="256"/>
      <c r="B62" s="256"/>
      <c r="C62" s="384" t="e">
        <v>#N/A</v>
      </c>
      <c r="D62" s="385"/>
      <c r="E62" s="382"/>
      <c r="F62" s="384" t="e">
        <v>#N/A</v>
      </c>
      <c r="G62" s="385"/>
      <c r="H62" s="382"/>
      <c r="I62" s="384" t="e">
        <v>#N/A</v>
      </c>
      <c r="J62" s="385"/>
      <c r="K62" s="382"/>
      <c r="L62" s="384" t="e">
        <v>#N/A</v>
      </c>
      <c r="M62" s="385"/>
      <c r="N62" s="382"/>
      <c r="O62" s="384" t="e">
        <v>#N/A</v>
      </c>
      <c r="P62" s="385"/>
      <c r="Q62" s="382"/>
      <c r="R62" s="384" t="e">
        <v>#N/A</v>
      </c>
      <c r="S62" s="385"/>
      <c r="T62" s="382"/>
      <c r="U62" s="384"/>
      <c r="V62" s="385"/>
      <c r="W62" s="382"/>
      <c r="X62" s="384"/>
      <c r="Y62" s="385"/>
      <c r="Z62" s="382"/>
      <c r="AA62" s="384"/>
      <c r="AB62" s="385"/>
      <c r="AC62" s="382"/>
      <c r="AD62" s="384"/>
      <c r="AE62" s="385"/>
      <c r="AF62" s="382"/>
      <c r="AG62" s="384"/>
      <c r="AH62" s="385"/>
      <c r="AI62" s="382"/>
      <c r="AJ62" s="384"/>
      <c r="AK62" s="385"/>
      <c r="AL62" s="382"/>
      <c r="AM62" s="384"/>
      <c r="AN62" s="385"/>
      <c r="AO62" s="382"/>
      <c r="AP62" s="384"/>
      <c r="AQ62" s="385"/>
      <c r="AR62" s="382"/>
      <c r="AS62" s="384"/>
      <c r="AT62" s="385"/>
      <c r="AU62" s="382"/>
      <c r="AV62" s="384"/>
      <c r="AW62" s="385"/>
      <c r="AX62" s="256"/>
      <c r="AY62" s="256"/>
      <c r="AZ62" s="256"/>
      <c r="BA62" s="256"/>
      <c r="BB62" s="256"/>
      <c r="BC62" s="256"/>
      <c r="BD62" s="256"/>
      <c r="BE62" s="256"/>
      <c r="BF62" s="256"/>
      <c r="BG62" s="256"/>
      <c r="BH62" s="256"/>
      <c r="BI62" s="256"/>
      <c r="BJ62" s="256"/>
      <c r="BK62" s="256"/>
      <c r="BL62" s="256"/>
      <c r="BM62" s="256"/>
    </row>
    <row r="63" spans="1:65">
      <c r="A63" s="256"/>
      <c r="B63" s="256"/>
      <c r="C63" s="384" t="e">
        <v>#N/A</v>
      </c>
      <c r="D63" s="385"/>
      <c r="E63" s="382"/>
      <c r="F63" s="384" t="e">
        <v>#N/A</v>
      </c>
      <c r="G63" s="385"/>
      <c r="H63" s="382"/>
      <c r="I63" s="384" t="e">
        <v>#N/A</v>
      </c>
      <c r="J63" s="385"/>
      <c r="K63" s="382"/>
      <c r="L63" s="384" t="e">
        <v>#N/A</v>
      </c>
      <c r="M63" s="385"/>
      <c r="N63" s="382"/>
      <c r="O63" s="384" t="e">
        <v>#N/A</v>
      </c>
      <c r="P63" s="385"/>
      <c r="Q63" s="382"/>
      <c r="R63" s="384" t="e">
        <v>#N/A</v>
      </c>
      <c r="S63" s="385"/>
      <c r="T63" s="382"/>
      <c r="U63" s="384"/>
      <c r="V63" s="385"/>
      <c r="W63" s="382"/>
      <c r="X63" s="384"/>
      <c r="Y63" s="385"/>
      <c r="Z63" s="382"/>
      <c r="AA63" s="384"/>
      <c r="AB63" s="385"/>
      <c r="AC63" s="382"/>
      <c r="AD63" s="384"/>
      <c r="AE63" s="385"/>
      <c r="AF63" s="382"/>
      <c r="AG63" s="384"/>
      <c r="AH63" s="385"/>
      <c r="AI63" s="382"/>
      <c r="AJ63" s="384"/>
      <c r="AK63" s="385"/>
      <c r="AL63" s="382"/>
      <c r="AM63" s="384"/>
      <c r="AN63" s="385"/>
      <c r="AO63" s="382"/>
      <c r="AP63" s="384"/>
      <c r="AQ63" s="385"/>
      <c r="AR63" s="382"/>
      <c r="AS63" s="384"/>
      <c r="AT63" s="385"/>
      <c r="AU63" s="382"/>
      <c r="AV63" s="384"/>
      <c r="AW63" s="385"/>
      <c r="AX63" s="256"/>
      <c r="AY63" s="256"/>
      <c r="AZ63" s="256"/>
      <c r="BA63" s="256"/>
      <c r="BB63" s="256"/>
      <c r="BC63" s="256"/>
      <c r="BD63" s="256"/>
      <c r="BE63" s="256"/>
      <c r="BF63" s="256"/>
      <c r="BG63" s="256"/>
      <c r="BH63" s="256"/>
      <c r="BI63" s="256"/>
      <c r="BJ63" s="256"/>
      <c r="BK63" s="256"/>
      <c r="BL63" s="256"/>
      <c r="BM63" s="256"/>
    </row>
    <row r="64" spans="1:65">
      <c r="A64" s="256"/>
      <c r="B64" s="256"/>
      <c r="C64" s="384" t="e">
        <v>#N/A</v>
      </c>
      <c r="D64" s="385"/>
      <c r="E64" s="382"/>
      <c r="F64" s="384" t="e">
        <v>#N/A</v>
      </c>
      <c r="G64" s="385"/>
      <c r="H64" s="382"/>
      <c r="I64" s="384" t="e">
        <v>#N/A</v>
      </c>
      <c r="J64" s="385"/>
      <c r="K64" s="382"/>
      <c r="L64" s="384" t="e">
        <v>#N/A</v>
      </c>
      <c r="M64" s="385"/>
      <c r="N64" s="382"/>
      <c r="O64" s="384" t="e">
        <v>#N/A</v>
      </c>
      <c r="P64" s="385"/>
      <c r="Q64" s="382"/>
      <c r="R64" s="384" t="e">
        <v>#N/A</v>
      </c>
      <c r="S64" s="385"/>
      <c r="T64" s="382"/>
      <c r="U64" s="384"/>
      <c r="V64" s="385"/>
      <c r="W64" s="382"/>
      <c r="X64" s="384"/>
      <c r="Y64" s="385"/>
      <c r="Z64" s="382"/>
      <c r="AA64" s="384"/>
      <c r="AB64" s="385"/>
      <c r="AC64" s="382"/>
      <c r="AD64" s="384"/>
      <c r="AE64" s="385"/>
      <c r="AF64" s="382"/>
      <c r="AG64" s="384"/>
      <c r="AH64" s="385"/>
      <c r="AI64" s="382"/>
      <c r="AJ64" s="384"/>
      <c r="AK64" s="385"/>
      <c r="AL64" s="382"/>
      <c r="AM64" s="384"/>
      <c r="AN64" s="385"/>
      <c r="AO64" s="382"/>
      <c r="AP64" s="384"/>
      <c r="AQ64" s="385"/>
      <c r="AR64" s="382"/>
      <c r="AS64" s="384"/>
      <c r="AT64" s="385"/>
      <c r="AU64" s="382"/>
      <c r="AV64" s="384"/>
      <c r="AW64" s="385"/>
      <c r="AX64" s="256"/>
      <c r="AY64" s="256"/>
      <c r="AZ64" s="256"/>
      <c r="BA64" s="256"/>
      <c r="BB64" s="256"/>
      <c r="BC64" s="256"/>
      <c r="BD64" s="256"/>
      <c r="BE64" s="256"/>
      <c r="BF64" s="256"/>
      <c r="BG64" s="256"/>
      <c r="BH64" s="256"/>
      <c r="BI64" s="256"/>
      <c r="BJ64" s="256"/>
      <c r="BK64" s="256"/>
      <c r="BL64" s="256"/>
      <c r="BM64" s="256"/>
    </row>
    <row r="65" spans="1:65">
      <c r="A65" s="256"/>
      <c r="B65" s="256"/>
      <c r="C65" s="384" t="e">
        <v>#N/A</v>
      </c>
      <c r="D65" s="385"/>
      <c r="E65" s="382"/>
      <c r="F65" s="384" t="e">
        <v>#N/A</v>
      </c>
      <c r="G65" s="385"/>
      <c r="H65" s="382"/>
      <c r="I65" s="384" t="e">
        <v>#N/A</v>
      </c>
      <c r="J65" s="385"/>
      <c r="K65" s="382"/>
      <c r="L65" s="384" t="e">
        <v>#N/A</v>
      </c>
      <c r="M65" s="385"/>
      <c r="N65" s="382"/>
      <c r="O65" s="384" t="e">
        <v>#N/A</v>
      </c>
      <c r="P65" s="385"/>
      <c r="Q65" s="382"/>
      <c r="R65" s="384" t="e">
        <v>#N/A</v>
      </c>
      <c r="S65" s="385"/>
      <c r="T65" s="382"/>
      <c r="U65" s="384"/>
      <c r="V65" s="385"/>
      <c r="W65" s="382"/>
      <c r="X65" s="384"/>
      <c r="Y65" s="385"/>
      <c r="Z65" s="382"/>
      <c r="AA65" s="384"/>
      <c r="AB65" s="385"/>
      <c r="AC65" s="382"/>
      <c r="AD65" s="384"/>
      <c r="AE65" s="385"/>
      <c r="AF65" s="382"/>
      <c r="AG65" s="384"/>
      <c r="AH65" s="385"/>
      <c r="AI65" s="382"/>
      <c r="AJ65" s="384"/>
      <c r="AK65" s="385"/>
      <c r="AL65" s="382"/>
      <c r="AM65" s="384"/>
      <c r="AN65" s="385"/>
      <c r="AO65" s="382"/>
      <c r="AP65" s="384"/>
      <c r="AQ65" s="385"/>
      <c r="AR65" s="382"/>
      <c r="AS65" s="384"/>
      <c r="AT65" s="385"/>
      <c r="AU65" s="382"/>
      <c r="AV65" s="384"/>
      <c r="AW65" s="385"/>
      <c r="AX65" s="256"/>
      <c r="AY65" s="256"/>
      <c r="AZ65" s="256"/>
      <c r="BA65" s="256"/>
      <c r="BB65" s="256"/>
      <c r="BC65" s="256"/>
      <c r="BD65" s="256"/>
      <c r="BE65" s="256"/>
      <c r="BF65" s="256"/>
      <c r="BG65" s="256"/>
      <c r="BH65" s="256"/>
      <c r="BI65" s="256"/>
      <c r="BJ65" s="256"/>
      <c r="BK65" s="256"/>
      <c r="BL65" s="256"/>
      <c r="BM65" s="256"/>
    </row>
    <row r="66" spans="1:65">
      <c r="A66" s="256"/>
      <c r="B66" s="256"/>
      <c r="C66" s="384" t="e">
        <v>#N/A</v>
      </c>
      <c r="D66" s="385"/>
      <c r="E66" s="382"/>
      <c r="F66" s="384" t="e">
        <v>#N/A</v>
      </c>
      <c r="G66" s="385"/>
      <c r="H66" s="382"/>
      <c r="I66" s="384" t="e">
        <v>#N/A</v>
      </c>
      <c r="J66" s="385"/>
      <c r="K66" s="382"/>
      <c r="L66" s="384" t="e">
        <v>#N/A</v>
      </c>
      <c r="M66" s="385"/>
      <c r="N66" s="382"/>
      <c r="O66" s="384" t="e">
        <v>#N/A</v>
      </c>
      <c r="P66" s="385"/>
      <c r="Q66" s="382"/>
      <c r="R66" s="384" t="e">
        <v>#N/A</v>
      </c>
      <c r="S66" s="385"/>
      <c r="T66" s="382"/>
      <c r="U66" s="384"/>
      <c r="V66" s="385"/>
      <c r="W66" s="382"/>
      <c r="X66" s="384"/>
      <c r="Y66" s="385"/>
      <c r="Z66" s="382"/>
      <c r="AA66" s="384"/>
      <c r="AB66" s="385"/>
      <c r="AC66" s="382"/>
      <c r="AD66" s="384"/>
      <c r="AE66" s="385"/>
      <c r="AF66" s="382"/>
      <c r="AG66" s="384"/>
      <c r="AH66" s="385"/>
      <c r="AI66" s="382"/>
      <c r="AJ66" s="384"/>
      <c r="AK66" s="385"/>
      <c r="AL66" s="382"/>
      <c r="AM66" s="384"/>
      <c r="AN66" s="385"/>
      <c r="AO66" s="382"/>
      <c r="AP66" s="384"/>
      <c r="AQ66" s="385"/>
      <c r="AR66" s="382"/>
      <c r="AS66" s="384"/>
      <c r="AT66" s="385"/>
      <c r="AU66" s="382"/>
      <c r="AV66" s="384"/>
      <c r="AW66" s="385"/>
      <c r="AX66" s="256"/>
      <c r="AY66" s="256"/>
      <c r="AZ66" s="256"/>
      <c r="BA66" s="256"/>
      <c r="BB66" s="256"/>
      <c r="BC66" s="256"/>
      <c r="BD66" s="256"/>
      <c r="BE66" s="256"/>
      <c r="BF66" s="256"/>
      <c r="BG66" s="256"/>
      <c r="BH66" s="256"/>
      <c r="BI66" s="256"/>
      <c r="BJ66" s="256"/>
      <c r="BK66" s="256"/>
      <c r="BL66" s="256"/>
      <c r="BM66" s="256"/>
    </row>
    <row r="67" spans="1:65">
      <c r="A67" s="256"/>
      <c r="B67" s="256"/>
      <c r="C67" s="384" t="e">
        <v>#N/A</v>
      </c>
      <c r="D67" s="385"/>
      <c r="E67" s="382"/>
      <c r="F67" s="384" t="e">
        <v>#N/A</v>
      </c>
      <c r="G67" s="385"/>
      <c r="H67" s="382"/>
      <c r="I67" s="384" t="e">
        <v>#N/A</v>
      </c>
      <c r="J67" s="385"/>
      <c r="K67" s="382"/>
      <c r="L67" s="384" t="e">
        <v>#N/A</v>
      </c>
      <c r="M67" s="385"/>
      <c r="N67" s="382"/>
      <c r="O67" s="384" t="e">
        <v>#N/A</v>
      </c>
      <c r="P67" s="385"/>
      <c r="Q67" s="382"/>
      <c r="R67" s="384" t="e">
        <v>#N/A</v>
      </c>
      <c r="S67" s="385"/>
      <c r="T67" s="382"/>
      <c r="U67" s="384"/>
      <c r="V67" s="385"/>
      <c r="W67" s="382"/>
      <c r="X67" s="384"/>
      <c r="Y67" s="385"/>
      <c r="Z67" s="382"/>
      <c r="AA67" s="384"/>
      <c r="AB67" s="385"/>
      <c r="AC67" s="382"/>
      <c r="AD67" s="384"/>
      <c r="AE67" s="385"/>
      <c r="AF67" s="382"/>
      <c r="AG67" s="384"/>
      <c r="AH67" s="385"/>
      <c r="AI67" s="382"/>
      <c r="AJ67" s="384"/>
      <c r="AK67" s="385"/>
      <c r="AL67" s="382"/>
      <c r="AM67" s="384"/>
      <c r="AN67" s="385"/>
      <c r="AO67" s="382"/>
      <c r="AP67" s="384"/>
      <c r="AQ67" s="385"/>
      <c r="AR67" s="382"/>
      <c r="AS67" s="384"/>
      <c r="AT67" s="385"/>
      <c r="AU67" s="382"/>
      <c r="AV67" s="384"/>
      <c r="AW67" s="385"/>
      <c r="AX67" s="256"/>
      <c r="AY67" s="256"/>
      <c r="AZ67" s="256"/>
      <c r="BA67" s="256"/>
      <c r="BB67" s="256"/>
      <c r="BC67" s="256"/>
      <c r="BD67" s="256"/>
      <c r="BE67" s="256"/>
      <c r="BF67" s="256"/>
      <c r="BG67" s="256"/>
      <c r="BH67" s="256"/>
      <c r="BI67" s="256"/>
      <c r="BJ67" s="256"/>
      <c r="BK67" s="256"/>
      <c r="BL67" s="256"/>
      <c r="BM67" s="256"/>
    </row>
    <row r="68" spans="1:65">
      <c r="A68" s="256"/>
      <c r="B68" s="256"/>
      <c r="C68" s="384" t="e">
        <v>#N/A</v>
      </c>
      <c r="D68" s="385"/>
      <c r="E68" s="382"/>
      <c r="F68" s="384" t="e">
        <v>#N/A</v>
      </c>
      <c r="G68" s="385"/>
      <c r="H68" s="382"/>
      <c r="I68" s="384" t="e">
        <v>#N/A</v>
      </c>
      <c r="J68" s="385"/>
      <c r="K68" s="382"/>
      <c r="L68" s="384" t="e">
        <v>#N/A</v>
      </c>
      <c r="M68" s="385"/>
      <c r="N68" s="382"/>
      <c r="O68" s="384" t="e">
        <v>#N/A</v>
      </c>
      <c r="P68" s="385"/>
      <c r="Q68" s="382"/>
      <c r="R68" s="384" t="e">
        <v>#N/A</v>
      </c>
      <c r="S68" s="385"/>
      <c r="T68" s="382"/>
      <c r="U68" s="384"/>
      <c r="V68" s="385"/>
      <c r="W68" s="382"/>
      <c r="X68" s="384"/>
      <c r="Y68" s="385"/>
      <c r="Z68" s="382"/>
      <c r="AA68" s="384"/>
      <c r="AB68" s="385"/>
      <c r="AC68" s="382"/>
      <c r="AD68" s="384"/>
      <c r="AE68" s="385"/>
      <c r="AF68" s="382"/>
      <c r="AG68" s="384"/>
      <c r="AH68" s="385"/>
      <c r="AI68" s="382"/>
      <c r="AJ68" s="384"/>
      <c r="AK68" s="385"/>
      <c r="AL68" s="382"/>
      <c r="AM68" s="384"/>
      <c r="AN68" s="385"/>
      <c r="AO68" s="382"/>
      <c r="AP68" s="384"/>
      <c r="AQ68" s="385"/>
      <c r="AR68" s="382"/>
      <c r="AS68" s="384"/>
      <c r="AT68" s="385"/>
      <c r="AU68" s="382"/>
      <c r="AV68" s="384"/>
      <c r="AW68" s="385"/>
      <c r="AX68" s="256"/>
      <c r="AY68" s="256"/>
      <c r="AZ68" s="256"/>
      <c r="BA68" s="256"/>
      <c r="BB68" s="256"/>
      <c r="BC68" s="256"/>
      <c r="BD68" s="256"/>
      <c r="BE68" s="256"/>
      <c r="BF68" s="256"/>
      <c r="BG68" s="256"/>
      <c r="BH68" s="256"/>
      <c r="BI68" s="256"/>
      <c r="BJ68" s="256"/>
      <c r="BK68" s="256"/>
      <c r="BL68" s="256"/>
      <c r="BM68" s="256"/>
    </row>
    <row r="69" spans="1:65">
      <c r="A69" s="256"/>
      <c r="B69" s="256"/>
      <c r="C69" s="384" t="e">
        <v>#N/A</v>
      </c>
      <c r="D69" s="385"/>
      <c r="E69" s="382"/>
      <c r="F69" s="384" t="e">
        <v>#N/A</v>
      </c>
      <c r="G69" s="385"/>
      <c r="H69" s="382"/>
      <c r="I69" s="384" t="e">
        <v>#N/A</v>
      </c>
      <c r="J69" s="385"/>
      <c r="K69" s="382"/>
      <c r="L69" s="384" t="e">
        <v>#N/A</v>
      </c>
      <c r="M69" s="385"/>
      <c r="N69" s="382"/>
      <c r="O69" s="384" t="e">
        <v>#N/A</v>
      </c>
      <c r="P69" s="385"/>
      <c r="Q69" s="382"/>
      <c r="R69" s="384" t="e">
        <v>#N/A</v>
      </c>
      <c r="S69" s="385"/>
      <c r="T69" s="382"/>
      <c r="U69" s="384"/>
      <c r="V69" s="385"/>
      <c r="W69" s="382"/>
      <c r="X69" s="384"/>
      <c r="Y69" s="385"/>
      <c r="Z69" s="382"/>
      <c r="AA69" s="384"/>
      <c r="AB69" s="385"/>
      <c r="AC69" s="382"/>
      <c r="AD69" s="384"/>
      <c r="AE69" s="385"/>
      <c r="AF69" s="382"/>
      <c r="AG69" s="384"/>
      <c r="AH69" s="385"/>
      <c r="AI69" s="382"/>
      <c r="AJ69" s="384"/>
      <c r="AK69" s="385"/>
      <c r="AL69" s="382"/>
      <c r="AM69" s="384"/>
      <c r="AN69" s="385"/>
      <c r="AO69" s="382"/>
      <c r="AP69" s="384"/>
      <c r="AQ69" s="385"/>
      <c r="AR69" s="382"/>
      <c r="AS69" s="384"/>
      <c r="AT69" s="385"/>
      <c r="AU69" s="382"/>
      <c r="AV69" s="384"/>
      <c r="AW69" s="385"/>
      <c r="AX69" s="256"/>
      <c r="AY69" s="256"/>
      <c r="AZ69" s="256"/>
      <c r="BA69" s="256"/>
      <c r="BB69" s="256"/>
      <c r="BC69" s="256"/>
      <c r="BD69" s="256"/>
      <c r="BE69" s="256"/>
      <c r="BF69" s="256"/>
      <c r="BG69" s="256"/>
      <c r="BH69" s="256"/>
      <c r="BI69" s="256"/>
      <c r="BJ69" s="256"/>
      <c r="BK69" s="256"/>
      <c r="BL69" s="256"/>
      <c r="BM69" s="256"/>
    </row>
    <row r="70" spans="1:65">
      <c r="A70" s="256"/>
      <c r="B70" s="256"/>
      <c r="C70" s="384" t="e">
        <v>#N/A</v>
      </c>
      <c r="D70" s="385"/>
      <c r="E70" s="382"/>
      <c r="F70" s="384" t="e">
        <v>#N/A</v>
      </c>
      <c r="G70" s="385"/>
      <c r="H70" s="382"/>
      <c r="I70" s="384" t="e">
        <v>#N/A</v>
      </c>
      <c r="J70" s="385"/>
      <c r="K70" s="382"/>
      <c r="L70" s="384" t="e">
        <v>#N/A</v>
      </c>
      <c r="M70" s="385"/>
      <c r="N70" s="382"/>
      <c r="O70" s="384" t="e">
        <v>#N/A</v>
      </c>
      <c r="P70" s="385"/>
      <c r="Q70" s="382"/>
      <c r="R70" s="384" t="e">
        <v>#N/A</v>
      </c>
      <c r="S70" s="385"/>
      <c r="T70" s="382"/>
      <c r="U70" s="384"/>
      <c r="V70" s="385"/>
      <c r="W70" s="382"/>
      <c r="X70" s="384"/>
      <c r="Y70" s="385"/>
      <c r="Z70" s="382"/>
      <c r="AA70" s="384"/>
      <c r="AB70" s="385"/>
      <c r="AC70" s="382"/>
      <c r="AD70" s="384"/>
      <c r="AE70" s="385"/>
      <c r="AF70" s="382"/>
      <c r="AG70" s="384"/>
      <c r="AH70" s="385"/>
      <c r="AI70" s="382"/>
      <c r="AJ70" s="384"/>
      <c r="AK70" s="385"/>
      <c r="AL70" s="382"/>
      <c r="AM70" s="384"/>
      <c r="AN70" s="385"/>
      <c r="AO70" s="382"/>
      <c r="AP70" s="384"/>
      <c r="AQ70" s="385"/>
      <c r="AR70" s="382"/>
      <c r="AS70" s="384"/>
      <c r="AT70" s="385"/>
      <c r="AU70" s="382"/>
      <c r="AV70" s="384"/>
      <c r="AW70" s="385"/>
      <c r="AX70" s="256"/>
      <c r="AY70" s="256"/>
      <c r="AZ70" s="256"/>
      <c r="BA70" s="256"/>
      <c r="BB70" s="256"/>
      <c r="BC70" s="256"/>
      <c r="BD70" s="256"/>
      <c r="BE70" s="256"/>
      <c r="BF70" s="256"/>
      <c r="BG70" s="256"/>
      <c r="BH70" s="256"/>
      <c r="BI70" s="256"/>
      <c r="BJ70" s="256"/>
      <c r="BK70" s="256"/>
      <c r="BL70" s="256"/>
      <c r="BM70" s="256"/>
    </row>
    <row r="71" spans="1:65">
      <c r="A71" s="256"/>
      <c r="B71" s="256"/>
      <c r="C71" s="384" t="e">
        <v>#N/A</v>
      </c>
      <c r="D71" s="385"/>
      <c r="E71" s="382"/>
      <c r="F71" s="384" t="e">
        <v>#N/A</v>
      </c>
      <c r="G71" s="385"/>
      <c r="H71" s="382"/>
      <c r="I71" s="384" t="e">
        <v>#N/A</v>
      </c>
      <c r="J71" s="385"/>
      <c r="K71" s="382"/>
      <c r="L71" s="384" t="e">
        <v>#N/A</v>
      </c>
      <c r="M71" s="385"/>
      <c r="N71" s="382"/>
      <c r="O71" s="384" t="e">
        <v>#N/A</v>
      </c>
      <c r="P71" s="385"/>
      <c r="Q71" s="382"/>
      <c r="R71" s="384" t="e">
        <v>#N/A</v>
      </c>
      <c r="S71" s="385"/>
      <c r="T71" s="382"/>
      <c r="U71" s="384"/>
      <c r="V71" s="385"/>
      <c r="W71" s="382"/>
      <c r="X71" s="384"/>
      <c r="Y71" s="385"/>
      <c r="Z71" s="382"/>
      <c r="AA71" s="384"/>
      <c r="AB71" s="385"/>
      <c r="AC71" s="382"/>
      <c r="AD71" s="384"/>
      <c r="AE71" s="385"/>
      <c r="AF71" s="382"/>
      <c r="AG71" s="384"/>
      <c r="AH71" s="385"/>
      <c r="AI71" s="382"/>
      <c r="AJ71" s="384"/>
      <c r="AK71" s="385"/>
      <c r="AL71" s="382"/>
      <c r="AM71" s="384"/>
      <c r="AN71" s="385"/>
      <c r="AO71" s="382"/>
      <c r="AP71" s="384"/>
      <c r="AQ71" s="385"/>
      <c r="AR71" s="382"/>
      <c r="AS71" s="384"/>
      <c r="AT71" s="385"/>
      <c r="AU71" s="382"/>
      <c r="AV71" s="384"/>
      <c r="AW71" s="385"/>
      <c r="AX71" s="256"/>
      <c r="AY71" s="256"/>
      <c r="AZ71" s="256"/>
      <c r="BA71" s="256"/>
      <c r="BB71" s="256"/>
      <c r="BC71" s="256"/>
      <c r="BD71" s="256"/>
      <c r="BE71" s="256"/>
      <c r="BF71" s="256"/>
      <c r="BG71" s="256"/>
      <c r="BH71" s="256"/>
      <c r="BI71" s="256"/>
      <c r="BJ71" s="256"/>
      <c r="BK71" s="256"/>
      <c r="BL71" s="256"/>
      <c r="BM71" s="256"/>
    </row>
    <row r="72" spans="1:65">
      <c r="A72" s="256"/>
      <c r="B72" s="256"/>
      <c r="C72" s="384" t="e">
        <v>#N/A</v>
      </c>
      <c r="D72" s="385"/>
      <c r="E72" s="382"/>
      <c r="F72" s="384" t="e">
        <v>#N/A</v>
      </c>
      <c r="G72" s="385"/>
      <c r="H72" s="382"/>
      <c r="I72" s="384" t="e">
        <v>#N/A</v>
      </c>
      <c r="J72" s="385"/>
      <c r="K72" s="382"/>
      <c r="L72" s="384" t="e">
        <v>#N/A</v>
      </c>
      <c r="M72" s="385"/>
      <c r="N72" s="382"/>
      <c r="O72" s="384" t="e">
        <v>#N/A</v>
      </c>
      <c r="P72" s="385"/>
      <c r="Q72" s="382"/>
      <c r="R72" s="384" t="e">
        <v>#N/A</v>
      </c>
      <c r="S72" s="385"/>
      <c r="T72" s="382"/>
      <c r="U72" s="384"/>
      <c r="V72" s="385"/>
      <c r="W72" s="382"/>
      <c r="X72" s="384"/>
      <c r="Y72" s="385"/>
      <c r="Z72" s="382"/>
      <c r="AA72" s="384"/>
      <c r="AB72" s="385"/>
      <c r="AC72" s="382"/>
      <c r="AD72" s="384"/>
      <c r="AE72" s="385"/>
      <c r="AF72" s="382"/>
      <c r="AG72" s="384"/>
      <c r="AH72" s="385"/>
      <c r="AI72" s="382"/>
      <c r="AJ72" s="384"/>
      <c r="AK72" s="385"/>
      <c r="AL72" s="382"/>
      <c r="AM72" s="384"/>
      <c r="AN72" s="385"/>
      <c r="AO72" s="382"/>
      <c r="AP72" s="384"/>
      <c r="AQ72" s="385"/>
      <c r="AR72" s="382"/>
      <c r="AS72" s="384"/>
      <c r="AT72" s="385"/>
      <c r="AU72" s="382"/>
      <c r="AV72" s="384"/>
      <c r="AW72" s="385"/>
      <c r="AX72" s="256"/>
      <c r="AY72" s="256"/>
      <c r="AZ72" s="256"/>
      <c r="BA72" s="256"/>
      <c r="BB72" s="256"/>
      <c r="BC72" s="256"/>
      <c r="BD72" s="256"/>
      <c r="BE72" s="256"/>
      <c r="BF72" s="256"/>
      <c r="BG72" s="256"/>
      <c r="BH72" s="256"/>
      <c r="BI72" s="256"/>
      <c r="BJ72" s="256"/>
      <c r="BK72" s="256"/>
      <c r="BL72" s="256"/>
      <c r="BM72" s="256"/>
    </row>
    <row r="73" spans="1:65">
      <c r="A73" s="256"/>
      <c r="B73" s="256"/>
      <c r="C73" s="384" t="e">
        <v>#N/A</v>
      </c>
      <c r="D73" s="385"/>
      <c r="E73" s="382"/>
      <c r="F73" s="384" t="e">
        <v>#N/A</v>
      </c>
      <c r="G73" s="385"/>
      <c r="H73" s="382"/>
      <c r="I73" s="384" t="e">
        <v>#N/A</v>
      </c>
      <c r="J73" s="385"/>
      <c r="K73" s="382"/>
      <c r="L73" s="384" t="e">
        <v>#N/A</v>
      </c>
      <c r="M73" s="385"/>
      <c r="N73" s="382"/>
      <c r="O73" s="384" t="e">
        <v>#N/A</v>
      </c>
      <c r="P73" s="385"/>
      <c r="Q73" s="382"/>
      <c r="R73" s="384" t="e">
        <v>#N/A</v>
      </c>
      <c r="S73" s="385"/>
      <c r="T73" s="382"/>
      <c r="U73" s="384"/>
      <c r="V73" s="385"/>
      <c r="W73" s="382"/>
      <c r="X73" s="384"/>
      <c r="Y73" s="385"/>
      <c r="Z73" s="382"/>
      <c r="AA73" s="384"/>
      <c r="AB73" s="385"/>
      <c r="AC73" s="382"/>
      <c r="AD73" s="384"/>
      <c r="AE73" s="385"/>
      <c r="AF73" s="382"/>
      <c r="AG73" s="384"/>
      <c r="AH73" s="385"/>
      <c r="AI73" s="382"/>
      <c r="AJ73" s="384"/>
      <c r="AK73" s="385"/>
      <c r="AL73" s="382"/>
      <c r="AM73" s="384"/>
      <c r="AN73" s="385"/>
      <c r="AO73" s="382"/>
      <c r="AP73" s="384"/>
      <c r="AQ73" s="385"/>
      <c r="AR73" s="382"/>
      <c r="AS73" s="384"/>
      <c r="AT73" s="385"/>
      <c r="AU73" s="382"/>
      <c r="AV73" s="384"/>
      <c r="AW73" s="385"/>
      <c r="AX73" s="256"/>
      <c r="AY73" s="256"/>
      <c r="AZ73" s="256"/>
      <c r="BA73" s="256"/>
      <c r="BB73" s="256"/>
      <c r="BC73" s="256"/>
      <c r="BD73" s="256"/>
      <c r="BE73" s="256"/>
      <c r="BF73" s="256"/>
      <c r="BG73" s="256"/>
      <c r="BH73" s="256"/>
      <c r="BI73" s="256"/>
      <c r="BJ73" s="256"/>
      <c r="BK73" s="256"/>
      <c r="BL73" s="256"/>
      <c r="BM73" s="256"/>
    </row>
    <row r="74" spans="1:65">
      <c r="A74" s="256"/>
      <c r="B74" s="256"/>
      <c r="C74" s="384" t="e">
        <v>#N/A</v>
      </c>
      <c r="D74" s="385"/>
      <c r="E74" s="382"/>
      <c r="F74" s="384" t="e">
        <v>#N/A</v>
      </c>
      <c r="G74" s="385"/>
      <c r="H74" s="382"/>
      <c r="I74" s="384" t="e">
        <v>#N/A</v>
      </c>
      <c r="J74" s="385"/>
      <c r="K74" s="382"/>
      <c r="L74" s="384" t="e">
        <v>#N/A</v>
      </c>
      <c r="M74" s="385"/>
      <c r="N74" s="382"/>
      <c r="O74" s="384" t="e">
        <v>#N/A</v>
      </c>
      <c r="P74" s="385"/>
      <c r="Q74" s="382"/>
      <c r="R74" s="384" t="e">
        <v>#N/A</v>
      </c>
      <c r="S74" s="385"/>
      <c r="T74" s="382"/>
      <c r="U74" s="384"/>
      <c r="V74" s="385"/>
      <c r="W74" s="382"/>
      <c r="X74" s="384"/>
      <c r="Y74" s="385"/>
      <c r="Z74" s="382"/>
      <c r="AA74" s="384"/>
      <c r="AB74" s="385"/>
      <c r="AC74" s="382"/>
      <c r="AD74" s="384"/>
      <c r="AE74" s="385"/>
      <c r="AF74" s="382"/>
      <c r="AG74" s="384"/>
      <c r="AH74" s="385"/>
      <c r="AI74" s="382"/>
      <c r="AJ74" s="384"/>
      <c r="AK74" s="385"/>
      <c r="AL74" s="382"/>
      <c r="AM74" s="384"/>
      <c r="AN74" s="385"/>
      <c r="AO74" s="382"/>
      <c r="AP74" s="384"/>
      <c r="AQ74" s="385"/>
      <c r="AR74" s="382"/>
      <c r="AS74" s="384"/>
      <c r="AT74" s="385"/>
      <c r="AU74" s="382"/>
      <c r="AV74" s="384"/>
      <c r="AW74" s="385"/>
      <c r="AX74" s="256"/>
      <c r="AY74" s="256"/>
      <c r="AZ74" s="256"/>
      <c r="BA74" s="256"/>
      <c r="BB74" s="256"/>
      <c r="BC74" s="256"/>
      <c r="BD74" s="256"/>
      <c r="BE74" s="256"/>
      <c r="BF74" s="256"/>
      <c r="BG74" s="256"/>
      <c r="BH74" s="256"/>
      <c r="BI74" s="256"/>
      <c r="BJ74" s="256"/>
      <c r="BK74" s="256"/>
      <c r="BL74" s="256"/>
      <c r="BM74" s="256"/>
    </row>
    <row r="75" spans="1:65">
      <c r="A75" s="256"/>
      <c r="B75" s="256"/>
      <c r="C75" s="384" t="e">
        <v>#N/A</v>
      </c>
      <c r="D75" s="385"/>
      <c r="E75" s="382"/>
      <c r="F75" s="384" t="e">
        <v>#N/A</v>
      </c>
      <c r="G75" s="385"/>
      <c r="H75" s="382"/>
      <c r="I75" s="384" t="e">
        <v>#N/A</v>
      </c>
      <c r="J75" s="385"/>
      <c r="K75" s="382"/>
      <c r="L75" s="384" t="e">
        <v>#N/A</v>
      </c>
      <c r="M75" s="385"/>
      <c r="N75" s="382"/>
      <c r="O75" s="384" t="e">
        <v>#N/A</v>
      </c>
      <c r="P75" s="385"/>
      <c r="Q75" s="382"/>
      <c r="R75" s="384" t="e">
        <v>#N/A</v>
      </c>
      <c r="S75" s="385"/>
      <c r="T75" s="382"/>
      <c r="U75" s="384"/>
      <c r="V75" s="385"/>
      <c r="W75" s="382"/>
      <c r="X75" s="384"/>
      <c r="Y75" s="385"/>
      <c r="Z75" s="382"/>
      <c r="AA75" s="384"/>
      <c r="AB75" s="385"/>
      <c r="AC75" s="382"/>
      <c r="AD75" s="384"/>
      <c r="AE75" s="385"/>
      <c r="AF75" s="382"/>
      <c r="AG75" s="384"/>
      <c r="AH75" s="385"/>
      <c r="AI75" s="382"/>
      <c r="AJ75" s="384"/>
      <c r="AK75" s="385"/>
      <c r="AL75" s="382"/>
      <c r="AM75" s="384"/>
      <c r="AN75" s="385"/>
      <c r="AO75" s="382"/>
      <c r="AP75" s="384"/>
      <c r="AQ75" s="385"/>
      <c r="AR75" s="382"/>
      <c r="AS75" s="384"/>
      <c r="AT75" s="385"/>
      <c r="AU75" s="382"/>
      <c r="AV75" s="384"/>
      <c r="AW75" s="385"/>
      <c r="AX75" s="256"/>
      <c r="AY75" s="256"/>
      <c r="AZ75" s="256"/>
      <c r="BA75" s="256"/>
      <c r="BB75" s="256"/>
      <c r="BC75" s="256"/>
      <c r="BD75" s="256"/>
      <c r="BE75" s="256"/>
      <c r="BF75" s="256"/>
      <c r="BG75" s="256"/>
      <c r="BH75" s="256"/>
      <c r="BI75" s="256"/>
      <c r="BJ75" s="256"/>
      <c r="BK75" s="256"/>
      <c r="BL75" s="256"/>
      <c r="BM75" s="256"/>
    </row>
    <row r="76" spans="1:65">
      <c r="A76" s="256"/>
      <c r="B76" s="256"/>
      <c r="C76" s="384" t="e">
        <v>#N/A</v>
      </c>
      <c r="D76" s="385"/>
      <c r="E76" s="382"/>
      <c r="F76" s="384" t="e">
        <v>#N/A</v>
      </c>
      <c r="G76" s="385"/>
      <c r="H76" s="382"/>
      <c r="I76" s="384" t="e">
        <v>#N/A</v>
      </c>
      <c r="J76" s="385"/>
      <c r="K76" s="382"/>
      <c r="L76" s="384" t="e">
        <v>#N/A</v>
      </c>
      <c r="M76" s="385"/>
      <c r="N76" s="382"/>
      <c r="O76" s="384" t="e">
        <v>#N/A</v>
      </c>
      <c r="P76" s="385"/>
      <c r="Q76" s="382"/>
      <c r="R76" s="384" t="e">
        <v>#N/A</v>
      </c>
      <c r="S76" s="385"/>
      <c r="T76" s="382"/>
      <c r="U76" s="384"/>
      <c r="V76" s="385"/>
      <c r="W76" s="382"/>
      <c r="X76" s="384"/>
      <c r="Y76" s="385"/>
      <c r="Z76" s="382"/>
      <c r="AA76" s="384"/>
      <c r="AB76" s="385"/>
      <c r="AC76" s="382"/>
      <c r="AD76" s="384"/>
      <c r="AE76" s="385"/>
      <c r="AF76" s="382"/>
      <c r="AG76" s="384"/>
      <c r="AH76" s="385"/>
      <c r="AI76" s="382"/>
      <c r="AJ76" s="384"/>
      <c r="AK76" s="385"/>
      <c r="AL76" s="382"/>
      <c r="AM76" s="384"/>
      <c r="AN76" s="385"/>
      <c r="AO76" s="382"/>
      <c r="AP76" s="384"/>
      <c r="AQ76" s="385"/>
      <c r="AR76" s="382"/>
      <c r="AS76" s="384"/>
      <c r="AT76" s="385"/>
      <c r="AU76" s="382"/>
      <c r="AV76" s="384"/>
      <c r="AW76" s="385"/>
      <c r="AX76" s="256"/>
      <c r="AY76" s="256"/>
      <c r="AZ76" s="256"/>
      <c r="BA76" s="256"/>
      <c r="BB76" s="256"/>
      <c r="BC76" s="256"/>
      <c r="BD76" s="256"/>
      <c r="BE76" s="256"/>
      <c r="BF76" s="256"/>
      <c r="BG76" s="256"/>
      <c r="BH76" s="256"/>
      <c r="BI76" s="256"/>
      <c r="BJ76" s="256"/>
      <c r="BK76" s="256"/>
      <c r="BL76" s="256"/>
      <c r="BM76" s="256"/>
    </row>
  </sheetData>
  <pageMargins left="0.7" right="0.7" top="0.75" bottom="0.75" header="0.3" footer="0.3"/>
  <pageSetup orientation="portrait" verticalDpi="599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Y88"/>
  <sheetViews>
    <sheetView topLeftCell="A7" zoomScale="85" zoomScaleNormal="85" workbookViewId="0">
      <selection activeCell="F55" sqref="F55"/>
    </sheetView>
  </sheetViews>
  <sheetFormatPr defaultRowHeight="15" outlineLevelCol="1"/>
  <cols>
    <col min="2" max="2" width="28.85546875" bestFit="1" customWidth="1"/>
    <col min="3" max="3" width="10.85546875" bestFit="1" customWidth="1"/>
    <col min="6" max="6" width="24.5703125" bestFit="1" customWidth="1"/>
    <col min="8" max="8" width="12.140625" customWidth="1"/>
    <col min="9" max="9" width="24.28515625" bestFit="1" customWidth="1"/>
    <col min="10" max="10" width="20.28515625" bestFit="1" customWidth="1"/>
    <col min="13" max="13" width="24.42578125" hidden="1" customWidth="1" outlineLevel="1"/>
    <col min="14" max="16" width="9.140625" hidden="1" customWidth="1" outlineLevel="1"/>
    <col min="17" max="17" width="16.140625" customWidth="1" collapsed="1"/>
    <col min="18" max="18" width="17.28515625" bestFit="1" customWidth="1"/>
    <col min="19" max="19" width="15.140625" bestFit="1" customWidth="1"/>
    <col min="20" max="20" width="9.42578125" bestFit="1" customWidth="1"/>
    <col min="21" max="21" width="23.5703125" bestFit="1" customWidth="1"/>
    <col min="24" max="24" width="15.7109375" bestFit="1" customWidth="1"/>
    <col min="25" max="25" width="19.85546875" bestFit="1" customWidth="1"/>
  </cols>
  <sheetData>
    <row r="1" spans="2:25" s="115" customFormat="1"/>
    <row r="2" spans="2:25">
      <c r="B2" s="162" t="s">
        <v>327</v>
      </c>
      <c r="C2" s="160">
        <f>_xll.qlSettingsEvaluationDate()</f>
        <v>43705</v>
      </c>
    </row>
    <row r="3" spans="2:25" ht="15.75" thickBot="1">
      <c r="B3" s="163" t="s">
        <v>322</v>
      </c>
      <c r="C3" s="161">
        <f>_xll.qlCalendarAdvance($R$8,C2,"2d","following")</f>
        <v>43707</v>
      </c>
    </row>
    <row r="4" spans="2:25" ht="15.75" thickBot="1">
      <c r="F4" s="36" t="s">
        <v>291</v>
      </c>
      <c r="I4" s="52" t="s">
        <v>284</v>
      </c>
      <c r="Q4" s="2" t="s">
        <v>267</v>
      </c>
      <c r="R4" s="3" t="str">
        <f ca="1">_xll.qlPiecewiseYieldCurve(R6,R7,R8,_xll.ohPack(O19:O55),R9,,,R12,R10,R11,R13,R14)</f>
        <v>EUR_TRADER_3M_QL#0000</v>
      </c>
    </row>
    <row r="5" spans="2:25" ht="15.75" thickBot="1">
      <c r="B5" s="2" t="s">
        <v>242</v>
      </c>
      <c r="C5" s="3" t="str">
        <f ca="1">_xll.qlEuribor(C7,C8,C9,C10,C11)</f>
        <v>EUR3m#0001</v>
      </c>
      <c r="F5" s="53" t="s">
        <v>269</v>
      </c>
      <c r="G5" s="32" t="s">
        <v>330</v>
      </c>
      <c r="I5" s="53" t="s">
        <v>269</v>
      </c>
      <c r="J5" s="32" t="s">
        <v>255</v>
      </c>
      <c r="Q5" s="4" t="s">
        <v>243</v>
      </c>
      <c r="R5" s="5" t="str">
        <f ca="1">_xll.ohRangeRetrieveError(R4)</f>
        <v/>
      </c>
      <c r="X5" s="57" t="s">
        <v>270</v>
      </c>
      <c r="Y5" s="78" t="s">
        <v>280</v>
      </c>
    </row>
    <row r="6" spans="2:25" ht="15.75" thickBot="1">
      <c r="B6" s="4" t="s">
        <v>243</v>
      </c>
      <c r="C6" s="5" t="str">
        <f ca="1">_xll.ohRangeRetrieveError(C5)</f>
        <v/>
      </c>
      <c r="F6" s="54" t="s">
        <v>292</v>
      </c>
      <c r="G6" s="18" t="s">
        <v>252</v>
      </c>
      <c r="I6" s="54" t="s">
        <v>285</v>
      </c>
      <c r="J6" s="18" t="s">
        <v>256</v>
      </c>
      <c r="M6" s="2" t="s">
        <v>262</v>
      </c>
      <c r="N6" s="24">
        <v>0</v>
      </c>
      <c r="Q6" s="2" t="s">
        <v>244</v>
      </c>
      <c r="R6" s="6" t="s">
        <v>730</v>
      </c>
      <c r="X6" s="64" t="s">
        <v>269</v>
      </c>
      <c r="Y6" s="62" t="s">
        <v>251</v>
      </c>
    </row>
    <row r="7" spans="2:25">
      <c r="B7" s="2" t="s">
        <v>244</v>
      </c>
      <c r="C7" s="6" t="str">
        <f>"EUR"&amp;C8</f>
        <v>EUR3m</v>
      </c>
      <c r="F7" s="54" t="s">
        <v>293</v>
      </c>
      <c r="G7" s="18" t="b">
        <v>1</v>
      </c>
      <c r="I7" s="54" t="s">
        <v>286</v>
      </c>
      <c r="J7" s="33" t="s">
        <v>254</v>
      </c>
      <c r="M7" s="7" t="s">
        <v>263</v>
      </c>
      <c r="N7" s="28">
        <v>0</v>
      </c>
      <c r="Q7" s="7" t="s">
        <v>268</v>
      </c>
      <c r="R7" s="8">
        <v>0</v>
      </c>
      <c r="X7" s="64" t="s">
        <v>271</v>
      </c>
      <c r="Y7" s="62" t="s">
        <v>272</v>
      </c>
    </row>
    <row r="8" spans="2:25" ht="15.75" thickBot="1">
      <c r="B8" s="7" t="s">
        <v>245</v>
      </c>
      <c r="C8" s="8" t="s">
        <v>249</v>
      </c>
      <c r="F8" s="56" t="s">
        <v>294</v>
      </c>
      <c r="G8" s="35" t="s">
        <v>253</v>
      </c>
      <c r="I8" s="54" t="s">
        <v>287</v>
      </c>
      <c r="J8" s="18" t="s">
        <v>257</v>
      </c>
      <c r="M8" s="7" t="s">
        <v>264</v>
      </c>
      <c r="N8" s="28">
        <v>3</v>
      </c>
      <c r="Q8" s="7" t="s">
        <v>269</v>
      </c>
      <c r="R8" s="8" t="s">
        <v>255</v>
      </c>
      <c r="X8" s="64" t="s">
        <v>273</v>
      </c>
      <c r="Y8" s="62" t="s">
        <v>274</v>
      </c>
    </row>
    <row r="9" spans="2:25">
      <c r="B9" s="7" t="s">
        <v>246</v>
      </c>
      <c r="C9" s="8"/>
      <c r="I9" s="54" t="s">
        <v>288</v>
      </c>
      <c r="J9" s="18" t="str">
        <f ca="1">$C$5</f>
        <v>EUR3m#0000</v>
      </c>
      <c r="M9" s="7" t="s">
        <v>265</v>
      </c>
      <c r="N9" s="8" t="s">
        <v>266</v>
      </c>
      <c r="Q9" s="7" t="s">
        <v>270</v>
      </c>
      <c r="R9" s="8"/>
      <c r="X9" s="64" t="s">
        <v>329</v>
      </c>
      <c r="Y9" s="62" t="s">
        <v>317</v>
      </c>
    </row>
    <row r="10" spans="2:25" ht="15.75" thickBot="1">
      <c r="B10" s="7" t="s">
        <v>247</v>
      </c>
      <c r="C10" s="8"/>
      <c r="I10" s="54" t="s">
        <v>289</v>
      </c>
      <c r="J10" s="34">
        <v>0</v>
      </c>
      <c r="M10" s="4" t="s">
        <v>248</v>
      </c>
      <c r="N10" s="9">
        <v>1</v>
      </c>
      <c r="Q10" s="7" t="s">
        <v>271</v>
      </c>
      <c r="R10" s="8" t="s">
        <v>272</v>
      </c>
      <c r="X10" s="71" t="s">
        <v>328</v>
      </c>
      <c r="Y10" s="62" t="str">
        <f>_xll.qlInterpolatedYieldCurve(Y9,X18:X57,Y18:Y57,Y6,Y5,,,Y7,Y8)</f>
        <v>EUR_DISC_COL#0000</v>
      </c>
    </row>
    <row r="11" spans="2:25" ht="15.75" thickBot="1">
      <c r="B11" s="4" t="s">
        <v>248</v>
      </c>
      <c r="C11" s="157">
        <f ca="1">RAND()</f>
        <v>0.69982156993276334</v>
      </c>
      <c r="I11" s="54" t="s">
        <v>290</v>
      </c>
      <c r="J11" s="18" t="s">
        <v>277</v>
      </c>
      <c r="Q11" s="7" t="s">
        <v>273</v>
      </c>
      <c r="R11" s="8" t="s">
        <v>274</v>
      </c>
      <c r="T11" s="8" t="s">
        <v>278</v>
      </c>
      <c r="Y11" s="189" t="str">
        <f>_xll.ohRangeRetrieveError(Y10)</f>
        <v/>
      </c>
    </row>
    <row r="12" spans="2:25" ht="15.75" thickBot="1">
      <c r="B12" s="10"/>
      <c r="C12" s="11"/>
      <c r="I12" s="55" t="s">
        <v>295</v>
      </c>
      <c r="J12" s="35"/>
      <c r="Q12" s="7" t="s">
        <v>275</v>
      </c>
      <c r="R12" s="8"/>
    </row>
    <row r="13" spans="2:25" ht="18" thickBot="1">
      <c r="B13" s="29" t="s">
        <v>258</v>
      </c>
      <c r="C13" s="30"/>
      <c r="Q13" s="7" t="s">
        <v>247</v>
      </c>
      <c r="R13" s="8"/>
    </row>
    <row r="14" spans="2:25">
      <c r="B14" s="494"/>
      <c r="C14" s="494"/>
      <c r="E14" t="s">
        <v>852</v>
      </c>
      <c r="I14" t="str">
        <f ca="1">_xll.ohRangeRetrieveError(O19)</f>
        <v/>
      </c>
      <c r="Q14" s="7" t="s">
        <v>248</v>
      </c>
      <c r="R14" s="8"/>
    </row>
    <row r="15" spans="2:25">
      <c r="C15" t="str">
        <f ca="1">C6</f>
        <v/>
      </c>
      <c r="E15" s="115" t="s">
        <v>853</v>
      </c>
      <c r="Q15" s="7" t="s">
        <v>279</v>
      </c>
      <c r="R15" s="8" t="s">
        <v>280</v>
      </c>
    </row>
    <row r="16" spans="2:25" s="115" customFormat="1">
      <c r="Q16" s="10"/>
      <c r="R16" s="11"/>
      <c r="X16" s="31"/>
    </row>
    <row r="17" spans="2:25" ht="15.75" thickBot="1">
      <c r="B17" s="1"/>
      <c r="C17" s="1"/>
      <c r="E17" t="str">
        <f ca="1">_xll.ohRangeRetrieveError(E18)</f>
        <v>qlQuoteValue - ObjectHandler error: attempt to retrieve object with unknown ID 'EUR_TRADER_3M_EUR-O/N*'</v>
      </c>
      <c r="Q17" s="148" t="s">
        <v>281</v>
      </c>
      <c r="R17" s="142" t="s">
        <v>282</v>
      </c>
      <c r="S17" s="142" t="s">
        <v>283</v>
      </c>
      <c r="T17" s="142" t="s">
        <v>296</v>
      </c>
      <c r="U17" s="140" t="s">
        <v>297</v>
      </c>
    </row>
    <row r="18" spans="2:25">
      <c r="B18" s="156" t="str">
        <f>'RISK INPUT'!X6</f>
        <v>EUR-O/N*</v>
      </c>
      <c r="C18" s="152">
        <f>'RISK INPUT'!Y6</f>
        <v>-0.25365254790000002</v>
      </c>
      <c r="D18" t="s">
        <v>204</v>
      </c>
      <c r="E18" t="e">
        <f>_xll.qlQuoteValue($B$13&amp;"_"&amp;B18)</f>
        <v>#NUM!</v>
      </c>
      <c r="F18" s="37"/>
      <c r="G18" s="38" t="s">
        <v>243</v>
      </c>
      <c r="H18" s="38" t="s">
        <v>244</v>
      </c>
      <c r="I18" s="38" t="s">
        <v>250</v>
      </c>
      <c r="J18" s="38"/>
      <c r="K18" s="39"/>
      <c r="M18" s="20" t="s">
        <v>259</v>
      </c>
      <c r="N18" s="21" t="s">
        <v>260</v>
      </c>
      <c r="O18" s="22" t="s">
        <v>261</v>
      </c>
      <c r="P18" s="23"/>
      <c r="Q18" s="77">
        <f t="array" aca="1" ref="Q18:Q55" ca="1">_xll.qlPiecewiseYieldCurveDates(R4)</f>
        <v>43705</v>
      </c>
      <c r="R18" s="72">
        <f t="array" aca="1" ref="R18:R55" ca="1">_xll.qlPiecewiseYieldCurveData(R4)</f>
        <v>1</v>
      </c>
      <c r="S18" s="59">
        <f t="array" aca="1" ref="S18:S55" ca="1">_xll.qlYieldTSZeroRate($R$4,Q18:Q55,$R$15,"compounded","annual")</f>
        <v>-2.5684599072595127E-3</v>
      </c>
      <c r="T18" s="73">
        <v>-0.25204835971051098</v>
      </c>
      <c r="U18" s="146">
        <f t="shared" ref="U18:U55" ca="1" si="0">T18/100-S18</f>
        <v>4.797631015440295E-5</v>
      </c>
      <c r="X18" s="58">
        <f>$C$2</f>
        <v>43705</v>
      </c>
      <c r="Y18" s="144">
        <v>1</v>
      </c>
    </row>
    <row r="19" spans="2:25">
      <c r="B19" s="156" t="str">
        <f>'RISK INPUT'!X7</f>
        <v>EUR-T/N*</v>
      </c>
      <c r="C19" s="152">
        <f>'RISK INPUT'!Y7</f>
        <v>-0.25365254790000002</v>
      </c>
      <c r="D19" t="s">
        <v>205</v>
      </c>
      <c r="E19" t="e">
        <f>_xll.qlQuoteValue($B$13&amp;"_"&amp;B19)</f>
        <v>#NUM!</v>
      </c>
      <c r="F19" s="40" t="str">
        <f>_xll.qlDepositRateHelper2(H19,I19,J19,K19,$G$5,$G$6,$G$7,$G$8)</f>
        <v>EUR3mDepoON#0000</v>
      </c>
      <c r="G19" s="12" t="str">
        <f>_xll.ohRangeRetrieveError(F19)</f>
        <v/>
      </c>
      <c r="H19" s="13" t="str">
        <f>$C$7&amp;"DepoON"</f>
        <v>EUR3mDepoON</v>
      </c>
      <c r="I19" s="14">
        <f t="shared" ref="I19:I33" si="1">C18/100</f>
        <v>-2.5365254790000002E-3</v>
      </c>
      <c r="J19" s="13" t="s">
        <v>206</v>
      </c>
      <c r="K19" s="41">
        <v>0</v>
      </c>
      <c r="M19" s="25" t="str">
        <f t="shared" ref="M19:M55" si="2">F19</f>
        <v>EUR3mDepoON#0000</v>
      </c>
      <c r="N19" s="26">
        <v>1</v>
      </c>
      <c r="O19" s="27" t="str">
        <f t="array" aca="1" ref="O19:O55" ca="1">_xll.qlRateHelperSelection(_xll.ohPack(M19:M55),_xll.ohPack(N19:N55),N6,N7,N8,N9,N10)</f>
        <v>EUR3mDepoON</v>
      </c>
      <c r="P19" s="23"/>
      <c r="Q19" s="75">
        <f ca="1"/>
        <v>43706</v>
      </c>
      <c r="R19" s="74">
        <f ca="1"/>
        <v>1.0000070459537536</v>
      </c>
      <c r="S19" s="66">
        <f ca="1"/>
        <v>-2.5684599077293591E-3</v>
      </c>
      <c r="T19" s="63">
        <v>-0.25204835970773498</v>
      </c>
      <c r="U19" s="147">
        <f t="shared" ca="1" si="0"/>
        <v>4.7976310652009246E-5</v>
      </c>
      <c r="W19" t="s">
        <v>204</v>
      </c>
      <c r="X19" s="58">
        <f>_xll.qlCalendarAdvance($R$8,$C$2,"1d","following")</f>
        <v>43706</v>
      </c>
      <c r="Y19" s="154">
        <v>1.0000093336817941</v>
      </c>
    </row>
    <row r="20" spans="2:25">
      <c r="B20" s="156" t="str">
        <f>'RISK INPUT'!X8</f>
        <v>EUR-1D</v>
      </c>
      <c r="C20" s="152">
        <f>'RISK INPUT'!Y8</f>
        <v>-0.25365076069999998</v>
      </c>
      <c r="D20" t="s">
        <v>206</v>
      </c>
      <c r="E20" t="e">
        <f>_xll.qlQuoteValue($B$13&amp;"_"&amp;B20)</f>
        <v>#NUM!</v>
      </c>
      <c r="F20" s="42" t="str">
        <f>_xll.qlDepositRateHelper2(H20,I20,J20,K20,$G$5,$G$6,$G$7,$G$8)</f>
        <v>EUR3mDepoTN#0000</v>
      </c>
      <c r="G20" s="15" t="str">
        <f>_xll.ohRangeRetrieveError(F20)</f>
        <v/>
      </c>
      <c r="H20" s="16" t="str">
        <f>$C$7&amp;"DepoTN"</f>
        <v>EUR3mDepoTN</v>
      </c>
      <c r="I20" s="17">
        <f t="shared" si="1"/>
        <v>-2.5365254790000002E-3</v>
      </c>
      <c r="J20" s="16" t="s">
        <v>276</v>
      </c>
      <c r="K20" s="43">
        <v>1</v>
      </c>
      <c r="M20" s="25" t="str">
        <f t="shared" si="2"/>
        <v>EUR3mDepoTN#0000</v>
      </c>
      <c r="N20" s="26">
        <v>1</v>
      </c>
      <c r="O20" s="27" t="str">
        <f ca="1"/>
        <v>EUR3mDepoTN</v>
      </c>
      <c r="P20" s="23"/>
      <c r="Q20" s="75">
        <f ca="1"/>
        <v>43710</v>
      </c>
      <c r="R20" s="74">
        <f ca="1"/>
        <v>1.0000352305631115</v>
      </c>
      <c r="S20" s="66">
        <f ca="1"/>
        <v>-2.5684815967405017E-3</v>
      </c>
      <c r="T20" s="63">
        <v>-0.252048359709034</v>
      </c>
      <c r="U20" s="147">
        <f t="shared" ca="1" si="0"/>
        <v>4.7997999650161837E-5</v>
      </c>
      <c r="W20" t="s">
        <v>205</v>
      </c>
      <c r="X20" s="58">
        <f>_xll.qlCalendarAdvance($R$8,$C$2,"2d","following")</f>
        <v>43707</v>
      </c>
      <c r="Y20" s="154">
        <v>1.0000186674507057</v>
      </c>
    </row>
    <row r="21" spans="2:25">
      <c r="B21" s="156" t="str">
        <f>'RISK INPUT'!X9</f>
        <v>GEN-EUR-DEPO-1W</v>
      </c>
      <c r="C21" s="152">
        <f>'RISK INPUT'!Y9</f>
        <v>-0.25364718629999999</v>
      </c>
      <c r="D21" t="s">
        <v>207</v>
      </c>
      <c r="E21" t="e">
        <f>_xll.qlQuoteValue($B$13&amp;"_"&amp;B21)</f>
        <v>#NUM!</v>
      </c>
      <c r="F21" s="42" t="str">
        <f>_xll.qlDepositRateHelper2(H21,I21,J21,K21,$G$5,$G$6,$G$7,$G$8)</f>
        <v>EUR3mDepo1W#0000</v>
      </c>
      <c r="G21" s="15" t="str">
        <f>_xll.ohRangeRetrieveError(F21)</f>
        <v/>
      </c>
      <c r="H21" s="16" t="str">
        <f>$C$7&amp;"Depo1W"</f>
        <v>EUR3mDepo1W</v>
      </c>
      <c r="I21" s="17">
        <f t="shared" si="1"/>
        <v>-2.5365076069999997E-3</v>
      </c>
      <c r="J21" s="16" t="str">
        <f t="shared" ref="J21:J55" si="3">D21</f>
        <v>1W</v>
      </c>
      <c r="K21" s="43">
        <v>2</v>
      </c>
      <c r="M21" s="25" t="str">
        <f t="shared" si="2"/>
        <v>EUR3mDepo1W#0000</v>
      </c>
      <c r="N21" s="26">
        <v>1</v>
      </c>
      <c r="O21" s="27" t="str">
        <f ca="1"/>
        <v>EUR3mDepo1W</v>
      </c>
      <c r="P21" s="23"/>
      <c r="Q21" s="75">
        <f ca="1"/>
        <v>43714</v>
      </c>
      <c r="R21" s="74">
        <f ca="1"/>
        <v>1.0000634161406161</v>
      </c>
      <c r="S21" s="66">
        <f ca="1"/>
        <v>-2.5684910358300117E-3</v>
      </c>
      <c r="T21" s="63">
        <v>-0.25204833052226999</v>
      </c>
      <c r="U21" s="147">
        <f t="shared" ca="1" si="0"/>
        <v>4.8007730607311713E-5</v>
      </c>
      <c r="W21" t="s">
        <v>206</v>
      </c>
      <c r="X21" s="58">
        <f>_xll.qlCalendarAdvance($R$8,$C$3,W21,"following")</f>
        <v>43710</v>
      </c>
      <c r="Y21" s="154">
        <v>1.0000466692801544</v>
      </c>
    </row>
    <row r="22" spans="2:25">
      <c r="B22" s="156" t="str">
        <f>'RISK INPUT'!X10</f>
        <v>GEN-EUR-DEPO-1M</v>
      </c>
      <c r="C22" s="152">
        <f>'RISK INPUT'!Y10</f>
        <v>-0.25293077730000002</v>
      </c>
      <c r="D22" t="s">
        <v>208</v>
      </c>
      <c r="E22" t="e">
        <f>_xll.qlQuoteValue($B$13&amp;"_"&amp;B22)</f>
        <v>#NUM!</v>
      </c>
      <c r="F22" s="42" t="str">
        <f>_xll.qlDepositRateHelper2(H22,I22,J22,K22,$G$5,$G$6,$G$7,$G$8)</f>
        <v>EUR3mDepo1M#0000</v>
      </c>
      <c r="G22" s="15" t="str">
        <f>_xll.ohRangeRetrieveError(F22)</f>
        <v/>
      </c>
      <c r="H22" s="16" t="str">
        <f t="shared" ref="H22:H33" si="4">$C$7&amp;"Depo"&amp;J22</f>
        <v>EUR3mDepo1M</v>
      </c>
      <c r="I22" s="17">
        <f t="shared" si="1"/>
        <v>-2.5364718629999998E-3</v>
      </c>
      <c r="J22" s="16" t="str">
        <f t="shared" si="3"/>
        <v>1M</v>
      </c>
      <c r="K22" s="43">
        <v>2</v>
      </c>
      <c r="M22" s="25" t="str">
        <f t="shared" si="2"/>
        <v>EUR3mDepo1M#0000</v>
      </c>
      <c r="N22" s="26">
        <v>1</v>
      </c>
      <c r="O22" s="27" t="str">
        <f ca="1"/>
        <v>EUR3mDepo1M</v>
      </c>
      <c r="P22" s="23"/>
      <c r="Q22" s="75">
        <f ca="1"/>
        <v>43738</v>
      </c>
      <c r="R22" s="74">
        <f ca="1"/>
        <v>1.0002325612377034</v>
      </c>
      <c r="S22" s="66">
        <f ca="1"/>
        <v>-2.5686644976895545E-3</v>
      </c>
      <c r="T22" s="63">
        <v>-0.25204995290905002</v>
      </c>
      <c r="U22" s="147">
        <f t="shared" ca="1" si="0"/>
        <v>4.8164968599054107E-5</v>
      </c>
      <c r="W22" t="s">
        <v>207</v>
      </c>
      <c r="X22" s="58">
        <f>_xll.qlCalendarAdvance($R$8,$C$3,W22,"following")</f>
        <v>43714</v>
      </c>
      <c r="Y22" s="154">
        <v>1.0000840062724488</v>
      </c>
    </row>
    <row r="23" spans="2:25">
      <c r="B23" s="156" t="str">
        <f>'RISK INPUT'!X11</f>
        <v>GEN-EUR-DEPO-2M</v>
      </c>
      <c r="C23" s="152">
        <f>'RISK INPUT'!Y11</f>
        <v>-0.25886781980000001</v>
      </c>
      <c r="D23" t="s">
        <v>209</v>
      </c>
      <c r="E23" t="e">
        <f>_xll.qlQuoteValue($B$13&amp;"_"&amp;B23)</f>
        <v>#NUM!</v>
      </c>
      <c r="F23" s="42" t="str">
        <f>_xll.qlDepositRateHelper2(H23,I23,J23,K23,$G$5,$G$6,$G$7,$G$8)</f>
        <v>EUR3mDepo2M#0000</v>
      </c>
      <c r="G23" s="15" t="str">
        <f>_xll.ohRangeRetrieveError(F23)</f>
        <v/>
      </c>
      <c r="H23" s="16" t="str">
        <f t="shared" si="4"/>
        <v>EUR3mDepo2M</v>
      </c>
      <c r="I23" s="17">
        <f t="shared" si="1"/>
        <v>-2.5293077730000001E-3</v>
      </c>
      <c r="J23" s="16" t="str">
        <f t="shared" si="3"/>
        <v>2M</v>
      </c>
      <c r="K23" s="43">
        <v>2</v>
      </c>
      <c r="M23" s="25" t="str">
        <f t="shared" si="2"/>
        <v>EUR3mDepo2M#0000</v>
      </c>
      <c r="N23" s="26">
        <v>1</v>
      </c>
      <c r="O23" s="27" t="str">
        <f ca="1"/>
        <v>EUR3mDepo2M</v>
      </c>
      <c r="P23" s="23"/>
      <c r="Q23" s="75">
        <f ca="1"/>
        <v>43769</v>
      </c>
      <c r="R23" s="74">
        <f ca="1"/>
        <v>1.0004498910108395</v>
      </c>
      <c r="S23" s="66">
        <f ca="1"/>
        <v>-2.5619203487837749E-3</v>
      </c>
      <c r="T23" s="63">
        <v>-0.25252536790069102</v>
      </c>
      <c r="U23" s="147">
        <f t="shared" ca="1" si="0"/>
        <v>3.6666669776864915E-5</v>
      </c>
      <c r="W23" t="s">
        <v>208</v>
      </c>
      <c r="X23" s="58">
        <f>_xll.qlCalendarAdvance($R$8,$C$3,W23,"following")</f>
        <v>43738</v>
      </c>
      <c r="Y23" s="154">
        <v>1.0003123980718152</v>
      </c>
    </row>
    <row r="24" spans="2:25">
      <c r="B24" s="156" t="str">
        <f>'RISK INPUT'!X12</f>
        <v>GEN-EUR-DEPO-3M</v>
      </c>
      <c r="C24" s="152">
        <f>'RISK INPUT'!Y12</f>
        <v>-0.26100000000000001</v>
      </c>
      <c r="D24" t="s">
        <v>210</v>
      </c>
      <c r="E24" t="e">
        <f>_xll.qlQuoteValue($B$13&amp;"_"&amp;B24)</f>
        <v>#NUM!</v>
      </c>
      <c r="F24" s="42" t="str">
        <f>_xll.qlDepositRateHelper2(H24,I24,J24,K24,$G$5,$G$6,$G$7,$G$8)</f>
        <v>EUR3mDepo3M#0000</v>
      </c>
      <c r="G24" s="15" t="str">
        <f>_xll.ohRangeRetrieveError(F24)</f>
        <v/>
      </c>
      <c r="H24" s="16" t="str">
        <f t="shared" si="4"/>
        <v>EUR3mDepo3M</v>
      </c>
      <c r="I24" s="17">
        <f t="shared" si="1"/>
        <v>-2.5886781980000001E-3</v>
      </c>
      <c r="J24" s="16" t="str">
        <f t="shared" si="3"/>
        <v>3M</v>
      </c>
      <c r="K24" s="43">
        <v>2</v>
      </c>
      <c r="M24" s="25" t="str">
        <f t="shared" si="2"/>
        <v>EUR3mDepo3M#0000</v>
      </c>
      <c r="N24" s="26">
        <v>1</v>
      </c>
      <c r="O24" s="27" t="str">
        <f ca="1"/>
        <v>EUR3mDepo3M</v>
      </c>
      <c r="P24" s="23"/>
      <c r="Q24" s="75">
        <f ca="1"/>
        <v>43798</v>
      </c>
      <c r="R24" s="74">
        <f ca="1"/>
        <v>1.0006688900490028</v>
      </c>
      <c r="S24" s="66">
        <f ca="1"/>
        <v>-2.6208954754419755E-3</v>
      </c>
      <c r="T24" s="63">
        <v>-0.253205736991513</v>
      </c>
      <c r="U24" s="147">
        <f t="shared" ca="1" si="0"/>
        <v>8.8838105526845446E-5</v>
      </c>
      <c r="W24" t="s">
        <v>209</v>
      </c>
      <c r="X24" s="58">
        <f>_xll.qlCalendarAdvance($R$8,$C$3,W24,"following")</f>
        <v>43768</v>
      </c>
      <c r="Y24" s="154">
        <v>1.0005968178509197</v>
      </c>
    </row>
    <row r="25" spans="2:25">
      <c r="B25" s="156" t="str">
        <f>'RISK INPUT'!X13</f>
        <v>GEN-EUR-DEPO-4M</v>
      </c>
      <c r="C25" s="152">
        <f>'RISK INPUT'!Y13</f>
        <v>-0.2618909063</v>
      </c>
      <c r="D25" t="s">
        <v>226</v>
      </c>
      <c r="E25" t="e">
        <f>_xll.qlQuoteValue($B$13&amp;"_"&amp;B25)</f>
        <v>#NUM!</v>
      </c>
      <c r="F25" s="42" t="str">
        <f>_xll.qlDepositRateHelper2(H25,I25,J25,K25,$G$5,$G$6,$G$7,$G$8)</f>
        <v>EUR3mDepo4M#0000</v>
      </c>
      <c r="G25" s="15" t="str">
        <f>_xll.ohRangeRetrieveError(F25)</f>
        <v/>
      </c>
      <c r="H25" s="16" t="str">
        <f t="shared" si="4"/>
        <v>EUR3mDepo4M</v>
      </c>
      <c r="I25" s="17">
        <f t="shared" si="1"/>
        <v>-2.6099999999999999E-3</v>
      </c>
      <c r="J25" s="16" t="str">
        <f t="shared" si="3"/>
        <v>4M</v>
      </c>
      <c r="K25" s="43">
        <v>2</v>
      </c>
      <c r="M25" s="25" t="str">
        <f t="shared" si="2"/>
        <v>EUR3mDepo4M#0000</v>
      </c>
      <c r="N25" s="26">
        <v>1</v>
      </c>
      <c r="O25" s="27" t="str">
        <f ca="1"/>
        <v>EUR3mDepo4M</v>
      </c>
      <c r="P25" s="23"/>
      <c r="Q25" s="75">
        <f ca="1"/>
        <v>43830</v>
      </c>
      <c r="R25" s="74">
        <f ca="1"/>
        <v>1.000906650537239</v>
      </c>
      <c r="S25" s="66">
        <f ca="1"/>
        <v>-2.642721997228481E-3</v>
      </c>
      <c r="T25" s="63">
        <v>-0.253886813709359</v>
      </c>
      <c r="U25" s="147">
        <f t="shared" ca="1" si="0"/>
        <v>1.0385386013489093E-4</v>
      </c>
      <c r="W25" t="s">
        <v>210</v>
      </c>
      <c r="X25" s="58">
        <f>_xll.qlCalendarAdvance($R$8,$C$3,W25,"following")</f>
        <v>43801</v>
      </c>
      <c r="Y25" s="154">
        <v>1.0008914077949849</v>
      </c>
    </row>
    <row r="26" spans="2:25">
      <c r="B26" s="156" t="str">
        <f>'RISK INPUT'!X14</f>
        <v>GEN-EUR-DEPO-5M</v>
      </c>
      <c r="C26" s="152">
        <f>'RISK INPUT'!Y14</f>
        <v>-0.26537826910000001</v>
      </c>
      <c r="D26" t="s">
        <v>227</v>
      </c>
      <c r="E26" t="e">
        <f>_xll.qlQuoteValue($B$13&amp;"_"&amp;B26)</f>
        <v>#NUM!</v>
      </c>
      <c r="F26" s="42" t="str">
        <f>_xll.qlDepositRateHelper2(H26,I26,J26,K26,$G$5,$G$6,$G$7,$G$8)</f>
        <v>EUR3mDepo5M#0000</v>
      </c>
      <c r="G26" s="15" t="str">
        <f>_xll.ohRangeRetrieveError(F26)</f>
        <v/>
      </c>
      <c r="H26" s="16" t="str">
        <f t="shared" si="4"/>
        <v>EUR3mDepo5M</v>
      </c>
      <c r="I26" s="17">
        <f t="shared" si="1"/>
        <v>-2.6189090630000002E-3</v>
      </c>
      <c r="J26" s="16" t="str">
        <f t="shared" si="3"/>
        <v>5M</v>
      </c>
      <c r="K26" s="43">
        <v>2</v>
      </c>
      <c r="M26" s="25" t="str">
        <f t="shared" si="2"/>
        <v>EUR3mDepo5M#0000</v>
      </c>
      <c r="N26" s="26">
        <v>1</v>
      </c>
      <c r="O26" s="27" t="str">
        <f ca="1"/>
        <v>EUR3mDepo5M</v>
      </c>
      <c r="P26" s="23"/>
      <c r="Q26" s="75">
        <f ca="1"/>
        <v>43861</v>
      </c>
      <c r="R26" s="74">
        <f ca="1"/>
        <v>1.0011356754405958</v>
      </c>
      <c r="S26" s="66">
        <f ca="1"/>
        <v>-2.6521584183245572E-3</v>
      </c>
      <c r="T26" s="63">
        <v>-0.254876319900876</v>
      </c>
      <c r="U26" s="147">
        <f t="shared" ca="1" si="0"/>
        <v>1.0339521931579734E-4</v>
      </c>
      <c r="W26" t="s">
        <v>226</v>
      </c>
      <c r="X26" s="58">
        <f>_xll.qlCalendarAdvance($R$8,$C$3,W26,"following")</f>
        <v>43829</v>
      </c>
      <c r="Y26" s="154">
        <v>1.0011954533673</v>
      </c>
    </row>
    <row r="27" spans="2:25">
      <c r="B27" s="156" t="str">
        <f>'RISK INPUT'!X15</f>
        <v>GEN-EUR-DEPO-6M</v>
      </c>
      <c r="C27" s="152">
        <f>'RISK INPUT'!Y15</f>
        <v>-0.26782273449999999</v>
      </c>
      <c r="D27" t="s">
        <v>228</v>
      </c>
      <c r="E27" t="e">
        <f>_xll.qlQuoteValue($B$13&amp;"_"&amp;B27)</f>
        <v>#NUM!</v>
      </c>
      <c r="F27" s="42" t="str">
        <f>_xll.qlDepositRateHelper2(H27,I27,J27,K27,$G$5,$G$6,$G$7,$G$8)</f>
        <v>EUR3mDepo6M#0000</v>
      </c>
      <c r="G27" s="15" t="str">
        <f>_xll.ohRangeRetrieveError(F27)</f>
        <v/>
      </c>
      <c r="H27" s="16" t="str">
        <f t="shared" si="4"/>
        <v>EUR3mDepo6M</v>
      </c>
      <c r="I27" s="17">
        <f t="shared" si="1"/>
        <v>-2.6537826910000002E-3</v>
      </c>
      <c r="J27" s="16" t="str">
        <f t="shared" si="3"/>
        <v>6M</v>
      </c>
      <c r="K27" s="43">
        <v>2</v>
      </c>
      <c r="M27" s="25" t="str">
        <f t="shared" si="2"/>
        <v>EUR3mDepo6M#0000</v>
      </c>
      <c r="N27" s="26">
        <v>1</v>
      </c>
      <c r="O27" s="27" t="str">
        <f ca="1"/>
        <v>EUR3mDepo6M</v>
      </c>
      <c r="P27" s="23"/>
      <c r="Q27" s="75">
        <f ca="1"/>
        <v>43889</v>
      </c>
      <c r="R27" s="74">
        <f ca="1"/>
        <v>1.0013575479475687</v>
      </c>
      <c r="S27" s="66">
        <f ca="1"/>
        <v>-2.6875178417845591E-3</v>
      </c>
      <c r="T27" s="63">
        <v>-0.256467609051303</v>
      </c>
      <c r="U27" s="147">
        <f t="shared" ca="1" si="0"/>
        <v>1.228417512715292E-4</v>
      </c>
      <c r="W27" t="s">
        <v>227</v>
      </c>
      <c r="X27" s="58">
        <f>_xll.qlCalendarAdvance($R$8,$C$3,W27,"following")</f>
        <v>43860</v>
      </c>
      <c r="Y27" s="154">
        <v>1.0015156656649244</v>
      </c>
    </row>
    <row r="28" spans="2:25">
      <c r="B28" s="156" t="str">
        <f>'RISK INPUT'!X16</f>
        <v>GEN-EUR-DEPO-7M</v>
      </c>
      <c r="C28" s="152">
        <f>'RISK INPUT'!Y16</f>
        <v>-0.26779727660000002</v>
      </c>
      <c r="D28" t="s">
        <v>229</v>
      </c>
      <c r="E28" t="e">
        <f>_xll.qlQuoteValue($B$13&amp;"_"&amp;B28)</f>
        <v>#NUM!</v>
      </c>
      <c r="F28" s="42" t="str">
        <f>_xll.qlDepositRateHelper2(H28,I28,J28,K28,$G$5,$G$6,$G$7,$G$8)</f>
        <v>EUR3mDepo7M#0000</v>
      </c>
      <c r="G28" s="15" t="str">
        <f>_xll.ohRangeRetrieveError(F28)</f>
        <v/>
      </c>
      <c r="H28" s="16" t="str">
        <f t="shared" si="4"/>
        <v>EUR3mDepo7M</v>
      </c>
      <c r="I28" s="17">
        <f t="shared" si="1"/>
        <v>-2.678227345E-3</v>
      </c>
      <c r="J28" s="16" t="str">
        <f t="shared" si="3"/>
        <v>7M</v>
      </c>
      <c r="K28" s="43">
        <v>2</v>
      </c>
      <c r="M28" s="25" t="str">
        <f t="shared" si="2"/>
        <v>EUR3mDepo7M#0000</v>
      </c>
      <c r="N28" s="26">
        <v>1</v>
      </c>
      <c r="O28" s="27" t="str">
        <f ca="1"/>
        <v>EUR3mDepo7M</v>
      </c>
      <c r="P28" s="23"/>
      <c r="Q28" s="75">
        <f ca="1"/>
        <v>43921</v>
      </c>
      <c r="R28" s="74">
        <f ca="1"/>
        <v>1.0016087105573097</v>
      </c>
      <c r="S28" s="66">
        <f ca="1"/>
        <v>-2.7125530583276269E-3</v>
      </c>
      <c r="T28" s="63">
        <v>-0.258889700507692</v>
      </c>
      <c r="U28" s="147">
        <f t="shared" ca="1" si="0"/>
        <v>1.23656053250707E-4</v>
      </c>
      <c r="W28" t="s">
        <v>228</v>
      </c>
      <c r="X28" s="58">
        <f>_xll.qlCalendarAdvance($R$8,$C$3,W28,"following")</f>
        <v>43892</v>
      </c>
      <c r="Y28" s="154">
        <v>1.0018560467168927</v>
      </c>
    </row>
    <row r="29" spans="2:25">
      <c r="B29" s="156" t="str">
        <f>'RISK INPUT'!X17</f>
        <v>GEN-EUR-DEPO-8M</v>
      </c>
      <c r="C29" s="152">
        <f>'RISK INPUT'!Y17</f>
        <v>-0.27176031859999999</v>
      </c>
      <c r="D29" t="s">
        <v>230</v>
      </c>
      <c r="E29" t="e">
        <f>_xll.qlQuoteValue($B$13&amp;"_"&amp;B29)</f>
        <v>#NUM!</v>
      </c>
      <c r="F29" s="42" t="str">
        <f>_xll.qlDepositRateHelper2(H29,I29,J29,K29,$G$5,$G$6,$G$7,$G$8)</f>
        <v>EUR3mDepo8M#0000</v>
      </c>
      <c r="G29" s="15" t="str">
        <f>_xll.ohRangeRetrieveError(F29)</f>
        <v/>
      </c>
      <c r="H29" s="16" t="str">
        <f t="shared" si="4"/>
        <v>EUR3mDepo8M</v>
      </c>
      <c r="I29" s="17">
        <f t="shared" si="1"/>
        <v>-2.6779727660000002E-3</v>
      </c>
      <c r="J29" s="16" t="str">
        <f t="shared" si="3"/>
        <v>8M</v>
      </c>
      <c r="K29" s="43">
        <v>2</v>
      </c>
      <c r="M29" s="25" t="str">
        <f t="shared" si="2"/>
        <v>EUR3mDepo8M#0000</v>
      </c>
      <c r="N29" s="26">
        <v>1</v>
      </c>
      <c r="O29" s="27" t="str">
        <f ca="1"/>
        <v>EUR3mDepo8M</v>
      </c>
      <c r="P29" s="23"/>
      <c r="Q29" s="75">
        <f ca="1"/>
        <v>43951</v>
      </c>
      <c r="R29" s="74">
        <f ca="1"/>
        <v>1.0018324885577081</v>
      </c>
      <c r="S29" s="66">
        <f ca="1"/>
        <v>-2.7127618974750467E-3</v>
      </c>
      <c r="T29" s="63">
        <v>-0.26177349398556199</v>
      </c>
      <c r="U29" s="147">
        <f t="shared" ca="1" si="0"/>
        <v>9.5026957619426689E-5</v>
      </c>
      <c r="W29" t="s">
        <v>229</v>
      </c>
      <c r="X29" s="58">
        <f>_xll.qlCalendarAdvance($R$8,$C$3,W29,"following")</f>
        <v>43920</v>
      </c>
      <c r="Y29" s="154">
        <v>1.0021677802908804</v>
      </c>
    </row>
    <row r="30" spans="2:25">
      <c r="B30" s="156" t="str">
        <f>'RISK INPUT'!X18</f>
        <v>GEN-EUR-DEPO-9M</v>
      </c>
      <c r="C30" s="152">
        <f>'RISK INPUT'!Y18</f>
        <v>-0.2745587122</v>
      </c>
      <c r="D30" t="s">
        <v>231</v>
      </c>
      <c r="E30" t="e">
        <f>_xll.qlQuoteValue($B$13&amp;"_"&amp;B30)</f>
        <v>#NUM!</v>
      </c>
      <c r="F30" s="42" t="str">
        <f>_xll.qlDepositRateHelper2(H30,I30,J30,K30,$G$5,$G$6,$G$7,$G$8)</f>
        <v>EUR3mDepo9M#0000</v>
      </c>
      <c r="G30" s="15" t="str">
        <f>_xll.ohRangeRetrieveError(F30)</f>
        <v/>
      </c>
      <c r="H30" s="16" t="str">
        <f t="shared" si="4"/>
        <v>EUR3mDepo9M</v>
      </c>
      <c r="I30" s="17">
        <f t="shared" si="1"/>
        <v>-2.717603186E-3</v>
      </c>
      <c r="J30" s="16" t="str">
        <f t="shared" si="3"/>
        <v>9M</v>
      </c>
      <c r="K30" s="43">
        <v>2</v>
      </c>
      <c r="M30" s="25" t="str">
        <f t="shared" si="2"/>
        <v>EUR3mDepo9M#0000</v>
      </c>
      <c r="N30" s="26">
        <v>1</v>
      </c>
      <c r="O30" s="27" t="str">
        <f ca="1"/>
        <v>EUR3mDepo9M</v>
      </c>
      <c r="P30" s="23"/>
      <c r="Q30" s="75">
        <f ca="1"/>
        <v>43980</v>
      </c>
      <c r="R30" s="74">
        <f ca="1"/>
        <v>1.0020792260855103</v>
      </c>
      <c r="S30" s="66">
        <f ca="1"/>
        <v>-2.7530384476053271E-3</v>
      </c>
      <c r="T30" s="63">
        <v>-0.26537962017526601</v>
      </c>
      <c r="U30" s="147">
        <f t="shared" ca="1" si="0"/>
        <v>9.9242245852667037E-5</v>
      </c>
      <c r="W30" t="s">
        <v>230</v>
      </c>
      <c r="X30" s="58">
        <f>_xll.qlCalendarAdvance($R$8,$C$3,W30,"following")</f>
        <v>43951</v>
      </c>
      <c r="Y30" s="154">
        <v>1.00249943878633</v>
      </c>
    </row>
    <row r="31" spans="2:25">
      <c r="B31" s="156" t="str">
        <f>'RISK INPUT'!X19</f>
        <v>GEN-EUR-DEPO-10M</v>
      </c>
      <c r="C31" s="152">
        <f>'RISK INPUT'!Y19</f>
        <v>-0.27698425059999998</v>
      </c>
      <c r="D31" t="s">
        <v>232</v>
      </c>
      <c r="E31" t="e">
        <f>_xll.qlQuoteValue($B$13&amp;"_"&amp;B31)</f>
        <v>#NUM!</v>
      </c>
      <c r="F31" s="42" t="str">
        <f>_xll.qlDepositRateHelper2(H31,I31,J31,K31,$G$5,$G$6,$G$7,$G$8)</f>
        <v>EUR3mDepo10M#0000</v>
      </c>
      <c r="G31" s="15" t="str">
        <f>_xll.ohRangeRetrieveError(F31)</f>
        <v/>
      </c>
      <c r="H31" s="16" t="str">
        <f t="shared" si="4"/>
        <v>EUR3mDepo10M</v>
      </c>
      <c r="I31" s="17">
        <f t="shared" si="1"/>
        <v>-2.7455871219999998E-3</v>
      </c>
      <c r="J31" s="16" t="str">
        <f t="shared" si="3"/>
        <v>10M</v>
      </c>
      <c r="K31" s="43">
        <v>2</v>
      </c>
      <c r="M31" s="25" t="str">
        <f t="shared" si="2"/>
        <v>EUR3mDepo10M#0000</v>
      </c>
      <c r="N31" s="26">
        <v>1</v>
      </c>
      <c r="O31" s="27" t="str">
        <f ca="1"/>
        <v>EUR3mDepo10M</v>
      </c>
      <c r="P31" s="23"/>
      <c r="Q31" s="75">
        <f ca="1"/>
        <v>44012</v>
      </c>
      <c r="R31" s="74">
        <f ca="1"/>
        <v>1.0023456707718068</v>
      </c>
      <c r="S31" s="66">
        <f ca="1"/>
        <v>-2.7816850090727208E-3</v>
      </c>
      <c r="T31" s="63">
        <v>-0.26895285179957501</v>
      </c>
      <c r="U31" s="147">
        <f t="shared" ca="1" si="0"/>
        <v>9.2156491076970676E-5</v>
      </c>
      <c r="W31" t="s">
        <v>231</v>
      </c>
      <c r="X31" s="58">
        <f>_xll.qlCalendarAdvance($R$8,$C$3,W31,"following")</f>
        <v>43983</v>
      </c>
      <c r="Y31" s="154">
        <v>1.002862576669747</v>
      </c>
    </row>
    <row r="32" spans="2:25">
      <c r="B32" s="156" t="str">
        <f>'RISK INPUT'!X20</f>
        <v>GEN-EUR-DEPO-11M</v>
      </c>
      <c r="C32" s="152">
        <f>'RISK INPUT'!Y20</f>
        <v>-0.2788181515</v>
      </c>
      <c r="D32" t="s">
        <v>233</v>
      </c>
      <c r="E32" t="e">
        <f>_xll.qlQuoteValue($B$13&amp;"_"&amp;B32)</f>
        <v>#NUM!</v>
      </c>
      <c r="F32" s="42" t="str">
        <f>_xll.qlDepositRateHelper2(H32,I32,J32,K32,$G$5,$G$6,$G$7,$G$8)</f>
        <v>EUR3mDepo11M#0000</v>
      </c>
      <c r="G32" s="15" t="str">
        <f>_xll.ohRangeRetrieveError(F32)</f>
        <v/>
      </c>
      <c r="H32" s="16" t="str">
        <f t="shared" si="4"/>
        <v>EUR3mDepo11M</v>
      </c>
      <c r="I32" s="17">
        <f t="shared" si="1"/>
        <v>-2.7698425059999999E-3</v>
      </c>
      <c r="J32" s="16" t="str">
        <f t="shared" si="3"/>
        <v>11M</v>
      </c>
      <c r="K32" s="43">
        <v>2</v>
      </c>
      <c r="M32" s="25" t="str">
        <f t="shared" si="2"/>
        <v>EUR3mDepo11M#0000</v>
      </c>
      <c r="N32" s="26">
        <v>1</v>
      </c>
      <c r="O32" s="27" t="str">
        <f ca="1"/>
        <v>EUR3mDepo11M</v>
      </c>
      <c r="P32" s="23"/>
      <c r="Q32" s="75">
        <f ca="1"/>
        <v>44043</v>
      </c>
      <c r="R32" s="74">
        <f ca="1"/>
        <v>1.0026060154059824</v>
      </c>
      <c r="S32" s="66">
        <f ca="1"/>
        <v>-2.8065818481411986E-3</v>
      </c>
      <c r="T32" s="63">
        <v>-0.27181002263477699</v>
      </c>
      <c r="U32" s="147">
        <f t="shared" ca="1" si="0"/>
        <v>8.8481621793428875E-5</v>
      </c>
      <c r="W32" t="s">
        <v>232</v>
      </c>
      <c r="X32" s="58">
        <f>_xll.qlCalendarAdvance($R$8,$C$3,W32,"following")</f>
        <v>44012</v>
      </c>
      <c r="Y32" s="154">
        <v>1.0032006079423585</v>
      </c>
    </row>
    <row r="33" spans="2:25">
      <c r="B33" s="156" t="str">
        <f>'RISK INPUT'!X21</f>
        <v>GEN-EUR-DEPO-1Y</v>
      </c>
      <c r="C33" s="153">
        <f>'RISK INPUT'!Y21</f>
        <v>-0.28048217469999998</v>
      </c>
      <c r="D33" t="s">
        <v>234</v>
      </c>
      <c r="E33" t="e">
        <f>_xll.qlQuoteValue($B$13&amp;"_"&amp;B33)</f>
        <v>#NUM!</v>
      </c>
      <c r="F33" s="45" t="str">
        <f>_xll.qlDepositRateHelper2(H33,I33,J33,K33,$G$5,$G$6,$G$7,$G$8)</f>
        <v>EUR3mDepo1Y#0000</v>
      </c>
      <c r="G33" s="46" t="str">
        <f>_xll.ohRangeRetrieveError(F33)</f>
        <v/>
      </c>
      <c r="H33" s="47" t="str">
        <f t="shared" si="4"/>
        <v>EUR3mDepo1Y</v>
      </c>
      <c r="I33" s="48">
        <f t="shared" si="1"/>
        <v>-2.7881815149999999E-3</v>
      </c>
      <c r="J33" s="47" t="str">
        <f t="shared" si="3"/>
        <v>1Y</v>
      </c>
      <c r="K33" s="51">
        <v>2</v>
      </c>
      <c r="M33" s="25" t="str">
        <f t="shared" si="2"/>
        <v>EUR3mDepo1Y#0000</v>
      </c>
      <c r="N33" s="26">
        <v>1</v>
      </c>
      <c r="O33" s="27" t="str">
        <f ca="1"/>
        <v>EUR3mDepo1Y</v>
      </c>
      <c r="P33" s="23"/>
      <c r="Q33" s="75">
        <f ca="1"/>
        <v>44071</v>
      </c>
      <c r="R33" s="74">
        <f ca="1"/>
        <v>1.0028412633208581</v>
      </c>
      <c r="S33" s="66">
        <f ca="1"/>
        <v>-2.8254833416300196E-3</v>
      </c>
      <c r="T33" s="63">
        <v>-0.27448240429524001</v>
      </c>
      <c r="U33" s="147">
        <f t="shared" ca="1" si="0"/>
        <v>8.0659298677619382E-5</v>
      </c>
      <c r="W33" t="s">
        <v>233</v>
      </c>
      <c r="X33" s="58">
        <f>_xll.qlCalendarAdvance($R$8,$C$3,W33,"following")</f>
        <v>44042</v>
      </c>
      <c r="Y33" s="154">
        <v>1.0035376704710044</v>
      </c>
    </row>
    <row r="34" spans="2:25">
      <c r="B34" s="156" t="str">
        <f>'RISK INPUT'!X22</f>
        <v>GEN-EUR-SWAP-3M-13M</v>
      </c>
      <c r="C34" s="152">
        <f>'RISK INPUT'!Y22</f>
        <v>-0.28623894770000002</v>
      </c>
      <c r="D34" t="s">
        <v>235</v>
      </c>
      <c r="E34" t="e">
        <f>_xll.qlQuoteValue($B$13&amp;"_"&amp;B34)</f>
        <v>#NUM!</v>
      </c>
      <c r="F34" s="42" t="str">
        <f ca="1">_xll.qlSwapRateHelper2(H34,I34,,J34,$J$5,$J$6,$J$7,$J$8,$J$9,$J$10,$J$11,$J$12)</f>
        <v>EUR3mSwap13M#0000</v>
      </c>
      <c r="G34" s="15" t="str">
        <f ca="1">_xll.ohRangeRetrieveError(F34)</f>
        <v/>
      </c>
      <c r="H34" s="16" t="str">
        <f t="shared" ref="H34:H55" si="5">$C$7&amp;"Swap"&amp;J34</f>
        <v>EUR3mSwap13M</v>
      </c>
      <c r="I34" s="17">
        <f t="shared" ref="I34:I55" si="6">C34/100</f>
        <v>-2.8623894770000002E-3</v>
      </c>
      <c r="J34" s="19" t="str">
        <f t="shared" si="3"/>
        <v>13M</v>
      </c>
      <c r="K34" s="44"/>
      <c r="M34" s="25" t="str">
        <f t="shared" ca="1" si="2"/>
        <v>EUR3mSwap13M#0000</v>
      </c>
      <c r="N34" s="26">
        <v>1</v>
      </c>
      <c r="O34" s="27" t="str">
        <f ca="1"/>
        <v>EUR3mSwap13M</v>
      </c>
      <c r="P34" s="23"/>
      <c r="Q34" s="75">
        <f ca="1"/>
        <v>44104</v>
      </c>
      <c r="R34" s="74">
        <f ca="1"/>
        <v>1.0031240115763045</v>
      </c>
      <c r="S34" s="66">
        <f ca="1"/>
        <v>-2.8492835078108847E-3</v>
      </c>
      <c r="T34" s="63">
        <v>-0.27684700792615102</v>
      </c>
      <c r="U34" s="147">
        <f t="shared" ca="1" si="0"/>
        <v>8.0813428549374264E-5</v>
      </c>
      <c r="W34" t="s">
        <v>234</v>
      </c>
      <c r="X34" s="58">
        <f>_xll.qlCalendarAdvance($R$8,$C$3,W34,"following")</f>
        <v>44074</v>
      </c>
      <c r="Y34" s="154">
        <v>1.0039328526343667</v>
      </c>
    </row>
    <row r="35" spans="2:25">
      <c r="B35" s="156" t="str">
        <f>'RISK INPUT'!X23</f>
        <v>GEN-EUR-SWAP-3M-14M</v>
      </c>
      <c r="C35" s="152">
        <f>'RISK INPUT'!Y23</f>
        <v>-0.28790481130000001</v>
      </c>
      <c r="D35" t="s">
        <v>236</v>
      </c>
      <c r="E35" t="e">
        <f>_xll.qlQuoteValue($B$13&amp;"_"&amp;B35)</f>
        <v>#NUM!</v>
      </c>
      <c r="F35" s="42" t="str">
        <f ca="1">_xll.qlSwapRateHelper2(H35,I35,,J35,$J$5,$J$6,$J$7,$J$8,$J$9,$J$10,$J$11,$J$12)</f>
        <v>EUR3mSwap14M#0000</v>
      </c>
      <c r="G35" s="15" t="str">
        <f ca="1">_xll.ohRangeRetrieveError(F35)</f>
        <v/>
      </c>
      <c r="H35" s="16" t="str">
        <f t="shared" si="5"/>
        <v>EUR3mSwap14M</v>
      </c>
      <c r="I35" s="17">
        <f t="shared" si="6"/>
        <v>-2.8790481129999999E-3</v>
      </c>
      <c r="J35" s="19" t="str">
        <f t="shared" si="3"/>
        <v>14M</v>
      </c>
      <c r="K35" s="44"/>
      <c r="M35" s="25" t="str">
        <f t="shared" ca="1" si="2"/>
        <v>EUR3mSwap14M#0000</v>
      </c>
      <c r="N35" s="26">
        <v>1</v>
      </c>
      <c r="O35" s="27" t="str">
        <f ca="1"/>
        <v>EUR3mSwap14M</v>
      </c>
      <c r="P35" s="23"/>
      <c r="Q35" s="75">
        <f ca="1"/>
        <v>44134</v>
      </c>
      <c r="R35" s="74">
        <f ca="1"/>
        <v>1.0033829336374578</v>
      </c>
      <c r="S35" s="66">
        <f ca="1"/>
        <v>-2.8692717913775256E-3</v>
      </c>
      <c r="T35" s="63">
        <v>-0.27879470687931501</v>
      </c>
      <c r="U35" s="147">
        <f t="shared" ca="1" si="0"/>
        <v>8.1324722584375387E-5</v>
      </c>
      <c r="W35" t="s">
        <v>237</v>
      </c>
      <c r="X35" s="58">
        <f>_xll.qlCalendarAdvance($R$8,$C$3,W35,"following")</f>
        <v>44165</v>
      </c>
      <c r="Y35" s="154">
        <v>1.0049882720852412</v>
      </c>
    </row>
    <row r="36" spans="2:25">
      <c r="B36" s="156" t="str">
        <f>'RISK INPUT'!X24</f>
        <v>GEN-EUR-SWAP-3M-15M</v>
      </c>
      <c r="C36" s="152">
        <f>'RISK INPUT'!Y24</f>
        <v>-0.28935717830000002</v>
      </c>
      <c r="D36" t="s">
        <v>237</v>
      </c>
      <c r="E36" t="e">
        <f>_xll.qlQuoteValue($B$13&amp;"_"&amp;B36)</f>
        <v>#NUM!</v>
      </c>
      <c r="F36" s="42" t="str">
        <f ca="1">_xll.qlSwapRateHelper2(H36,I36,,J36,$J$5,$J$6,$J$7,$J$8,$J$9,$J$10,$J$11,$J$12)</f>
        <v>EUR3mSwap15M#0000</v>
      </c>
      <c r="G36" s="15" t="str">
        <f ca="1">_xll.ohRangeRetrieveError(F36)</f>
        <v/>
      </c>
      <c r="H36" s="16" t="str">
        <f t="shared" si="5"/>
        <v>EUR3mSwap15M</v>
      </c>
      <c r="I36" s="17">
        <f t="shared" si="6"/>
        <v>-2.8935717830000001E-3</v>
      </c>
      <c r="J36" s="19" t="str">
        <f t="shared" si="3"/>
        <v>15M</v>
      </c>
      <c r="K36" s="44"/>
      <c r="M36" s="25" t="str">
        <f t="shared" ca="1" si="2"/>
        <v>EUR3mSwap15M#0000</v>
      </c>
      <c r="N36" s="26">
        <v>1</v>
      </c>
      <c r="O36" s="27" t="str">
        <f ca="1"/>
        <v>EUR3mSwap15M</v>
      </c>
      <c r="P36" s="23"/>
      <c r="Q36" s="75">
        <f ca="1"/>
        <v>44165</v>
      </c>
      <c r="R36" s="74">
        <f ca="1"/>
        <v>1.0036421032156047</v>
      </c>
      <c r="S36" s="66">
        <f ca="1"/>
        <v>-2.8805230668897952E-3</v>
      </c>
      <c r="T36" s="63">
        <v>-0.28060871966937301</v>
      </c>
      <c r="U36" s="147">
        <f t="shared" ca="1" si="0"/>
        <v>7.4435870196065245E-5</v>
      </c>
      <c r="W36" t="s">
        <v>238</v>
      </c>
      <c r="X36" s="58">
        <f>_xll.qlCalendarAdvance($R$8,$C$3,W36,"following")</f>
        <v>44256</v>
      </c>
      <c r="Y36" s="154">
        <v>1.0060396653790702</v>
      </c>
    </row>
    <row r="37" spans="2:25">
      <c r="B37" s="156" t="str">
        <f>'RISK INPUT'!X25</f>
        <v>GEN-EUR-SWAP-3M-18M</v>
      </c>
      <c r="C37" s="152">
        <f>'RISK INPUT'!Y25</f>
        <v>-0.292640234</v>
      </c>
      <c r="D37" t="s">
        <v>238</v>
      </c>
      <c r="E37" t="e">
        <f>_xll.qlQuoteValue($B$13&amp;"_"&amp;B37)</f>
        <v>#NUM!</v>
      </c>
      <c r="F37" s="42" t="str">
        <f ca="1">_xll.qlSwapRateHelper2(H37,I37,,J37,$J$5,$J$6,$J$7,$J$8,$J$9,$J$10,$J$11,$J$12)</f>
        <v>EUR3mSwap18M#0000</v>
      </c>
      <c r="G37" s="15" t="str">
        <f ca="1">_xll.ohRangeRetrieveError(F37)</f>
        <v/>
      </c>
      <c r="H37" s="16" t="str">
        <f t="shared" si="5"/>
        <v>EUR3mSwap18M</v>
      </c>
      <c r="I37" s="17">
        <f t="shared" si="6"/>
        <v>-2.9264023400000002E-3</v>
      </c>
      <c r="J37" s="19" t="str">
        <f t="shared" si="3"/>
        <v>18M</v>
      </c>
      <c r="K37" s="44"/>
      <c r="M37" s="25" t="str">
        <f t="shared" ca="1" si="2"/>
        <v>EUR3mSwap18M#0000</v>
      </c>
      <c r="N37" s="26">
        <v>1</v>
      </c>
      <c r="O37" s="27" t="str">
        <f ca="1"/>
        <v>EUR3mSwap18M</v>
      </c>
      <c r="P37" s="23"/>
      <c r="Q37" s="75">
        <f ca="1"/>
        <v>44253</v>
      </c>
      <c r="R37" s="74">
        <f ca="1"/>
        <v>1.0043859078809949</v>
      </c>
      <c r="S37" s="66">
        <f ca="1"/>
        <v>-2.9106390705437857E-3</v>
      </c>
      <c r="T37" s="63">
        <v>-0.28434918896641498</v>
      </c>
      <c r="U37" s="147">
        <f t="shared" ca="1" si="0"/>
        <v>6.7147180879635962E-5</v>
      </c>
      <c r="W37" t="s">
        <v>239</v>
      </c>
      <c r="X37" s="58">
        <f>_xll.qlCalendarAdvance($R$8,$C$3,W37,"following")</f>
        <v>44347</v>
      </c>
      <c r="Y37" s="154">
        <v>1.0070778266335871</v>
      </c>
    </row>
    <row r="38" spans="2:25">
      <c r="B38" s="156" t="str">
        <f>'RISK INPUT'!X26</f>
        <v>GEN-EUR-SWAP-3M-21M</v>
      </c>
      <c r="C38" s="152">
        <f>'RISK INPUT'!Y26</f>
        <v>-0.29411493900000002</v>
      </c>
      <c r="D38" t="s">
        <v>239</v>
      </c>
      <c r="E38" t="e">
        <f>_xll.qlQuoteValue($B$13&amp;"_"&amp;B38)</f>
        <v>#NUM!</v>
      </c>
      <c r="F38" s="42" t="str">
        <f ca="1">_xll.qlSwapRateHelper2(H38,I38,,J38,$J$5,$J$6,$J$7,$J$8,$J$9,$J$10,$J$11,$J$12)</f>
        <v>EUR3mSwap21M#0000</v>
      </c>
      <c r="G38" s="15" t="str">
        <f ca="1">_xll.ohRangeRetrieveError(F38)</f>
        <v/>
      </c>
      <c r="H38" s="16" t="str">
        <f t="shared" si="5"/>
        <v>EUR3mSwap21M</v>
      </c>
      <c r="I38" s="17">
        <f t="shared" si="6"/>
        <v>-2.9411493900000003E-3</v>
      </c>
      <c r="J38" s="19" t="str">
        <f t="shared" si="3"/>
        <v>21M</v>
      </c>
      <c r="K38" s="44"/>
      <c r="M38" s="25" t="str">
        <f t="shared" ca="1" si="2"/>
        <v>EUR3mSwap21M#0000</v>
      </c>
      <c r="N38" s="26">
        <v>1</v>
      </c>
      <c r="O38" s="27" t="str">
        <f ca="1"/>
        <v>EUR3mSwap21M</v>
      </c>
      <c r="P38" s="23"/>
      <c r="Q38" s="75">
        <f ca="1"/>
        <v>44347</v>
      </c>
      <c r="R38" s="74">
        <f ca="1"/>
        <v>1.005189189794756</v>
      </c>
      <c r="S38" s="66">
        <f ca="1"/>
        <v>-2.9382867646888799E-3</v>
      </c>
      <c r="T38" s="63">
        <v>-0.28566985532301198</v>
      </c>
      <c r="U38" s="147">
        <f t="shared" ca="1" si="0"/>
        <v>8.1588211458760284E-5</v>
      </c>
      <c r="W38" t="s">
        <v>240</v>
      </c>
      <c r="X38" s="58">
        <f>_xll.qlCalendarAdvance($R$8,$C$3,W38,"following")</f>
        <v>44438</v>
      </c>
      <c r="Y38" s="154">
        <v>1.0080874522111143</v>
      </c>
    </row>
    <row r="39" spans="2:25">
      <c r="B39" s="156" t="str">
        <f>'RISK INPUT'!X27</f>
        <v>GEN-EUR-SWAP-3M-2Y</v>
      </c>
      <c r="C39" s="152">
        <f>'RISK INPUT'!Y27</f>
        <v>-0.2948124775</v>
      </c>
      <c r="D39" t="s">
        <v>240</v>
      </c>
      <c r="E39" t="e">
        <f>_xll.qlQuoteValue($B$13&amp;"_"&amp;B39)</f>
        <v>#NUM!</v>
      </c>
      <c r="F39" s="42" t="str">
        <f ca="1">_xll.qlSwapRateHelper2(H39,I39,,J39,$J$5,$J$6,$J$7,$J$8,$J$9,$J$10,$J$11,$J$12)</f>
        <v>EUR3mSwap2Y#0000</v>
      </c>
      <c r="G39" s="15" t="str">
        <f ca="1">_xll.ohRangeRetrieveError(F39)</f>
        <v/>
      </c>
      <c r="H39" s="16" t="str">
        <f t="shared" si="5"/>
        <v>EUR3mSwap2Y</v>
      </c>
      <c r="I39" s="17">
        <f t="shared" si="6"/>
        <v>-2.9481247749999998E-3</v>
      </c>
      <c r="J39" s="19" t="str">
        <f t="shared" si="3"/>
        <v>2Y</v>
      </c>
      <c r="K39" s="44"/>
      <c r="M39" s="25" t="str">
        <f t="shared" ca="1" si="2"/>
        <v>EUR3mSwap2Y#0000</v>
      </c>
      <c r="N39" s="26">
        <v>3</v>
      </c>
      <c r="O39" s="27" t="str">
        <f ca="1"/>
        <v>EUR3mSwap2Y</v>
      </c>
      <c r="P39" s="23"/>
      <c r="Q39" s="75">
        <f ca="1"/>
        <v>44438</v>
      </c>
      <c r="R39" s="74">
        <f ca="1"/>
        <v>1.0059362946878818</v>
      </c>
      <c r="S39" s="66">
        <f ca="1"/>
        <v>-2.9429212208468281E-3</v>
      </c>
      <c r="T39" s="63">
        <v>-0.28549126469768998</v>
      </c>
      <c r="U39" s="147">
        <f t="shared" ca="1" si="0"/>
        <v>8.8008573869928237E-5</v>
      </c>
      <c r="W39" t="s">
        <v>211</v>
      </c>
      <c r="X39" s="58">
        <f>_xll.qlCalendarAdvance($R$8,$C$3,W39,"following")</f>
        <v>44803</v>
      </c>
      <c r="Y39" s="154">
        <v>1.0112988305172075</v>
      </c>
    </row>
    <row r="40" spans="2:25">
      <c r="B40" s="156" t="str">
        <f>'RISK INPUT'!X28</f>
        <v>GEN-EUR-SWAP-3M-27M</v>
      </c>
      <c r="C40" s="152">
        <f>'RISK INPUT'!Y28</f>
        <v>-0.47463828299999999</v>
      </c>
      <c r="D40" t="s">
        <v>241</v>
      </c>
      <c r="E40" t="e">
        <f>_xll.qlQuoteValue($B$13&amp;"_"&amp;B40)</f>
        <v>#NUM!</v>
      </c>
      <c r="F40" s="42" t="str">
        <f ca="1">_xll.qlSwapRateHelper2(H40,I40,,J40,$J$5,$J$6,$J$7,$J$8,$J$9,$J$10,$J$11,$J$12)</f>
        <v>EUR3mSwap27M#0000</v>
      </c>
      <c r="G40" s="15" t="str">
        <f ca="1">_xll.ohRangeRetrieveError(F40)</f>
        <v/>
      </c>
      <c r="H40" s="16" t="str">
        <f t="shared" si="5"/>
        <v>EUR3mSwap27M</v>
      </c>
      <c r="I40" s="17">
        <f t="shared" si="6"/>
        <v>-4.7463828299999997E-3</v>
      </c>
      <c r="J40" s="19" t="str">
        <f t="shared" si="3"/>
        <v>27M</v>
      </c>
      <c r="K40" s="44"/>
      <c r="M40" s="25" t="str">
        <f t="shared" ca="1" si="2"/>
        <v>EUR3mSwap27M#0000</v>
      </c>
      <c r="N40" s="26">
        <v>3</v>
      </c>
      <c r="O40" s="27" t="str">
        <f ca="1"/>
        <v>EUR3mSwap27M</v>
      </c>
      <c r="P40" s="23"/>
      <c r="Q40" s="75">
        <f ca="1"/>
        <v>44530</v>
      </c>
      <c r="R40" s="74">
        <f ca="1"/>
        <v>1.0107626568069734</v>
      </c>
      <c r="S40" s="66">
        <f ca="1"/>
        <v>-4.7250204130899753E-3</v>
      </c>
      <c r="T40" s="63">
        <v>-0.28211223948750902</v>
      </c>
      <c r="U40" s="147">
        <f t="shared" ca="1" si="0"/>
        <v>1.9038980182148851E-3</v>
      </c>
      <c r="W40" t="s">
        <v>212</v>
      </c>
      <c r="X40" s="58">
        <f>_xll.qlCalendarAdvance($R$8,$C$3,W40,"following")</f>
        <v>45168</v>
      </c>
      <c r="Y40" s="154">
        <v>1.0124051295184526</v>
      </c>
    </row>
    <row r="41" spans="2:25">
      <c r="B41" s="156" t="str">
        <f>'RISK INPUT'!X29</f>
        <v>GEN-EUR-SWAP-3M-3Y</v>
      </c>
      <c r="C41" s="152">
        <f>'RISK INPUT'!Y29</f>
        <v>-0.41299999999999998</v>
      </c>
      <c r="D41" t="s">
        <v>211</v>
      </c>
      <c r="E41" t="e">
        <f>_xll.qlQuoteValue($B$13&amp;"_"&amp;B41)</f>
        <v>#NUM!</v>
      </c>
      <c r="F41" s="42" t="str">
        <f ca="1">_xll.qlSwapRateHelper2(H41,I41,,J41,$J$5,$J$6,$J$7,$J$8,$J$9,$J$10,$J$11,$J$12)</f>
        <v>EUR3mSwap3Y#0000</v>
      </c>
      <c r="G41" s="15" t="str">
        <f ca="1">_xll.ohRangeRetrieveError(F41)</f>
        <v/>
      </c>
      <c r="H41" s="16" t="str">
        <f t="shared" si="5"/>
        <v>EUR3mSwap3Y</v>
      </c>
      <c r="I41" s="17">
        <f t="shared" si="6"/>
        <v>-4.13E-3</v>
      </c>
      <c r="J41" s="19" t="str">
        <f t="shared" si="3"/>
        <v>3Y</v>
      </c>
      <c r="K41" s="44"/>
      <c r="M41" s="25" t="str">
        <f t="shared" ca="1" si="2"/>
        <v>EUR3mSwap3Y#0000</v>
      </c>
      <c r="N41" s="26">
        <v>3</v>
      </c>
      <c r="O41" s="27" t="str">
        <f ca="1"/>
        <v>EUR3mSwap3Y</v>
      </c>
      <c r="P41" s="23"/>
      <c r="Q41" s="75">
        <f ca="1"/>
        <v>44803</v>
      </c>
      <c r="R41" s="74">
        <f ca="1"/>
        <v>1.0124920416236194</v>
      </c>
      <c r="S41" s="66">
        <f ca="1"/>
        <v>-4.1184093313479941E-3</v>
      </c>
      <c r="T41" s="63">
        <v>-0.25008723266300997</v>
      </c>
      <c r="U41" s="147">
        <f t="shared" ca="1" si="0"/>
        <v>1.6175370047178945E-3</v>
      </c>
      <c r="W41" t="s">
        <v>213</v>
      </c>
      <c r="X41" s="58">
        <f>_xll.qlCalendarAdvance($R$8,$C$3,W41,"following")</f>
        <v>45534</v>
      </c>
      <c r="Y41" s="154">
        <v>1.0108407799779779</v>
      </c>
    </row>
    <row r="42" spans="2:25">
      <c r="B42" s="156" t="str">
        <f>'RISK INPUT'!X30</f>
        <v>GEN-EUR-SWAP-3M-4Y</v>
      </c>
      <c r="C42" s="152">
        <f>'RISK INPUT'!Y30</f>
        <v>-0.29499999999999998</v>
      </c>
      <c r="D42" t="s">
        <v>212</v>
      </c>
      <c r="E42" t="e">
        <f>_xll.qlQuoteValue($B$13&amp;"_"&amp;B42)</f>
        <v>#NUM!</v>
      </c>
      <c r="F42" s="42" t="str">
        <f ca="1">_xll.qlSwapRateHelper2(H42,I42,,J42,$J$5,$J$6,$J$7,$J$8,$J$9,$J$10,$J$11,$J$12)</f>
        <v>EUR3mSwap4Y#0000</v>
      </c>
      <c r="G42" s="15" t="str">
        <f ca="1">_xll.ohRangeRetrieveError(F42)</f>
        <v/>
      </c>
      <c r="H42" s="16" t="str">
        <f t="shared" si="5"/>
        <v>EUR3mSwap4Y</v>
      </c>
      <c r="I42" s="17">
        <f t="shared" si="6"/>
        <v>-2.9499999999999999E-3</v>
      </c>
      <c r="J42" s="19" t="str">
        <f t="shared" si="3"/>
        <v>4Y</v>
      </c>
      <c r="K42" s="44"/>
      <c r="M42" s="25" t="str">
        <f t="shared" ca="1" si="2"/>
        <v>EUR3mSwap4Y#0000</v>
      </c>
      <c r="N42" s="26">
        <v>3</v>
      </c>
      <c r="O42" s="27" t="str">
        <f ca="1"/>
        <v>EUR3mSwap4Y</v>
      </c>
      <c r="P42" s="23"/>
      <c r="Q42" s="75">
        <f ca="1"/>
        <v>45168</v>
      </c>
      <c r="R42" s="74">
        <f ca="1"/>
        <v>1.0119120537272588</v>
      </c>
      <c r="S42" s="66">
        <f ca="1"/>
        <v>-2.949985558020618E-3</v>
      </c>
      <c r="T42" s="63">
        <v>-0.18170271024960899</v>
      </c>
      <c r="U42" s="147">
        <f t="shared" ca="1" si="0"/>
        <v>1.1329584555245281E-3</v>
      </c>
      <c r="W42" t="s">
        <v>214</v>
      </c>
      <c r="X42" s="58">
        <f>_xll.qlCalendarAdvance($R$8,$C$3,W42,"following")</f>
        <v>45901</v>
      </c>
      <c r="Y42" s="154">
        <v>1.005793414685257</v>
      </c>
    </row>
    <row r="43" spans="2:25">
      <c r="B43" s="156" t="str">
        <f>'RISK INPUT'!X31</f>
        <v>GEN-EUR-SWAP-3M-5Y</v>
      </c>
      <c r="C43" s="152">
        <f>'RISK INPUT'!Y31</f>
        <v>-0.158</v>
      </c>
      <c r="D43" t="s">
        <v>213</v>
      </c>
      <c r="E43" t="e">
        <f>_xll.qlQuoteValue($B$13&amp;"_"&amp;B43)</f>
        <v>#NUM!</v>
      </c>
      <c r="F43" s="42" t="str">
        <f ca="1">_xll.qlSwapRateHelper2(H43,I43,,J43,$J$5,$J$6,$J$7,$J$8,$J$9,$J$10,$J$11,$J$12)</f>
        <v>EUR3mSwap5Y#0000</v>
      </c>
      <c r="G43" s="15" t="str">
        <f ca="1">_xll.ohRangeRetrieveError(F43)</f>
        <v/>
      </c>
      <c r="H43" s="16" t="str">
        <f t="shared" si="5"/>
        <v>EUR3mSwap5Y</v>
      </c>
      <c r="I43" s="17">
        <f t="shared" si="6"/>
        <v>-1.58E-3</v>
      </c>
      <c r="J43" s="19" t="str">
        <f t="shared" si="3"/>
        <v>5Y</v>
      </c>
      <c r="K43" s="44"/>
      <c r="M43" s="25" t="str">
        <f t="shared" ca="1" si="2"/>
        <v>EUR3mSwap5Y#0000</v>
      </c>
      <c r="N43" s="26">
        <v>3</v>
      </c>
      <c r="O43" s="27" t="str">
        <f ca="1"/>
        <v>EUR3mSwap5Y</v>
      </c>
      <c r="P43" s="23"/>
      <c r="Q43" s="75">
        <f ca="1"/>
        <v>45534</v>
      </c>
      <c r="R43" s="74">
        <f ca="1"/>
        <v>1.0079791667350999</v>
      </c>
      <c r="S43" s="66">
        <f ca="1"/>
        <v>-1.5847670141084791E-3</v>
      </c>
      <c r="T43" s="63">
        <v>-8.8885435639596305E-2</v>
      </c>
      <c r="U43" s="147">
        <f t="shared" ca="1" si="0"/>
        <v>6.9591265771251599E-4</v>
      </c>
      <c r="W43" t="s">
        <v>215</v>
      </c>
      <c r="X43" s="58">
        <f>_xll.qlCalendarAdvance($R$8,$C$3,W43,"following")</f>
        <v>46265</v>
      </c>
      <c r="Y43" s="154">
        <v>0.99731365145068795</v>
      </c>
    </row>
    <row r="44" spans="2:25">
      <c r="B44" s="156" t="str">
        <f>'RISK INPUT'!X32</f>
        <v>GEN-EUR-SWAP-3M-6Y</v>
      </c>
      <c r="C44" s="152">
        <f>'RISK INPUT'!Y32</f>
        <v>-1.4500000000000001E-2</v>
      </c>
      <c r="D44" t="s">
        <v>214</v>
      </c>
      <c r="E44" t="e">
        <f>_xll.qlQuoteValue($B$13&amp;"_"&amp;B44)</f>
        <v>#NUM!</v>
      </c>
      <c r="F44" s="42" t="str">
        <f ca="1">_xll.qlSwapRateHelper2(H44,I44,,J44,$J$5,$J$6,$J$7,$J$8,$J$9,$J$10,$J$11,$J$12)</f>
        <v>EUR3mSwap6Y#0000</v>
      </c>
      <c r="G44" s="15" t="str">
        <f ca="1">_xll.ohRangeRetrieveError(F44)</f>
        <v/>
      </c>
      <c r="H44" s="16" t="str">
        <f t="shared" si="5"/>
        <v>EUR3mSwap6Y</v>
      </c>
      <c r="I44" s="17">
        <f t="shared" si="6"/>
        <v>-1.45E-4</v>
      </c>
      <c r="J44" s="19" t="str">
        <f t="shared" si="3"/>
        <v>6Y</v>
      </c>
      <c r="K44" s="44"/>
      <c r="M44" s="25" t="str">
        <f t="shared" ca="1" si="2"/>
        <v>EUR3mSwap6Y#0000</v>
      </c>
      <c r="N44" s="26">
        <v>3</v>
      </c>
      <c r="O44" s="27" t="str">
        <f ca="1"/>
        <v>EUR3mSwap6Y</v>
      </c>
      <c r="P44" s="23"/>
      <c r="Q44" s="75">
        <f ca="1"/>
        <v>45898</v>
      </c>
      <c r="R44" s="74">
        <f ca="1"/>
        <v>1.000889789960574</v>
      </c>
      <c r="S44" s="66">
        <f ca="1"/>
        <v>-1.4801865256497404E-4</v>
      </c>
      <c r="T44" s="63">
        <v>2.5369295858013199E-2</v>
      </c>
      <c r="U44" s="147">
        <f t="shared" ca="1" si="0"/>
        <v>4.01711611145106E-4</v>
      </c>
      <c r="W44" t="s">
        <v>216</v>
      </c>
      <c r="X44" s="58">
        <f>_xll.qlCalendarAdvance($R$8,$C$3,W44,"following")</f>
        <v>46629</v>
      </c>
      <c r="Y44" s="154">
        <v>0.98626590848397799</v>
      </c>
    </row>
    <row r="45" spans="2:25">
      <c r="B45" s="156" t="str">
        <f>'RISK INPUT'!X33</f>
        <v>GEN-EUR-SWAP-3M-7Y</v>
      </c>
      <c r="C45" s="152">
        <f>'RISK INPUT'!Y33</f>
        <v>0.1305</v>
      </c>
      <c r="D45" t="s">
        <v>215</v>
      </c>
      <c r="E45" t="e">
        <f>_xll.qlQuoteValue($B$13&amp;"_"&amp;B45)</f>
        <v>#NUM!</v>
      </c>
      <c r="F45" s="42" t="str">
        <f ca="1">_xll.qlSwapRateHelper2(H45,I45,,J45,$J$5,$J$6,$J$7,$J$8,$J$9,$J$10,$J$11,$J$12)</f>
        <v>EUR3mSwap7Y#0000</v>
      </c>
      <c r="G45" s="15" t="str">
        <f ca="1">_xll.ohRangeRetrieveError(F45)</f>
        <v/>
      </c>
      <c r="H45" s="16" t="str">
        <f t="shared" si="5"/>
        <v>EUR3mSwap7Y</v>
      </c>
      <c r="I45" s="17">
        <f t="shared" si="6"/>
        <v>1.305E-3</v>
      </c>
      <c r="J45" s="19" t="str">
        <f t="shared" si="3"/>
        <v>7Y</v>
      </c>
      <c r="K45" s="44"/>
      <c r="M45" s="25" t="str">
        <f t="shared" ca="1" si="2"/>
        <v>EUR3mSwap7Y#0000</v>
      </c>
      <c r="N45" s="26">
        <v>3</v>
      </c>
      <c r="O45" s="27" t="str">
        <f ca="1"/>
        <v>EUR3mSwap7Y</v>
      </c>
      <c r="P45" s="23"/>
      <c r="Q45" s="75">
        <f ca="1"/>
        <v>46265</v>
      </c>
      <c r="R45" s="74">
        <f ca="1"/>
        <v>0.9908325906040425</v>
      </c>
      <c r="S45" s="66">
        <f ca="1"/>
        <v>1.3139626381821756E-3</v>
      </c>
      <c r="T45" s="63">
        <v>0.15390841539344399</v>
      </c>
      <c r="U45" s="147">
        <f t="shared" ca="1" si="0"/>
        <v>2.2512151575226425E-4</v>
      </c>
      <c r="W45" t="s">
        <v>217</v>
      </c>
      <c r="X45" s="58">
        <f>_xll.qlCalendarAdvance($R$8,$C$3,W45,"following")</f>
        <v>46995</v>
      </c>
      <c r="Y45" s="154">
        <v>0.97311041672907495</v>
      </c>
    </row>
    <row r="46" spans="2:25">
      <c r="B46" s="156" t="str">
        <f>'RISK INPUT'!X34</f>
        <v>GEN-EUR-SWAP-3M-8Y</v>
      </c>
      <c r="C46" s="152">
        <f>'RISK INPUT'!Y34</f>
        <v>0.26800000000000002</v>
      </c>
      <c r="D46" t="s">
        <v>216</v>
      </c>
      <c r="E46" t="e">
        <f>_xll.qlQuoteValue($B$13&amp;"_"&amp;B46)</f>
        <v>#NUM!</v>
      </c>
      <c r="F46" s="42" t="str">
        <f ca="1">_xll.qlSwapRateHelper2(H46,I46,,J46,$J$5,$J$6,$J$7,$J$8,$J$9,$J$10,$J$11,$J$12)</f>
        <v>EUR3mSwap8Y#0000</v>
      </c>
      <c r="G46" s="15" t="str">
        <f ca="1">_xll.ohRangeRetrieveError(F46)</f>
        <v/>
      </c>
      <c r="H46" s="16" t="str">
        <f t="shared" si="5"/>
        <v>EUR3mSwap8Y</v>
      </c>
      <c r="I46" s="17">
        <f t="shared" si="6"/>
        <v>2.6800000000000001E-3</v>
      </c>
      <c r="J46" s="19" t="str">
        <f t="shared" si="3"/>
        <v>8Y</v>
      </c>
      <c r="K46" s="44"/>
      <c r="M46" s="25" t="str">
        <f t="shared" ca="1" si="2"/>
        <v>EUR3mSwap8Y#0000</v>
      </c>
      <c r="N46" s="26">
        <v>3</v>
      </c>
      <c r="O46" s="27" t="str">
        <f ca="1"/>
        <v>EUR3mSwap8Y</v>
      </c>
      <c r="P46" s="23"/>
      <c r="Q46" s="75">
        <f ca="1"/>
        <v>46629</v>
      </c>
      <c r="R46" s="74">
        <f ca="1"/>
        <v>0.97853611805063767</v>
      </c>
      <c r="S46" s="66">
        <f ca="1"/>
        <v>2.7121586560610034E-3</v>
      </c>
      <c r="T46" s="63">
        <v>0.287371453187513</v>
      </c>
      <c r="U46" s="147">
        <f t="shared" ca="1" si="0"/>
        <v>1.6155587581412681E-4</v>
      </c>
      <c r="W46" t="s">
        <v>218</v>
      </c>
      <c r="X46" s="58">
        <f>_xll.qlCalendarAdvance($R$8,$C$3,W46,"following")</f>
        <v>47360</v>
      </c>
      <c r="Y46" s="154">
        <v>0.95858146868292804</v>
      </c>
    </row>
    <row r="47" spans="2:25">
      <c r="B47" s="156" t="str">
        <f>'RISK INPUT'!X35</f>
        <v>GEN-EUR-SWAP-3M-9Y</v>
      </c>
      <c r="C47" s="152">
        <f>'RISK INPUT'!Y35</f>
        <v>0.39500000000000002</v>
      </c>
      <c r="D47" t="s">
        <v>217</v>
      </c>
      <c r="E47" t="e">
        <f>_xll.qlQuoteValue($B$13&amp;"_"&amp;B47)</f>
        <v>#NUM!</v>
      </c>
      <c r="F47" s="42" t="str">
        <f ca="1">_xll.qlSwapRateHelper2(H47,I47,,J47,$J$5,$J$6,$J$7,$J$8,$J$9,$J$10,$J$11,$J$12)</f>
        <v>EUR3mSwap9Y#0000</v>
      </c>
      <c r="G47" s="15" t="str">
        <f ca="1">_xll.ohRangeRetrieveError(F47)</f>
        <v/>
      </c>
      <c r="H47" s="16" t="str">
        <f t="shared" si="5"/>
        <v>EUR3mSwap9Y</v>
      </c>
      <c r="I47" s="17">
        <f t="shared" si="6"/>
        <v>3.9500000000000004E-3</v>
      </c>
      <c r="J47" s="19" t="str">
        <f t="shared" si="3"/>
        <v>9Y</v>
      </c>
      <c r="K47" s="44"/>
      <c r="M47" s="25" t="str">
        <f t="shared" ca="1" si="2"/>
        <v>EUR3mSwap9Y#0000</v>
      </c>
      <c r="N47" s="26">
        <v>3</v>
      </c>
      <c r="O47" s="27" t="str">
        <f ca="1"/>
        <v>EUR3mSwap9Y</v>
      </c>
      <c r="P47" s="23"/>
      <c r="Q47" s="75">
        <f ca="1"/>
        <v>46995</v>
      </c>
      <c r="R47" s="74">
        <f ca="1"/>
        <v>0.96454815769496194</v>
      </c>
      <c r="S47" s="66">
        <f ca="1"/>
        <v>4.0125467127059E-3</v>
      </c>
      <c r="T47" s="63">
        <v>0.41381924369137102</v>
      </c>
      <c r="U47" s="147">
        <f t="shared" ca="1" si="0"/>
        <v>1.2564572420780979E-4</v>
      </c>
      <c r="W47" t="s">
        <v>219</v>
      </c>
      <c r="X47" s="58">
        <f>_xll.qlCalendarAdvance($R$8,$C$3,W47,"following")</f>
        <v>48092</v>
      </c>
      <c r="Y47" s="154">
        <v>0.92690576606438457</v>
      </c>
    </row>
    <row r="48" spans="2:25">
      <c r="B48" s="156" t="str">
        <f>'RISK INPUT'!X36</f>
        <v>GEN-EUR-SWAP-3M-10Y</v>
      </c>
      <c r="C48" s="152">
        <f>'RISK INPUT'!Y36</f>
        <v>0.50700000000000001</v>
      </c>
      <c r="D48" t="s">
        <v>218</v>
      </c>
      <c r="E48" t="e">
        <f>_xll.qlQuoteValue($B$13&amp;"_"&amp;B48)</f>
        <v>#NUM!</v>
      </c>
      <c r="F48" s="42" t="str">
        <f ca="1">_xll.qlSwapRateHelper2(H48,I48,,J48,$J$5,$J$6,$J$7,$J$8,$J$9,$J$10,$J$11,$J$12)</f>
        <v>EUR3mSwap10Y#0000</v>
      </c>
      <c r="G48" s="15" t="str">
        <f ca="1">_xll.ohRangeRetrieveError(F48)</f>
        <v/>
      </c>
      <c r="H48" s="16" t="str">
        <f t="shared" si="5"/>
        <v>EUR3mSwap10Y</v>
      </c>
      <c r="I48" s="17">
        <f t="shared" si="6"/>
        <v>5.0699999999999999E-3</v>
      </c>
      <c r="J48" s="19" t="str">
        <f t="shared" si="3"/>
        <v>10Y</v>
      </c>
      <c r="K48" s="44"/>
      <c r="M48" s="25" t="str">
        <f t="shared" ca="1" si="2"/>
        <v>EUR3mSwap10Y#0000</v>
      </c>
      <c r="N48" s="26">
        <v>3</v>
      </c>
      <c r="O48" s="27" t="str">
        <f ca="1"/>
        <v>EUR3mSwap10Y</v>
      </c>
      <c r="P48" s="23"/>
      <c r="Q48" s="75">
        <f ca="1"/>
        <v>47360</v>
      </c>
      <c r="R48" s="74">
        <f ca="1"/>
        <v>0.94967713098087347</v>
      </c>
      <c r="S48" s="66">
        <f ca="1"/>
        <v>5.1695744370243712E-3</v>
      </c>
      <c r="T48" s="63">
        <v>0.52946527716348801</v>
      </c>
      <c r="U48" s="147">
        <f t="shared" ca="1" si="0"/>
        <v>1.2507833461050926E-4</v>
      </c>
      <c r="W48" t="s">
        <v>220</v>
      </c>
      <c r="X48" s="58">
        <f>_xll.qlCalendarAdvance($R$8,$C$3,W48,"following")</f>
        <v>49186</v>
      </c>
      <c r="Y48" s="154">
        <v>0.87914018270475569</v>
      </c>
    </row>
    <row r="49" spans="2:25">
      <c r="B49" s="156" t="str">
        <f>'RISK INPUT'!X37</f>
        <v>GEN-EUR-SWAP-3M-12Y</v>
      </c>
      <c r="C49" s="152">
        <f>'RISK INPUT'!Y37</f>
        <v>0.6855</v>
      </c>
      <c r="D49" t="s">
        <v>219</v>
      </c>
      <c r="E49" t="e">
        <f>_xll.qlQuoteValue($B$13&amp;"_"&amp;B49)</f>
        <v>#NUM!</v>
      </c>
      <c r="F49" s="42" t="str">
        <f ca="1">_xll.qlSwapRateHelper2(H49,I49,,J49,$J$5,$J$6,$J$7,$J$8,$J$9,$J$10,$J$11,$J$12)</f>
        <v>EUR3mSwap12Y#0000</v>
      </c>
      <c r="G49" s="15" t="str">
        <f ca="1">_xll.ohRangeRetrieveError(F49)</f>
        <v/>
      </c>
      <c r="H49" s="16" t="str">
        <f t="shared" si="5"/>
        <v>EUR3mSwap12Y</v>
      </c>
      <c r="I49" s="17">
        <f t="shared" si="6"/>
        <v>6.855E-3</v>
      </c>
      <c r="J49" s="19" t="str">
        <f t="shared" si="3"/>
        <v>12Y</v>
      </c>
      <c r="K49" s="44"/>
      <c r="M49" s="25" t="str">
        <f t="shared" ca="1" si="2"/>
        <v>EUR3mSwap12Y#0000</v>
      </c>
      <c r="N49" s="26">
        <v>3</v>
      </c>
      <c r="O49" s="27" t="str">
        <f ca="1"/>
        <v>EUR3mSwap12Y</v>
      </c>
      <c r="Q49" s="75">
        <f ca="1"/>
        <v>48089</v>
      </c>
      <c r="R49" s="74">
        <f ca="1"/>
        <v>0.91926607016084461</v>
      </c>
      <c r="S49" s="66">
        <f ca="1"/>
        <v>7.0331900941378311E-3</v>
      </c>
      <c r="T49" s="63">
        <v>0.73001026923775703</v>
      </c>
      <c r="U49" s="147">
        <f t="shared" ca="1" si="0"/>
        <v>2.6691259823973922E-4</v>
      </c>
      <c r="W49" t="s">
        <v>221</v>
      </c>
      <c r="X49" s="58">
        <f>_xll.qlCalendarAdvance($R$8,$C$3,W49,"following")</f>
        <v>51012</v>
      </c>
      <c r="Y49" s="154">
        <v>0.80948293769631507</v>
      </c>
    </row>
    <row r="50" spans="2:25">
      <c r="B50" s="156" t="str">
        <f>'RISK INPUT'!X38</f>
        <v>GEN-EUR-SWAP-3M-15Y</v>
      </c>
      <c r="C50" s="152">
        <f>'RISK INPUT'!Y38</f>
        <v>0.87</v>
      </c>
      <c r="D50" t="s">
        <v>220</v>
      </c>
      <c r="E50" t="e">
        <f>_xll.qlQuoteValue($B$13&amp;"_"&amp;B50)</f>
        <v>#NUM!</v>
      </c>
      <c r="F50" s="42" t="str">
        <f ca="1">_xll.qlSwapRateHelper2(H50,I50,,J50,$J$5,$J$6,$J$7,$J$8,$J$9,$J$10,$J$11,$J$12)</f>
        <v>EUR3mSwap15Y#0000</v>
      </c>
      <c r="G50" s="15" t="str">
        <f ca="1">_xll.ohRangeRetrieveError(F50)</f>
        <v/>
      </c>
      <c r="H50" s="16" t="str">
        <f t="shared" si="5"/>
        <v>EUR3mSwap15Y</v>
      </c>
      <c r="I50" s="17">
        <f t="shared" si="6"/>
        <v>8.6999999999999994E-3</v>
      </c>
      <c r="J50" s="19" t="str">
        <f t="shared" si="3"/>
        <v>15Y</v>
      </c>
      <c r="K50" s="44"/>
      <c r="M50" s="25" t="str">
        <f t="shared" ca="1" si="2"/>
        <v>EUR3mSwap15Y#0000</v>
      </c>
      <c r="N50" s="26">
        <v>3</v>
      </c>
      <c r="O50" s="27" t="str">
        <f ca="1"/>
        <v>EUR3mSwap15Y</v>
      </c>
      <c r="Q50" s="75">
        <f ca="1"/>
        <v>49186</v>
      </c>
      <c r="R50" s="74">
        <f ca="1"/>
        <v>0.87430570747970626</v>
      </c>
      <c r="S50" s="66">
        <f ca="1"/>
        <v>8.9853372950565724E-3</v>
      </c>
      <c r="T50" s="63">
        <v>0.94690443185689899</v>
      </c>
      <c r="U50" s="147">
        <f t="shared" ca="1" si="0"/>
        <v>4.8370702351241759E-4</v>
      </c>
      <c r="W50" t="s">
        <v>222</v>
      </c>
      <c r="X50" s="58">
        <f>_xll.qlCalendarAdvance($R$8,$C$3,W50,"following")</f>
        <v>52839</v>
      </c>
      <c r="Y50" s="154">
        <v>0.75455043121999466</v>
      </c>
    </row>
    <row r="51" spans="2:25">
      <c r="B51" s="156" t="str">
        <f>'RISK INPUT'!X39</f>
        <v>GEN-EUR-SWAP-3M-20Y</v>
      </c>
      <c r="C51" s="152">
        <f>'RISK INPUT'!Y39</f>
        <v>1.022</v>
      </c>
      <c r="D51" t="s">
        <v>221</v>
      </c>
      <c r="E51" t="e">
        <f>_xll.qlQuoteValue($B$13&amp;"_"&amp;B51)</f>
        <v>#NUM!</v>
      </c>
      <c r="F51" s="42" t="str">
        <f ca="1">_xll.qlSwapRateHelper2(H51,I51,,J51,$J$5,$J$6,$J$7,$J$8,$J$9,$J$10,$J$11,$J$12)</f>
        <v>EUR3mSwap20Y#0000</v>
      </c>
      <c r="G51" s="15" t="str">
        <f ca="1">_xll.ohRangeRetrieveError(F51)</f>
        <v/>
      </c>
      <c r="H51" s="16" t="str">
        <f t="shared" si="5"/>
        <v>EUR3mSwap20Y</v>
      </c>
      <c r="I51" s="17">
        <f t="shared" si="6"/>
        <v>1.022E-2</v>
      </c>
      <c r="J51" s="19" t="str">
        <f t="shared" si="3"/>
        <v>20Y</v>
      </c>
      <c r="K51" s="44"/>
      <c r="M51" s="25" t="str">
        <f t="shared" ca="1" si="2"/>
        <v>EUR3mSwap20Y#0000</v>
      </c>
      <c r="N51" s="26">
        <v>3</v>
      </c>
      <c r="O51" s="27" t="str">
        <f ca="1"/>
        <v>EUR3mSwap20Y</v>
      </c>
      <c r="Q51" s="75">
        <f ca="1"/>
        <v>51012</v>
      </c>
      <c r="R51" s="74">
        <f ca="1"/>
        <v>0.80964564777126047</v>
      </c>
      <c r="S51" s="66">
        <f ca="1"/>
        <v>1.0603639911544782E-2</v>
      </c>
      <c r="T51" s="63">
        <v>1.1224960562487201</v>
      </c>
      <c r="U51" s="147">
        <f t="shared" ca="1" si="0"/>
        <v>6.2132065094241788E-4</v>
      </c>
      <c r="W51" t="s">
        <v>223</v>
      </c>
      <c r="X51" s="58">
        <f>_xll.qlCalendarAdvance($R$8,$C$3,W51,"following")</f>
        <v>54665</v>
      </c>
      <c r="Y51" s="154">
        <v>0.70845101742357286</v>
      </c>
    </row>
    <row r="52" spans="2:25">
      <c r="B52" s="156" t="str">
        <f>'RISK INPUT'!X40</f>
        <v>GEN-EUR-SWAP-3M-25Y</v>
      </c>
      <c r="C52" s="152">
        <f>'RISK INPUT'!Y40</f>
        <v>1.0605</v>
      </c>
      <c r="D52" t="s">
        <v>222</v>
      </c>
      <c r="E52" t="e">
        <f>_xll.qlQuoteValue($B$13&amp;"_"&amp;B52)</f>
        <v>#NUM!</v>
      </c>
      <c r="F52" s="42" t="str">
        <f ca="1">_xll.qlSwapRateHelper2(H52,I52,,J52,$J$5,$J$6,$J$7,$J$8,$J$9,$J$10,$J$11,$J$12)</f>
        <v>EUR3mSwap25Y#0000</v>
      </c>
      <c r="G52" s="15" t="str">
        <f ca="1">_xll.ohRangeRetrieveError(F52)</f>
        <v/>
      </c>
      <c r="H52" s="16" t="str">
        <f t="shared" si="5"/>
        <v>EUR3mSwap25Y</v>
      </c>
      <c r="I52" s="17">
        <f t="shared" si="6"/>
        <v>1.0605E-2</v>
      </c>
      <c r="J52" s="19" t="str">
        <f t="shared" si="3"/>
        <v>25Y</v>
      </c>
      <c r="K52" s="44"/>
      <c r="M52" s="25" t="str">
        <f t="shared" ca="1" si="2"/>
        <v>EUR3mSwap25Y#0000</v>
      </c>
      <c r="N52" s="26">
        <v>3</v>
      </c>
      <c r="O52" s="27" t="str">
        <f ca="1"/>
        <v>EUR3mSwap25Y</v>
      </c>
      <c r="Q52" s="75">
        <f ca="1"/>
        <v>52839</v>
      </c>
      <c r="R52" s="74">
        <f ca="1"/>
        <v>0.76107827648692561</v>
      </c>
      <c r="S52" s="66">
        <f ca="1"/>
        <v>1.0969733202434329E-2</v>
      </c>
      <c r="T52" s="63">
        <v>1.1754762026321199</v>
      </c>
      <c r="U52" s="147">
        <f t="shared" ca="1" si="0"/>
        <v>7.850288238868703E-4</v>
      </c>
      <c r="W52" t="s">
        <v>224</v>
      </c>
      <c r="X52" s="58">
        <f>_xll.qlCalendarAdvance($R$8,$C$3,W52,"following")</f>
        <v>58319</v>
      </c>
      <c r="Y52" s="154">
        <v>0.63518492641532087</v>
      </c>
    </row>
    <row r="53" spans="2:25">
      <c r="B53" s="156" t="str">
        <f>'RISK INPUT'!X41</f>
        <v>GEN-EUR-SWAP-3M-30Y</v>
      </c>
      <c r="C53" s="152">
        <f>'RISK INPUT'!Y41</f>
        <v>1.0745</v>
      </c>
      <c r="D53" t="s">
        <v>223</v>
      </c>
      <c r="E53" t="e">
        <f>_xll.qlQuoteValue($B$13&amp;"_"&amp;B53)</f>
        <v>#NUM!</v>
      </c>
      <c r="F53" s="42" t="str">
        <f ca="1">_xll.qlSwapRateHelper2(H53,I53,,J53,$J$5,$J$6,$J$7,$J$8,$J$9,$J$10,$J$11,$J$12)</f>
        <v>EUR3mSwap30Y#0000</v>
      </c>
      <c r="G53" s="15" t="str">
        <f ca="1">_xll.ohRangeRetrieveError(F53)</f>
        <v/>
      </c>
      <c r="H53" s="16" t="str">
        <f t="shared" si="5"/>
        <v>EUR3mSwap30Y</v>
      </c>
      <c r="I53" s="17">
        <f t="shared" si="6"/>
        <v>1.0744999999999999E-2</v>
      </c>
      <c r="J53" s="19" t="str">
        <f t="shared" si="3"/>
        <v>30Y</v>
      </c>
      <c r="K53" s="44"/>
      <c r="M53" s="25" t="str">
        <f t="shared" ca="1" si="2"/>
        <v>EUR3mSwap30Y#0000</v>
      </c>
      <c r="N53" s="26">
        <v>3</v>
      </c>
      <c r="O53" s="27" t="str">
        <f ca="1"/>
        <v>EUR3mSwap30Y</v>
      </c>
      <c r="Q53" s="75">
        <f ca="1"/>
        <v>54665</v>
      </c>
      <c r="R53" s="74">
        <f ca="1"/>
        <v>0.71842071339816782</v>
      </c>
      <c r="S53" s="66">
        <f ca="1"/>
        <v>1.1074142552246924E-2</v>
      </c>
      <c r="T53" s="63">
        <v>1.1838903480135601</v>
      </c>
      <c r="U53" s="147">
        <f t="shared" ca="1" si="0"/>
        <v>7.647609278886771E-4</v>
      </c>
      <c r="W53" t="s">
        <v>225</v>
      </c>
      <c r="X53" s="58">
        <f>_xll.qlCalendarAdvance($R$8,$C$3,W53,"following")</f>
        <v>61970</v>
      </c>
      <c r="Y53" s="154">
        <v>0.61676002940058383</v>
      </c>
    </row>
    <row r="54" spans="2:25">
      <c r="B54" s="156" t="str">
        <f>'RISK INPUT'!X42</f>
        <v>GEN-EUR-SWAP-3M-40Y</v>
      </c>
      <c r="C54" s="152">
        <f>'RISK INPUT'!Y42</f>
        <v>1.0965</v>
      </c>
      <c r="D54" t="s">
        <v>224</v>
      </c>
      <c r="E54" t="e">
        <f>_xll.qlQuoteValue($B$13&amp;"_"&amp;B54)</f>
        <v>#NUM!</v>
      </c>
      <c r="F54" s="42" t="str">
        <f ca="1">_xll.qlSwapRateHelper2(H54,I54,,J54,$J$5,$J$6,$J$7,$J$8,$J$9,$J$10,$J$11,$J$12)</f>
        <v>EUR3mSwap40Y#0000</v>
      </c>
      <c r="G54" s="15" t="str">
        <f ca="1">_xll.ohRangeRetrieveError(F54)</f>
        <v/>
      </c>
      <c r="H54" s="16" t="str">
        <f t="shared" si="5"/>
        <v>EUR3mSwap40Y</v>
      </c>
      <c r="I54" s="17">
        <f t="shared" si="6"/>
        <v>1.0965000000000001E-2</v>
      </c>
      <c r="J54" s="19" t="str">
        <f t="shared" si="3"/>
        <v>40Y</v>
      </c>
      <c r="K54" s="44"/>
      <c r="M54" s="25" t="str">
        <f t="shared" ca="1" si="2"/>
        <v>EUR3mSwap40Y#0000</v>
      </c>
      <c r="N54" s="26">
        <v>3</v>
      </c>
      <c r="O54" s="27" t="str">
        <f ca="1"/>
        <v>EUR3mSwap40Y</v>
      </c>
      <c r="Q54" s="75">
        <f ca="1"/>
        <v>58316</v>
      </c>
      <c r="R54" s="74">
        <f ca="1"/>
        <v>0.63876896327350008</v>
      </c>
      <c r="S54" s="66">
        <f ca="1"/>
        <v>1.125979486595563E-2</v>
      </c>
      <c r="T54" s="63">
        <v>1.1509413355054201</v>
      </c>
      <c r="U54" s="147">
        <f t="shared" ca="1" si="0"/>
        <v>2.4961848909857073E-4</v>
      </c>
      <c r="W54" t="s">
        <v>323</v>
      </c>
      <c r="X54" s="58">
        <f>_xll.qlCalendarAdvance($R$8,$C$3,W54,"following")</f>
        <v>65622</v>
      </c>
      <c r="Y54" s="154">
        <v>0.61676002940058383</v>
      </c>
    </row>
    <row r="55" spans="2:25">
      <c r="B55" s="156" t="str">
        <f>'RISK INPUT'!X43</f>
        <v>GEN-EUR-SWAP-3M-50Y</v>
      </c>
      <c r="C55" s="482">
        <f>'RISK INPUT'!Y43</f>
        <v>1.0640000000000001</v>
      </c>
      <c r="D55" t="s">
        <v>225</v>
      </c>
      <c r="E55" t="e">
        <f>_xll.qlQuoteValue($B$13&amp;"_"&amp;B55)</f>
        <v>#NUM!</v>
      </c>
      <c r="F55" s="45" t="str">
        <f ca="1">_xll.qlSwapRateHelper2(H55,I55,,J55,$J$5,$J$6,$J$7,$J$8,$J$9,$J$10,$J$11,$J$12)</f>
        <v>EUR3mSwap50Y#0000</v>
      </c>
      <c r="G55" s="46" t="str">
        <f ca="1">_xll.ohRangeRetrieveError(F55)</f>
        <v/>
      </c>
      <c r="H55" s="47" t="str">
        <f t="shared" si="5"/>
        <v>EUR3mSwap50Y</v>
      </c>
      <c r="I55" s="48">
        <f t="shared" si="6"/>
        <v>1.064E-2</v>
      </c>
      <c r="J55" s="49" t="str">
        <f t="shared" si="3"/>
        <v>50Y</v>
      </c>
      <c r="K55" s="50"/>
      <c r="M55" s="25" t="str">
        <f t="shared" ca="1" si="2"/>
        <v>EUR3mSwap50Y#0000</v>
      </c>
      <c r="N55" s="26">
        <v>3</v>
      </c>
      <c r="O55" s="27" t="str">
        <f ca="1"/>
        <v>EUR3mSwap50Y</v>
      </c>
      <c r="Q55" s="84">
        <f ca="1"/>
        <v>61970</v>
      </c>
      <c r="R55" s="81">
        <f ca="1"/>
        <v>0.58468278990063349</v>
      </c>
      <c r="S55" s="86">
        <f ca="1"/>
        <v>1.0782619288467465E-2</v>
      </c>
      <c r="T55" s="82">
        <v>1.06607915599499</v>
      </c>
      <c r="U55" s="145">
        <f t="shared" ca="1" si="0"/>
        <v>-1.2182772851756542E-4</v>
      </c>
      <c r="W55" t="s">
        <v>324</v>
      </c>
      <c r="X55" s="58">
        <f>_xll.qlCalendarAdvance($R$8,$C$3,W55,"following")</f>
        <v>69275</v>
      </c>
      <c r="Y55" s="154">
        <v>0.61676002940058383</v>
      </c>
    </row>
    <row r="56" spans="2:25">
      <c r="B56" s="158">
        <f>'RISK INPUT'!X44</f>
        <v>0</v>
      </c>
      <c r="C56" s="159" t="e">
        <f>'RISK INPUT'!Y44</f>
        <v>#N/A</v>
      </c>
      <c r="G56" t="str">
        <f ca="1">G55</f>
        <v/>
      </c>
      <c r="M56" s="25"/>
      <c r="N56" s="26"/>
      <c r="W56" t="s">
        <v>325</v>
      </c>
      <c r="X56" s="58">
        <f>_xll.qlCalendarAdvance($R$8,$C$3,W56,"following")</f>
        <v>72928</v>
      </c>
      <c r="Y56" s="154">
        <v>0.61676002940058383</v>
      </c>
    </row>
    <row r="57" spans="2:25">
      <c r="B57" s="158">
        <f>'RISK INPUT'!X45</f>
        <v>0</v>
      </c>
      <c r="C57" s="159" t="e">
        <f>'RISK INPUT'!Y45</f>
        <v>#N/A</v>
      </c>
      <c r="M57" s="25"/>
      <c r="N57" s="26"/>
      <c r="W57" t="s">
        <v>326</v>
      </c>
      <c r="X57" s="58">
        <f>_xll.qlCalendarAdvance($R$8,$C$3,W57,"following")</f>
        <v>80231</v>
      </c>
      <c r="Y57" s="154">
        <v>0.61676002940058383</v>
      </c>
    </row>
    <row r="58" spans="2:25">
      <c r="B58" s="158">
        <f>'RISK INPUT'!X46</f>
        <v>0</v>
      </c>
      <c r="C58" s="159" t="e">
        <f>'RISK INPUT'!Y46</f>
        <v>#N/A</v>
      </c>
      <c r="M58" s="25"/>
      <c r="N58" s="26"/>
    </row>
    <row r="59" spans="2:25">
      <c r="B59" s="158">
        <f>'RISK INPUT'!X47</f>
        <v>0</v>
      </c>
      <c r="C59" s="159">
        <f>'RISK INPUT'!Y47</f>
        <v>0</v>
      </c>
      <c r="M59" s="25"/>
      <c r="N59" s="26"/>
    </row>
    <row r="60" spans="2:25">
      <c r="B60" s="158">
        <f>'RISK INPUT'!X48</f>
        <v>0</v>
      </c>
      <c r="C60" s="159">
        <f>'RISK INPUT'!Y48</f>
        <v>0</v>
      </c>
      <c r="M60" s="25"/>
      <c r="N60" s="26"/>
    </row>
    <row r="61" spans="2:25">
      <c r="B61" s="158">
        <f>'RISK INPUT'!X49</f>
        <v>0</v>
      </c>
      <c r="C61" s="159">
        <f>'RISK INPUT'!Y49</f>
        <v>0</v>
      </c>
      <c r="M61" s="25"/>
      <c r="N61" s="26"/>
    </row>
    <row r="62" spans="2:25">
      <c r="B62" s="158">
        <f>'RISK INPUT'!X50</f>
        <v>0</v>
      </c>
      <c r="C62" s="159">
        <f>'RISK INPUT'!Y50</f>
        <v>0</v>
      </c>
      <c r="M62" s="25"/>
      <c r="N62" s="26"/>
    </row>
    <row r="63" spans="2:25">
      <c r="B63" s="158">
        <f>'RISK INPUT'!X51</f>
        <v>0</v>
      </c>
      <c r="C63" s="159">
        <f>'RISK INPUT'!Y51</f>
        <v>0</v>
      </c>
    </row>
    <row r="64" spans="2:25">
      <c r="B64" s="158">
        <f>'RISK INPUT'!X52</f>
        <v>0</v>
      </c>
      <c r="C64" s="159">
        <f>'RISK INPUT'!Y52</f>
        <v>0</v>
      </c>
    </row>
    <row r="65" spans="2:3">
      <c r="B65" s="158">
        <f>'RISK INPUT'!X53</f>
        <v>0</v>
      </c>
      <c r="C65" s="159">
        <f>'RISK INPUT'!Y53</f>
        <v>0</v>
      </c>
    </row>
    <row r="66" spans="2:3">
      <c r="B66" s="158">
        <f>'RISK INPUT'!X54</f>
        <v>0</v>
      </c>
      <c r="C66" s="159">
        <f>'RISK INPUT'!Y54</f>
        <v>0</v>
      </c>
    </row>
    <row r="67" spans="2:3">
      <c r="B67" s="158">
        <f>'RISK INPUT'!X55</f>
        <v>0</v>
      </c>
      <c r="C67" s="159">
        <f>'RISK INPUT'!Y55</f>
        <v>0</v>
      </c>
    </row>
    <row r="68" spans="2:3">
      <c r="B68" s="158">
        <f>'RISK INPUT'!X56</f>
        <v>0</v>
      </c>
      <c r="C68" s="159">
        <f>'RISK INPUT'!Y56</f>
        <v>0</v>
      </c>
    </row>
    <row r="69" spans="2:3">
      <c r="B69" s="158">
        <f>'RISK INPUT'!X57</f>
        <v>0</v>
      </c>
      <c r="C69" s="159">
        <f>'RISK INPUT'!Y57</f>
        <v>0</v>
      </c>
    </row>
    <row r="70" spans="2:3">
      <c r="B70" s="158">
        <f>'RISK INPUT'!X58</f>
        <v>0</v>
      </c>
      <c r="C70" s="159">
        <f>'RISK INPUT'!Y58</f>
        <v>0</v>
      </c>
    </row>
    <row r="71" spans="2:3">
      <c r="B71" s="158">
        <f>'RISK INPUT'!X59</f>
        <v>0</v>
      </c>
      <c r="C71" s="159">
        <f>'RISK INPUT'!Y59</f>
        <v>0</v>
      </c>
    </row>
    <row r="72" spans="2:3">
      <c r="B72" s="158">
        <f>'RISK INPUT'!X60</f>
        <v>0</v>
      </c>
      <c r="C72" s="159">
        <f>'RISK INPUT'!Y60</f>
        <v>0</v>
      </c>
    </row>
    <row r="73" spans="2:3">
      <c r="B73" s="158">
        <f>'RISK INPUT'!X61</f>
        <v>0</v>
      </c>
      <c r="C73" s="159">
        <f>'RISK INPUT'!Y61</f>
        <v>0</v>
      </c>
    </row>
    <row r="74" spans="2:3">
      <c r="B74" s="158">
        <f>'RISK INPUT'!X62</f>
        <v>0</v>
      </c>
      <c r="C74" s="159">
        <f>'RISK INPUT'!Y62</f>
        <v>0</v>
      </c>
    </row>
    <row r="75" spans="2:3">
      <c r="B75" s="158">
        <f>'RISK INPUT'!X63</f>
        <v>0</v>
      </c>
      <c r="C75" s="159">
        <f>'RISK INPUT'!Y63</f>
        <v>0</v>
      </c>
    </row>
    <row r="76" spans="2:3">
      <c r="B76" s="158">
        <f>'RISK INPUT'!X64</f>
        <v>0</v>
      </c>
      <c r="C76" s="159">
        <f>'RISK INPUT'!Y64</f>
        <v>0</v>
      </c>
    </row>
    <row r="77" spans="2:3">
      <c r="B77" s="158">
        <f>'RISK INPUT'!X65</f>
        <v>0</v>
      </c>
      <c r="C77" s="159">
        <f>'RISK INPUT'!Y65</f>
        <v>0</v>
      </c>
    </row>
    <row r="78" spans="2:3">
      <c r="B78" s="158">
        <f>'RISK INPUT'!X66</f>
        <v>0</v>
      </c>
      <c r="C78" s="159">
        <f>'RISK INPUT'!Y66</f>
        <v>0</v>
      </c>
    </row>
    <row r="79" spans="2:3">
      <c r="B79" s="158">
        <f>'RISK INPUT'!X67</f>
        <v>0</v>
      </c>
      <c r="C79" s="159">
        <f>'RISK INPUT'!Y67</f>
        <v>0</v>
      </c>
    </row>
    <row r="80" spans="2:3">
      <c r="B80" s="158">
        <f>'RISK INPUT'!X68</f>
        <v>0</v>
      </c>
      <c r="C80" s="159">
        <f>'RISK INPUT'!Y68</f>
        <v>0</v>
      </c>
    </row>
    <row r="81" spans="2:3">
      <c r="B81" s="158">
        <f>'RISK INPUT'!X69</f>
        <v>0</v>
      </c>
      <c r="C81" s="159">
        <f>'RISK INPUT'!Y69</f>
        <v>0</v>
      </c>
    </row>
    <row r="82" spans="2:3">
      <c r="B82" s="158">
        <f>'RISK INPUT'!X70</f>
        <v>0</v>
      </c>
      <c r="C82" s="159">
        <f>'RISK INPUT'!Y70</f>
        <v>0</v>
      </c>
    </row>
    <row r="83" spans="2:3">
      <c r="B83" s="158">
        <f>'RISK INPUT'!X71</f>
        <v>0</v>
      </c>
      <c r="C83" s="159">
        <f>'RISK INPUT'!Y71</f>
        <v>0</v>
      </c>
    </row>
    <row r="84" spans="2:3">
      <c r="B84" s="158">
        <f>'RISK INPUT'!X72</f>
        <v>0</v>
      </c>
      <c r="C84" s="159">
        <f>'RISK INPUT'!Y72</f>
        <v>0</v>
      </c>
    </row>
    <row r="85" spans="2:3">
      <c r="B85" s="158">
        <f>'RISK INPUT'!X73</f>
        <v>0</v>
      </c>
      <c r="C85" s="159">
        <f>'RISK INPUT'!Y73</f>
        <v>0</v>
      </c>
    </row>
    <row r="86" spans="2:3">
      <c r="B86" s="158">
        <f>'RISK INPUT'!X74</f>
        <v>0</v>
      </c>
      <c r="C86" s="159">
        <f>'RISK INPUT'!Y74</f>
        <v>0</v>
      </c>
    </row>
    <row r="87" spans="2:3">
      <c r="B87" s="158">
        <f>'RISK INPUT'!X75</f>
        <v>0</v>
      </c>
      <c r="C87" s="159">
        <f>'RISK INPUT'!Y75</f>
        <v>0</v>
      </c>
    </row>
    <row r="88" spans="2:3">
      <c r="B88" s="158">
        <f>'RISK INPUT'!X76</f>
        <v>0</v>
      </c>
      <c r="C88" s="159">
        <f>'RISK INPUT'!Y76</f>
        <v>0</v>
      </c>
    </row>
  </sheetData>
  <mergeCells count="1">
    <mergeCell ref="B14:C14"/>
  </mergeCells>
  <dataValidations disablePrompts="1" count="7">
    <dataValidation type="list" allowBlank="1" showInputMessage="1" showErrorMessage="1" sqref="J6">
      <formula1>"Annual,Semiannual,EveryFourthMonth,Quarterly,Bimonthly,Monthly,Biweekly,Weekly,Daily,Once,NoFrequency"</formula1>
    </dataValidation>
    <dataValidation type="list" allowBlank="1" showInputMessage="1" showErrorMessage="1" sqref="R9 G8 J8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R8 G5 J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J7 G6">
      <formula1>"Following,Modified Following,Preceding,Modified Preceding,Unadjusted"</formula1>
    </dataValidation>
    <dataValidation type="list" allowBlank="1" showInputMessage="1" showErrorMessage="1" sqref="N9">
      <formula1>"AllDepos,DeposBeforeFirstFuturesStartDate,DeposBeforeFirstFuturesStartDatePlusOne,DeposBeforeFirstFuturesExpiryDate"</formula1>
    </dataValidation>
    <dataValidation type="list" allowBlank="1" showInputMessage="1" showErrorMessage="1" sqref="T11">
      <formula1>"BackwardFlat,ForwardFlat,Linear,LogLinear,Cubic,LogCubic"</formula1>
    </dataValidation>
    <dataValidation type="list" allowBlank="1" showInputMessage="1" showErrorMessage="1" sqref="R10">
      <formula1>"Discount,ZeroYield,ForwardRate"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2:Y90"/>
  <sheetViews>
    <sheetView zoomScale="85" zoomScaleNormal="85" workbookViewId="0">
      <selection activeCell="F42" sqref="F42"/>
    </sheetView>
  </sheetViews>
  <sheetFormatPr defaultRowHeight="15" outlineLevelCol="1"/>
  <cols>
    <col min="1" max="1" width="9.140625" style="115"/>
    <col min="2" max="2" width="28.7109375" style="115" bestFit="1" customWidth="1"/>
    <col min="3" max="3" width="10.85546875" style="115" bestFit="1" customWidth="1"/>
    <col min="4" max="5" width="9.140625" style="115"/>
    <col min="6" max="6" width="24.5703125" style="115" bestFit="1" customWidth="1"/>
    <col min="7" max="7" width="14" style="115" customWidth="1"/>
    <col min="8" max="8" width="13.42578125" style="115" bestFit="1" customWidth="1"/>
    <col min="9" max="9" width="24.28515625" style="115" bestFit="1" customWidth="1"/>
    <col min="10" max="10" width="20.28515625" style="115" bestFit="1" customWidth="1"/>
    <col min="11" max="12" width="9.140625" style="115"/>
    <col min="13" max="13" width="24.42578125" style="115" hidden="1" customWidth="1" outlineLevel="1"/>
    <col min="14" max="16" width="9.140625" style="115" hidden="1" customWidth="1" outlineLevel="1"/>
    <col min="17" max="17" width="16.140625" style="115" customWidth="1" collapsed="1"/>
    <col min="18" max="18" width="22.140625" style="115" bestFit="1" customWidth="1"/>
    <col min="19" max="19" width="15.140625" style="115" bestFit="1" customWidth="1"/>
    <col min="20" max="20" width="9.42578125" style="115" bestFit="1" customWidth="1"/>
    <col min="21" max="21" width="23.5703125" style="115" bestFit="1" customWidth="1"/>
    <col min="22" max="22" width="9.140625" style="115"/>
    <col min="23" max="23" width="12.85546875" style="115" bestFit="1" customWidth="1"/>
    <col min="24" max="16384" width="9.140625" style="115"/>
  </cols>
  <sheetData>
    <row r="2" spans="2:20">
      <c r="B2" s="162" t="s">
        <v>327</v>
      </c>
      <c r="C2" s="160">
        <f>_xll.qlSettingsEvaluationDate()</f>
        <v>43705</v>
      </c>
    </row>
    <row r="3" spans="2:20" ht="15.75" thickBot="1">
      <c r="B3" s="163" t="s">
        <v>322</v>
      </c>
      <c r="C3" s="161">
        <f>_xll.qlCalendarAdvance($R$8,C2,"2d","following")</f>
        <v>43707</v>
      </c>
    </row>
    <row r="4" spans="2:20" ht="15.75" thickBot="1">
      <c r="F4" s="36" t="s">
        <v>291</v>
      </c>
      <c r="Q4" s="2" t="s">
        <v>267</v>
      </c>
      <c r="R4" s="3" t="str">
        <f>_xll.qlPiecewiseYieldCurve(R6,R7,R8,_xll.ohPack(O20:O55),R9,,,R12,R10,R11,R13,R14)</f>
        <v>USD_OIS_COL00_QL#0000</v>
      </c>
    </row>
    <row r="5" spans="2:20" ht="15.75" thickBot="1">
      <c r="B5" s="2" t="s">
        <v>457</v>
      </c>
      <c r="C5" s="3" t="str">
        <f>_xll.qlOvernightIndex(,"OIS",0,"USD",$G$5,$G$8)</f>
        <v>obj_00022#0000</v>
      </c>
      <c r="F5" s="53" t="s">
        <v>269</v>
      </c>
      <c r="G5" s="32" t="s">
        <v>331</v>
      </c>
      <c r="Q5" s="4" t="s">
        <v>243</v>
      </c>
      <c r="R5" s="5" t="str">
        <f>_xll.ohRangeRetrieveError(R4)</f>
        <v/>
      </c>
    </row>
    <row r="6" spans="2:20" ht="15.75" thickBot="1">
      <c r="B6" s="4" t="s">
        <v>243</v>
      </c>
      <c r="C6" s="5" t="str">
        <f>_xll.ohRangeRetrieveError(C5)</f>
        <v/>
      </c>
      <c r="F6" s="54" t="s">
        <v>292</v>
      </c>
      <c r="G6" s="18" t="s">
        <v>252</v>
      </c>
      <c r="M6" s="2" t="s">
        <v>262</v>
      </c>
      <c r="N6" s="24">
        <v>0</v>
      </c>
      <c r="Q6" s="2" t="s">
        <v>244</v>
      </c>
      <c r="R6" s="6" t="s">
        <v>731</v>
      </c>
    </row>
    <row r="7" spans="2:20">
      <c r="B7" s="2" t="s">
        <v>244</v>
      </c>
      <c r="C7" s="6" t="str">
        <f>"USD"&amp;C8</f>
        <v>USD</v>
      </c>
      <c r="F7" s="54" t="s">
        <v>293</v>
      </c>
      <c r="G7" s="18" t="b">
        <v>1</v>
      </c>
      <c r="M7" s="7" t="s">
        <v>263</v>
      </c>
      <c r="N7" s="28">
        <v>0</v>
      </c>
      <c r="Q7" s="7" t="s">
        <v>268</v>
      </c>
      <c r="R7" s="8">
        <v>0</v>
      </c>
    </row>
    <row r="8" spans="2:20" ht="15.75" thickBot="1">
      <c r="B8" s="7" t="s">
        <v>245</v>
      </c>
      <c r="C8" s="8"/>
      <c r="F8" s="56" t="s">
        <v>294</v>
      </c>
      <c r="G8" s="35" t="s">
        <v>253</v>
      </c>
      <c r="M8" s="7" t="s">
        <v>264</v>
      </c>
      <c r="N8" s="28">
        <v>0</v>
      </c>
      <c r="Q8" s="7" t="s">
        <v>269</v>
      </c>
      <c r="R8" s="8" t="s">
        <v>255</v>
      </c>
    </row>
    <row r="9" spans="2:20">
      <c r="B9" s="7" t="s">
        <v>246</v>
      </c>
      <c r="C9" s="8"/>
      <c r="M9" s="7" t="s">
        <v>265</v>
      </c>
      <c r="N9" s="8" t="s">
        <v>266</v>
      </c>
      <c r="Q9" s="7" t="s">
        <v>270</v>
      </c>
      <c r="R9" s="8"/>
    </row>
    <row r="10" spans="2:20" ht="15.75" thickBot="1">
      <c r="B10" s="7" t="s">
        <v>247</v>
      </c>
      <c r="C10" s="8"/>
      <c r="M10" s="4" t="s">
        <v>458</v>
      </c>
      <c r="N10" s="9">
        <v>1</v>
      </c>
      <c r="Q10" s="7" t="s">
        <v>271</v>
      </c>
      <c r="R10" s="8" t="s">
        <v>272</v>
      </c>
    </row>
    <row r="11" spans="2:20" ht="15.75" thickBot="1">
      <c r="B11" s="4" t="s">
        <v>248</v>
      </c>
      <c r="C11" s="157">
        <f ca="1">RAND()</f>
        <v>0.31772786401381914</v>
      </c>
      <c r="Q11" s="7" t="s">
        <v>273</v>
      </c>
      <c r="R11" s="8" t="s">
        <v>274</v>
      </c>
    </row>
    <row r="12" spans="2:20">
      <c r="Q12" s="7" t="s">
        <v>275</v>
      </c>
      <c r="R12" s="8"/>
    </row>
    <row r="13" spans="2:20">
      <c r="Q13" s="7" t="s">
        <v>247</v>
      </c>
      <c r="R13" s="8"/>
    </row>
    <row r="14" spans="2:20">
      <c r="Q14" s="7" t="s">
        <v>248</v>
      </c>
      <c r="R14" s="8"/>
    </row>
    <row r="15" spans="2:20" ht="15.75" thickBot="1">
      <c r="Q15" s="4" t="s">
        <v>279</v>
      </c>
      <c r="R15" s="9" t="s">
        <v>280</v>
      </c>
    </row>
    <row r="16" spans="2:20">
      <c r="B16" s="139" t="s">
        <v>303</v>
      </c>
      <c r="J16" s="115" t="str">
        <f>_xll.ohRangeRetrieveError(O20)</f>
        <v/>
      </c>
    </row>
    <row r="17" spans="2:25" ht="15.75" thickBot="1">
      <c r="F17" s="115" t="str">
        <f>_xll.ohRangeRetrieveError(F23)</f>
        <v/>
      </c>
    </row>
    <row r="18" spans="2:25" ht="15.75" thickBot="1">
      <c r="H18" s="6" t="str">
        <f>"USD"&amp;"ON"</f>
        <v>USDON</v>
      </c>
      <c r="Q18" s="116" t="s">
        <v>281</v>
      </c>
      <c r="R18" s="61" t="s">
        <v>282</v>
      </c>
      <c r="S18" s="61" t="s">
        <v>283</v>
      </c>
      <c r="T18" s="61" t="s">
        <v>296</v>
      </c>
      <c r="U18" s="127" t="s">
        <v>297</v>
      </c>
    </row>
    <row r="19" spans="2:25">
      <c r="B19" s="1"/>
      <c r="C19" s="1"/>
      <c r="E19" s="115" t="str">
        <f>_xll.ohRangeRetrieveError(E23)</f>
        <v/>
      </c>
      <c r="F19" s="88"/>
      <c r="G19" s="38" t="s">
        <v>243</v>
      </c>
      <c r="H19" s="38" t="s">
        <v>244</v>
      </c>
      <c r="I19" s="38" t="s">
        <v>250</v>
      </c>
      <c r="J19" s="38"/>
      <c r="K19" s="39"/>
      <c r="M19" s="20" t="s">
        <v>259</v>
      </c>
      <c r="N19" s="21" t="s">
        <v>260</v>
      </c>
      <c r="O19" s="22" t="s">
        <v>261</v>
      </c>
      <c r="P19" s="23"/>
      <c r="Q19" s="77">
        <f t="array" ref="Q19:Q56">_xll.qlPiecewiseYieldCurveDates(R4)</f>
        <v>43705</v>
      </c>
      <c r="R19" s="72">
        <f t="array" ref="R19:R56">_xll.qlPiecewiseYieldCurveData(R4)</f>
        <v>1</v>
      </c>
      <c r="S19" s="59">
        <f t="array" ref="S19:S56">_xll.qlYieldTSZeroRate($R$4,_xll.ohPack(Q19:Q55),$R$15,"compounded","annual")</f>
        <v>4.0128251477939969E-3</v>
      </c>
      <c r="T19" s="73"/>
      <c r="U19" s="76"/>
      <c r="W19" s="196"/>
      <c r="X19" s="195"/>
      <c r="Y19" s="197"/>
    </row>
    <row r="20" spans="2:25">
      <c r="B20" s="156" t="str">
        <f>'RISK INPUT'!C6</f>
        <v>DEPO-USD-FIX-O/N-</v>
      </c>
      <c r="C20" s="183">
        <f>'RISK INPUT'!D6</f>
        <v>0.39499567000000002</v>
      </c>
      <c r="D20" s="115" t="s">
        <v>204</v>
      </c>
      <c r="F20" s="40" t="str">
        <f>_xll.qlDepositRateHelper2(H20,I20,J20,K20,$G$5,$G$6,$G$7,$G$8)</f>
        <v>USDONDepoON#0000</v>
      </c>
      <c r="G20" s="12" t="str">
        <f>_xll.ohRangeRetrieveError(F20)</f>
        <v/>
      </c>
      <c r="H20" s="13" t="str">
        <f>$H$18&amp;"DepoON"</f>
        <v>USDONDepoON</v>
      </c>
      <c r="I20" s="14">
        <f t="shared" ref="I20:I55" si="0">C20/100</f>
        <v>3.9499566999999999E-3</v>
      </c>
      <c r="J20" s="13" t="s">
        <v>206</v>
      </c>
      <c r="K20" s="41">
        <v>0</v>
      </c>
      <c r="M20" s="25" t="str">
        <f t="shared" ref="M20:M55" si="1">F20</f>
        <v>USDONDepoON#0000</v>
      </c>
      <c r="N20" s="26">
        <v>1</v>
      </c>
      <c r="O20" s="27" t="str">
        <f t="array" ref="O20:O55">_xll.qlRateHelperSelection(_xll.ohPack(M20:M55),_xll.ohPack(N20:N55),N6,N7,N8,N9,N10)</f>
        <v>USDONDepoON</v>
      </c>
      <c r="P20" s="23"/>
      <c r="Q20" s="75">
        <v>43706</v>
      </c>
      <c r="R20" s="74">
        <v>0.99998902801844125</v>
      </c>
      <c r="S20" s="66">
        <v>4.0128251474684795E-3</v>
      </c>
      <c r="T20" s="63"/>
      <c r="U20" s="60"/>
      <c r="W20" s="196"/>
      <c r="X20" s="195"/>
      <c r="Y20" s="197"/>
    </row>
    <row r="21" spans="2:25">
      <c r="B21" s="156" t="str">
        <f>'RISK INPUT'!C7</f>
        <v>DEPO-USD-FIX-T/N-</v>
      </c>
      <c r="C21" s="183">
        <f>'RISK INPUT'!D7</f>
        <v>0.39499567000000002</v>
      </c>
      <c r="D21" s="115" t="s">
        <v>205</v>
      </c>
      <c r="F21" s="42" t="str">
        <f>_xll.qlDepositRateHelper2(H21,I21,J21,K21,$G$5,$G$6,$G$7,$G$8)</f>
        <v>USDONDepoTN#0000</v>
      </c>
      <c r="G21" s="15" t="str">
        <f>_xll.ohRangeRetrieveError(F21)</f>
        <v/>
      </c>
      <c r="H21" s="16" t="str">
        <f>$H$18&amp;"DepoTN"</f>
        <v>USDONDepoTN</v>
      </c>
      <c r="I21" s="17">
        <f t="shared" si="0"/>
        <v>3.9499566999999999E-3</v>
      </c>
      <c r="J21" s="16" t="s">
        <v>206</v>
      </c>
      <c r="K21" s="43">
        <v>1</v>
      </c>
      <c r="M21" s="25" t="str">
        <f t="shared" si="1"/>
        <v>USDONDepoTN#0000</v>
      </c>
      <c r="N21" s="26">
        <v>1</v>
      </c>
      <c r="O21" s="27" t="str">
        <v>USDONDepoTN</v>
      </c>
      <c r="P21" s="23"/>
      <c r="Q21" s="75">
        <v>43707</v>
      </c>
      <c r="R21" s="74">
        <v>0.99997805615726687</v>
      </c>
      <c r="S21" s="66">
        <v>4.0128251475115562E-3</v>
      </c>
      <c r="T21" s="63"/>
      <c r="U21" s="60"/>
      <c r="W21" s="196"/>
      <c r="X21" s="195"/>
      <c r="Y21" s="197"/>
    </row>
    <row r="22" spans="2:25">
      <c r="B22" s="156" t="str">
        <f>'RISK INPUT'!C8</f>
        <v>DEPO-USD-FIX-1D-</v>
      </c>
      <c r="C22" s="183">
        <f>'RISK INPUT'!D8</f>
        <v>0.39500000000000002</v>
      </c>
      <c r="D22" s="115" t="s">
        <v>206</v>
      </c>
      <c r="F22" s="42" t="str">
        <f>_xll.qlDepositRateHelper2(H22,I22,J22,K22,$G$5,$G$6,$G$7,$G$8)</f>
        <v>USDONDepo1d#0000</v>
      </c>
      <c r="G22" s="15" t="str">
        <f>_xll.ohRangeRetrieveError(F22)</f>
        <v/>
      </c>
      <c r="H22" s="16" t="str">
        <f>$H$18&amp;"Depo1d"</f>
        <v>USDONDepo1d</v>
      </c>
      <c r="I22" s="17">
        <f t="shared" si="0"/>
        <v>3.9500000000000004E-3</v>
      </c>
      <c r="J22" s="16" t="str">
        <f t="shared" ref="J22:J53" si="2">D22</f>
        <v>1D</v>
      </c>
      <c r="K22" s="43">
        <v>2</v>
      </c>
      <c r="M22" s="25" t="str">
        <f t="shared" si="1"/>
        <v>USDONDepo1d#0000</v>
      </c>
      <c r="N22" s="26">
        <v>1</v>
      </c>
      <c r="O22" s="27" t="str">
        <v>USDONDepo1d</v>
      </c>
      <c r="P22" s="23"/>
      <c r="Q22" s="75">
        <v>43711</v>
      </c>
      <c r="R22" s="74">
        <v>0.99993417015757668</v>
      </c>
      <c r="S22" s="66">
        <v>4.0128104152712396E-3</v>
      </c>
      <c r="T22" s="63"/>
      <c r="U22" s="60"/>
      <c r="W22" s="196"/>
      <c r="X22" s="195"/>
      <c r="Y22" s="197"/>
    </row>
    <row r="23" spans="2:25">
      <c r="B23" s="156" t="str">
        <f>'RISK INPUT'!C9</f>
        <v>OIS_SWAP-USD-FED (OIS)-1W-</v>
      </c>
      <c r="C23" s="183">
        <f>'RISK INPUT'!D9</f>
        <v>0.34899999999999998</v>
      </c>
      <c r="D23" s="115" t="s">
        <v>207</v>
      </c>
      <c r="F23" s="42" t="str">
        <f>_xll.qlOISRateHelper(H23,K23,J23,I23,$C$5)</f>
        <v>USDONOIS1W#0000</v>
      </c>
      <c r="G23" s="15" t="str">
        <f>_xll.ohRangeRetrieveError(F23)</f>
        <v/>
      </c>
      <c r="H23" s="16" t="str">
        <f>$H$18&amp;"OIS1W"</f>
        <v>USDONOIS1W</v>
      </c>
      <c r="I23" s="17">
        <f t="shared" si="0"/>
        <v>3.4899999999999996E-3</v>
      </c>
      <c r="J23" s="16" t="str">
        <f t="shared" si="2"/>
        <v>1W</v>
      </c>
      <c r="K23" s="43">
        <v>0</v>
      </c>
      <c r="M23" s="25" t="str">
        <f t="shared" si="1"/>
        <v>USDONOIS1W#0000</v>
      </c>
      <c r="N23" s="26">
        <v>1</v>
      </c>
      <c r="O23" s="27" t="str">
        <v>USDONOIS1W</v>
      </c>
      <c r="P23" s="23"/>
      <c r="Q23" s="75">
        <v>43712</v>
      </c>
      <c r="R23" s="74">
        <v>0.99993214349392645</v>
      </c>
      <c r="S23" s="66">
        <v>3.5446195117179169E-3</v>
      </c>
      <c r="T23" s="63"/>
      <c r="U23" s="60"/>
      <c r="W23" s="196"/>
      <c r="X23" s="195"/>
      <c r="Y23" s="197"/>
    </row>
    <row r="24" spans="2:25">
      <c r="B24" s="156" t="str">
        <f>'RISK INPUT'!C10</f>
        <v>OIS_SWAP-USD-FED (OIS)-1M-</v>
      </c>
      <c r="C24" s="183">
        <f>'RISK INPUT'!D10</f>
        <v>0.4</v>
      </c>
      <c r="D24" s="115" t="s">
        <v>208</v>
      </c>
      <c r="E24" s="177"/>
      <c r="F24" s="42" t="str">
        <f>_xll.qlOISRateHelper(H24,K24,J24,I24,$C$5)</f>
        <v>USDONOIS1M#0000</v>
      </c>
      <c r="G24" s="15" t="str">
        <f>_xll.ohRangeRetrieveError(F24)</f>
        <v/>
      </c>
      <c r="H24" s="16" t="str">
        <f t="shared" ref="H24:H53" si="3">$H$18&amp;"OIS"&amp;J24</f>
        <v>USDONOIS1M</v>
      </c>
      <c r="I24" s="17">
        <f t="shared" si="0"/>
        <v>4.0000000000000001E-3</v>
      </c>
      <c r="J24" s="16" t="str">
        <f t="shared" si="2"/>
        <v>1M</v>
      </c>
      <c r="K24" s="43">
        <v>0</v>
      </c>
      <c r="M24" s="25" t="str">
        <f t="shared" si="1"/>
        <v>USDONOIS1M#0000</v>
      </c>
      <c r="N24" s="26">
        <v>1</v>
      </c>
      <c r="O24" s="27" t="str">
        <v>USDONOIS1M</v>
      </c>
      <c r="P24" s="23"/>
      <c r="Q24" s="75">
        <v>43738</v>
      </c>
      <c r="R24" s="74">
        <v>0.99963346772849959</v>
      </c>
      <c r="S24" s="66">
        <v>4.0630440922733158E-3</v>
      </c>
      <c r="T24" s="63"/>
      <c r="U24" s="60"/>
      <c r="W24" s="196"/>
      <c r="X24" s="195"/>
      <c r="Y24" s="197"/>
    </row>
    <row r="25" spans="2:25">
      <c r="B25" s="156" t="str">
        <f>'RISK INPUT'!C11</f>
        <v>OIS_SWAP-USD-FED (OIS)-2M-</v>
      </c>
      <c r="C25" s="183">
        <f>'RISK INPUT'!D11</f>
        <v>0.41699999999999998</v>
      </c>
      <c r="D25" s="115" t="s">
        <v>209</v>
      </c>
      <c r="F25" s="42" t="str">
        <f>_xll.qlOISRateHelper(H25,K25,J25,I25,$C$5)</f>
        <v>USDONOIS2M#0000</v>
      </c>
      <c r="G25" s="15" t="str">
        <f>_xll.ohRangeRetrieveError(F25)</f>
        <v/>
      </c>
      <c r="H25" s="16" t="str">
        <f t="shared" si="3"/>
        <v>USDONOIS2M</v>
      </c>
      <c r="I25" s="17">
        <f t="shared" si="0"/>
        <v>4.1700000000000001E-3</v>
      </c>
      <c r="J25" s="16" t="str">
        <f t="shared" si="2"/>
        <v>2M</v>
      </c>
      <c r="K25" s="43">
        <v>0</v>
      </c>
      <c r="M25" s="25" t="str">
        <f t="shared" si="1"/>
        <v>USDONOIS2M#0000</v>
      </c>
      <c r="N25" s="26">
        <v>1</v>
      </c>
      <c r="O25" s="27" t="str">
        <v>USDONOIS2M</v>
      </c>
      <c r="P25" s="23"/>
      <c r="Q25" s="75">
        <v>43766</v>
      </c>
      <c r="R25" s="74">
        <v>0.99929391557415392</v>
      </c>
      <c r="S25" s="66">
        <v>4.23536760658072E-3</v>
      </c>
      <c r="T25" s="63"/>
      <c r="U25" s="60"/>
      <c r="W25" s="196"/>
      <c r="X25" s="195"/>
      <c r="Y25" s="197"/>
    </row>
    <row r="26" spans="2:25">
      <c r="B26" s="156" t="str">
        <f>'RISK INPUT'!C12</f>
        <v>OIS_SWAP-USD-FED (OIS)-3M-</v>
      </c>
      <c r="C26" s="183">
        <f>'RISK INPUT'!D12</f>
        <v>0.45700000000000002</v>
      </c>
      <c r="D26" s="115" t="s">
        <v>210</v>
      </c>
      <c r="F26" s="42" t="str">
        <f>_xll.qlOISRateHelper(H26,K26,J26,I26,$C$5)</f>
        <v>USDONOIS3M#0000</v>
      </c>
      <c r="G26" s="15" t="str">
        <f>_xll.ohRangeRetrieveError(F26)</f>
        <v/>
      </c>
      <c r="H26" s="16" t="str">
        <f t="shared" si="3"/>
        <v>USDONOIS3M</v>
      </c>
      <c r="I26" s="17">
        <f t="shared" si="0"/>
        <v>4.5700000000000003E-3</v>
      </c>
      <c r="J26" s="16" t="str">
        <f t="shared" si="2"/>
        <v>3M</v>
      </c>
      <c r="K26" s="43">
        <v>0</v>
      </c>
      <c r="M26" s="25" t="str">
        <f t="shared" si="1"/>
        <v>USDONOIS3M#0000</v>
      </c>
      <c r="N26" s="26">
        <v>1</v>
      </c>
      <c r="O26" s="27" t="str">
        <v>USDONOIS3M</v>
      </c>
      <c r="P26" s="23"/>
      <c r="Q26" s="75">
        <v>43798</v>
      </c>
      <c r="R26" s="74">
        <v>0.99882080880014457</v>
      </c>
      <c r="S26" s="66">
        <v>4.6414777153014342E-3</v>
      </c>
      <c r="T26" s="63"/>
      <c r="U26" s="60"/>
      <c r="W26" s="196"/>
      <c r="X26" s="195"/>
      <c r="Y26" s="197"/>
    </row>
    <row r="27" spans="2:25">
      <c r="B27" s="156" t="str">
        <f>'RISK INPUT'!C13</f>
        <v>OIS_SWAP-USD-FED (OIS)-4M-</v>
      </c>
      <c r="C27" s="183">
        <f>'RISK INPUT'!D13</f>
        <v>0.47599999999999998</v>
      </c>
      <c r="D27" s="115" t="s">
        <v>226</v>
      </c>
      <c r="F27" s="42" t="str">
        <f>_xll.qlOISRateHelper(H27,K27,J27,I27,$C$5)</f>
        <v>USDONOIS4M#0000</v>
      </c>
      <c r="G27" s="15" t="str">
        <f>_xll.ohRangeRetrieveError(F27)</f>
        <v/>
      </c>
      <c r="H27" s="16" t="str">
        <f t="shared" si="3"/>
        <v>USDONOIS4M</v>
      </c>
      <c r="I27" s="17">
        <f t="shared" si="0"/>
        <v>4.7599999999999995E-3</v>
      </c>
      <c r="J27" s="16" t="str">
        <f t="shared" si="2"/>
        <v>4M</v>
      </c>
      <c r="K27" s="43">
        <v>0</v>
      </c>
      <c r="M27" s="25" t="str">
        <f t="shared" si="1"/>
        <v>USDONOIS4M#0000</v>
      </c>
      <c r="N27" s="26">
        <v>1</v>
      </c>
      <c r="O27" s="27" t="str">
        <v>USDONOIS4M</v>
      </c>
      <c r="P27" s="23"/>
      <c r="Q27" s="75">
        <v>43829</v>
      </c>
      <c r="R27" s="74">
        <v>0.99836312818671979</v>
      </c>
      <c r="S27" s="66">
        <v>4.8338044117397505E-3</v>
      </c>
      <c r="T27" s="63"/>
      <c r="U27" s="60"/>
      <c r="W27" s="196"/>
      <c r="X27" s="195"/>
      <c r="Y27" s="197"/>
    </row>
    <row r="28" spans="2:25">
      <c r="B28" s="156" t="str">
        <f>'RISK INPUT'!C14</f>
        <v>OIS_SWAP-USD-FED (OIS)-5M-</v>
      </c>
      <c r="C28" s="183">
        <f>'RISK INPUT'!D14</f>
        <v>0.496</v>
      </c>
      <c r="D28" s="115" t="s">
        <v>227</v>
      </c>
      <c r="F28" s="42" t="str">
        <f>_xll.qlOISRateHelper(H28,K28,J28,I28,$C$5)</f>
        <v>USDONOIS5M#0000</v>
      </c>
      <c r="G28" s="15" t="str">
        <f>_xll.ohRangeRetrieveError(F28)</f>
        <v/>
      </c>
      <c r="H28" s="16" t="str">
        <f t="shared" si="3"/>
        <v>USDONOIS5M</v>
      </c>
      <c r="I28" s="17">
        <f t="shared" si="0"/>
        <v>4.96E-3</v>
      </c>
      <c r="J28" s="16" t="str">
        <f t="shared" si="2"/>
        <v>5M</v>
      </c>
      <c r="K28" s="43">
        <v>0</v>
      </c>
      <c r="M28" s="25" t="str">
        <f t="shared" si="1"/>
        <v>USDONOIS5M#0000</v>
      </c>
      <c r="N28" s="26">
        <v>1</v>
      </c>
      <c r="O28" s="27" t="str">
        <v>USDONOIS5M</v>
      </c>
      <c r="P28" s="23"/>
      <c r="Q28" s="75">
        <v>43858</v>
      </c>
      <c r="R28" s="74">
        <v>0.99789643431646124</v>
      </c>
      <c r="S28" s="66">
        <v>5.036235291147273E-3</v>
      </c>
      <c r="T28" s="63"/>
      <c r="U28" s="60"/>
      <c r="W28" s="196"/>
      <c r="X28" s="195"/>
      <c r="Y28" s="197"/>
    </row>
    <row r="29" spans="2:25">
      <c r="B29" s="156" t="str">
        <f>'RISK INPUT'!C15</f>
        <v>OIS_SWAP-USD-FED (OIS)-6M-</v>
      </c>
      <c r="C29" s="183">
        <f>'RISK INPUT'!D15</f>
        <v>0.51100000000000001</v>
      </c>
      <c r="D29" s="115" t="s">
        <v>228</v>
      </c>
      <c r="F29" s="42" t="str">
        <f>_xll.qlOISRateHelper(H29,K29,J29,I29,$C$5)</f>
        <v>USDONOIS6M#0000</v>
      </c>
      <c r="G29" s="15" t="str">
        <f>_xll.ohRangeRetrieveError(F29)</f>
        <v/>
      </c>
      <c r="H29" s="16" t="str">
        <f t="shared" si="3"/>
        <v>USDONOIS6M</v>
      </c>
      <c r="I29" s="17">
        <f t="shared" si="0"/>
        <v>5.11E-3</v>
      </c>
      <c r="J29" s="16" t="str">
        <f t="shared" si="2"/>
        <v>6M</v>
      </c>
      <c r="K29" s="43">
        <v>0</v>
      </c>
      <c r="M29" s="25" t="str">
        <f t="shared" si="1"/>
        <v>USDONOIS6M#0000</v>
      </c>
      <c r="N29" s="26">
        <v>1</v>
      </c>
      <c r="O29" s="27" t="str">
        <v>USDONOIS6M</v>
      </c>
      <c r="P29" s="23"/>
      <c r="Q29" s="75">
        <v>43889</v>
      </c>
      <c r="R29" s="74">
        <v>0.99739502583585615</v>
      </c>
      <c r="S29" s="66">
        <v>5.1876275903386393E-3</v>
      </c>
      <c r="T29" s="63"/>
      <c r="U29" s="60"/>
      <c r="W29" s="196"/>
      <c r="X29" s="195"/>
      <c r="Y29" s="197"/>
    </row>
    <row r="30" spans="2:25">
      <c r="B30" s="156" t="str">
        <f>'RISK INPUT'!C16</f>
        <v>OIS_SWAP-USD-FED (OIS)-7M-</v>
      </c>
      <c r="C30" s="183">
        <f>'RISK INPUT'!D16</f>
        <v>0.52800000000000002</v>
      </c>
      <c r="D30" s="115" t="s">
        <v>229</v>
      </c>
      <c r="F30" s="42" t="str">
        <f>_xll.qlOISRateHelper(H30,K30,J30,I30,$C$5)</f>
        <v>USDONOIS7M#0000</v>
      </c>
      <c r="G30" s="15" t="str">
        <f>_xll.ohRangeRetrieveError(F30)</f>
        <v/>
      </c>
      <c r="H30" s="16" t="str">
        <f t="shared" si="3"/>
        <v>USDONOIS7M</v>
      </c>
      <c r="I30" s="17">
        <f t="shared" si="0"/>
        <v>5.28E-3</v>
      </c>
      <c r="J30" s="16" t="str">
        <f t="shared" si="2"/>
        <v>7M</v>
      </c>
      <c r="K30" s="43">
        <v>0</v>
      </c>
      <c r="M30" s="25" t="str">
        <f t="shared" si="1"/>
        <v>USDONOIS7M#0000</v>
      </c>
      <c r="N30" s="26">
        <v>1</v>
      </c>
      <c r="O30" s="27" t="str">
        <v>USDONOIS7M</v>
      </c>
      <c r="P30" s="23"/>
      <c r="Q30" s="75">
        <v>43920</v>
      </c>
      <c r="R30" s="74">
        <v>0.99685657892113577</v>
      </c>
      <c r="S30" s="66">
        <v>5.3592201306302822E-3</v>
      </c>
      <c r="T30" s="63"/>
      <c r="U30" s="60"/>
      <c r="W30" s="196"/>
      <c r="X30" s="195"/>
      <c r="Y30" s="197"/>
    </row>
    <row r="31" spans="2:25">
      <c r="B31" s="156" t="str">
        <f>'RISK INPUT'!C17</f>
        <v>OIS_SWAP-USD-FED (OIS)-8M-</v>
      </c>
      <c r="C31" s="183">
        <f>'RISK INPUT'!D17</f>
        <v>0.54800000000000004</v>
      </c>
      <c r="D31" s="115" t="s">
        <v>230</v>
      </c>
      <c r="F31" s="42" t="str">
        <f>_xll.qlOISRateHelper(H31,K31,J31,I31,$C$5)</f>
        <v>USDONOIS8M#0000</v>
      </c>
      <c r="G31" s="15" t="str">
        <f>_xll.ohRangeRetrieveError(F31)</f>
        <v/>
      </c>
      <c r="H31" s="16" t="str">
        <f t="shared" si="3"/>
        <v>USDONOIS8M</v>
      </c>
      <c r="I31" s="17">
        <f t="shared" si="0"/>
        <v>5.4800000000000005E-3</v>
      </c>
      <c r="J31" s="16" t="str">
        <f t="shared" si="2"/>
        <v>8M</v>
      </c>
      <c r="K31" s="43">
        <v>0</v>
      </c>
      <c r="M31" s="25" t="str">
        <f t="shared" si="1"/>
        <v>USDONOIS8M#0000</v>
      </c>
      <c r="N31" s="26">
        <v>1</v>
      </c>
      <c r="O31" s="27" t="str">
        <v>USDONOIS8M</v>
      </c>
      <c r="P31" s="23"/>
      <c r="Q31" s="75">
        <v>43949</v>
      </c>
      <c r="R31" s="74">
        <v>0.99629952217475026</v>
      </c>
      <c r="S31" s="66">
        <v>5.5612247917264934E-3</v>
      </c>
      <c r="T31" s="63"/>
      <c r="U31" s="60"/>
      <c r="W31" s="196"/>
      <c r="X31" s="195"/>
      <c r="Y31" s="197"/>
    </row>
    <row r="32" spans="2:25">
      <c r="B32" s="156" t="str">
        <f>'RISK INPUT'!C18</f>
        <v>OIS_SWAP-USD-FED (OIS)-9M-</v>
      </c>
      <c r="C32" s="183">
        <f>'RISK INPUT'!D18</f>
        <v>0.56399999999999995</v>
      </c>
      <c r="D32" s="115" t="s">
        <v>231</v>
      </c>
      <c r="F32" s="42" t="str">
        <f>_xll.qlOISRateHelper(H32,K32,J32,I32,$C$5)</f>
        <v>USDONOIS9M#0000</v>
      </c>
      <c r="G32" s="15" t="str">
        <f>_xll.ohRangeRetrieveError(F32)</f>
        <v/>
      </c>
      <c r="H32" s="16" t="str">
        <f t="shared" si="3"/>
        <v>USDONOIS9M</v>
      </c>
      <c r="I32" s="17">
        <f t="shared" si="0"/>
        <v>5.6399999999999992E-3</v>
      </c>
      <c r="J32" s="16" t="str">
        <f t="shared" si="2"/>
        <v>9M</v>
      </c>
      <c r="K32" s="43">
        <v>0</v>
      </c>
      <c r="M32" s="25" t="str">
        <f t="shared" si="1"/>
        <v>USDONOIS9M#0000</v>
      </c>
      <c r="N32" s="26">
        <v>1</v>
      </c>
      <c r="O32" s="27" t="str">
        <v>USDONOIS9M</v>
      </c>
      <c r="P32" s="23"/>
      <c r="Q32" s="75">
        <v>43979</v>
      </c>
      <c r="R32" s="74">
        <v>0.99572568155763452</v>
      </c>
      <c r="S32" s="66">
        <v>5.7224056633937703E-3</v>
      </c>
      <c r="T32" s="63"/>
      <c r="U32" s="60"/>
      <c r="W32" s="196"/>
      <c r="X32" s="195"/>
      <c r="Y32" s="197"/>
    </row>
    <row r="33" spans="2:25">
      <c r="B33" s="156" t="str">
        <f>'RISK INPUT'!C19</f>
        <v>OIS_SWAP-USD-FED (OIS)-10M-</v>
      </c>
      <c r="C33" s="183">
        <f>'RISK INPUT'!D19</f>
        <v>0.57999999999999996</v>
      </c>
      <c r="D33" s="115" t="s">
        <v>232</v>
      </c>
      <c r="F33" s="42" t="str">
        <f>_xll.qlOISRateHelper(H33,K33,J33,I33,$C$5)</f>
        <v>USDONOIS10M#0000</v>
      </c>
      <c r="G33" s="15" t="str">
        <f>_xll.ohRangeRetrieveError(F33)</f>
        <v/>
      </c>
      <c r="H33" s="16" t="str">
        <f t="shared" si="3"/>
        <v>USDONOIS10M</v>
      </c>
      <c r="I33" s="17">
        <f t="shared" si="0"/>
        <v>5.7999999999999996E-3</v>
      </c>
      <c r="J33" s="16" t="str">
        <f t="shared" si="2"/>
        <v>10M</v>
      </c>
      <c r="K33" s="43">
        <v>0</v>
      </c>
      <c r="M33" s="25" t="str">
        <f t="shared" si="1"/>
        <v>USDONOIS10M#0000</v>
      </c>
      <c r="N33" s="26">
        <v>1</v>
      </c>
      <c r="O33" s="27" t="str">
        <v>USDONOIS10M</v>
      </c>
      <c r="P33" s="23"/>
      <c r="Q33" s="75">
        <v>44011</v>
      </c>
      <c r="R33" s="74">
        <v>0.99509418566467445</v>
      </c>
      <c r="S33" s="66">
        <v>5.8833467537859896E-3</v>
      </c>
      <c r="T33" s="63"/>
      <c r="U33" s="60"/>
      <c r="W33" s="196"/>
      <c r="X33" s="195"/>
      <c r="Y33" s="197"/>
    </row>
    <row r="34" spans="2:25">
      <c r="B34" s="156" t="str">
        <f>'RISK INPUT'!C20</f>
        <v>OIS_SWAP-USD-FED (OIS)-11M-</v>
      </c>
      <c r="C34" s="183">
        <f>'RISK INPUT'!D20</f>
        <v>0.59699999999999998</v>
      </c>
      <c r="D34" s="115" t="s">
        <v>233</v>
      </c>
      <c r="F34" s="42" t="str">
        <f>_xll.qlOISRateHelper(H34,K34,J34,I34,$C$5)</f>
        <v>USDONOIS11M#0000</v>
      </c>
      <c r="G34" s="15" t="str">
        <f>_xll.ohRangeRetrieveError(F34)</f>
        <v/>
      </c>
      <c r="H34" s="16" t="str">
        <f t="shared" si="3"/>
        <v>USDONOIS11M</v>
      </c>
      <c r="I34" s="17">
        <f t="shared" si="0"/>
        <v>5.9699999999999996E-3</v>
      </c>
      <c r="J34" s="16" t="str">
        <f t="shared" si="2"/>
        <v>11M</v>
      </c>
      <c r="K34" s="43">
        <v>0</v>
      </c>
      <c r="M34" s="25" t="str">
        <f t="shared" si="1"/>
        <v>USDONOIS11M#0000</v>
      </c>
      <c r="N34" s="26">
        <v>1</v>
      </c>
      <c r="O34" s="27" t="str">
        <v>USDONOIS11M</v>
      </c>
      <c r="P34" s="23"/>
      <c r="Q34" s="75">
        <v>44040</v>
      </c>
      <c r="R34" s="74">
        <v>0.99447527548001213</v>
      </c>
      <c r="S34" s="66">
        <v>6.0544197978933401E-3</v>
      </c>
      <c r="T34" s="63"/>
      <c r="U34" s="60"/>
      <c r="W34" s="196"/>
      <c r="X34" s="195"/>
      <c r="Y34" s="197"/>
    </row>
    <row r="35" spans="2:25">
      <c r="B35" s="156" t="str">
        <f>'RISK INPUT'!C21</f>
        <v>OIS_SWAP-USD-FED (OIS)-12M-</v>
      </c>
      <c r="C35" s="184">
        <f>'RISK INPUT'!D21</f>
        <v>0.61299999999999999</v>
      </c>
      <c r="D35" s="115" t="s">
        <v>332</v>
      </c>
      <c r="F35" s="42" t="str">
        <f>_xll.qlOISRateHelper(H35,K35,J35,I35,$C$5)</f>
        <v>USDONOIS12M#0000</v>
      </c>
      <c r="G35" s="15" t="str">
        <f>_xll.ohRangeRetrieveError(F35)</f>
        <v/>
      </c>
      <c r="H35" s="16" t="str">
        <f t="shared" si="3"/>
        <v>USDONOIS12M</v>
      </c>
      <c r="I35" s="17">
        <f t="shared" si="0"/>
        <v>6.13E-3</v>
      </c>
      <c r="J35" s="16" t="str">
        <f t="shared" si="2"/>
        <v>12M</v>
      </c>
      <c r="K35" s="43">
        <v>0</v>
      </c>
      <c r="M35" s="25" t="str">
        <f t="shared" si="1"/>
        <v>USDONOIS12M#0000</v>
      </c>
      <c r="N35" s="26">
        <v>1</v>
      </c>
      <c r="O35" s="27" t="str">
        <v>USDONOIS12M</v>
      </c>
      <c r="P35" s="23"/>
      <c r="Q35" s="75">
        <v>44071</v>
      </c>
      <c r="R35" s="74">
        <v>0.99380643267715263</v>
      </c>
      <c r="S35" s="66">
        <v>6.2150860837675292E-3</v>
      </c>
      <c r="T35" s="63"/>
      <c r="U35" s="60"/>
      <c r="W35" s="196"/>
      <c r="X35" s="195"/>
      <c r="Y35" s="197"/>
    </row>
    <row r="36" spans="2:25">
      <c r="B36" s="156" t="str">
        <f>'RISK INPUT'!C22</f>
        <v>OIS_SWAP-USD-FED (OIS)-15M-</v>
      </c>
      <c r="C36" s="183">
        <f>'RISK INPUT'!D22</f>
        <v>0.65400000000000003</v>
      </c>
      <c r="D36" s="115" t="s">
        <v>237</v>
      </c>
      <c r="F36" s="42" t="str">
        <f>_xll.qlOISRateHelper(H36,K36,J36,I36,$C$5)</f>
        <v>USDONOIS15M#0000</v>
      </c>
      <c r="G36" s="15" t="str">
        <f>_xll.ohRangeRetrieveError(F36)</f>
        <v/>
      </c>
      <c r="H36" s="16" t="str">
        <f t="shared" si="3"/>
        <v>USDONOIS15M</v>
      </c>
      <c r="I36" s="17">
        <f t="shared" si="0"/>
        <v>6.5400000000000007E-3</v>
      </c>
      <c r="J36" s="16" t="str">
        <f t="shared" si="2"/>
        <v>15M</v>
      </c>
      <c r="K36" s="43">
        <v>0</v>
      </c>
      <c r="M36" s="25" t="str">
        <f t="shared" si="1"/>
        <v>USDONOIS15M#0000</v>
      </c>
      <c r="N36" s="26">
        <v>1</v>
      </c>
      <c r="O36" s="27" t="str">
        <v>USDONOIS15M</v>
      </c>
      <c r="P36" s="23"/>
      <c r="Q36" s="75">
        <v>44165</v>
      </c>
      <c r="R36" s="74">
        <v>0.99170065866874446</v>
      </c>
      <c r="S36" s="66">
        <v>6.6347391019261348E-3</v>
      </c>
      <c r="T36" s="63"/>
      <c r="U36" s="60"/>
      <c r="W36" s="196"/>
      <c r="X36" s="195"/>
      <c r="Y36" s="197"/>
    </row>
    <row r="37" spans="2:25">
      <c r="B37" s="156" t="str">
        <f>'RISK INPUT'!C23</f>
        <v>OIS_SWAP-USD-FED (OIS)-18M-</v>
      </c>
      <c r="C37" s="183">
        <f>'RISK INPUT'!D23</f>
        <v>0.69</v>
      </c>
      <c r="D37" s="115" t="s">
        <v>238</v>
      </c>
      <c r="F37" s="42" t="str">
        <f>_xll.qlOISRateHelper(H37,K37,J37,I37,$C$5)</f>
        <v>USDONOIS18M#0000</v>
      </c>
      <c r="G37" s="15" t="str">
        <f>_xll.ohRangeRetrieveError(F37)</f>
        <v/>
      </c>
      <c r="H37" s="16" t="str">
        <f t="shared" si="3"/>
        <v>USDONOIS18M</v>
      </c>
      <c r="I37" s="17">
        <f t="shared" si="0"/>
        <v>6.8999999999999999E-3</v>
      </c>
      <c r="J37" s="16" t="str">
        <f t="shared" si="2"/>
        <v>18M</v>
      </c>
      <c r="K37" s="43">
        <v>0</v>
      </c>
      <c r="M37" s="25" t="str">
        <f t="shared" si="1"/>
        <v>USDONOIS18M#0000</v>
      </c>
      <c r="N37" s="26">
        <v>1</v>
      </c>
      <c r="O37" s="27" t="str">
        <v>USDONOIS18M</v>
      </c>
      <c r="P37" s="23"/>
      <c r="Q37" s="75">
        <v>44253</v>
      </c>
      <c r="R37" s="74">
        <v>0.98957856045233072</v>
      </c>
      <c r="S37" s="66">
        <v>7.0021106002016165E-3</v>
      </c>
      <c r="T37" s="63"/>
      <c r="U37" s="60"/>
      <c r="W37" s="196"/>
      <c r="X37" s="195"/>
      <c r="Y37" s="197"/>
    </row>
    <row r="38" spans="2:25">
      <c r="B38" s="156" t="str">
        <f>'RISK INPUT'!C24</f>
        <v>OIS_SWAP-USD-FED (OIS)-21M-</v>
      </c>
      <c r="C38" s="183">
        <f>'RISK INPUT'!D24</f>
        <v>0.72499999999999998</v>
      </c>
      <c r="D38" s="115" t="s">
        <v>456</v>
      </c>
      <c r="F38" s="42" t="str">
        <f>_xll.qlOISRateHelper(H38,K38,J38,I38,$C$5)</f>
        <v>USDONOIS21m#0000</v>
      </c>
      <c r="G38" s="15" t="str">
        <f>_xll.ohRangeRetrieveError(F38)</f>
        <v/>
      </c>
      <c r="H38" s="16" t="str">
        <f t="shared" si="3"/>
        <v>USDONOIS21m</v>
      </c>
      <c r="I38" s="17">
        <f t="shared" si="0"/>
        <v>7.2499999999999995E-3</v>
      </c>
      <c r="J38" s="16" t="str">
        <f t="shared" si="2"/>
        <v>21m</v>
      </c>
      <c r="K38" s="43">
        <v>0</v>
      </c>
      <c r="M38" s="25" t="str">
        <f t="shared" si="1"/>
        <v>USDONOIS21m#0000</v>
      </c>
      <c r="N38" s="26">
        <v>1</v>
      </c>
      <c r="O38" s="27" t="str">
        <v>USDONOIS21m</v>
      </c>
      <c r="P38" s="23"/>
      <c r="Q38" s="75">
        <v>44344</v>
      </c>
      <c r="R38" s="74">
        <v>0.98724856780854242</v>
      </c>
      <c r="S38" s="66">
        <v>7.3574532294620187E-3</v>
      </c>
      <c r="T38" s="63"/>
      <c r="U38" s="60"/>
      <c r="W38" s="196"/>
      <c r="X38" s="195"/>
      <c r="Y38" s="197"/>
    </row>
    <row r="39" spans="2:25">
      <c r="B39" s="156" t="str">
        <f>'RISK INPUT'!C25</f>
        <v>OIS_SWAP-USD-FED (OIS)-2Y-</v>
      </c>
      <c r="C39" s="183">
        <f>'RISK INPUT'!D25</f>
        <v>0.75800000000000001</v>
      </c>
      <c r="D39" s="115" t="s">
        <v>240</v>
      </c>
      <c r="E39" s="117"/>
      <c r="F39" s="42" t="str">
        <f>_xll.qlOISRateHelper(H39,K39,J39,I39,$C$5)</f>
        <v>USDONOIS2Y#0000</v>
      </c>
      <c r="G39" s="15" t="str">
        <f>_xll.ohRangeRetrieveError(F39)</f>
        <v/>
      </c>
      <c r="H39" s="16" t="str">
        <f t="shared" si="3"/>
        <v>USDONOIS2Y</v>
      </c>
      <c r="I39" s="478">
        <f t="shared" si="0"/>
        <v>7.5799999999999999E-3</v>
      </c>
      <c r="J39" s="16" t="str">
        <f t="shared" si="2"/>
        <v>2Y</v>
      </c>
      <c r="K39" s="43">
        <v>0</v>
      </c>
      <c r="M39" s="25" t="str">
        <f t="shared" si="1"/>
        <v>USDONOIS2Y#0000</v>
      </c>
      <c r="N39" s="26">
        <v>1</v>
      </c>
      <c r="O39" s="27" t="str">
        <v>USDONOIS2Y</v>
      </c>
      <c r="P39" s="23"/>
      <c r="Q39" s="75">
        <v>44438</v>
      </c>
      <c r="R39" s="474">
        <v>0.98473198932821282</v>
      </c>
      <c r="S39" s="66">
        <v>7.6908218504458947E-3</v>
      </c>
      <c r="T39" s="63"/>
      <c r="U39" s="60"/>
      <c r="W39" s="196"/>
      <c r="X39" s="195"/>
      <c r="Y39" s="197"/>
    </row>
    <row r="40" spans="2:25">
      <c r="B40" s="156" t="str">
        <f>'RISK INPUT'!C26</f>
        <v>OIS_SWAP-USD-FED (OIS)-3Y-</v>
      </c>
      <c r="C40" s="183">
        <f>'RISK INPUT'!D26</f>
        <v>0.86899850000000001</v>
      </c>
      <c r="D40" s="115" t="s">
        <v>211</v>
      </c>
      <c r="F40" s="42" t="str">
        <f>_xll.qlOISRateHelper(H40,K40,J40,I40,$C$5)</f>
        <v>USDONOIS3Y#0000</v>
      </c>
      <c r="G40" s="15" t="str">
        <f>_xll.ohRangeRetrieveError(F40)</f>
        <v/>
      </c>
      <c r="H40" s="16" t="str">
        <f t="shared" si="3"/>
        <v>USDONOIS3Y</v>
      </c>
      <c r="I40" s="17">
        <f t="shared" si="0"/>
        <v>8.6899850000000008E-3</v>
      </c>
      <c r="J40" s="16" t="str">
        <f t="shared" si="2"/>
        <v>3Y</v>
      </c>
      <c r="K40" s="43">
        <v>0</v>
      </c>
      <c r="M40" s="25" t="str">
        <f t="shared" si="1"/>
        <v>USDONOIS3Y#0000</v>
      </c>
      <c r="N40" s="26">
        <v>1</v>
      </c>
      <c r="O40" s="27" t="str">
        <v>USDONOIS3Y</v>
      </c>
      <c r="P40" s="23"/>
      <c r="Q40" s="75">
        <v>44802</v>
      </c>
      <c r="R40" s="74">
        <v>0.97393865137901026</v>
      </c>
      <c r="S40" s="66">
        <v>8.8249858033211392E-3</v>
      </c>
      <c r="T40" s="63"/>
      <c r="U40" s="60"/>
      <c r="W40" s="196"/>
      <c r="X40" s="195"/>
      <c r="Y40" s="197"/>
    </row>
    <row r="41" spans="2:25">
      <c r="B41" s="156" t="str">
        <f>'RISK INPUT'!C27</f>
        <v>OIS_SWAP-USD-FED (OIS)-4Y-</v>
      </c>
      <c r="C41" s="183">
        <f>'RISK INPUT'!D27</f>
        <v>0.95308451000000005</v>
      </c>
      <c r="D41" s="115" t="s">
        <v>212</v>
      </c>
      <c r="F41" s="42" t="str">
        <f>_xll.qlOISRateHelper(H41,K41,J41,I41,$C$5)</f>
        <v>USDONOIS4Y#0000</v>
      </c>
      <c r="G41" s="15" t="str">
        <f>_xll.ohRangeRetrieveError(F41)</f>
        <v/>
      </c>
      <c r="H41" s="16" t="str">
        <f t="shared" si="3"/>
        <v>USDONOIS4Y</v>
      </c>
      <c r="I41" s="17">
        <f t="shared" si="0"/>
        <v>9.5308451000000009E-3</v>
      </c>
      <c r="J41" s="16" t="str">
        <f t="shared" si="2"/>
        <v>4Y</v>
      </c>
      <c r="K41" s="43">
        <v>0</v>
      </c>
      <c r="M41" s="25" t="str">
        <f t="shared" si="1"/>
        <v>USDONOIS4Y#0000</v>
      </c>
      <c r="N41" s="26">
        <v>1</v>
      </c>
      <c r="O41" s="27" t="str">
        <v>USDONOIS4Y</v>
      </c>
      <c r="P41" s="23"/>
      <c r="Q41" s="75">
        <v>45166</v>
      </c>
      <c r="R41" s="74">
        <v>0.9621449597785523</v>
      </c>
      <c r="S41" s="66">
        <v>9.6875586023730254E-3</v>
      </c>
      <c r="T41" s="63"/>
      <c r="U41" s="60"/>
      <c r="W41" s="196"/>
      <c r="X41" s="195"/>
      <c r="Y41" s="197"/>
    </row>
    <row r="42" spans="2:25">
      <c r="B42" s="156" t="str">
        <f>'RISK INPUT'!C28</f>
        <v>OIS_SWAP-USD-FED (OIS)-5Y-</v>
      </c>
      <c r="C42" s="183">
        <f>'RISK INPUT'!D28</f>
        <v>1.03669301</v>
      </c>
      <c r="D42" s="115" t="s">
        <v>213</v>
      </c>
      <c r="F42" s="42" t="str">
        <f>_xll.qlOISRateHelper(H42,K42,J42,I42,$C$5)</f>
        <v>USDONOIS5Y#0000</v>
      </c>
      <c r="G42" s="15" t="str">
        <f>_xll.ohRangeRetrieveError(F42)</f>
        <v/>
      </c>
      <c r="H42" s="16" t="str">
        <f t="shared" si="3"/>
        <v>USDONOIS5Y</v>
      </c>
      <c r="I42" s="17">
        <f t="shared" si="0"/>
        <v>1.0366930099999999E-2</v>
      </c>
      <c r="J42" s="16" t="str">
        <f t="shared" si="2"/>
        <v>5Y</v>
      </c>
      <c r="K42" s="43">
        <v>0</v>
      </c>
      <c r="M42" s="25" t="str">
        <f t="shared" si="1"/>
        <v>USDONOIS5Y#0000</v>
      </c>
      <c r="N42" s="26">
        <v>1</v>
      </c>
      <c r="O42" s="27" t="str">
        <v>USDONOIS5Y</v>
      </c>
      <c r="P42" s="23"/>
      <c r="Q42" s="75">
        <v>45532</v>
      </c>
      <c r="R42" s="74">
        <v>0.94882382952803379</v>
      </c>
      <c r="S42" s="66">
        <v>1.0550190733133569E-2</v>
      </c>
      <c r="T42" s="63"/>
      <c r="U42" s="60"/>
      <c r="W42" s="196"/>
      <c r="X42" s="195"/>
      <c r="Y42" s="197"/>
    </row>
    <row r="43" spans="2:25">
      <c r="B43" s="156" t="str">
        <f>'RISK INPUT'!C29</f>
        <v>OIS_SWAP-USD-FED (OIS)-6Y-</v>
      </c>
      <c r="C43" s="183">
        <f>'RISK INPUT'!D29</f>
        <v>1.10529039</v>
      </c>
      <c r="D43" s="115" t="s">
        <v>214</v>
      </c>
      <c r="F43" s="42" t="str">
        <f>_xll.qlOISRateHelper(H43,K43,J43,I43,$C$5)</f>
        <v>USDONOIS6Y#0000</v>
      </c>
      <c r="G43" s="15" t="str">
        <f>_xll.ohRangeRetrieveError(F43)</f>
        <v/>
      </c>
      <c r="H43" s="16" t="str">
        <f t="shared" si="3"/>
        <v>USDONOIS6Y</v>
      </c>
      <c r="I43" s="17">
        <f t="shared" si="0"/>
        <v>1.1052903899999999E-2</v>
      </c>
      <c r="J43" s="16" t="str">
        <f t="shared" si="2"/>
        <v>6Y</v>
      </c>
      <c r="K43" s="43">
        <v>0</v>
      </c>
      <c r="M43" s="25" t="str">
        <f t="shared" si="1"/>
        <v>USDONOIS6Y#0000</v>
      </c>
      <c r="N43" s="26">
        <v>1</v>
      </c>
      <c r="O43" s="27" t="str">
        <v>USDONOIS6Y</v>
      </c>
      <c r="P43" s="23"/>
      <c r="Q43" s="75">
        <v>45897</v>
      </c>
      <c r="R43" s="74">
        <v>0.93495998085913845</v>
      </c>
      <c r="S43" s="66">
        <v>1.1261301554038372E-2</v>
      </c>
      <c r="T43" s="63"/>
      <c r="U43" s="60"/>
      <c r="W43" s="196"/>
      <c r="X43" s="195"/>
      <c r="Y43" s="197"/>
    </row>
    <row r="44" spans="2:25">
      <c r="B44" s="156" t="str">
        <f>'RISK INPUT'!C30</f>
        <v>OIS_SWAP-USD-FED (OIS)-7Y-</v>
      </c>
      <c r="C44" s="183">
        <f>'RISK INPUT'!D30</f>
        <v>1.18500261</v>
      </c>
      <c r="D44" s="115" t="s">
        <v>215</v>
      </c>
      <c r="F44" s="42" t="str">
        <f>_xll.qlOISRateHelper(H44,K44,J44,I44,$C$5)</f>
        <v>USDONOIS7Y#0000</v>
      </c>
      <c r="G44" s="15" t="str">
        <f>_xll.ohRangeRetrieveError(F44)</f>
        <v/>
      </c>
      <c r="H44" s="16" t="str">
        <f t="shared" si="3"/>
        <v>USDONOIS7Y</v>
      </c>
      <c r="I44" s="17">
        <f t="shared" si="0"/>
        <v>1.1850026099999999E-2</v>
      </c>
      <c r="J44" s="16" t="str">
        <f t="shared" si="2"/>
        <v>7Y</v>
      </c>
      <c r="K44" s="43">
        <v>0</v>
      </c>
      <c r="M44" s="25" t="str">
        <f t="shared" si="1"/>
        <v>USDONOIS7Y#0000</v>
      </c>
      <c r="N44" s="26">
        <v>1</v>
      </c>
      <c r="O44" s="27" t="str">
        <v>USDONOIS7Y</v>
      </c>
      <c r="P44" s="23"/>
      <c r="Q44" s="75">
        <v>46262</v>
      </c>
      <c r="R44" s="74">
        <v>0.91922523995286221</v>
      </c>
      <c r="S44" s="66">
        <v>1.2095164407919246E-2</v>
      </c>
      <c r="T44" s="63"/>
      <c r="U44" s="60"/>
      <c r="W44" s="196"/>
      <c r="X44" s="195"/>
      <c r="Y44" s="197"/>
    </row>
    <row r="45" spans="2:25">
      <c r="B45" s="156" t="str">
        <f>'RISK INPUT'!C31</f>
        <v>OIS_SWAP-USD-FED (OIS)-8Y-</v>
      </c>
      <c r="C45" s="183">
        <f>'RISK INPUT'!D31</f>
        <v>1.2475738599999999</v>
      </c>
      <c r="D45" s="115" t="s">
        <v>216</v>
      </c>
      <c r="F45" s="42" t="str">
        <f>_xll.qlOISRateHelper(H45,K45,J45,I45,$C$5)</f>
        <v>USDONOIS8Y#0000</v>
      </c>
      <c r="G45" s="15" t="str">
        <f>_xll.ohRangeRetrieveError(F45)</f>
        <v/>
      </c>
      <c r="H45" s="16" t="str">
        <f t="shared" si="3"/>
        <v>USDONOIS8Y</v>
      </c>
      <c r="I45" s="17">
        <f t="shared" si="0"/>
        <v>1.2475738599999999E-2</v>
      </c>
      <c r="J45" s="16" t="str">
        <f t="shared" si="2"/>
        <v>8Y</v>
      </c>
      <c r="K45" s="43">
        <v>0</v>
      </c>
      <c r="M45" s="25" t="str">
        <f t="shared" si="1"/>
        <v>USDONOIS8Y#0000</v>
      </c>
      <c r="N45" s="26">
        <v>1</v>
      </c>
      <c r="O45" s="27" t="str">
        <v>USDONOIS8Y</v>
      </c>
      <c r="P45" s="23"/>
      <c r="Q45" s="75">
        <v>46629</v>
      </c>
      <c r="R45" s="74">
        <v>0.90346950404573878</v>
      </c>
      <c r="S45" s="66">
        <v>1.2752383671768674E-2</v>
      </c>
      <c r="T45" s="63"/>
      <c r="U45" s="60"/>
      <c r="W45" s="196"/>
      <c r="X45" s="195"/>
      <c r="Y45" s="197"/>
    </row>
    <row r="46" spans="2:25">
      <c r="B46" s="156" t="str">
        <f>'RISK INPUT'!C32</f>
        <v>OIS_SWAP-USD-FED (OIS)-9Y-</v>
      </c>
      <c r="C46" s="183">
        <f>'RISK INPUT'!D32</f>
        <v>1.31171561</v>
      </c>
      <c r="D46" s="115" t="s">
        <v>217</v>
      </c>
      <c r="F46" s="42" t="str">
        <f>_xll.qlOISRateHelper(H46,K46,J46,I46,$C$5)</f>
        <v>USDONOIS9Y#0000</v>
      </c>
      <c r="G46" s="15" t="str">
        <f>_xll.ohRangeRetrieveError(F46)</f>
        <v/>
      </c>
      <c r="H46" s="16" t="str">
        <f t="shared" si="3"/>
        <v>USDONOIS9Y</v>
      </c>
      <c r="I46" s="17">
        <f t="shared" si="0"/>
        <v>1.3117156100000001E-2</v>
      </c>
      <c r="J46" s="16" t="str">
        <f t="shared" si="2"/>
        <v>9Y</v>
      </c>
      <c r="K46" s="43">
        <v>0</v>
      </c>
      <c r="M46" s="25" t="str">
        <f t="shared" si="1"/>
        <v>USDONOIS9Y#0000</v>
      </c>
      <c r="N46" s="26">
        <v>1</v>
      </c>
      <c r="O46" s="27" t="str">
        <v>USDONOIS9Y</v>
      </c>
      <c r="P46" s="23"/>
      <c r="Q46" s="75">
        <v>46993</v>
      </c>
      <c r="R46" s="74">
        <v>0.88674574134996287</v>
      </c>
      <c r="S46" s="66">
        <v>1.3432451001335055E-2</v>
      </c>
      <c r="T46" s="63"/>
      <c r="U46" s="60"/>
      <c r="W46" s="196"/>
      <c r="X46" s="195"/>
      <c r="Y46" s="197"/>
    </row>
    <row r="47" spans="2:25">
      <c r="B47" s="156" t="str">
        <f>'RISK INPUT'!C33</f>
        <v>OIS_SWAP-USD-FED (OIS)-10Y-</v>
      </c>
      <c r="C47" s="183">
        <f>'RISK INPUT'!D33</f>
        <v>1.37237085</v>
      </c>
      <c r="D47" s="115" t="s">
        <v>218</v>
      </c>
      <c r="F47" s="42" t="str">
        <f>_xll.qlOISRateHelper(H47,K47,J47,I47,$C$5)</f>
        <v>USDONOIS10Y#0000</v>
      </c>
      <c r="G47" s="15" t="str">
        <f>_xll.ohRangeRetrieveError(F47)</f>
        <v/>
      </c>
      <c r="H47" s="16" t="str">
        <f t="shared" si="3"/>
        <v>USDONOIS10Y</v>
      </c>
      <c r="I47" s="17">
        <f t="shared" si="0"/>
        <v>1.3723708500000001E-2</v>
      </c>
      <c r="J47" s="16" t="str">
        <f t="shared" si="2"/>
        <v>10Y</v>
      </c>
      <c r="K47" s="43">
        <v>0</v>
      </c>
      <c r="M47" s="25" t="str">
        <f t="shared" si="1"/>
        <v>USDONOIS10Y#0000</v>
      </c>
      <c r="N47" s="26">
        <v>1</v>
      </c>
      <c r="O47" s="27" t="str">
        <v>USDONOIS10Y</v>
      </c>
      <c r="P47" s="23"/>
      <c r="Q47" s="75">
        <v>47358</v>
      </c>
      <c r="R47" s="74">
        <v>0.86941146851236895</v>
      </c>
      <c r="S47" s="66">
        <v>1.4080595296170895E-2</v>
      </c>
      <c r="T47" s="63"/>
      <c r="U47" s="60"/>
      <c r="W47" s="196"/>
      <c r="X47" s="195"/>
      <c r="Y47" s="197"/>
    </row>
    <row r="48" spans="2:25">
      <c r="B48" s="156" t="str">
        <f>'RISK INPUT'!C34</f>
        <v>OIS_SWAP-USD-FED (OIS)-12Y-</v>
      </c>
      <c r="C48" s="183">
        <f>'RISK INPUT'!D34</f>
        <v>1.4736314100000001</v>
      </c>
      <c r="D48" s="115" t="s">
        <v>219</v>
      </c>
      <c r="F48" s="42" t="str">
        <f>_xll.qlOISRateHelper(H48,K48,J48,I48,$C$5)</f>
        <v>USDONOIS12Y#0000</v>
      </c>
      <c r="G48" s="15" t="str">
        <f>_xll.ohRangeRetrieveError(F48)</f>
        <v/>
      </c>
      <c r="H48" s="16" t="str">
        <f t="shared" si="3"/>
        <v>USDONOIS12Y</v>
      </c>
      <c r="I48" s="17">
        <f t="shared" si="0"/>
        <v>1.4736314100000002E-2</v>
      </c>
      <c r="J48" s="16" t="str">
        <f t="shared" si="2"/>
        <v>12Y</v>
      </c>
      <c r="K48" s="43">
        <v>0</v>
      </c>
      <c r="M48" s="25" t="str">
        <f t="shared" si="1"/>
        <v>USDONOIS12Y#0000</v>
      </c>
      <c r="N48" s="26">
        <v>1</v>
      </c>
      <c r="O48" s="27" t="str">
        <v>USDONOIS12Y</v>
      </c>
      <c r="P48" s="23"/>
      <c r="Q48" s="75">
        <v>48088</v>
      </c>
      <c r="R48" s="74">
        <v>0.83457954396560896</v>
      </c>
      <c r="S48" s="66">
        <v>1.5172573271061029E-2</v>
      </c>
      <c r="T48" s="63"/>
      <c r="U48" s="60"/>
      <c r="W48" s="196"/>
      <c r="X48" s="195"/>
      <c r="Y48" s="197"/>
    </row>
    <row r="49" spans="2:25">
      <c r="B49" s="156" t="str">
        <f>'RISK INPUT'!C35</f>
        <v>OIS_SWAP-USD-FED (OIS)-15Y-</v>
      </c>
      <c r="C49" s="183">
        <f>'RISK INPUT'!D35</f>
        <v>1.58794686</v>
      </c>
      <c r="D49" s="115" t="s">
        <v>220</v>
      </c>
      <c r="F49" s="42" t="str">
        <f>_xll.qlOISRateHelper(H49,K49,J49,I49,$C$5)</f>
        <v>USDONOIS15Y#0000</v>
      </c>
      <c r="G49" s="15" t="str">
        <f>_xll.ohRangeRetrieveError(F49)</f>
        <v/>
      </c>
      <c r="H49" s="16" t="str">
        <f t="shared" si="3"/>
        <v>USDONOIS15Y</v>
      </c>
      <c r="I49" s="17">
        <f t="shared" si="0"/>
        <v>1.5879468599999998E-2</v>
      </c>
      <c r="J49" s="16" t="str">
        <f t="shared" si="2"/>
        <v>15Y</v>
      </c>
      <c r="K49" s="43">
        <v>0</v>
      </c>
      <c r="M49" s="25" t="str">
        <f t="shared" si="1"/>
        <v>USDONOIS15Y#0000</v>
      </c>
      <c r="N49" s="26">
        <v>1</v>
      </c>
      <c r="O49" s="27" t="str">
        <v>USDONOIS15Y</v>
      </c>
      <c r="P49" s="23"/>
      <c r="Q49" s="75">
        <v>49184</v>
      </c>
      <c r="R49" s="74">
        <v>0.78307202509231999</v>
      </c>
      <c r="S49" s="66">
        <v>1.6423546339292328E-2</v>
      </c>
      <c r="T49" s="63"/>
      <c r="U49" s="60"/>
      <c r="W49" s="196"/>
      <c r="X49" s="195"/>
      <c r="Y49" s="197"/>
    </row>
    <row r="50" spans="2:25">
      <c r="B50" s="156" t="str">
        <f>'RISK INPUT'!C36</f>
        <v>OIS_SWAP-USD-FED (OIS)-20Y-</v>
      </c>
      <c r="C50" s="183">
        <f>'RISK INPUT'!D36</f>
        <v>1.7088001100000001</v>
      </c>
      <c r="D50" s="115" t="s">
        <v>221</v>
      </c>
      <c r="F50" s="42" t="str">
        <f>_xll.qlOISRateHelper(H50,K50,J50,I50,$C$5)</f>
        <v>USDONOIS20Y#0000</v>
      </c>
      <c r="G50" s="15" t="str">
        <f>_xll.ohRangeRetrieveError(F50)</f>
        <v/>
      </c>
      <c r="H50" s="16" t="str">
        <f t="shared" si="3"/>
        <v>USDONOIS20Y</v>
      </c>
      <c r="I50" s="17">
        <f t="shared" si="0"/>
        <v>1.70880011E-2</v>
      </c>
      <c r="J50" s="16" t="str">
        <f t="shared" si="2"/>
        <v>20Y</v>
      </c>
      <c r="K50" s="43">
        <v>0</v>
      </c>
      <c r="M50" s="25" t="str">
        <f t="shared" si="1"/>
        <v>USDONOIS20Y#0000</v>
      </c>
      <c r="N50" s="26">
        <v>1</v>
      </c>
      <c r="O50" s="27" t="str">
        <v>USDONOIS20Y</v>
      </c>
      <c r="Q50" s="75">
        <v>51011</v>
      </c>
      <c r="R50" s="74">
        <v>0.70288554882964793</v>
      </c>
      <c r="S50" s="66">
        <v>1.7769617218105882E-2</v>
      </c>
      <c r="T50" s="63"/>
      <c r="U50" s="60"/>
      <c r="W50" s="196"/>
      <c r="X50" s="195"/>
      <c r="Y50" s="197"/>
    </row>
    <row r="51" spans="2:25">
      <c r="B51" s="156" t="str">
        <f>'RISK INPUT'!C37</f>
        <v>OIS_SWAP-USD-FED (OIS)-25Y-</v>
      </c>
      <c r="C51" s="183">
        <f>'RISK INPUT'!D37</f>
        <v>1.76896236</v>
      </c>
      <c r="D51" s="115" t="s">
        <v>222</v>
      </c>
      <c r="F51" s="42" t="str">
        <f>_xll.qlOISRateHelper(H51,K51,J51,I51,$C$5)</f>
        <v>USDONOIS25Y#0000</v>
      </c>
      <c r="G51" s="15" t="str">
        <f>_xll.ohRangeRetrieveError(F51)</f>
        <v/>
      </c>
      <c r="H51" s="16" t="str">
        <f t="shared" si="3"/>
        <v>USDONOIS25Y</v>
      </c>
      <c r="I51" s="17">
        <f t="shared" si="0"/>
        <v>1.7689623599999999E-2</v>
      </c>
      <c r="J51" s="16" t="str">
        <f t="shared" si="2"/>
        <v>25Y</v>
      </c>
      <c r="K51" s="43">
        <v>0</v>
      </c>
      <c r="M51" s="25" t="str">
        <f t="shared" si="1"/>
        <v>USDONOIS25Y#0000</v>
      </c>
      <c r="N51" s="26">
        <v>1</v>
      </c>
      <c r="O51" s="27" t="str">
        <v>USDONOIS25Y</v>
      </c>
      <c r="Q51" s="75">
        <v>52838</v>
      </c>
      <c r="R51" s="74">
        <v>0.63313304556113148</v>
      </c>
      <c r="S51" s="66">
        <v>1.8434834675483458E-2</v>
      </c>
      <c r="T51" s="63"/>
      <c r="U51" s="60"/>
      <c r="W51" s="196"/>
      <c r="X51" s="195"/>
      <c r="Y51" s="197"/>
    </row>
    <row r="52" spans="2:25">
      <c r="B52" s="156" t="str">
        <f>'RISK INPUT'!C38</f>
        <v>OIS_SWAP-USD-FED (OIS)-30Y-</v>
      </c>
      <c r="C52" s="183">
        <f>'RISK INPUT'!D38</f>
        <v>1.8020356200000001</v>
      </c>
      <c r="D52" s="115" t="s">
        <v>223</v>
      </c>
      <c r="F52" s="42" t="str">
        <f>_xll.qlOISRateHelper(H52,K52,J52,I52,$C$5)</f>
        <v>USDONOIS30Y#0000</v>
      </c>
      <c r="G52" s="15" t="str">
        <f>_xll.ohRangeRetrieveError(F52)</f>
        <v/>
      </c>
      <c r="H52" s="16" t="str">
        <f t="shared" si="3"/>
        <v>USDONOIS30Y</v>
      </c>
      <c r="I52" s="17">
        <f t="shared" si="0"/>
        <v>1.80203562E-2</v>
      </c>
      <c r="J52" s="16" t="str">
        <f t="shared" si="2"/>
        <v>30Y</v>
      </c>
      <c r="K52" s="43">
        <v>0</v>
      </c>
      <c r="M52" s="25" t="str">
        <f t="shared" si="1"/>
        <v>USDONOIS30Y#0000</v>
      </c>
      <c r="N52" s="26">
        <v>1</v>
      </c>
      <c r="O52" s="27" t="str">
        <v>USDONOIS30Y</v>
      </c>
      <c r="Q52" s="75">
        <v>54665</v>
      </c>
      <c r="R52" s="74">
        <v>0.57178388534699642</v>
      </c>
      <c r="S52" s="66">
        <v>1.8790498950932211E-2</v>
      </c>
      <c r="T52" s="63"/>
      <c r="U52" s="60"/>
      <c r="W52" s="196"/>
      <c r="X52" s="195"/>
      <c r="Y52" s="197"/>
    </row>
    <row r="53" spans="2:25">
      <c r="B53" s="156" t="str">
        <f>'RISK INPUT'!C39</f>
        <v>OIS_SWAP-USD-FED (OIS)-40Y-</v>
      </c>
      <c r="C53" s="183">
        <f>'RISK INPUT'!D39</f>
        <v>1.8200604899999999</v>
      </c>
      <c r="D53" s="115" t="s">
        <v>224</v>
      </c>
      <c r="F53" s="42" t="str">
        <f>_xll.qlOISRateHelper(H53,K53,J53,I53,$C$5)</f>
        <v>USDONOIS40Y#0000</v>
      </c>
      <c r="G53" s="15" t="str">
        <f>_xll.ohRangeRetrieveError(F53)</f>
        <v/>
      </c>
      <c r="H53" s="16" t="str">
        <f t="shared" si="3"/>
        <v>USDONOIS40Y</v>
      </c>
      <c r="I53" s="17">
        <f t="shared" si="0"/>
        <v>1.82006049E-2</v>
      </c>
      <c r="J53" s="16" t="str">
        <f t="shared" si="2"/>
        <v>40Y</v>
      </c>
      <c r="K53" s="43">
        <v>0</v>
      </c>
      <c r="M53" s="25" t="str">
        <f t="shared" si="1"/>
        <v>USDONOIS40Y#0000</v>
      </c>
      <c r="N53" s="26">
        <v>1</v>
      </c>
      <c r="O53" s="27" t="str">
        <v>USDONOIS40Y</v>
      </c>
      <c r="Q53" s="75">
        <v>58315</v>
      </c>
      <c r="R53" s="74">
        <v>0.47236628846184908</v>
      </c>
      <c r="S53" s="66">
        <v>1.8913822800640689E-2</v>
      </c>
      <c r="T53" s="63"/>
      <c r="U53" s="60"/>
    </row>
    <row r="54" spans="2:25">
      <c r="B54" s="156" t="str">
        <f>'RISK INPUT'!C40</f>
        <v>OIS_SWAP-USD-FED (OIS)-50Y-</v>
      </c>
      <c r="C54" s="254">
        <f>'RISK INPUT'!D40</f>
        <v>1.8064943099999999</v>
      </c>
      <c r="D54" s="115" t="s">
        <v>225</v>
      </c>
      <c r="F54" s="42" t="str">
        <f>_xll.qlOISRateHelper(H54,K54,J54,I54,$C$5)</f>
        <v>USDONOIS50Y#0000</v>
      </c>
      <c r="G54" s="15" t="str">
        <f>_xll.ohRangeRetrieveError(F54)</f>
        <v/>
      </c>
      <c r="H54" s="16" t="str">
        <f>$H$18&amp;"OIS"&amp;J54</f>
        <v>USDONOIS50Y</v>
      </c>
      <c r="I54" s="17">
        <f t="shared" si="0"/>
        <v>1.8064943099999998E-2</v>
      </c>
      <c r="J54" s="16" t="str">
        <f>D54</f>
        <v>50Y</v>
      </c>
      <c r="K54" s="43">
        <v>0</v>
      </c>
      <c r="M54" s="25" t="str">
        <f t="shared" si="1"/>
        <v>USDONOIS50Y#0000</v>
      </c>
      <c r="N54" s="26">
        <v>1</v>
      </c>
      <c r="O54" s="27" t="str">
        <v>USDONOIS50Y</v>
      </c>
      <c r="Q54" s="75">
        <v>61968</v>
      </c>
      <c r="R54" s="74">
        <v>0.39745791751443682</v>
      </c>
      <c r="S54" s="66">
        <v>1.8611259078100906E-2</v>
      </c>
      <c r="T54" s="63"/>
      <c r="U54" s="90"/>
    </row>
    <row r="55" spans="2:25">
      <c r="B55" s="158" t="e">
        <f>'RISK INPUT'!C41</f>
        <v>#N/A</v>
      </c>
      <c r="C55" s="159">
        <f>C54</f>
        <v>1.8064943099999999</v>
      </c>
      <c r="D55" s="115" t="s">
        <v>737</v>
      </c>
      <c r="F55" s="42" t="str">
        <f>_xll.qlOISRateHelper(H55,K55,J55,I55,$C$5)</f>
        <v>USDONOIS60y#0000</v>
      </c>
      <c r="G55" s="15" t="str">
        <f>_xll.ohRangeRetrieveError(F55)</f>
        <v/>
      </c>
      <c r="H55" s="16" t="str">
        <f>$H$18&amp;"OIS"&amp;J55</f>
        <v>USDONOIS60y</v>
      </c>
      <c r="I55" s="17">
        <f t="shared" si="0"/>
        <v>1.8064943099999998E-2</v>
      </c>
      <c r="J55" s="16" t="str">
        <f>D55</f>
        <v>60y</v>
      </c>
      <c r="K55" s="43">
        <v>0</v>
      </c>
      <c r="M55" s="25" t="str">
        <f t="shared" si="1"/>
        <v>USDONOIS60y#0000</v>
      </c>
      <c r="N55" s="26">
        <v>1</v>
      </c>
      <c r="O55" s="27" t="str">
        <v>USDONOIS60y</v>
      </c>
      <c r="Q55" s="84">
        <v>65620</v>
      </c>
      <c r="R55" s="81">
        <v>0.33145407209396116</v>
      </c>
      <c r="S55" s="86">
        <v>1.8562008077358527E-2</v>
      </c>
      <c r="T55" s="82"/>
      <c r="U55" s="50"/>
    </row>
    <row r="56" spans="2:25">
      <c r="B56" s="158" t="e">
        <f>'RISK INPUT'!C42</f>
        <v>#N/A</v>
      </c>
      <c r="C56" s="159">
        <f>'RISK INPUT'!D42</f>
        <v>0.01</v>
      </c>
      <c r="F56" s="42"/>
      <c r="G56" s="15"/>
      <c r="H56" s="16"/>
      <c r="I56" s="17"/>
      <c r="J56" s="19"/>
      <c r="K56" s="90"/>
      <c r="M56" s="25"/>
      <c r="N56" s="26"/>
      <c r="O56" s="27"/>
      <c r="Q56" s="58" t="e">
        <v>#N/A</v>
      </c>
      <c r="R56" s="80" t="e">
        <v>#N/A</v>
      </c>
      <c r="S56" s="91" t="e">
        <v>#N/A</v>
      </c>
      <c r="T56" s="83"/>
    </row>
    <row r="57" spans="2:25">
      <c r="B57" s="158" t="e">
        <f>'RISK INPUT'!C43</f>
        <v>#N/A</v>
      </c>
      <c r="C57" s="159">
        <f>'RISK INPUT'!D43</f>
        <v>0.01</v>
      </c>
      <c r="F57" s="45"/>
      <c r="G57" s="46"/>
      <c r="H57" s="47"/>
      <c r="I57" s="48">
        <f>I54+'USD 1m'!S66</f>
        <v>1.8065943099999999E-2</v>
      </c>
      <c r="J57" s="49"/>
      <c r="K57" s="50"/>
      <c r="M57" s="25"/>
      <c r="N57" s="26"/>
    </row>
    <row r="58" spans="2:25">
      <c r="B58" s="158" t="e">
        <f>'RISK INPUT'!C44</f>
        <v>#N/A</v>
      </c>
      <c r="C58" s="159">
        <f>'RISK INPUT'!D44</f>
        <v>0.01</v>
      </c>
      <c r="E58" s="115" t="str">
        <f>G53</f>
        <v/>
      </c>
      <c r="M58" s="25"/>
      <c r="N58" s="26"/>
    </row>
    <row r="59" spans="2:25">
      <c r="B59" s="158" t="e">
        <f>'RISK INPUT'!C45</f>
        <v>#N/A</v>
      </c>
      <c r="C59" s="159">
        <f>'RISK INPUT'!D45</f>
        <v>0.01</v>
      </c>
      <c r="M59" s="25"/>
      <c r="N59" s="26"/>
    </row>
    <row r="60" spans="2:25">
      <c r="B60" s="158" t="e">
        <f>'RISK INPUT'!C46</f>
        <v>#N/A</v>
      </c>
      <c r="C60" s="159">
        <f>'RISK INPUT'!D46</f>
        <v>0.01</v>
      </c>
      <c r="M60" s="25"/>
      <c r="N60" s="26"/>
    </row>
    <row r="61" spans="2:25">
      <c r="B61" s="158" t="e">
        <f>'RISK INPUT'!C47</f>
        <v>#N/A</v>
      </c>
      <c r="C61" s="159">
        <f>'RISK INPUT'!D47</f>
        <v>0</v>
      </c>
      <c r="M61" s="25"/>
      <c r="N61" s="26"/>
    </row>
    <row r="62" spans="2:25">
      <c r="B62" s="158" t="e">
        <f>'RISK INPUT'!C48</f>
        <v>#N/A</v>
      </c>
      <c r="C62" s="159">
        <f>'RISK INPUT'!D48</f>
        <v>0</v>
      </c>
      <c r="M62" s="25"/>
      <c r="N62" s="26"/>
    </row>
    <row r="63" spans="2:25">
      <c r="B63" s="158" t="e">
        <f>'RISK INPUT'!C49</f>
        <v>#N/A</v>
      </c>
      <c r="C63" s="159">
        <f>'RISK INPUT'!D49</f>
        <v>0</v>
      </c>
      <c r="M63" s="25"/>
      <c r="N63" s="26"/>
    </row>
    <row r="64" spans="2:25">
      <c r="B64" s="158" t="e">
        <f>'RISK INPUT'!C50</f>
        <v>#N/A</v>
      </c>
      <c r="C64" s="159">
        <f>'RISK INPUT'!D50</f>
        <v>0</v>
      </c>
    </row>
    <row r="65" spans="2:3">
      <c r="B65" s="158" t="e">
        <f>'RISK INPUT'!C51</f>
        <v>#N/A</v>
      </c>
      <c r="C65" s="159">
        <f>'RISK INPUT'!D51</f>
        <v>0</v>
      </c>
    </row>
    <row r="66" spans="2:3">
      <c r="B66" s="158" t="e">
        <f>'RISK INPUT'!C52</f>
        <v>#N/A</v>
      </c>
      <c r="C66" s="159">
        <f>'RISK INPUT'!D52</f>
        <v>0</v>
      </c>
    </row>
    <row r="67" spans="2:3">
      <c r="B67" s="158" t="e">
        <f>'RISK INPUT'!C53</f>
        <v>#N/A</v>
      </c>
      <c r="C67" s="159">
        <f>'RISK INPUT'!D53</f>
        <v>0</v>
      </c>
    </row>
    <row r="68" spans="2:3">
      <c r="B68" s="158" t="e">
        <f>'RISK INPUT'!C54</f>
        <v>#N/A</v>
      </c>
      <c r="C68" s="159">
        <f>'RISK INPUT'!D54</f>
        <v>0</v>
      </c>
    </row>
    <row r="69" spans="2:3">
      <c r="B69" s="158" t="e">
        <f>'RISK INPUT'!C55</f>
        <v>#N/A</v>
      </c>
      <c r="C69" s="159">
        <f>'RISK INPUT'!D55</f>
        <v>0</v>
      </c>
    </row>
    <row r="70" spans="2:3">
      <c r="B70" s="158" t="e">
        <f>'RISK INPUT'!C56</f>
        <v>#N/A</v>
      </c>
      <c r="C70" s="159">
        <f>'RISK INPUT'!D56</f>
        <v>0</v>
      </c>
    </row>
    <row r="71" spans="2:3">
      <c r="B71" s="158" t="e">
        <f>'RISK INPUT'!C57</f>
        <v>#N/A</v>
      </c>
      <c r="C71" s="159">
        <f>'RISK INPUT'!D57</f>
        <v>0</v>
      </c>
    </row>
    <row r="72" spans="2:3">
      <c r="B72" s="158" t="e">
        <f>'RISK INPUT'!C58</f>
        <v>#N/A</v>
      </c>
      <c r="C72" s="159">
        <f>'RISK INPUT'!D58</f>
        <v>0</v>
      </c>
    </row>
    <row r="73" spans="2:3">
      <c r="B73" s="158" t="e">
        <f>'RISK INPUT'!C59</f>
        <v>#N/A</v>
      </c>
      <c r="C73" s="159">
        <f>'RISK INPUT'!D59</f>
        <v>0</v>
      </c>
    </row>
    <row r="74" spans="2:3">
      <c r="B74" s="158" t="e">
        <f>'RISK INPUT'!C60</f>
        <v>#N/A</v>
      </c>
      <c r="C74" s="159">
        <f>'RISK INPUT'!D60</f>
        <v>0</v>
      </c>
    </row>
    <row r="75" spans="2:3">
      <c r="B75" s="158" t="e">
        <f>'RISK INPUT'!C61</f>
        <v>#N/A</v>
      </c>
      <c r="C75" s="159">
        <f>'RISK INPUT'!D61</f>
        <v>0</v>
      </c>
    </row>
    <row r="76" spans="2:3">
      <c r="B76" s="158" t="e">
        <f>'RISK INPUT'!C62</f>
        <v>#N/A</v>
      </c>
      <c r="C76" s="159">
        <f>'RISK INPUT'!D62</f>
        <v>0</v>
      </c>
    </row>
    <row r="77" spans="2:3">
      <c r="B77" s="158" t="e">
        <f>'RISK INPUT'!C63</f>
        <v>#N/A</v>
      </c>
      <c r="C77" s="159">
        <f>'RISK INPUT'!D63</f>
        <v>0</v>
      </c>
    </row>
    <row r="78" spans="2:3">
      <c r="B78" s="158" t="e">
        <f>'RISK INPUT'!C64</f>
        <v>#N/A</v>
      </c>
      <c r="C78" s="159">
        <f>'RISK INPUT'!D64</f>
        <v>0</v>
      </c>
    </row>
    <row r="79" spans="2:3">
      <c r="B79" s="158" t="e">
        <f>'RISK INPUT'!C65</f>
        <v>#N/A</v>
      </c>
      <c r="C79" s="159">
        <f>'RISK INPUT'!D65</f>
        <v>0</v>
      </c>
    </row>
    <row r="80" spans="2:3">
      <c r="B80" s="158" t="e">
        <f>'RISK INPUT'!C66</f>
        <v>#N/A</v>
      </c>
      <c r="C80" s="159">
        <f>'RISK INPUT'!D66</f>
        <v>0</v>
      </c>
    </row>
    <row r="81" spans="2:19">
      <c r="B81" s="158" t="e">
        <f>'RISK INPUT'!C67</f>
        <v>#N/A</v>
      </c>
      <c r="C81" s="159">
        <f>'RISK INPUT'!D67</f>
        <v>0</v>
      </c>
    </row>
    <row r="82" spans="2:19">
      <c r="B82" s="158" t="e">
        <f>'RISK INPUT'!C68</f>
        <v>#N/A</v>
      </c>
      <c r="C82" s="159">
        <f>'RISK INPUT'!D68</f>
        <v>0</v>
      </c>
    </row>
    <row r="83" spans="2:19">
      <c r="B83" s="158" t="e">
        <f>'RISK INPUT'!C69</f>
        <v>#N/A</v>
      </c>
      <c r="C83" s="159">
        <f>'RISK INPUT'!D69</f>
        <v>0</v>
      </c>
      <c r="R83" s="473"/>
      <c r="S83" s="477"/>
    </row>
    <row r="84" spans="2:19">
      <c r="B84" s="158" t="e">
        <f>'RISK INPUT'!C70</f>
        <v>#N/A</v>
      </c>
      <c r="C84" s="159">
        <f>'RISK INPUT'!D70</f>
        <v>0</v>
      </c>
    </row>
    <row r="85" spans="2:19">
      <c r="B85" s="158" t="e">
        <f>'RISK INPUT'!C71</f>
        <v>#N/A</v>
      </c>
      <c r="C85" s="159">
        <f>'RISK INPUT'!D71</f>
        <v>0</v>
      </c>
    </row>
    <row r="86" spans="2:19">
      <c r="B86" s="158" t="e">
        <f>'RISK INPUT'!C72</f>
        <v>#N/A</v>
      </c>
      <c r="C86" s="159">
        <f>'RISK INPUT'!D72</f>
        <v>0</v>
      </c>
    </row>
    <row r="87" spans="2:19">
      <c r="B87" s="158" t="e">
        <f>'RISK INPUT'!C73</f>
        <v>#N/A</v>
      </c>
      <c r="C87" s="159">
        <f>'RISK INPUT'!D73</f>
        <v>0</v>
      </c>
    </row>
    <row r="88" spans="2:19">
      <c r="B88" s="158" t="e">
        <f>'RISK INPUT'!C74</f>
        <v>#N/A</v>
      </c>
      <c r="C88" s="159">
        <f>'RISK INPUT'!D74</f>
        <v>0</v>
      </c>
    </row>
    <row r="89" spans="2:19">
      <c r="B89" s="158" t="e">
        <f>'RISK INPUT'!C75</f>
        <v>#N/A</v>
      </c>
      <c r="C89" s="159">
        <f>'RISK INPUT'!D75</f>
        <v>0</v>
      </c>
    </row>
    <row r="90" spans="2:19">
      <c r="B90" s="158" t="e">
        <f>'RISK INPUT'!C76</f>
        <v>#N/A</v>
      </c>
      <c r="C90" s="159">
        <f>'RISK INPUT'!D76</f>
        <v>0</v>
      </c>
    </row>
  </sheetData>
  <dataValidations count="5">
    <dataValidation type="list" allowBlank="1" showInputMessage="1" showErrorMessage="1" sqref="R9 G8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R8 G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G6">
      <formula1>"Following,Modified Following,Preceding,Modified Preceding,Unadjusted"</formula1>
    </dataValidation>
    <dataValidation type="list" allowBlank="1" showInputMessage="1" showErrorMessage="1" sqref="N9">
      <formula1>"AllDepos,DeposBeforeFirstFuturesStartDate,DeposBeforeFirstFuturesStartDatePlusOne,DeposBeforeFirstFuturesExpiryDate"</formula1>
    </dataValidation>
    <dataValidation type="list" allowBlank="1" showInputMessage="1" showErrorMessage="1" sqref="R10">
      <formula1>"Discount,ZeroYield,ForwardRate"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91"/>
  <sheetViews>
    <sheetView zoomScale="85" zoomScaleNormal="85" workbookViewId="0">
      <selection activeCell="S13" sqref="S13"/>
    </sheetView>
  </sheetViews>
  <sheetFormatPr defaultRowHeight="15" outlineLevelCol="1"/>
  <cols>
    <col min="1" max="1" width="10.85546875" style="87" bestFit="1" customWidth="1"/>
    <col min="2" max="2" width="22.7109375" style="87" bestFit="1" customWidth="1"/>
    <col min="3" max="3" width="10.85546875" style="87" bestFit="1" customWidth="1"/>
    <col min="4" max="5" width="9.140625" style="87"/>
    <col min="6" max="6" width="24.5703125" style="87" bestFit="1" customWidth="1"/>
    <col min="7" max="7" width="14" style="87" customWidth="1"/>
    <col min="8" max="8" width="13.42578125" style="87" bestFit="1" customWidth="1"/>
    <col min="9" max="9" width="24.28515625" style="87" bestFit="1" customWidth="1"/>
    <col min="10" max="10" width="20.28515625" style="87" bestFit="1" customWidth="1"/>
    <col min="11" max="12" width="9.140625" style="87"/>
    <col min="13" max="13" width="24.42578125" style="87" hidden="1" customWidth="1" outlineLevel="1"/>
    <col min="14" max="16" width="9.140625" style="87" hidden="1" customWidth="1" outlineLevel="1"/>
    <col min="17" max="17" width="16.140625" style="87" customWidth="1" collapsed="1"/>
    <col min="18" max="18" width="22.140625" style="87" bestFit="1" customWidth="1"/>
    <col min="19" max="19" width="15.140625" style="87" bestFit="1" customWidth="1"/>
    <col min="20" max="20" width="9.42578125" style="87" bestFit="1" customWidth="1"/>
    <col min="21" max="21" width="23.5703125" style="87" bestFit="1" customWidth="1"/>
    <col min="22" max="23" width="9.140625" style="87"/>
    <col min="24" max="24" width="15.7109375" style="87" bestFit="1" customWidth="1"/>
    <col min="25" max="25" width="19.85546875" style="87" bestFit="1" customWidth="1"/>
    <col min="26" max="16384" width="9.140625" style="87"/>
  </cols>
  <sheetData>
    <row r="1" spans="2:25" s="115" customFormat="1"/>
    <row r="2" spans="2:25">
      <c r="B2" s="162" t="s">
        <v>327</v>
      </c>
      <c r="C2" s="160">
        <f>_xll.qlSettingsEvaluationDate()</f>
        <v>43705</v>
      </c>
    </row>
    <row r="3" spans="2:25" ht="15.75" thickBot="1">
      <c r="B3" s="163" t="s">
        <v>322</v>
      </c>
      <c r="C3" s="161">
        <f>_xll.qlCalendarAdvance($R$8,C2,"2d","following")</f>
        <v>43707</v>
      </c>
    </row>
    <row r="4" spans="2:25" ht="15.75" thickBot="1">
      <c r="F4" s="36" t="s">
        <v>291</v>
      </c>
      <c r="I4" s="52" t="s">
        <v>284</v>
      </c>
      <c r="Q4" s="2" t="s">
        <v>267</v>
      </c>
      <c r="R4" s="3" t="str">
        <f ca="1">_xll.qlPiecewiseYieldCurve(R6,R7,R8,_xll.ohPack(O21:O54),R9,,,R12,R10,R11,R13,R14)</f>
        <v>USD_DEPOSWAP_3M_QL#0000</v>
      </c>
    </row>
    <row r="5" spans="2:25" ht="15.75" thickBot="1">
      <c r="B5" s="2" t="s">
        <v>242</v>
      </c>
      <c r="C5" s="3" t="str">
        <f ca="1">_xll.qlLibor(C7,"USD",C8,C10,C11)</f>
        <v>USD3m#0000</v>
      </c>
      <c r="F5" s="53" t="s">
        <v>269</v>
      </c>
      <c r="G5" s="32" t="s">
        <v>331</v>
      </c>
      <c r="I5" s="53" t="s">
        <v>269</v>
      </c>
      <c r="J5" s="32" t="s">
        <v>330</v>
      </c>
      <c r="Q5" s="4" t="s">
        <v>243</v>
      </c>
      <c r="R5" s="5" t="str">
        <f ca="1">_xll.ohRangeRetrieveError(R4)</f>
        <v/>
      </c>
      <c r="X5" s="57" t="s">
        <v>270</v>
      </c>
      <c r="Y5" s="78" t="s">
        <v>280</v>
      </c>
    </row>
    <row r="6" spans="2:25" ht="15.75" thickBot="1">
      <c r="B6" s="4" t="s">
        <v>243</v>
      </c>
      <c r="C6" s="5" t="str">
        <f ca="1">_xll.ohRangeRetrieveError(C5)</f>
        <v/>
      </c>
      <c r="F6" s="54" t="s">
        <v>292</v>
      </c>
      <c r="G6" s="18" t="s">
        <v>252</v>
      </c>
      <c r="I6" s="54" t="s">
        <v>285</v>
      </c>
      <c r="J6" s="18" t="s">
        <v>256</v>
      </c>
      <c r="M6" s="2" t="s">
        <v>262</v>
      </c>
      <c r="N6" s="24">
        <v>0</v>
      </c>
      <c r="Q6" s="2" t="s">
        <v>244</v>
      </c>
      <c r="R6" s="6" t="s">
        <v>732</v>
      </c>
      <c r="X6" s="64" t="s">
        <v>269</v>
      </c>
      <c r="Y6" s="62" t="s">
        <v>251</v>
      </c>
    </row>
    <row r="7" spans="2:25">
      <c r="B7" s="2" t="s">
        <v>244</v>
      </c>
      <c r="C7" s="6" t="str">
        <f>"USD"&amp;C8</f>
        <v>USD3m</v>
      </c>
      <c r="F7" s="54" t="s">
        <v>293</v>
      </c>
      <c r="G7" s="18" t="b">
        <v>1</v>
      </c>
      <c r="I7" s="54" t="s">
        <v>286</v>
      </c>
      <c r="J7" s="33" t="s">
        <v>254</v>
      </c>
      <c r="M7" s="7" t="s">
        <v>263</v>
      </c>
      <c r="N7" s="28">
        <v>0</v>
      </c>
      <c r="Q7" s="7" t="s">
        <v>268</v>
      </c>
      <c r="R7" s="8">
        <v>0</v>
      </c>
      <c r="X7" s="64" t="s">
        <v>271</v>
      </c>
      <c r="Y7" s="62" t="s">
        <v>272</v>
      </c>
    </row>
    <row r="8" spans="2:25" ht="15.75" thickBot="1">
      <c r="B8" s="7" t="s">
        <v>245</v>
      </c>
      <c r="C8" s="8" t="s">
        <v>249</v>
      </c>
      <c r="F8" s="56" t="s">
        <v>294</v>
      </c>
      <c r="G8" s="35" t="s">
        <v>253</v>
      </c>
      <c r="I8" s="54" t="s">
        <v>287</v>
      </c>
      <c r="J8" s="18" t="s">
        <v>253</v>
      </c>
      <c r="M8" s="7" t="s">
        <v>264</v>
      </c>
      <c r="N8" s="28">
        <v>3</v>
      </c>
      <c r="Q8" s="7" t="s">
        <v>269</v>
      </c>
      <c r="R8" s="8" t="s">
        <v>255</v>
      </c>
      <c r="X8" s="64" t="s">
        <v>273</v>
      </c>
      <c r="Y8" s="62" t="s">
        <v>274</v>
      </c>
    </row>
    <row r="9" spans="2:25">
      <c r="B9" s="7" t="s">
        <v>246</v>
      </c>
      <c r="C9" s="8"/>
      <c r="I9" s="54" t="s">
        <v>288</v>
      </c>
      <c r="J9" s="18" t="str">
        <f ca="1">$C$5</f>
        <v>USD3m#0000</v>
      </c>
      <c r="M9" s="7" t="s">
        <v>265</v>
      </c>
      <c r="N9" s="8" t="s">
        <v>266</v>
      </c>
      <c r="Q9" s="7" t="s">
        <v>270</v>
      </c>
      <c r="R9" s="8"/>
      <c r="X9" s="64" t="s">
        <v>329</v>
      </c>
      <c r="Y9" s="62" t="s">
        <v>303</v>
      </c>
    </row>
    <row r="10" spans="2:25" ht="15.75" thickBot="1">
      <c r="B10" s="7" t="s">
        <v>247</v>
      </c>
      <c r="C10" s="8"/>
      <c r="I10" s="54" t="s">
        <v>289</v>
      </c>
      <c r="J10" s="34">
        <v>0</v>
      </c>
      <c r="M10" s="4" t="s">
        <v>248</v>
      </c>
      <c r="N10" s="9">
        <v>1</v>
      </c>
      <c r="Q10" s="7" t="s">
        <v>271</v>
      </c>
      <c r="R10" s="8" t="s">
        <v>272</v>
      </c>
      <c r="X10" s="71" t="s">
        <v>328</v>
      </c>
      <c r="Y10" s="65" t="str">
        <f>_xll.qlInterpolatedYieldCurve(Y9,X19:X54,Y19:Y54,Y6,Y5,,,Y7,Y8)</f>
        <v>USD_OIS_COL#0000</v>
      </c>
    </row>
    <row r="11" spans="2:25" ht="15.75" thickBot="1">
      <c r="B11" s="4" t="s">
        <v>248</v>
      </c>
      <c r="C11" s="157">
        <f ca="1">RAND()</f>
        <v>0.66308154574231648</v>
      </c>
      <c r="I11" s="54" t="s">
        <v>290</v>
      </c>
      <c r="J11" s="18" t="s">
        <v>277</v>
      </c>
      <c r="Q11" s="7" t="s">
        <v>273</v>
      </c>
      <c r="R11" s="8" t="s">
        <v>274</v>
      </c>
      <c r="T11" s="8" t="s">
        <v>447</v>
      </c>
      <c r="Y11" s="87" t="str">
        <f>_xll.ohRangeRetrieveError(Y10)</f>
        <v/>
      </c>
    </row>
    <row r="12" spans="2:25" ht="15.75" thickBot="1">
      <c r="I12" s="55" t="s">
        <v>295</v>
      </c>
      <c r="J12" s="35" t="str">
        <f>'USD OIS'!R4</f>
        <v>USD_OIS_COL00_QL#0000</v>
      </c>
      <c r="Q12" s="7" t="s">
        <v>275</v>
      </c>
      <c r="R12" s="8"/>
    </row>
    <row r="13" spans="2:25">
      <c r="Q13" s="7" t="s">
        <v>247</v>
      </c>
      <c r="R13" s="8"/>
    </row>
    <row r="14" spans="2:25">
      <c r="Q14" s="7" t="s">
        <v>248</v>
      </c>
      <c r="R14" s="8"/>
    </row>
    <row r="15" spans="2:25" ht="15.75" thickBot="1">
      <c r="Q15" s="4" t="s">
        <v>279</v>
      </c>
      <c r="R15" s="9" t="s">
        <v>280</v>
      </c>
    </row>
    <row r="16" spans="2:25">
      <c r="B16" s="139" t="s">
        <v>304</v>
      </c>
      <c r="X16" s="31"/>
    </row>
    <row r="17" spans="1:25">
      <c r="E17" s="115"/>
      <c r="I17" s="87" t="str">
        <f ca="1">_xll.ohRangeRetrieveError(O21)</f>
        <v/>
      </c>
      <c r="X17" s="31"/>
    </row>
    <row r="18" spans="1:25">
      <c r="A18" s="115"/>
      <c r="B18" s="115"/>
      <c r="C18" s="115"/>
      <c r="D18" s="115"/>
      <c r="E18" s="115"/>
      <c r="Q18" s="87" t="str">
        <f ca="1">_xll.ohRangeRetrieveError(Q21)</f>
        <v/>
      </c>
    </row>
    <row r="19" spans="1:25" ht="15.75" thickBot="1">
      <c r="A19" s="115"/>
      <c r="E19" s="115"/>
      <c r="G19" s="87" t="str">
        <f ca="1">G36</f>
        <v/>
      </c>
      <c r="Q19" s="89" t="s">
        <v>281</v>
      </c>
      <c r="R19" s="61" t="s">
        <v>282</v>
      </c>
      <c r="S19" s="61" t="s">
        <v>283</v>
      </c>
      <c r="T19" s="61" t="s">
        <v>296</v>
      </c>
      <c r="U19" s="93" t="s">
        <v>297</v>
      </c>
      <c r="X19" s="58">
        <f>$C$2</f>
        <v>43705</v>
      </c>
      <c r="Y19" s="150">
        <v>1</v>
      </c>
    </row>
    <row r="20" spans="1:25">
      <c r="A20" s="115"/>
      <c r="B20" s="1"/>
      <c r="C20" s="1"/>
      <c r="E20" s="115"/>
      <c r="F20" s="88"/>
      <c r="G20" s="38" t="s">
        <v>243</v>
      </c>
      <c r="H20" s="38" t="s">
        <v>244</v>
      </c>
      <c r="I20" s="38" t="s">
        <v>250</v>
      </c>
      <c r="J20" s="38"/>
      <c r="K20" s="39"/>
      <c r="M20" s="20" t="s">
        <v>259</v>
      </c>
      <c r="N20" s="21" t="s">
        <v>260</v>
      </c>
      <c r="O20" s="22" t="s">
        <v>261</v>
      </c>
      <c r="P20" s="23"/>
      <c r="Q20" s="77">
        <f t="array" aca="1" ref="Q20:Q57" ca="1">_xll.qlPiecewiseYieldCurveDates(R4)</f>
        <v>43705</v>
      </c>
      <c r="R20" s="72">
        <f t="array" aca="1" ref="R20:R57" ca="1">_xll.qlPiecewiseYieldCurveData(R4)</f>
        <v>1</v>
      </c>
      <c r="S20" s="59">
        <f t="array" aca="1" ref="S20:S57" ca="1">_xll.qlYieldTSZeroRate($R$4,_xll.ohPack(Q20:Q56),$R$15,"compounded","annual")</f>
        <v>4.5191122475223278E-3</v>
      </c>
      <c r="T20" s="73"/>
      <c r="U20" s="76"/>
      <c r="W20" s="87" t="s">
        <v>204</v>
      </c>
      <c r="X20" s="58">
        <f>_xll.qlCalendarAdvance($R$8,$C$2,"1d","following")</f>
        <v>43706</v>
      </c>
      <c r="Y20" s="154">
        <v>0.99998902801855105</v>
      </c>
    </row>
    <row r="21" spans="1:25">
      <c r="A21" s="115"/>
      <c r="B21" s="156" t="str">
        <f>'RISK INPUT'!I6</f>
        <v>USD-O/N</v>
      </c>
      <c r="C21" s="152">
        <f>'RISK INPUT'!J6</f>
        <v>0.44471929999999998</v>
      </c>
      <c r="D21" s="87" t="s">
        <v>204</v>
      </c>
      <c r="E21" s="115"/>
      <c r="F21" s="40" t="str">
        <f ca="1">_xll.qlDepositRateHelper2(H21,I21,J21,K21,$G$5,$G$6,$G$7,$G$8,,$C$11)</f>
        <v>USD3mDepoON#0000</v>
      </c>
      <c r="G21" s="12" t="str">
        <f ca="1">_xll.ohRangeRetrieveError(F21)</f>
        <v/>
      </c>
      <c r="H21" s="13" t="str">
        <f>$C$7&amp;"DepoON"</f>
        <v>USD3mDepoON</v>
      </c>
      <c r="I21" s="14">
        <f t="shared" ref="I21:I52" si="0">C21/100</f>
        <v>4.4471929999999995E-3</v>
      </c>
      <c r="J21" s="13" t="s">
        <v>206</v>
      </c>
      <c r="K21" s="41">
        <v>0</v>
      </c>
      <c r="M21" s="25" t="str">
        <f t="shared" ref="M21:M57" ca="1" si="1">F21</f>
        <v>USD3mDepoON#0000</v>
      </c>
      <c r="N21" s="26">
        <v>1</v>
      </c>
      <c r="O21" s="27" t="str">
        <f t="array" aca="1" ref="O21:O56" ca="1">_xll.qlRateHelperSelection(_xll.ohPack(M21:M55),_xll.ohPack(N21:N55),N6,N7,N8,N9,N10)</f>
        <v>USD3mDepoON</v>
      </c>
      <c r="P21" s="23"/>
      <c r="Q21" s="75">
        <f ca="1"/>
        <v>43706</v>
      </c>
      <c r="R21" s="74">
        <f ca="1"/>
        <v>0.99998764683871355</v>
      </c>
      <c r="S21" s="66">
        <f ca="1"/>
        <v>4.5191122473702272E-3</v>
      </c>
      <c r="T21" s="63"/>
      <c r="U21" s="60"/>
      <c r="W21" s="87" t="s">
        <v>205</v>
      </c>
      <c r="X21" s="58">
        <f>_xll.qlCalendarAdvance($R$8,$C$2,"2d","following")</f>
        <v>43707</v>
      </c>
      <c r="Y21" s="154">
        <v>0.99997805615748636</v>
      </c>
    </row>
    <row r="22" spans="1:25">
      <c r="A22" s="115"/>
      <c r="B22" s="156" t="str">
        <f>'RISK INPUT'!I7</f>
        <v>USD-T/N</v>
      </c>
      <c r="C22" s="152">
        <f>'RISK INPUT'!J7</f>
        <v>0.44471929999999998</v>
      </c>
      <c r="D22" s="87" t="s">
        <v>205</v>
      </c>
      <c r="E22" s="115"/>
      <c r="F22" s="42" t="str">
        <f ca="1">_xll.qlDepositRateHelper2(H22,I22,J22,K22,$G$5,$G$6,$G$7,$G$8,,$C$11)</f>
        <v>USD3mDepoTN#0000</v>
      </c>
      <c r="G22" s="15" t="str">
        <f ca="1">_xll.ohRangeRetrieveError(F22)</f>
        <v/>
      </c>
      <c r="H22" s="16" t="str">
        <f>$C$7&amp;"DepoTN"</f>
        <v>USD3mDepoTN</v>
      </c>
      <c r="I22" s="17">
        <f t="shared" si="0"/>
        <v>4.4471929999999995E-3</v>
      </c>
      <c r="J22" s="16" t="s">
        <v>276</v>
      </c>
      <c r="K22" s="43">
        <v>1</v>
      </c>
      <c r="M22" s="25" t="str">
        <f t="shared" ca="1" si="1"/>
        <v>USD3mDepoTN#0000</v>
      </c>
      <c r="N22" s="26">
        <v>1</v>
      </c>
      <c r="O22" s="27" t="str">
        <f ca="1"/>
        <v>USD3mDepo1D</v>
      </c>
      <c r="P22" s="23"/>
      <c r="Q22" s="75">
        <f ca="1"/>
        <v>43711</v>
      </c>
      <c r="R22" s="74">
        <f ca="1"/>
        <v>0.99992588370185909</v>
      </c>
      <c r="S22" s="66">
        <f ca="1"/>
        <v>4.5190889874406892E-3</v>
      </c>
      <c r="T22" s="63"/>
      <c r="U22" s="60"/>
      <c r="W22" s="87" t="s">
        <v>206</v>
      </c>
      <c r="X22" s="58">
        <f>_xll.qlCalendarAdvance($R$8,$C$3,W22,"following")</f>
        <v>43710</v>
      </c>
      <c r="Y22" s="154">
        <v>0.99994514129658529</v>
      </c>
    </row>
    <row r="23" spans="1:25">
      <c r="A23" s="115"/>
      <c r="B23" s="156" t="str">
        <f>'RISK INPUT'!I8</f>
        <v>GEN-USD-DEPO-1D</v>
      </c>
      <c r="C23" s="152">
        <f>'RISK INPUT'!J8</f>
        <v>0.44472479999999998</v>
      </c>
      <c r="D23" s="87" t="s">
        <v>206</v>
      </c>
      <c r="E23" s="115"/>
      <c r="F23" s="42" t="str">
        <f ca="1">_xll.qlDepositRateHelper2(H23,I23,J23,K23,$G$5,$G$6,$G$7,$G$8,,$C$11)</f>
        <v>USD3mDepo1D#0000</v>
      </c>
      <c r="G23" s="15" t="str">
        <f ca="1">_xll.ohRangeRetrieveError(F23)</f>
        <v/>
      </c>
      <c r="H23" s="16" t="str">
        <f>$C$7&amp;"Depo1D"</f>
        <v>USD3mDepo1D</v>
      </c>
      <c r="I23" s="17">
        <f t="shared" si="0"/>
        <v>4.447248E-3</v>
      </c>
      <c r="J23" s="16" t="str">
        <f t="shared" ref="J23:J53" si="2">D23</f>
        <v>1D</v>
      </c>
      <c r="K23" s="43">
        <v>2</v>
      </c>
      <c r="M23" s="25" t="str">
        <f t="shared" ca="1" si="1"/>
        <v>USD3mDepo1D#0000</v>
      </c>
      <c r="N23" s="26">
        <v>1</v>
      </c>
      <c r="O23" s="27" t="str">
        <f ca="1"/>
        <v>USD3mDepo1W</v>
      </c>
      <c r="P23" s="23"/>
      <c r="Q23" s="75">
        <f ca="1"/>
        <v>43714</v>
      </c>
      <c r="R23" s="74">
        <f ca="1"/>
        <v>0.99989776712997036</v>
      </c>
      <c r="S23" s="66">
        <f ca="1"/>
        <v>4.1549306781896167E-3</v>
      </c>
      <c r="T23" s="63"/>
      <c r="U23" s="60"/>
      <c r="W23" s="87" t="s">
        <v>207</v>
      </c>
      <c r="X23" s="58">
        <f>_xll.qlCalendarAdvance($R$8,$C$3,W23,"following")</f>
        <v>43714</v>
      </c>
      <c r="Y23" s="154">
        <v>0.99991117321012224</v>
      </c>
    </row>
    <row r="24" spans="1:25">
      <c r="A24" s="115"/>
      <c r="B24" s="156" t="str">
        <f>'RISK INPUT'!I9</f>
        <v>GEN-USD-DEPO-1W</v>
      </c>
      <c r="C24" s="152">
        <f>'RISK INPUT'!J9</f>
        <v>0.39874989999999999</v>
      </c>
      <c r="D24" s="87" t="s">
        <v>207</v>
      </c>
      <c r="E24" s="115"/>
      <c r="F24" s="42" t="str">
        <f ca="1">_xll.qlDepositRateHelper2(H24,I24,J24,K24,$G$5,$G$6,$G$7,$G$8,,$C$11)</f>
        <v>USD3mDepo1W#0000</v>
      </c>
      <c r="G24" s="15" t="str">
        <f ca="1">_xll.ohRangeRetrieveError(F24)</f>
        <v/>
      </c>
      <c r="H24" s="16" t="str">
        <f t="shared" ref="H24:H34" si="3">$C$7&amp;"Depo"&amp;J24</f>
        <v>USD3mDepo1W</v>
      </c>
      <c r="I24" s="17">
        <f t="shared" si="0"/>
        <v>3.9874990000000003E-3</v>
      </c>
      <c r="J24" s="16" t="str">
        <f t="shared" si="2"/>
        <v>1W</v>
      </c>
      <c r="K24" s="43">
        <v>2</v>
      </c>
      <c r="M24" s="25" t="str">
        <f t="shared" ca="1" si="1"/>
        <v>USD3mDepo1W#0000</v>
      </c>
      <c r="N24" s="26">
        <v>1</v>
      </c>
      <c r="O24" s="27" t="str">
        <f ca="1"/>
        <v>USD3mDepo1M</v>
      </c>
      <c r="P24" s="23"/>
      <c r="Q24" s="75">
        <f ca="1"/>
        <v>43738</v>
      </c>
      <c r="R24" s="74">
        <f ca="1"/>
        <v>0.99945248217837113</v>
      </c>
      <c r="S24" s="66">
        <f ca="1"/>
        <v>6.0759213738386109E-3</v>
      </c>
      <c r="T24" s="63"/>
      <c r="U24" s="60"/>
      <c r="W24" s="87" t="s">
        <v>208</v>
      </c>
      <c r="X24" s="58">
        <f>_xll.qlCalendarAdvance($R$8,$C$3,W24,"following")</f>
        <v>43738</v>
      </c>
      <c r="Y24" s="154">
        <v>0.99966402075353289</v>
      </c>
    </row>
    <row r="25" spans="1:25">
      <c r="A25" s="115"/>
      <c r="B25" s="156" t="str">
        <f>'RISK INPUT'!I10</f>
        <v>GEN-USD-DEPO-1M</v>
      </c>
      <c r="C25" s="152">
        <f>'RISK INPUT'!J10</f>
        <v>0.60746880000000003</v>
      </c>
      <c r="D25" s="87" t="s">
        <v>208</v>
      </c>
      <c r="E25" s="115"/>
      <c r="F25" s="42" t="str">
        <f ca="1">_xll.qlDepositRateHelper2(H25,I25,J25,K25,$G$5,$G$6,$G$7,$G$8,,$C$11)</f>
        <v>USD3mDepo1M#0000</v>
      </c>
      <c r="G25" s="15" t="str">
        <f ca="1">_xll.ohRangeRetrieveError(F25)</f>
        <v/>
      </c>
      <c r="H25" s="16" t="str">
        <f t="shared" si="3"/>
        <v>USD3mDepo1M</v>
      </c>
      <c r="I25" s="17">
        <f t="shared" si="0"/>
        <v>6.074688E-3</v>
      </c>
      <c r="J25" s="16" t="str">
        <f t="shared" si="2"/>
        <v>1M</v>
      </c>
      <c r="K25" s="43">
        <v>2</v>
      </c>
      <c r="M25" s="25" t="str">
        <f t="shared" ca="1" si="1"/>
        <v>USD3mDepo1M#0000</v>
      </c>
      <c r="N25" s="26">
        <v>1</v>
      </c>
      <c r="O25" s="27" t="str">
        <f ca="1"/>
        <v>USD3mDepo2M</v>
      </c>
      <c r="P25" s="23"/>
      <c r="Q25" s="75">
        <f ca="1"/>
        <v>43769</v>
      </c>
      <c r="R25" s="74">
        <f ca="1"/>
        <v>0.99883946196943874</v>
      </c>
      <c r="S25" s="66">
        <f ca="1"/>
        <v>6.6445145396192284E-3</v>
      </c>
      <c r="T25" s="63"/>
      <c r="U25" s="60"/>
      <c r="W25" s="87" t="s">
        <v>209</v>
      </c>
      <c r="X25" s="58">
        <f>_xll.qlCalendarAdvance($R$8,$C$3,W25,"following")</f>
        <v>43768</v>
      </c>
      <c r="Y25" s="154">
        <v>0.99933628794522966</v>
      </c>
    </row>
    <row r="26" spans="1:25">
      <c r="A26" s="115"/>
      <c r="B26" s="156" t="str">
        <f>'RISK INPUT'!I11</f>
        <v>GEN-USD-DEPO-2M</v>
      </c>
      <c r="C26" s="152">
        <f>'RISK INPUT'!J11</f>
        <v>0.66028160000000002</v>
      </c>
      <c r="D26" s="87" t="s">
        <v>209</v>
      </c>
      <c r="E26" s="115"/>
      <c r="F26" s="42" t="str">
        <f ca="1">_xll.qlDepositRateHelper2(H26,I26,J26,K26,$G$5,$G$6,$G$7,$G$8,,$C$11)</f>
        <v>USD3mDepo2M#0000</v>
      </c>
      <c r="G26" s="15" t="str">
        <f ca="1">_xll.ohRangeRetrieveError(F26)</f>
        <v/>
      </c>
      <c r="H26" s="16" t="str">
        <f t="shared" si="3"/>
        <v>USD3mDepo2M</v>
      </c>
      <c r="I26" s="17">
        <f t="shared" si="0"/>
        <v>6.6028160000000001E-3</v>
      </c>
      <c r="J26" s="16" t="str">
        <f t="shared" si="2"/>
        <v>2M</v>
      </c>
      <c r="K26" s="43">
        <v>2</v>
      </c>
      <c r="M26" s="25" t="str">
        <f t="shared" ca="1" si="1"/>
        <v>USD3mDepo2M#0000</v>
      </c>
      <c r="N26" s="26">
        <v>1</v>
      </c>
      <c r="O26" s="27" t="str">
        <f ca="1"/>
        <v>USD3mDepo3M</v>
      </c>
      <c r="P26" s="23"/>
      <c r="Q26" s="75">
        <f ca="1"/>
        <v>43798</v>
      </c>
      <c r="R26" s="74">
        <f ca="1"/>
        <v>0.99825612216895654</v>
      </c>
      <c r="S26" s="66">
        <f ca="1"/>
        <v>6.8737428870557782E-3</v>
      </c>
      <c r="T26" s="63"/>
      <c r="U26" s="60"/>
      <c r="W26" s="87" t="s">
        <v>210</v>
      </c>
      <c r="X26" s="58">
        <f>_xll.qlCalendarAdvance($R$8,$C$3,W26,"following")</f>
        <v>43801</v>
      </c>
      <c r="Y26" s="154">
        <v>0.99898564716581062</v>
      </c>
    </row>
    <row r="27" spans="1:25">
      <c r="A27" s="115"/>
      <c r="B27" s="156" t="str">
        <f>'RISK INPUT'!I12</f>
        <v>GEN-USD-DEPO-3M</v>
      </c>
      <c r="C27" s="152">
        <f>'RISK INPUT'!J12</f>
        <v>0.68130000000000002</v>
      </c>
      <c r="D27" s="87" t="s">
        <v>210</v>
      </c>
      <c r="E27" s="115"/>
      <c r="F27" s="42" t="str">
        <f ca="1">_xll.qlDepositRateHelper2(H27,I27,J27,K27,$G$5,$G$6,$G$7,$G$8,,$C$11)</f>
        <v>USD3mDepo3M#0000</v>
      </c>
      <c r="G27" s="15" t="str">
        <f ca="1">_xll.ohRangeRetrieveError(F27)</f>
        <v/>
      </c>
      <c r="H27" s="16" t="str">
        <f t="shared" si="3"/>
        <v>USD3mDepo3M</v>
      </c>
      <c r="I27" s="17">
        <f t="shared" si="0"/>
        <v>6.8130000000000005E-3</v>
      </c>
      <c r="J27" s="16" t="str">
        <f t="shared" si="2"/>
        <v>3M</v>
      </c>
      <c r="K27" s="43">
        <v>2</v>
      </c>
      <c r="M27" s="25" t="str">
        <f t="shared" ca="1" si="1"/>
        <v>USD3mDepo3M#0000</v>
      </c>
      <c r="N27" s="26">
        <v>1</v>
      </c>
      <c r="O27" s="27" t="str">
        <f ca="1"/>
        <v>USD3mDepo4M</v>
      </c>
      <c r="P27" s="23"/>
      <c r="Q27" s="75">
        <f ca="1"/>
        <v>43830</v>
      </c>
      <c r="R27" s="74">
        <f ca="1"/>
        <v>0.99756285772873521</v>
      </c>
      <c r="S27" s="66">
        <f ca="1"/>
        <v>7.150585670545162E-3</v>
      </c>
      <c r="T27" s="63"/>
      <c r="U27" s="60"/>
      <c r="W27" s="87" t="s">
        <v>226</v>
      </c>
      <c r="X27" s="58">
        <f>_xll.qlCalendarAdvance($R$8,$C$3,W27,"following")</f>
        <v>43829</v>
      </c>
      <c r="Y27" s="154">
        <v>0.99859191167068428</v>
      </c>
    </row>
    <row r="28" spans="1:25">
      <c r="A28" s="115"/>
      <c r="B28" s="156" t="str">
        <f>'RISK INPUT'!I13</f>
        <v>GEN-USD-DEPO-4M</v>
      </c>
      <c r="C28" s="152">
        <f>'RISK INPUT'!J13</f>
        <v>0.70780390000000004</v>
      </c>
      <c r="D28" s="87" t="s">
        <v>226</v>
      </c>
      <c r="E28" s="115"/>
      <c r="F28" s="42" t="str">
        <f ca="1">_xll.qlDepositRateHelper2(H28,I28,J28,K28,$G$5,$G$6,$G$7,$G$8,,$C$11)</f>
        <v>USD3mDepo4M#0000</v>
      </c>
      <c r="G28" s="15" t="str">
        <f ca="1">_xll.ohRangeRetrieveError(F28)</f>
        <v/>
      </c>
      <c r="H28" s="16" t="str">
        <f t="shared" si="3"/>
        <v>USD3mDepo4M</v>
      </c>
      <c r="I28" s="17">
        <f t="shared" si="0"/>
        <v>7.0780390000000004E-3</v>
      </c>
      <c r="J28" s="16" t="str">
        <f t="shared" si="2"/>
        <v>4M</v>
      </c>
      <c r="K28" s="43">
        <v>2</v>
      </c>
      <c r="M28" s="25" t="str">
        <f t="shared" ca="1" si="1"/>
        <v>USD3mDepo4M#0000</v>
      </c>
      <c r="N28" s="26">
        <v>1</v>
      </c>
      <c r="O28" s="27" t="str">
        <f ca="1"/>
        <v>USD3mDepo5M</v>
      </c>
      <c r="P28" s="23"/>
      <c r="Q28" s="75">
        <f ca="1"/>
        <v>43861</v>
      </c>
      <c r="R28" s="74">
        <f ca="1"/>
        <v>0.99684073173078269</v>
      </c>
      <c r="S28" s="66">
        <f ca="1"/>
        <v>7.4310530448462586E-3</v>
      </c>
      <c r="T28" s="63"/>
      <c r="U28" s="60"/>
      <c r="W28" s="87" t="s">
        <v>227</v>
      </c>
      <c r="X28" s="58">
        <f>_xll.qlCalendarAdvance($R$8,$C$3,W28,"following")</f>
        <v>43860</v>
      </c>
      <c r="Y28" s="154">
        <v>0.99818357164144589</v>
      </c>
    </row>
    <row r="29" spans="1:25">
      <c r="A29" s="115"/>
      <c r="B29" s="156" t="str">
        <f>'RISK INPUT'!I14</f>
        <v>GEN-USD-DEPO-5M</v>
      </c>
      <c r="C29" s="152">
        <f>'RISK INPUT'!J14</f>
        <v>0.73507710000000004</v>
      </c>
      <c r="D29" s="87" t="s">
        <v>227</v>
      </c>
      <c r="E29" s="115"/>
      <c r="F29" s="42" t="str">
        <f ca="1">_xll.qlDepositRateHelper2(H29,I29,J29,K29,$G$5,$G$6,$G$7,$G$8,,$C$11)</f>
        <v>USD3mDepo5M#0000</v>
      </c>
      <c r="G29" s="15" t="str">
        <f ca="1">_xll.ohRangeRetrieveError(F29)</f>
        <v/>
      </c>
      <c r="H29" s="16" t="str">
        <f t="shared" si="3"/>
        <v>USD3mDepo5M</v>
      </c>
      <c r="I29" s="17">
        <f t="shared" si="0"/>
        <v>7.3507710000000007E-3</v>
      </c>
      <c r="J29" s="16" t="str">
        <f t="shared" si="2"/>
        <v>5M</v>
      </c>
      <c r="K29" s="43">
        <v>2</v>
      </c>
      <c r="M29" s="25" t="str">
        <f t="shared" ca="1" si="1"/>
        <v>USD3mDepo5M#0000</v>
      </c>
      <c r="N29" s="26">
        <v>1</v>
      </c>
      <c r="O29" s="27" t="str">
        <f ca="1"/>
        <v>USD3mDepo6M</v>
      </c>
      <c r="P29" s="23"/>
      <c r="Q29" s="75">
        <f ca="1"/>
        <v>43889</v>
      </c>
      <c r="R29" s="74">
        <f ca="1"/>
        <v>0.99617922843380258</v>
      </c>
      <c r="S29" s="66">
        <f ca="1"/>
        <v>7.6226699677051091E-3</v>
      </c>
      <c r="T29" s="63"/>
      <c r="U29" s="60"/>
      <c r="W29" s="87" t="s">
        <v>228</v>
      </c>
      <c r="X29" s="58">
        <f>_xll.qlCalendarAdvance($R$8,$C$3,W29,"following")</f>
        <v>43892</v>
      </c>
      <c r="Y29" s="154">
        <v>0.99772209564097381</v>
      </c>
    </row>
    <row r="30" spans="1:25">
      <c r="A30" s="115"/>
      <c r="B30" s="156" t="str">
        <f>'RISK INPUT'!I15</f>
        <v>GEN-USD-DEPO-6M</v>
      </c>
      <c r="C30" s="152">
        <f>'RISK INPUT'!J15</f>
        <v>0.75375000000000003</v>
      </c>
      <c r="D30" s="87" t="s">
        <v>228</v>
      </c>
      <c r="E30" s="115"/>
      <c r="F30" s="42" t="str">
        <f ca="1">_xll.qlDepositRateHelper2(H30,I30,J30,K30,$G$5,$G$6,$G$7,$G$8,,$C$11)</f>
        <v>USD3mDepo6M#0000</v>
      </c>
      <c r="G30" s="15" t="str">
        <f ca="1">_xll.ohRangeRetrieveError(F30)</f>
        <v/>
      </c>
      <c r="H30" s="16" t="str">
        <f t="shared" si="3"/>
        <v>USD3mDepo6M</v>
      </c>
      <c r="I30" s="17">
        <f t="shared" si="0"/>
        <v>7.5374999999999999E-3</v>
      </c>
      <c r="J30" s="16" t="str">
        <f t="shared" si="2"/>
        <v>6M</v>
      </c>
      <c r="K30" s="43">
        <v>2</v>
      </c>
      <c r="M30" s="25" t="str">
        <f t="shared" ca="1" si="1"/>
        <v>USD3mDepo6M#0000</v>
      </c>
      <c r="N30" s="26">
        <v>1</v>
      </c>
      <c r="O30" s="27" t="str">
        <f ca="1"/>
        <v>USD3mDepo7M</v>
      </c>
      <c r="P30" s="23"/>
      <c r="Q30" s="75">
        <f ca="1"/>
        <v>43921</v>
      </c>
      <c r="R30" s="74">
        <f ca="1"/>
        <v>0.99539891435018479</v>
      </c>
      <c r="S30" s="66">
        <f ca="1"/>
        <v>7.8233682978694485E-3</v>
      </c>
      <c r="T30" s="63"/>
      <c r="U30" s="60"/>
      <c r="W30" s="87" t="s">
        <v>229</v>
      </c>
      <c r="X30" s="58">
        <f>_xll.qlCalendarAdvance($R$8,$C$3,W30,"following")</f>
        <v>43920</v>
      </c>
      <c r="Y30" s="154">
        <v>0.99728660123952628</v>
      </c>
    </row>
    <row r="31" spans="1:25">
      <c r="A31" s="115"/>
      <c r="B31" s="156" t="str">
        <f>'RISK INPUT'!I16</f>
        <v>GEN-USD-DEPO-7M</v>
      </c>
      <c r="C31" s="152">
        <f>'RISK INPUT'!J16</f>
        <v>0.77341680000000002</v>
      </c>
      <c r="D31" s="87" t="s">
        <v>229</v>
      </c>
      <c r="E31" s="115"/>
      <c r="F31" s="42" t="str">
        <f ca="1">_xll.qlDepositRateHelper2(H31,I31,J31,K31,$G$5,$G$6,$G$7,$G$8,,$C$11)</f>
        <v>USD3mDepo7M#0000</v>
      </c>
      <c r="G31" s="15" t="str">
        <f ca="1">_xll.ohRangeRetrieveError(F31)</f>
        <v/>
      </c>
      <c r="H31" s="16" t="str">
        <f t="shared" si="3"/>
        <v>USD3mDepo7M</v>
      </c>
      <c r="I31" s="17">
        <f t="shared" si="0"/>
        <v>7.7341680000000005E-3</v>
      </c>
      <c r="J31" s="16" t="str">
        <f t="shared" si="2"/>
        <v>7M</v>
      </c>
      <c r="K31" s="43">
        <v>2</v>
      </c>
      <c r="M31" s="25" t="str">
        <f t="shared" ca="1" si="1"/>
        <v>USD3mDepo7M#0000</v>
      </c>
      <c r="N31" s="26">
        <v>1</v>
      </c>
      <c r="O31" s="27" t="str">
        <f ca="1"/>
        <v>USD3mDepo8M</v>
      </c>
      <c r="P31" s="23"/>
      <c r="Q31" s="75">
        <f ca="1"/>
        <v>43951</v>
      </c>
      <c r="R31" s="74">
        <f ca="1"/>
        <v>0.99459593422724057</v>
      </c>
      <c r="S31" s="66">
        <f ca="1"/>
        <v>8.0723789226688769E-3</v>
      </c>
      <c r="T31" s="63"/>
      <c r="U31" s="60"/>
      <c r="W31" s="87" t="s">
        <v>230</v>
      </c>
      <c r="X31" s="58">
        <f>_xll.qlCalendarAdvance($R$8,$C$3,W31,"following")</f>
        <v>43951</v>
      </c>
      <c r="Y31" s="154">
        <v>0.99680268582309983</v>
      </c>
    </row>
    <row r="32" spans="1:25">
      <c r="A32" s="115"/>
      <c r="B32" s="156" t="str">
        <f>'RISK INPUT'!I17</f>
        <v>GEN-USD-DEPO-8M</v>
      </c>
      <c r="C32" s="152">
        <f>'RISK INPUT'!J17</f>
        <v>0.79798840000000004</v>
      </c>
      <c r="D32" s="87" t="s">
        <v>230</v>
      </c>
      <c r="E32" s="115"/>
      <c r="F32" s="42" t="str">
        <f ca="1">_xll.qlDepositRateHelper2(H32,I32,J32,K32,$G$5,$G$6,$G$7,$G$8,,$C$11)</f>
        <v>USD3mDepo8M#0000</v>
      </c>
      <c r="G32" s="15" t="str">
        <f ca="1">_xll.ohRangeRetrieveError(F32)</f>
        <v/>
      </c>
      <c r="H32" s="16" t="str">
        <f t="shared" si="3"/>
        <v>USD3mDepo8M</v>
      </c>
      <c r="I32" s="17">
        <f t="shared" si="0"/>
        <v>7.9798839999999996E-3</v>
      </c>
      <c r="J32" s="16" t="str">
        <f t="shared" si="2"/>
        <v>8M</v>
      </c>
      <c r="K32" s="43">
        <v>2</v>
      </c>
      <c r="M32" s="25" t="str">
        <f t="shared" ca="1" si="1"/>
        <v>USD3mDepo8M#0000</v>
      </c>
      <c r="N32" s="26">
        <v>1</v>
      </c>
      <c r="O32" s="27" t="str">
        <f ca="1"/>
        <v>USD3mDepo9M</v>
      </c>
      <c r="P32" s="23"/>
      <c r="Q32" s="75">
        <f ca="1"/>
        <v>43980</v>
      </c>
      <c r="R32" s="74">
        <f ca="1"/>
        <v>0.99382951644410567</v>
      </c>
      <c r="S32" s="66">
        <f ca="1"/>
        <v>8.2491248995704147E-3</v>
      </c>
      <c r="T32" s="63"/>
      <c r="U32" s="60"/>
      <c r="W32" s="87" t="s">
        <v>231</v>
      </c>
      <c r="X32" s="58">
        <f>_xll.qlCalendarAdvance($R$8,$C$3,W32,"following")</f>
        <v>43983</v>
      </c>
      <c r="Y32" s="154">
        <v>0.9962583595278981</v>
      </c>
    </row>
    <row r="33" spans="1:25">
      <c r="A33" s="115"/>
      <c r="B33" s="156" t="str">
        <f>'RISK INPUT'!I18</f>
        <v>GEN-USD-DEPO-9M</v>
      </c>
      <c r="C33" s="152">
        <f>'RISK INPUT'!J18</f>
        <v>0.81546399999999997</v>
      </c>
      <c r="D33" s="87" t="s">
        <v>231</v>
      </c>
      <c r="E33" s="115"/>
      <c r="F33" s="42" t="str">
        <f ca="1">_xll.qlDepositRateHelper2(H33,I33,J33,K33,$G$5,$G$6,$G$7,$G$8,,$C$11)</f>
        <v>USD3mDepo9M#0000</v>
      </c>
      <c r="G33" s="15" t="str">
        <f ca="1">_xll.ohRangeRetrieveError(F33)</f>
        <v/>
      </c>
      <c r="H33" s="16" t="str">
        <f t="shared" si="3"/>
        <v>USD3mDepo9M</v>
      </c>
      <c r="I33" s="17">
        <f t="shared" si="0"/>
        <v>8.1546399999999995E-3</v>
      </c>
      <c r="J33" s="16" t="str">
        <f t="shared" si="2"/>
        <v>9M</v>
      </c>
      <c r="K33" s="43">
        <v>2</v>
      </c>
      <c r="M33" s="25" t="str">
        <f t="shared" ca="1" si="1"/>
        <v>USD3mDepo9M#0000</v>
      </c>
      <c r="N33" s="26">
        <v>1</v>
      </c>
      <c r="O33" s="27" t="str">
        <f ca="1"/>
        <v>USD3mDepo10M</v>
      </c>
      <c r="P33" s="23"/>
      <c r="Q33" s="75">
        <f ca="1"/>
        <v>44012</v>
      </c>
      <c r="R33" s="74">
        <f ca="1"/>
        <v>0.9929534390278939</v>
      </c>
      <c r="S33" s="66">
        <f ca="1"/>
        <v>8.4429321352565978E-3</v>
      </c>
      <c r="T33" s="63"/>
      <c r="U33" s="60"/>
      <c r="W33" s="87" t="s">
        <v>232</v>
      </c>
      <c r="X33" s="58">
        <f>_xll.qlCalendarAdvance($R$8,$C$3,W33,"following")</f>
        <v>44012</v>
      </c>
      <c r="Y33" s="154">
        <v>0.9957599065515691</v>
      </c>
    </row>
    <row r="34" spans="1:25">
      <c r="A34" s="115"/>
      <c r="B34" s="156" t="str">
        <f>'RISK INPUT'!I19</f>
        <v>GEN-USD-DEPO-10M</v>
      </c>
      <c r="C34" s="152">
        <f>'RISK INPUT'!J19</f>
        <v>0.83469079999999996</v>
      </c>
      <c r="D34" s="87" t="s">
        <v>232</v>
      </c>
      <c r="E34" s="115"/>
      <c r="F34" s="42" t="str">
        <f ca="1">_xll.qlDepositRateHelper2(H34,I34,J34,K34,$G$5,$G$6,$G$7,$G$8,,$C$11)</f>
        <v>USD3mDepo10M#0000</v>
      </c>
      <c r="G34" s="15" t="str">
        <f ca="1">_xll.ohRangeRetrieveError(F34)</f>
        <v/>
      </c>
      <c r="H34" s="16" t="str">
        <f t="shared" si="3"/>
        <v>USD3mDepo10M</v>
      </c>
      <c r="I34" s="17">
        <f t="shared" si="0"/>
        <v>8.3469080000000001E-3</v>
      </c>
      <c r="J34" s="16" t="str">
        <f t="shared" si="2"/>
        <v>10M</v>
      </c>
      <c r="K34" s="43">
        <v>2</v>
      </c>
      <c r="M34" s="25" t="str">
        <f t="shared" ca="1" si="1"/>
        <v>USD3mDepo10M#0000</v>
      </c>
      <c r="N34" s="26">
        <v>1</v>
      </c>
      <c r="O34" s="27" t="str">
        <f ca="1"/>
        <v>USD3mDepo11M</v>
      </c>
      <c r="P34" s="23"/>
      <c r="Q34" s="75">
        <f ca="1"/>
        <v>44043</v>
      </c>
      <c r="R34" s="74">
        <f ca="1"/>
        <v>0.99206494987472293</v>
      </c>
      <c r="S34" s="66">
        <f ca="1"/>
        <v>8.6402063462167611E-3</v>
      </c>
      <c r="T34" s="63"/>
      <c r="U34" s="60"/>
      <c r="W34" s="87" t="s">
        <v>233</v>
      </c>
      <c r="X34" s="58">
        <f>_xll.qlCalendarAdvance($R$8,$C$3,W34,"following")</f>
        <v>44042</v>
      </c>
      <c r="Y34" s="154">
        <v>0.99522282620130986</v>
      </c>
    </row>
    <row r="35" spans="1:25">
      <c r="A35" s="115"/>
      <c r="B35" s="156" t="str">
        <f>'RISK INPUT'!I20</f>
        <v>GEN-USD-DEPO-11M</v>
      </c>
      <c r="C35" s="152">
        <f>'RISK INPUT'!J20</f>
        <v>0.85431590000000002</v>
      </c>
      <c r="D35" s="87" t="s">
        <v>233</v>
      </c>
      <c r="E35" s="115"/>
      <c r="F35" s="42" t="str">
        <f ca="1">_xll.qlDepositRateHelper2(H35,I35,J35,K35,$G$5,$G$6,$G$7,$G$8,,$C$11)</f>
        <v>USD3mDepo11M#0000</v>
      </c>
      <c r="G35" s="15" t="str">
        <f ca="1">_xll.ohRangeRetrieveError(F35)</f>
        <v/>
      </c>
      <c r="H35" s="16" t="str">
        <f>$C$7&amp;"Depo"&amp;J35</f>
        <v>USD3mDepo11M</v>
      </c>
      <c r="I35" s="17">
        <f t="shared" si="0"/>
        <v>8.5431589999999998E-3</v>
      </c>
      <c r="J35" s="16" t="str">
        <f t="shared" si="2"/>
        <v>11M</v>
      </c>
      <c r="K35" s="43">
        <v>2</v>
      </c>
      <c r="M35" s="25" t="str">
        <f t="shared" ca="1" si="1"/>
        <v>USD3mDepo11M#0000</v>
      </c>
      <c r="N35" s="26">
        <v>1</v>
      </c>
      <c r="O35" s="27" t="str">
        <f ca="1"/>
        <v>USD3mSwap12M</v>
      </c>
      <c r="P35" s="23"/>
      <c r="Q35" s="75">
        <f ca="1"/>
        <v>44071</v>
      </c>
      <c r="R35" s="74">
        <f ca="1"/>
        <v>0.99122488243092388</v>
      </c>
      <c r="S35" s="66">
        <f ca="1"/>
        <v>8.8285075048792905E-3</v>
      </c>
      <c r="T35" s="63"/>
      <c r="U35" s="60"/>
      <c r="W35" s="87" t="s">
        <v>332</v>
      </c>
      <c r="X35" s="58">
        <f>_xll.qlCalendarAdvance($R$8,$C$3,W35,"following")</f>
        <v>44074</v>
      </c>
      <c r="Y35" s="154">
        <v>0.99459873815833155</v>
      </c>
    </row>
    <row r="36" spans="1:25">
      <c r="A36" s="115"/>
      <c r="B36" s="156" t="str">
        <f>'RISK INPUT'!I21</f>
        <v>GEN-USD-DEPO-12M</v>
      </c>
      <c r="C36" s="153">
        <f>'RISK INPUT'!J21</f>
        <v>0.87228439999999996</v>
      </c>
      <c r="D36" s="87" t="s">
        <v>332</v>
      </c>
      <c r="E36" s="115"/>
      <c r="F36" s="42" t="str">
        <f ca="1">_xll.qlSwapRateHelper2(H36,I36,,J36,$J$5,$J$6,$J$7,$J$8,$J$9,$J$10,$J$11,$J$12)</f>
        <v>USD3mSwap12M#0000</v>
      </c>
      <c r="G36" s="15" t="str">
        <f ca="1">_xll.ohRangeRetrieveError(F36)</f>
        <v/>
      </c>
      <c r="H36" s="16" t="str">
        <f>$C$7&amp;"Swap"&amp;J36</f>
        <v>USD3mSwap12M</v>
      </c>
      <c r="I36" s="17">
        <f t="shared" si="0"/>
        <v>8.7228440000000004E-3</v>
      </c>
      <c r="J36" s="16" t="str">
        <f t="shared" si="2"/>
        <v>12M</v>
      </c>
      <c r="K36" s="43">
        <v>2</v>
      </c>
      <c r="M36" s="25" t="str">
        <f t="shared" ca="1" si="1"/>
        <v>USD3mSwap12M#0000</v>
      </c>
      <c r="N36" s="26">
        <v>1</v>
      </c>
      <c r="O36" s="27" t="str">
        <f ca="1"/>
        <v>USD3mSwap15M</v>
      </c>
      <c r="P36" s="23"/>
      <c r="Q36" s="75">
        <f ca="1"/>
        <v>44165</v>
      </c>
      <c r="R36" s="74">
        <f ca="1"/>
        <v>0.98839827450958562</v>
      </c>
      <c r="S36" s="66">
        <f ca="1"/>
        <v>9.3025368390189378E-3</v>
      </c>
      <c r="T36" s="63"/>
      <c r="U36" s="60"/>
      <c r="W36" s="87" t="s">
        <v>237</v>
      </c>
      <c r="X36" s="58">
        <f>_xll.qlCalendarAdvance($R$8,$C$3,W36,"following")</f>
        <v>44165</v>
      </c>
      <c r="Y36" s="154">
        <v>0.99282016153152275</v>
      </c>
    </row>
    <row r="37" spans="1:25">
      <c r="A37" s="115"/>
      <c r="B37" s="156" t="str">
        <f>'RISK INPUT'!I22</f>
        <v>GEN-USD-DEPO-15M</v>
      </c>
      <c r="C37" s="152">
        <f>'RISK INPUT'!J22</f>
        <v>0.91820550000000001</v>
      </c>
      <c r="D37" s="87" t="s">
        <v>237</v>
      </c>
      <c r="E37" s="115"/>
      <c r="F37" s="42" t="str">
        <f ca="1">_xll.qlSwapRateHelper2(H37,I37,,J37,$J$5,$J$6,$J$7,$J$8,$J$9,$J$10,$J$11,$J$12)</f>
        <v>USD3mSwap15M#0000</v>
      </c>
      <c r="G37" s="15" t="str">
        <f ca="1">_xll.ohRangeRetrieveError(F37)</f>
        <v/>
      </c>
      <c r="H37" s="16" t="str">
        <f>$C$7&amp;"Swap"&amp;J37</f>
        <v>USD3mSwap15M</v>
      </c>
      <c r="I37" s="17">
        <f t="shared" si="0"/>
        <v>9.1820549999999997E-3</v>
      </c>
      <c r="J37" s="16" t="str">
        <f t="shared" si="2"/>
        <v>15M</v>
      </c>
      <c r="K37" s="43">
        <v>2</v>
      </c>
      <c r="M37" s="25" t="str">
        <f t="shared" ca="1" si="1"/>
        <v>USD3mSwap15M#0000</v>
      </c>
      <c r="N37" s="26">
        <v>1</v>
      </c>
      <c r="O37" s="27" t="str">
        <f ca="1"/>
        <v>USD3mSwap18M</v>
      </c>
      <c r="P37" s="23"/>
      <c r="Q37" s="75">
        <f ca="1"/>
        <v>44253</v>
      </c>
      <c r="R37" s="74">
        <f ca="1"/>
        <v>0.98558626488874368</v>
      </c>
      <c r="S37" s="66">
        <f ca="1"/>
        <v>9.7171580629673571E-3</v>
      </c>
      <c r="T37" s="63"/>
      <c r="U37" s="60"/>
      <c r="W37" s="87" t="s">
        <v>238</v>
      </c>
      <c r="X37" s="58">
        <f>_xll.qlCalendarAdvance($R$8,$C$3,W37,"following")</f>
        <v>44256</v>
      </c>
      <c r="Y37" s="154">
        <v>0.9909204421475668</v>
      </c>
    </row>
    <row r="38" spans="1:25">
      <c r="A38" s="115"/>
      <c r="B38" s="156" t="str">
        <f>'RISK INPUT'!I23</f>
        <v>GEN-USD-DEPO-18M</v>
      </c>
      <c r="C38" s="152">
        <f>'RISK INPUT'!J23</f>
        <v>0.95856450000000004</v>
      </c>
      <c r="D38" s="87" t="s">
        <v>238</v>
      </c>
      <c r="E38" s="115"/>
      <c r="F38" s="42" t="str">
        <f ca="1">_xll.qlSwapRateHelper2(H38,I38,,J38,$J$5,$J$6,$J$7,$J$8,$J$9,$J$10,$J$11,$J$12)</f>
        <v>USD3mSwap18M#0000</v>
      </c>
      <c r="G38" s="15" t="str">
        <f ca="1">_xll.ohRangeRetrieveError(F38)</f>
        <v/>
      </c>
      <c r="H38" s="16" t="str">
        <f t="shared" ref="H38:H55" si="4">$C$7&amp;"Swap"&amp;J38</f>
        <v>USD3mSwap18M</v>
      </c>
      <c r="I38" s="17">
        <f t="shared" si="0"/>
        <v>9.5856450000000003E-3</v>
      </c>
      <c r="J38" s="19" t="str">
        <f t="shared" si="2"/>
        <v>18M</v>
      </c>
      <c r="K38" s="90"/>
      <c r="M38" s="25" t="str">
        <f t="shared" ca="1" si="1"/>
        <v>USD3mSwap18M#0000</v>
      </c>
      <c r="N38" s="26">
        <v>1</v>
      </c>
      <c r="O38" s="27" t="str">
        <f ca="1"/>
        <v>USD3mSwap2Y</v>
      </c>
      <c r="P38" s="23"/>
      <c r="Q38" s="75">
        <f ca="1"/>
        <v>44439</v>
      </c>
      <c r="R38" s="74">
        <f ca="1"/>
        <v>0.97923458594248902</v>
      </c>
      <c r="S38" s="66">
        <f ca="1"/>
        <v>1.0489479250540334E-2</v>
      </c>
      <c r="T38" s="63"/>
      <c r="U38" s="60"/>
      <c r="W38" s="87" t="s">
        <v>239</v>
      </c>
      <c r="X38" s="58">
        <f>_xll.qlCalendarAdvance($R$8,$C$3,W38,"following")</f>
        <v>44347</v>
      </c>
      <c r="Y38" s="154">
        <v>0.98883197996942318</v>
      </c>
    </row>
    <row r="39" spans="1:25">
      <c r="A39" s="115"/>
      <c r="B39" s="156" t="str">
        <f>'RISK INPUT'!I24</f>
        <v>GEN-USD-SWAP*-3M-2Y</v>
      </c>
      <c r="C39" s="152">
        <f>'RISK INPUT'!J24</f>
        <v>1.0345599999999999</v>
      </c>
      <c r="D39" s="87" t="s">
        <v>240</v>
      </c>
      <c r="E39" s="115"/>
      <c r="F39" s="42" t="str">
        <f ca="1">_xll.qlSwapRateHelper2(H39,I39,,J39,$J$5,$J$6,$J$7,$J$8,$J$9,$J$10,$J$11,$J$12)</f>
        <v>USD3mSwap2Y#0000</v>
      </c>
      <c r="G39" s="15" t="str">
        <f ca="1">_xll.ohRangeRetrieveError(F39)</f>
        <v/>
      </c>
      <c r="H39" s="16" t="str">
        <f t="shared" si="4"/>
        <v>USD3mSwap2Y</v>
      </c>
      <c r="I39" s="17">
        <f t="shared" si="0"/>
        <v>1.03456E-2</v>
      </c>
      <c r="J39" s="19" t="str">
        <f t="shared" si="2"/>
        <v>2Y</v>
      </c>
      <c r="K39" s="90"/>
      <c r="M39" s="25" t="str">
        <f t="shared" ca="1" si="1"/>
        <v>USD3mSwap2Y#0000</v>
      </c>
      <c r="N39" s="26">
        <v>1</v>
      </c>
      <c r="O39" s="27" t="str">
        <f ca="1"/>
        <v>USD3mSwap3Y</v>
      </c>
      <c r="P39" s="23"/>
      <c r="Q39" s="75">
        <f ca="1"/>
        <v>44803</v>
      </c>
      <c r="R39" s="74">
        <f ca="1"/>
        <v>0.96548223978878123</v>
      </c>
      <c r="S39" s="66">
        <f ca="1"/>
        <v>1.1745643016332297E-2</v>
      </c>
      <c r="T39" s="63"/>
      <c r="U39" s="60"/>
      <c r="W39" s="87" t="s">
        <v>240</v>
      </c>
      <c r="X39" s="58">
        <f>_xll.qlCalendarAdvance($R$8,$C$3,W39,"following")</f>
        <v>44438</v>
      </c>
      <c r="Y39" s="154">
        <v>0.98662151852474667</v>
      </c>
    </row>
    <row r="40" spans="1:25">
      <c r="A40" s="115"/>
      <c r="B40" s="156" t="str">
        <f>'RISK INPUT'!I25</f>
        <v>GEN-USD-SWAP*-3M-3Y</v>
      </c>
      <c r="C40" s="152">
        <f>'RISK INPUT'!J25</f>
        <v>1.157</v>
      </c>
      <c r="D40" s="87" t="s">
        <v>211</v>
      </c>
      <c r="E40" s="115"/>
      <c r="F40" s="42" t="str">
        <f ca="1">_xll.qlSwapRateHelper2(H40,I40,,J40,$J$5,$J$6,$J$7,$J$8,$J$9,$J$10,$J$11,$J$12)</f>
        <v>USD3mSwap3Y#0000</v>
      </c>
      <c r="G40" s="15" t="str">
        <f ca="1">_xll.ohRangeRetrieveError(F40)</f>
        <v/>
      </c>
      <c r="H40" s="16" t="str">
        <f t="shared" si="4"/>
        <v>USD3mSwap3Y</v>
      </c>
      <c r="I40" s="17">
        <f t="shared" si="0"/>
        <v>1.157E-2</v>
      </c>
      <c r="J40" s="19" t="str">
        <f t="shared" si="2"/>
        <v>3Y</v>
      </c>
      <c r="K40" s="90"/>
      <c r="M40" s="25" t="str">
        <f t="shared" ca="1" si="1"/>
        <v>USD3mSwap3Y#0000</v>
      </c>
      <c r="N40" s="26">
        <v>1</v>
      </c>
      <c r="O40" s="27" t="str">
        <f ca="1"/>
        <v>USD3mSwap4Y</v>
      </c>
      <c r="P40" s="23"/>
      <c r="Q40" s="75">
        <f ca="1"/>
        <v>45168</v>
      </c>
      <c r="R40" s="74">
        <f ca="1"/>
        <v>0.95066251739353536</v>
      </c>
      <c r="S40" s="66">
        <f ca="1"/>
        <v>1.27031074212971E-2</v>
      </c>
      <c r="T40" s="63"/>
      <c r="U40" s="60"/>
      <c r="W40" s="87" t="s">
        <v>211</v>
      </c>
      <c r="X40" s="58">
        <f>_xll.qlCalendarAdvance($R$8,$C$3,W40,"following")</f>
        <v>44803</v>
      </c>
      <c r="Y40" s="154">
        <v>0.97653026067666338</v>
      </c>
    </row>
    <row r="41" spans="1:25">
      <c r="A41" s="115"/>
      <c r="B41" s="156" t="str">
        <f>'RISK INPUT'!I26</f>
        <v>GEN-USD-SWAP*-3M-4Y</v>
      </c>
      <c r="C41" s="152">
        <f>'RISK INPUT'!J26</f>
        <v>1.25</v>
      </c>
      <c r="D41" s="87" t="s">
        <v>212</v>
      </c>
      <c r="E41" s="115"/>
      <c r="F41" s="42" t="str">
        <f ca="1">_xll.qlSwapRateHelper2(H41,I41,,J41,$J$5,$J$6,$J$7,$J$8,$J$9,$J$10,$J$11,$J$12)</f>
        <v>USD3mSwap4Y#0000</v>
      </c>
      <c r="G41" s="15" t="str">
        <f ca="1">_xll.ohRangeRetrieveError(F41)</f>
        <v/>
      </c>
      <c r="H41" s="16" t="str">
        <f t="shared" si="4"/>
        <v>USD3mSwap4Y</v>
      </c>
      <c r="I41" s="17">
        <f t="shared" si="0"/>
        <v>1.2500000000000001E-2</v>
      </c>
      <c r="J41" s="19" t="str">
        <f t="shared" si="2"/>
        <v>4Y</v>
      </c>
      <c r="K41" s="90"/>
      <c r="M41" s="25" t="str">
        <f t="shared" ca="1" si="1"/>
        <v>USD3mSwap4Y#0000</v>
      </c>
      <c r="N41" s="26">
        <v>3</v>
      </c>
      <c r="O41" s="27" t="str">
        <f ca="1"/>
        <v>USD3mSwap5Y</v>
      </c>
      <c r="P41" s="23"/>
      <c r="Q41" s="75">
        <f ca="1"/>
        <v>45534</v>
      </c>
      <c r="R41" s="74">
        <f ca="1"/>
        <v>0.93436829169389446</v>
      </c>
      <c r="S41" s="66">
        <f ca="1"/>
        <v>1.3639407302542761E-2</v>
      </c>
      <c r="T41" s="63"/>
      <c r="U41" s="60"/>
      <c r="W41" s="87" t="s">
        <v>212</v>
      </c>
      <c r="X41" s="58">
        <f>_xll.qlCalendarAdvance($R$8,$C$3,W41,"following")</f>
        <v>45168</v>
      </c>
      <c r="Y41" s="154">
        <v>0.96454054042540538</v>
      </c>
    </row>
    <row r="42" spans="1:25">
      <c r="A42" s="115"/>
      <c r="B42" s="156" t="str">
        <f>'RISK INPUT'!I27</f>
        <v>GEN-USD-SWAP*-3M-5Y</v>
      </c>
      <c r="C42" s="152">
        <f>'RISK INPUT'!J27</f>
        <v>1.3405</v>
      </c>
      <c r="D42" s="87" t="s">
        <v>213</v>
      </c>
      <c r="E42" s="115"/>
      <c r="F42" s="42" t="str">
        <f ca="1">_xll.qlSwapRateHelper2(H42,I42,,J42,$J$5,$J$6,$J$7,$J$8,$J$9,$J$10,$J$11,$J$12)</f>
        <v>USD3mSwap5Y#0000</v>
      </c>
      <c r="G42" s="15" t="str">
        <f ca="1">_xll.ohRangeRetrieveError(F42)</f>
        <v/>
      </c>
      <c r="H42" s="16" t="str">
        <f t="shared" si="4"/>
        <v>USD3mSwap5Y</v>
      </c>
      <c r="I42" s="17">
        <f t="shared" si="0"/>
        <v>1.3405E-2</v>
      </c>
      <c r="J42" s="19" t="str">
        <f t="shared" si="2"/>
        <v>5Y</v>
      </c>
      <c r="K42" s="90"/>
      <c r="M42" s="25" t="str">
        <f t="shared" ca="1" si="1"/>
        <v>USD3mSwap5Y#0000</v>
      </c>
      <c r="N42" s="26">
        <v>3</v>
      </c>
      <c r="O42" s="27" t="str">
        <f ca="1"/>
        <v>USD3mSwap6Y</v>
      </c>
      <c r="P42" s="23"/>
      <c r="Q42" s="75">
        <f ca="1"/>
        <v>45898</v>
      </c>
      <c r="R42" s="74">
        <f ca="1"/>
        <v>0.91766617307140042</v>
      </c>
      <c r="S42" s="66">
        <f ca="1"/>
        <v>1.4403420625901164E-2</v>
      </c>
      <c r="T42" s="63"/>
      <c r="U42" s="60"/>
      <c r="W42" s="87" t="s">
        <v>213</v>
      </c>
      <c r="X42" s="58">
        <f>_xll.qlCalendarAdvance($R$8,$C$3,W42,"following")</f>
        <v>45534</v>
      </c>
      <c r="Y42" s="154">
        <v>0.9507831883488248</v>
      </c>
    </row>
    <row r="43" spans="1:25">
      <c r="A43" s="115"/>
      <c r="B43" s="156" t="str">
        <f>'RISK INPUT'!I28</f>
        <v>GEN-USD-SWAP*-3M-6Y</v>
      </c>
      <c r="C43" s="152">
        <f>'RISK INPUT'!J28</f>
        <v>1.4139999999999999</v>
      </c>
      <c r="D43" s="87" t="s">
        <v>214</v>
      </c>
      <c r="E43" s="115"/>
      <c r="F43" s="42" t="str">
        <f ca="1">_xll.qlSwapRateHelper2(H43,I43,,J43,$J$5,$J$6,$J$7,$J$8,$J$9,$J$10,$J$11,$J$12)</f>
        <v>USD3mSwap6Y#0000</v>
      </c>
      <c r="G43" s="15" t="str">
        <f ca="1">_xll.ohRangeRetrieveError(F43)</f>
        <v/>
      </c>
      <c r="H43" s="16" t="str">
        <f t="shared" si="4"/>
        <v>USD3mSwap6Y</v>
      </c>
      <c r="I43" s="17">
        <f t="shared" si="0"/>
        <v>1.414E-2</v>
      </c>
      <c r="J43" s="19" t="str">
        <f t="shared" si="2"/>
        <v>6Y</v>
      </c>
      <c r="K43" s="90"/>
      <c r="M43" s="25" t="str">
        <f t="shared" ca="1" si="1"/>
        <v>USD3mSwap6Y#0000</v>
      </c>
      <c r="N43" s="26">
        <v>3</v>
      </c>
      <c r="O43" s="27" t="str">
        <f ca="1"/>
        <v>USD3mSwap7Y</v>
      </c>
      <c r="P43" s="23"/>
      <c r="Q43" s="75">
        <f ca="1"/>
        <v>46262</v>
      </c>
      <c r="R43" s="74">
        <f ca="1"/>
        <v>0.8992856821577857</v>
      </c>
      <c r="S43" s="66">
        <f ca="1"/>
        <v>1.5268459396488243E-2</v>
      </c>
      <c r="T43" s="63"/>
      <c r="U43" s="60"/>
      <c r="W43" s="87" t="s">
        <v>214</v>
      </c>
      <c r="X43" s="58">
        <f>_xll.qlCalendarAdvance($R$8,$C$3,W43,"following")</f>
        <v>45901</v>
      </c>
      <c r="Y43" s="154">
        <v>0.93605684917641307</v>
      </c>
    </row>
    <row r="44" spans="1:25">
      <c r="B44" s="156" t="str">
        <f>'RISK INPUT'!I29</f>
        <v>GEN-USD-SWAP*-3M-7Y</v>
      </c>
      <c r="C44" s="152">
        <f>'RISK INPUT'!J29</f>
        <v>1.49655</v>
      </c>
      <c r="D44" s="87" t="s">
        <v>215</v>
      </c>
      <c r="E44" s="115"/>
      <c r="F44" s="42" t="str">
        <f ca="1">_xll.qlSwapRateHelper2(H44,I44,,J44,$J$5,$J$6,$J$7,$J$8,$J$9,$J$10,$J$11,$J$12)</f>
        <v>USD3mSwap7Y#0000</v>
      </c>
      <c r="G44" s="15" t="str">
        <f ca="1">_xll.ohRangeRetrieveError(F44)</f>
        <v/>
      </c>
      <c r="H44" s="16" t="str">
        <f t="shared" si="4"/>
        <v>USD3mSwap7Y</v>
      </c>
      <c r="I44" s="17">
        <f t="shared" si="0"/>
        <v>1.49655E-2</v>
      </c>
      <c r="J44" s="19" t="str">
        <f t="shared" si="2"/>
        <v>7Y</v>
      </c>
      <c r="K44" s="90"/>
      <c r="M44" s="25" t="str">
        <f t="shared" ca="1" si="1"/>
        <v>USD3mSwap7Y#0000</v>
      </c>
      <c r="N44" s="26">
        <v>3</v>
      </c>
      <c r="O44" s="27" t="str">
        <f ca="1"/>
        <v>USD3mSwap8Y</v>
      </c>
      <c r="P44" s="23"/>
      <c r="Q44" s="75">
        <f ca="1"/>
        <v>46630</v>
      </c>
      <c r="R44" s="74">
        <f ca="1"/>
        <v>0.88077679270901121</v>
      </c>
      <c r="S44" s="66">
        <f ca="1"/>
        <v>1.5967899772647343E-2</v>
      </c>
      <c r="T44" s="63"/>
      <c r="U44" s="60"/>
      <c r="W44" s="87" t="s">
        <v>215</v>
      </c>
      <c r="X44" s="58">
        <f>_xll.qlCalendarAdvance($R$8,$C$3,W44,"following")</f>
        <v>46265</v>
      </c>
      <c r="Y44" s="154">
        <v>0.91925434684312468</v>
      </c>
    </row>
    <row r="45" spans="1:25">
      <c r="B45" s="156" t="str">
        <f>'RISK INPUT'!I30</f>
        <v>GEN-USD-SWAP*-3M-8Y</v>
      </c>
      <c r="C45" s="152">
        <f>'RISK INPUT'!J30</f>
        <v>1.5629999999999999</v>
      </c>
      <c r="D45" s="87" t="s">
        <v>216</v>
      </c>
      <c r="F45" s="42" t="str">
        <f ca="1">_xll.qlSwapRateHelper2(H45,I45,,J45,$J$5,$J$6,$J$7,$J$8,$J$9,$J$10,$J$11,$J$12)</f>
        <v>USD3mSwap8Y#0000</v>
      </c>
      <c r="G45" s="15" t="str">
        <f ca="1">_xll.ohRangeRetrieveError(F45)</f>
        <v/>
      </c>
      <c r="H45" s="16" t="str">
        <f t="shared" si="4"/>
        <v>USD3mSwap8Y</v>
      </c>
      <c r="I45" s="17">
        <f t="shared" si="0"/>
        <v>1.5629999999999998E-2</v>
      </c>
      <c r="J45" s="19" t="str">
        <f t="shared" si="2"/>
        <v>8Y</v>
      </c>
      <c r="K45" s="90"/>
      <c r="M45" s="25" t="str">
        <f t="shared" ca="1" si="1"/>
        <v>USD3mSwap8Y#0000</v>
      </c>
      <c r="N45" s="26">
        <v>3</v>
      </c>
      <c r="O45" s="27" t="str">
        <f ca="1"/>
        <v>USD3mSwap9Y</v>
      </c>
      <c r="P45" s="23"/>
      <c r="Q45" s="75">
        <f ca="1"/>
        <v>46995</v>
      </c>
      <c r="R45" s="74">
        <f ca="1"/>
        <v>0.8614799635886492</v>
      </c>
      <c r="S45" s="66">
        <f ca="1"/>
        <v>1.6679449893039822E-2</v>
      </c>
      <c r="T45" s="63"/>
      <c r="U45" s="60"/>
      <c r="W45" s="87" t="s">
        <v>216</v>
      </c>
      <c r="X45" s="58">
        <f>_xll.qlCalendarAdvance($R$8,$C$3,W45,"following")</f>
        <v>46629</v>
      </c>
      <c r="Y45" s="154">
        <v>0.90214894394383616</v>
      </c>
    </row>
    <row r="46" spans="1:25">
      <c r="B46" s="156" t="str">
        <f>'RISK INPUT'!I31</f>
        <v>GEN-USD-SWAP*-3M-9Y</v>
      </c>
      <c r="C46" s="152">
        <f>'RISK INPUT'!J31</f>
        <v>1.63</v>
      </c>
      <c r="D46" s="87" t="s">
        <v>217</v>
      </c>
      <c r="F46" s="42" t="str">
        <f ca="1">_xll.qlSwapRateHelper2(H46,I46,,J46,$J$5,$J$6,$J$7,$J$8,$J$9,$J$10,$J$11,$J$12)</f>
        <v>USD3mSwap9Y#0000</v>
      </c>
      <c r="G46" s="15" t="str">
        <f ca="1">_xll.ohRangeRetrieveError(F46)</f>
        <v/>
      </c>
      <c r="H46" s="16" t="str">
        <f t="shared" si="4"/>
        <v>USD3mSwap9Y</v>
      </c>
      <c r="I46" s="17">
        <f t="shared" si="0"/>
        <v>1.6299999999999999E-2</v>
      </c>
      <c r="J46" s="19" t="str">
        <f t="shared" si="2"/>
        <v>9Y</v>
      </c>
      <c r="K46" s="90"/>
      <c r="M46" s="25" t="str">
        <f t="shared" ca="1" si="1"/>
        <v>USD3mSwap9Y#0000</v>
      </c>
      <c r="N46" s="26">
        <v>3</v>
      </c>
      <c r="O46" s="27" t="str">
        <f ca="1"/>
        <v>USD3mSwap10Y</v>
      </c>
      <c r="P46" s="23"/>
      <c r="Q46" s="75">
        <f ca="1"/>
        <v>47360</v>
      </c>
      <c r="R46" s="74">
        <f ca="1"/>
        <v>0.84187579014206693</v>
      </c>
      <c r="S46" s="66">
        <f ca="1"/>
        <v>1.7337309448971272E-2</v>
      </c>
      <c r="T46" s="63"/>
      <c r="U46" s="60"/>
      <c r="W46" s="87" t="s">
        <v>217</v>
      </c>
      <c r="X46" s="58">
        <f>_xll.qlCalendarAdvance($R$8,$C$3,W46,"following")</f>
        <v>46995</v>
      </c>
      <c r="Y46" s="154">
        <v>0.8845396439053228</v>
      </c>
    </row>
    <row r="47" spans="1:25">
      <c r="B47" s="156" t="str">
        <f>'RISK INPUT'!I32</f>
        <v>GEN-USD-SWAP*-3M-10Y</v>
      </c>
      <c r="C47" s="152">
        <f>'RISK INPUT'!J32</f>
        <v>1.6915</v>
      </c>
      <c r="D47" s="87" t="s">
        <v>218</v>
      </c>
      <c r="F47" s="42" t="str">
        <f ca="1">_xll.qlSwapRateHelper2(H47,I47,,J47,$J$5,$J$6,$J$7,$J$8,$J$9,$J$10,$J$11,$J$12)</f>
        <v>USD3mSwap10Y#0000</v>
      </c>
      <c r="G47" s="15" t="str">
        <f ca="1">_xll.ohRangeRetrieveError(F47)</f>
        <v/>
      </c>
      <c r="H47" s="16" t="str">
        <f t="shared" si="4"/>
        <v>USD3mSwap10Y</v>
      </c>
      <c r="I47" s="17">
        <f t="shared" si="0"/>
        <v>1.6914999999999999E-2</v>
      </c>
      <c r="J47" s="19" t="str">
        <f t="shared" si="2"/>
        <v>10Y</v>
      </c>
      <c r="K47" s="90"/>
      <c r="M47" s="25" t="str">
        <f t="shared" ca="1" si="1"/>
        <v>USD3mSwap10Y#0000</v>
      </c>
      <c r="N47" s="26">
        <v>3</v>
      </c>
      <c r="O47" s="27" t="str">
        <f ca="1"/>
        <v>USD3mSwap12Y</v>
      </c>
      <c r="P47" s="23"/>
      <c r="Q47" s="75">
        <f ca="1"/>
        <v>48089</v>
      </c>
      <c r="R47" s="74">
        <f ca="1"/>
        <v>0.80275273368173117</v>
      </c>
      <c r="S47" s="66">
        <f ca="1"/>
        <v>1.8460669379599226E-2</v>
      </c>
      <c r="T47" s="63"/>
      <c r="U47" s="60"/>
      <c r="W47" s="87" t="s">
        <v>218</v>
      </c>
      <c r="X47" s="58">
        <f>_xll.qlCalendarAdvance($R$8,$C$3,W47,"following")</f>
        <v>47360</v>
      </c>
      <c r="Y47" s="154">
        <v>0.86636278595602711</v>
      </c>
    </row>
    <row r="48" spans="1:25">
      <c r="B48" s="156" t="str">
        <f>'RISK INPUT'!I33</f>
        <v>GEN-USD-SWAP*-3M-12Y</v>
      </c>
      <c r="C48" s="152">
        <f>'RISK INPUT'!J33</f>
        <v>1.7955000000000001</v>
      </c>
      <c r="D48" s="87" t="s">
        <v>219</v>
      </c>
      <c r="F48" s="42" t="str">
        <f ca="1">_xll.qlSwapRateHelper2(H48,I48,,J48,$J$5,$J$6,$J$7,$J$8,$J$9,$J$10,$J$11,$J$12)</f>
        <v>USD3mSwap12Y#0000</v>
      </c>
      <c r="G48" s="15" t="str">
        <f ca="1">_xll.ohRangeRetrieveError(F48)</f>
        <v/>
      </c>
      <c r="H48" s="16" t="str">
        <f t="shared" si="4"/>
        <v>USD3mSwap12Y</v>
      </c>
      <c r="I48" s="17">
        <f t="shared" si="0"/>
        <v>1.7955000000000002E-2</v>
      </c>
      <c r="J48" s="19" t="str">
        <f t="shared" si="2"/>
        <v>12Y</v>
      </c>
      <c r="K48" s="90"/>
      <c r="M48" s="25" t="str">
        <f t="shared" ca="1" si="1"/>
        <v>USD3mSwap12Y#0000</v>
      </c>
      <c r="N48" s="26">
        <v>3</v>
      </c>
      <c r="O48" s="27" t="str">
        <f ca="1"/>
        <v>USD3mSwap15Y</v>
      </c>
      <c r="P48" s="23"/>
      <c r="Q48" s="75">
        <f ca="1"/>
        <v>49186</v>
      </c>
      <c r="R48" s="74">
        <f ca="1"/>
        <v>0.74559072887871169</v>
      </c>
      <c r="S48" s="66">
        <f ca="1"/>
        <v>1.9742833513502367E-2</v>
      </c>
      <c r="T48" s="63"/>
      <c r="U48" s="60"/>
      <c r="W48" s="87" t="s">
        <v>219</v>
      </c>
      <c r="X48" s="58">
        <f>_xll.qlCalendarAdvance($R$8,$C$3,W48,"following")</f>
        <v>48092</v>
      </c>
      <c r="Y48" s="154">
        <v>0.82874328940172282</v>
      </c>
    </row>
    <row r="49" spans="2:25">
      <c r="B49" s="156" t="str">
        <f>'RISK INPUT'!I34</f>
        <v>GEN-USD-SWAP*-3M-15Y</v>
      </c>
      <c r="C49" s="152">
        <f>'RISK INPUT'!J34</f>
        <v>1.9125000000000001</v>
      </c>
      <c r="D49" s="87" t="s">
        <v>220</v>
      </c>
      <c r="F49" s="42" t="str">
        <f ca="1">_xll.qlSwapRateHelper2(H49,I49,,J49,$J$5,$J$6,$J$7,$J$8,$J$9,$J$10,$J$11,$J$12)</f>
        <v>USD3mSwap15Y#0000</v>
      </c>
      <c r="G49" s="15" t="str">
        <f ca="1">_xll.ohRangeRetrieveError(F49)</f>
        <v/>
      </c>
      <c r="H49" s="16" t="str">
        <f t="shared" si="4"/>
        <v>USD3mSwap15Y</v>
      </c>
      <c r="I49" s="17">
        <f t="shared" si="0"/>
        <v>1.9125E-2</v>
      </c>
      <c r="J49" s="19" t="str">
        <f t="shared" si="2"/>
        <v>15Y</v>
      </c>
      <c r="K49" s="90"/>
      <c r="M49" s="25" t="str">
        <f t="shared" ca="1" si="1"/>
        <v>USD3mSwap15Y#0000</v>
      </c>
      <c r="N49" s="26">
        <v>3</v>
      </c>
      <c r="O49" s="27" t="str">
        <f ca="1"/>
        <v>USD3mSwap20Y</v>
      </c>
      <c r="P49" s="23"/>
      <c r="Q49" s="75">
        <f ca="1"/>
        <v>51012</v>
      </c>
      <c r="R49" s="74">
        <f ca="1"/>
        <v>0.65839650401331073</v>
      </c>
      <c r="S49" s="66">
        <f ca="1"/>
        <v>2.1096834584956481E-2</v>
      </c>
      <c r="T49" s="63"/>
      <c r="U49" s="60"/>
      <c r="W49" s="87" t="s">
        <v>220</v>
      </c>
      <c r="X49" s="58">
        <f>_xll.qlCalendarAdvance($R$8,$C$3,W49,"following")</f>
        <v>49186</v>
      </c>
      <c r="Y49" s="154">
        <v>0.77479789155799861</v>
      </c>
    </row>
    <row r="50" spans="2:25">
      <c r="B50" s="156" t="str">
        <f>'RISK INPUT'!I35</f>
        <v>GEN-USD-SWAP*-3M-20Y</v>
      </c>
      <c r="C50" s="152">
        <f>'RISK INPUT'!J35</f>
        <v>2.0339999999999998</v>
      </c>
      <c r="D50" s="87" t="s">
        <v>221</v>
      </c>
      <c r="F50" s="42" t="str">
        <f ca="1">_xll.qlSwapRateHelper2(H50,I50,,J50,$J$5,$J$6,$J$7,$J$8,$J$9,$J$10,$J$11,$J$12)</f>
        <v>USD3mSwap20Y#0000</v>
      </c>
      <c r="G50" s="15" t="str">
        <f ca="1">_xll.ohRangeRetrieveError(F50)</f>
        <v/>
      </c>
      <c r="H50" s="16" t="str">
        <f t="shared" si="4"/>
        <v>USD3mSwap20Y</v>
      </c>
      <c r="I50" s="17">
        <f t="shared" si="0"/>
        <v>2.0339999999999997E-2</v>
      </c>
      <c r="J50" s="19" t="str">
        <f t="shared" si="2"/>
        <v>20Y</v>
      </c>
      <c r="K50" s="90"/>
      <c r="M50" s="25" t="str">
        <f t="shared" ca="1" si="1"/>
        <v>USD3mSwap20Y#0000</v>
      </c>
      <c r="N50" s="26">
        <v>3</v>
      </c>
      <c r="O50" s="27" t="str">
        <f ca="1"/>
        <v>USD3mSwap25Y</v>
      </c>
      <c r="P50" s="23"/>
      <c r="Q50" s="75">
        <f ca="1"/>
        <v>52839</v>
      </c>
      <c r="R50" s="74">
        <f ca="1"/>
        <v>0.58333056225097857</v>
      </c>
      <c r="S50" s="66">
        <f ca="1"/>
        <v>2.177244076842566E-2</v>
      </c>
      <c r="T50" s="63"/>
      <c r="U50" s="60"/>
      <c r="W50" s="87" t="s">
        <v>221</v>
      </c>
      <c r="X50" s="58">
        <f>_xll.qlCalendarAdvance($R$8,$C$3,W50,"following")</f>
        <v>51012</v>
      </c>
      <c r="Y50" s="154">
        <v>0.69078459689786287</v>
      </c>
    </row>
    <row r="51" spans="2:25">
      <c r="B51" s="156" t="str">
        <f>'RISK INPUT'!I36</f>
        <v>GEN-USD-SWAP*-3M-25Y</v>
      </c>
      <c r="C51" s="152">
        <f>'RISK INPUT'!J36</f>
        <v>2.0950000000000002</v>
      </c>
      <c r="D51" s="87" t="s">
        <v>222</v>
      </c>
      <c r="F51" s="42" t="str">
        <f ca="1">_xll.qlSwapRateHelper2(H51,I51,,J51,$J$5,$J$6,$J$7,$J$8,$J$9,$J$10,$J$11,$J$12)</f>
        <v>USD3mSwap25Y#0000</v>
      </c>
      <c r="G51" s="15" t="str">
        <f ca="1">_xll.ohRangeRetrieveError(F51)</f>
        <v/>
      </c>
      <c r="H51" s="16" t="str">
        <f t="shared" si="4"/>
        <v>USD3mSwap25Y</v>
      </c>
      <c r="I51" s="17">
        <f t="shared" si="0"/>
        <v>2.0950000000000003E-2</v>
      </c>
      <c r="J51" s="19" t="str">
        <f t="shared" si="2"/>
        <v>25Y</v>
      </c>
      <c r="K51" s="90"/>
      <c r="M51" s="25" t="str">
        <f t="shared" ca="1" si="1"/>
        <v>USD3mSwap25Y#0000</v>
      </c>
      <c r="N51" s="26">
        <v>3</v>
      </c>
      <c r="O51" s="27" t="str">
        <f ca="1"/>
        <v>USD3mSwap30Y</v>
      </c>
      <c r="Q51" s="75">
        <f ca="1"/>
        <v>54666</v>
      </c>
      <c r="R51" s="74">
        <f ca="1"/>
        <v>0.51788229487949178</v>
      </c>
      <c r="S51" s="66">
        <f ca="1"/>
        <v>2.2153386133398456E-2</v>
      </c>
      <c r="T51" s="63"/>
      <c r="U51" s="60"/>
      <c r="W51" s="87" t="s">
        <v>222</v>
      </c>
      <c r="X51" s="58">
        <f>_xll.qlCalendarAdvance($R$8,$C$3,W51,"following")</f>
        <v>52839</v>
      </c>
      <c r="Y51" s="154">
        <v>0.61824189035595778</v>
      </c>
    </row>
    <row r="52" spans="2:25">
      <c r="B52" s="156" t="str">
        <f>'RISK INPUT'!I37</f>
        <v>GEN-USD-SWAP*-3M-30Y</v>
      </c>
      <c r="C52" s="152">
        <f>'RISK INPUT'!J37</f>
        <v>2.13</v>
      </c>
      <c r="D52" s="87" t="s">
        <v>223</v>
      </c>
      <c r="F52" s="42" t="str">
        <f ca="1">_xll.qlSwapRateHelper2(H52,I52,,J52,$J$5,$J$6,$J$7,$J$8,$J$9,$J$10,$J$11,$J$12)</f>
        <v>USD3mSwap30Y#0000</v>
      </c>
      <c r="G52" s="15" t="str">
        <f ca="1">_xll.ohRangeRetrieveError(F52)</f>
        <v/>
      </c>
      <c r="H52" s="16" t="str">
        <f t="shared" si="4"/>
        <v>USD3mSwap30Y</v>
      </c>
      <c r="I52" s="17">
        <f t="shared" si="0"/>
        <v>2.1299999999999999E-2</v>
      </c>
      <c r="J52" s="19" t="str">
        <f t="shared" si="2"/>
        <v>30Y</v>
      </c>
      <c r="K52" s="90"/>
      <c r="M52" s="25" t="str">
        <f t="shared" ca="1" si="1"/>
        <v>USD3mSwap30Y#0000</v>
      </c>
      <c r="N52" s="26">
        <v>3</v>
      </c>
      <c r="O52" s="27" t="str">
        <f ca="1"/>
        <v>USD3mSwap40Y</v>
      </c>
      <c r="Q52" s="75">
        <f ca="1"/>
        <v>58316</v>
      </c>
      <c r="R52" s="74">
        <f ca="1"/>
        <v>0.41401944894879605</v>
      </c>
      <c r="S52" s="66">
        <f ca="1"/>
        <v>2.2273900894946408E-2</v>
      </c>
      <c r="T52" s="63"/>
      <c r="U52" s="60"/>
      <c r="W52" s="87" t="s">
        <v>223</v>
      </c>
      <c r="X52" s="58">
        <f>_xll.qlCalendarAdvance($R$8,$C$3,W52,"following")</f>
        <v>54665</v>
      </c>
      <c r="Y52" s="154">
        <v>0.55505986202796276</v>
      </c>
    </row>
    <row r="53" spans="2:25">
      <c r="B53" s="156" t="str">
        <f>'RISK INPUT'!I38</f>
        <v>GEN-USD-SWAP*-3M-40Y</v>
      </c>
      <c r="C53" s="152">
        <f>'RISK INPUT'!J38</f>
        <v>2.1480000000000001</v>
      </c>
      <c r="D53" s="87" t="s">
        <v>224</v>
      </c>
      <c r="F53" s="42" t="str">
        <f ca="1">_xll.qlSwapRateHelper2(H53,I53,,J53,$J$5,$J$6,$J$7,$J$8,$J$9,$J$10,$J$11,$J$12)</f>
        <v>USD3mSwap40Y#0000</v>
      </c>
      <c r="G53" s="15" t="str">
        <f ca="1">_xll.ohRangeRetrieveError(F53)</f>
        <v/>
      </c>
      <c r="H53" s="16" t="str">
        <f t="shared" si="4"/>
        <v>USD3mSwap40Y</v>
      </c>
      <c r="I53" s="17">
        <f>C53/100</f>
        <v>2.1480000000000003E-2</v>
      </c>
      <c r="J53" s="19" t="str">
        <f t="shared" si="2"/>
        <v>40Y</v>
      </c>
      <c r="K53" s="90"/>
      <c r="M53" s="25" t="str">
        <f t="shared" ca="1" si="1"/>
        <v>USD3mSwap40Y#0000</v>
      </c>
      <c r="N53" s="26">
        <v>3</v>
      </c>
      <c r="O53" s="27" t="str">
        <f ca="1"/>
        <v>USD3mSwap50Y</v>
      </c>
      <c r="Q53" s="75">
        <f ca="1"/>
        <v>61970</v>
      </c>
      <c r="R53" s="74">
        <f ca="1"/>
        <v>0.33705027186798187</v>
      </c>
      <c r="S53" s="66">
        <f ca="1"/>
        <v>2.1970474343605773E-2</v>
      </c>
      <c r="T53" s="63"/>
      <c r="U53" s="60"/>
      <c r="W53" s="87" t="s">
        <v>224</v>
      </c>
      <c r="X53" s="58">
        <f>_xll.qlCalendarAdvance($R$8,$C$3,W53,"following")</f>
        <v>58319</v>
      </c>
      <c r="Y53" s="154">
        <v>0.45493971625251084</v>
      </c>
    </row>
    <row r="54" spans="2:25">
      <c r="B54" s="156" t="str">
        <f>'RISK INPUT'!I39</f>
        <v>GEN-USD-SWAP*-3M-50Y</v>
      </c>
      <c r="C54" s="152">
        <f>'RISK INPUT'!J39</f>
        <v>2.1345000000000001</v>
      </c>
      <c r="D54" s="87" t="s">
        <v>225</v>
      </c>
      <c r="F54" s="42" t="str">
        <f ca="1">_xll.qlSwapRateHelper2(H54,I54,,J54,$J$5,$J$6,$J$7,$J$8,$J$9,$J$10,$J$11,$J$12)</f>
        <v>USD3mSwap50Y#0000</v>
      </c>
      <c r="G54" s="15"/>
      <c r="H54" s="16" t="str">
        <f t="shared" si="4"/>
        <v>USD3mSwap50Y</v>
      </c>
      <c r="I54" s="17">
        <f t="shared" ref="I54:I55" si="5">C54/100</f>
        <v>2.1344999999999999E-2</v>
      </c>
      <c r="J54" s="16" t="str">
        <f>D54</f>
        <v>50Y</v>
      </c>
      <c r="K54" s="90"/>
      <c r="M54" s="25" t="str">
        <f t="shared" ca="1" si="1"/>
        <v>USD3mSwap50Y#0000</v>
      </c>
      <c r="N54" s="26">
        <v>3</v>
      </c>
      <c r="O54" s="27" t="str">
        <f ca="1"/>
        <v>USD3mSwap51Y</v>
      </c>
      <c r="Q54" s="75">
        <f ca="1"/>
        <v>62334</v>
      </c>
      <c r="R54" s="74">
        <f ca="1"/>
        <v>0.37071146042257075</v>
      </c>
      <c r="S54" s="66">
        <f ca="1"/>
        <v>1.963309617141662E-2</v>
      </c>
      <c r="T54" s="63"/>
      <c r="U54" s="60"/>
      <c r="W54" s="87" t="s">
        <v>225</v>
      </c>
      <c r="X54" s="58">
        <f>_xll.qlCalendarAdvance($R$8,$C$3,W54,"following")</f>
        <v>61970</v>
      </c>
      <c r="Y54" s="154">
        <v>0.37952477951256181</v>
      </c>
    </row>
    <row r="55" spans="2:25">
      <c r="B55" s="158" t="e">
        <f>'RISK INPUT'!I40</f>
        <v>#N/A</v>
      </c>
      <c r="C55" s="159">
        <v>2</v>
      </c>
      <c r="D55" s="87" t="s">
        <v>819</v>
      </c>
      <c r="F55" s="42" t="str">
        <f ca="1">_xll.qlSwapRateHelper2(H55,I55,,J55,$J$5,$J$6,$J$7,$J$8,$J$9,$J$10,$J$11,$J$12)</f>
        <v>USD3mSwap51Y#0000</v>
      </c>
      <c r="G55" s="15"/>
      <c r="H55" s="16" t="str">
        <f t="shared" si="4"/>
        <v>USD3mSwap51Y</v>
      </c>
      <c r="I55" s="17">
        <f t="shared" si="5"/>
        <v>0.02</v>
      </c>
      <c r="J55" s="19" t="str">
        <f>D55</f>
        <v>51Y</v>
      </c>
      <c r="K55" s="90"/>
      <c r="M55" s="25" t="str">
        <f t="shared" ca="1" si="1"/>
        <v>USD3mSwap51Y#0000</v>
      </c>
      <c r="N55" s="26">
        <v>3</v>
      </c>
      <c r="O55" s="27" t="e">
        <f ca="1"/>
        <v>#N/A</v>
      </c>
      <c r="Q55" s="75" t="e">
        <f ca="1"/>
        <v>#N/A</v>
      </c>
      <c r="R55" s="74" t="e">
        <f ca="1"/>
        <v>#N/A</v>
      </c>
      <c r="S55" s="66" t="e">
        <f ca="1"/>
        <v>#N/A</v>
      </c>
      <c r="T55" s="63"/>
      <c r="U55" s="90"/>
      <c r="X55" s="58"/>
      <c r="Y55" s="80">
        <v>0</v>
      </c>
    </row>
    <row r="56" spans="2:25">
      <c r="B56" s="158" t="e">
        <f>'RISK INPUT'!I41</f>
        <v>#N/A</v>
      </c>
      <c r="C56" s="159" t="e">
        <f>'RISK INPUT'!J41</f>
        <v>#N/A</v>
      </c>
      <c r="F56" s="42"/>
      <c r="G56" s="15"/>
      <c r="H56" s="16"/>
      <c r="I56" s="17"/>
      <c r="J56" s="19"/>
      <c r="K56" s="90"/>
      <c r="M56" s="25">
        <f t="shared" si="1"/>
        <v>0</v>
      </c>
      <c r="N56" s="26">
        <v>3</v>
      </c>
      <c r="O56" s="27" t="e">
        <f ca="1"/>
        <v>#N/A</v>
      </c>
      <c r="Q56" s="84" t="e">
        <f ca="1"/>
        <v>#N/A</v>
      </c>
      <c r="R56" s="81" t="e">
        <f ca="1"/>
        <v>#N/A</v>
      </c>
      <c r="S56" s="86" t="e">
        <f ca="1"/>
        <v>#N/A</v>
      </c>
      <c r="T56" s="82"/>
      <c r="U56" s="50"/>
      <c r="X56" s="58"/>
      <c r="Y56" s="80">
        <v>0</v>
      </c>
    </row>
    <row r="57" spans="2:25">
      <c r="B57" s="158" t="e">
        <f>'RISK INPUT'!I42</f>
        <v>#N/A</v>
      </c>
      <c r="C57" s="159" t="e">
        <f>'RISK INPUT'!J42</f>
        <v>#N/A</v>
      </c>
      <c r="F57" s="45"/>
      <c r="G57" s="46"/>
      <c r="H57" s="47"/>
      <c r="I57" s="48"/>
      <c r="J57" s="49"/>
      <c r="K57" s="50"/>
      <c r="M57" s="25">
        <f t="shared" si="1"/>
        <v>0</v>
      </c>
      <c r="N57" s="26">
        <v>3</v>
      </c>
      <c r="O57" s="27"/>
      <c r="Q57" s="58" t="e">
        <f ca="1"/>
        <v>#N/A</v>
      </c>
      <c r="R57" s="80" t="e">
        <f ca="1"/>
        <v>#N/A</v>
      </c>
      <c r="S57" s="91" t="e">
        <f ca="1"/>
        <v>#N/A</v>
      </c>
      <c r="T57" s="83"/>
      <c r="X57" s="58"/>
      <c r="Y57" s="80"/>
    </row>
    <row r="58" spans="2:25">
      <c r="B58" s="158" t="e">
        <f>'RISK INPUT'!I43</f>
        <v>#N/A</v>
      </c>
      <c r="C58" s="159" t="e">
        <f>'RISK INPUT'!J43</f>
        <v>#N/A</v>
      </c>
      <c r="M58" s="25"/>
      <c r="N58" s="26"/>
      <c r="X58" s="58"/>
      <c r="Y58" s="80"/>
    </row>
    <row r="59" spans="2:25">
      <c r="B59" s="158" t="e">
        <f>'RISK INPUT'!I44</f>
        <v>#N/A</v>
      </c>
      <c r="C59" s="159" t="e">
        <f>'RISK INPUT'!J44</f>
        <v>#N/A</v>
      </c>
      <c r="E59" s="87" t="str">
        <f ca="1">G53</f>
        <v/>
      </c>
      <c r="M59" s="25"/>
      <c r="N59" s="26"/>
    </row>
    <row r="60" spans="2:25">
      <c r="B60" s="158" t="e">
        <f>'RISK INPUT'!I45</f>
        <v>#N/A</v>
      </c>
      <c r="C60" s="159" t="e">
        <f>'RISK INPUT'!J45</f>
        <v>#N/A</v>
      </c>
      <c r="M60" s="25"/>
      <c r="N60" s="26"/>
    </row>
    <row r="61" spans="2:25">
      <c r="B61" s="158" t="e">
        <f>'RISK INPUT'!I46</f>
        <v>#N/A</v>
      </c>
      <c r="C61" s="159" t="e">
        <f>'RISK INPUT'!J46</f>
        <v>#N/A</v>
      </c>
      <c r="M61" s="25"/>
      <c r="N61" s="26"/>
    </row>
    <row r="62" spans="2:25">
      <c r="B62" s="158" t="e">
        <f>'RISK INPUT'!I47</f>
        <v>#N/A</v>
      </c>
      <c r="C62" s="159">
        <f>'RISK INPUT'!J47</f>
        <v>0</v>
      </c>
      <c r="M62" s="25"/>
      <c r="N62" s="26"/>
    </row>
    <row r="63" spans="2:25">
      <c r="B63" s="158" t="e">
        <f>'RISK INPUT'!I48</f>
        <v>#N/A</v>
      </c>
      <c r="C63" s="159">
        <f>'RISK INPUT'!J48</f>
        <v>0</v>
      </c>
      <c r="M63" s="25"/>
      <c r="N63" s="26"/>
    </row>
    <row r="64" spans="2:25">
      <c r="B64" s="158" t="e">
        <f>'RISK INPUT'!I49</f>
        <v>#N/A</v>
      </c>
      <c r="C64" s="159">
        <f>'RISK INPUT'!J49</f>
        <v>0</v>
      </c>
      <c r="M64" s="25"/>
      <c r="N64" s="26"/>
    </row>
    <row r="65" spans="2:3">
      <c r="B65" s="158" t="e">
        <f>'RISK INPUT'!I50</f>
        <v>#N/A</v>
      </c>
      <c r="C65" s="159">
        <f>'RISK INPUT'!J50</f>
        <v>0</v>
      </c>
    </row>
    <row r="66" spans="2:3">
      <c r="B66" s="158" t="e">
        <f>'RISK INPUT'!I51</f>
        <v>#N/A</v>
      </c>
      <c r="C66" s="159">
        <f>'RISK INPUT'!J51</f>
        <v>0</v>
      </c>
    </row>
    <row r="67" spans="2:3">
      <c r="B67" s="158" t="e">
        <f>'RISK INPUT'!I52</f>
        <v>#N/A</v>
      </c>
      <c r="C67" s="159">
        <f>'RISK INPUT'!J52</f>
        <v>0</v>
      </c>
    </row>
    <row r="68" spans="2:3">
      <c r="B68" s="158" t="e">
        <f>'RISK INPUT'!I53</f>
        <v>#N/A</v>
      </c>
      <c r="C68" s="159">
        <f>'RISK INPUT'!J53</f>
        <v>0</v>
      </c>
    </row>
    <row r="69" spans="2:3">
      <c r="B69" s="158" t="e">
        <f>'RISK INPUT'!I54</f>
        <v>#N/A</v>
      </c>
      <c r="C69" s="159">
        <f>'RISK INPUT'!J54</f>
        <v>0</v>
      </c>
    </row>
    <row r="70" spans="2:3">
      <c r="B70" s="158" t="e">
        <f>'RISK INPUT'!I55</f>
        <v>#N/A</v>
      </c>
      <c r="C70" s="159">
        <f>'RISK INPUT'!J55</f>
        <v>0</v>
      </c>
    </row>
    <row r="71" spans="2:3">
      <c r="B71" s="158" t="e">
        <f>'RISK INPUT'!I56</f>
        <v>#N/A</v>
      </c>
      <c r="C71" s="159">
        <f>'RISK INPUT'!J56</f>
        <v>0</v>
      </c>
    </row>
    <row r="72" spans="2:3">
      <c r="B72" s="158" t="e">
        <f>'RISK INPUT'!I57</f>
        <v>#N/A</v>
      </c>
      <c r="C72" s="159">
        <f>'RISK INPUT'!J57</f>
        <v>0</v>
      </c>
    </row>
    <row r="73" spans="2:3">
      <c r="B73" s="158" t="e">
        <f>'RISK INPUT'!I58</f>
        <v>#N/A</v>
      </c>
      <c r="C73" s="159">
        <f>'RISK INPUT'!J58</f>
        <v>0</v>
      </c>
    </row>
    <row r="74" spans="2:3">
      <c r="B74" s="158" t="e">
        <f>'RISK INPUT'!I59</f>
        <v>#N/A</v>
      </c>
      <c r="C74" s="159">
        <f>'RISK INPUT'!J59</f>
        <v>0</v>
      </c>
    </row>
    <row r="75" spans="2:3">
      <c r="B75" s="158" t="e">
        <f>'RISK INPUT'!I60</f>
        <v>#N/A</v>
      </c>
      <c r="C75" s="159">
        <f>'RISK INPUT'!J60</f>
        <v>0</v>
      </c>
    </row>
    <row r="76" spans="2:3">
      <c r="B76" s="158" t="e">
        <f>'RISK INPUT'!I61</f>
        <v>#N/A</v>
      </c>
      <c r="C76" s="159">
        <f>'RISK INPUT'!J61</f>
        <v>0</v>
      </c>
    </row>
    <row r="77" spans="2:3">
      <c r="B77" s="158" t="e">
        <f>'RISK INPUT'!I62</f>
        <v>#N/A</v>
      </c>
      <c r="C77" s="159">
        <f>'RISK INPUT'!J62</f>
        <v>0</v>
      </c>
    </row>
    <row r="78" spans="2:3">
      <c r="B78" s="158" t="e">
        <f>'RISK INPUT'!I63</f>
        <v>#N/A</v>
      </c>
      <c r="C78" s="159">
        <f>'RISK INPUT'!J63</f>
        <v>0</v>
      </c>
    </row>
    <row r="79" spans="2:3">
      <c r="B79" s="158" t="e">
        <f>'RISK INPUT'!I64</f>
        <v>#N/A</v>
      </c>
      <c r="C79" s="159">
        <f>'RISK INPUT'!J64</f>
        <v>0</v>
      </c>
    </row>
    <row r="80" spans="2:3">
      <c r="B80" s="158" t="e">
        <f>'RISK INPUT'!I65</f>
        <v>#N/A</v>
      </c>
      <c r="C80" s="159">
        <f>'RISK INPUT'!J65</f>
        <v>0</v>
      </c>
    </row>
    <row r="81" spans="2:3">
      <c r="B81" s="158" t="e">
        <f>'RISK INPUT'!I66</f>
        <v>#N/A</v>
      </c>
      <c r="C81" s="159">
        <f>'RISK INPUT'!J66</f>
        <v>0</v>
      </c>
    </row>
    <row r="82" spans="2:3">
      <c r="B82" s="158" t="e">
        <f>'RISK INPUT'!I67</f>
        <v>#N/A</v>
      </c>
      <c r="C82" s="159">
        <f>'RISK INPUT'!J67</f>
        <v>0</v>
      </c>
    </row>
    <row r="83" spans="2:3">
      <c r="B83" s="158" t="e">
        <f>'RISK INPUT'!I68</f>
        <v>#N/A</v>
      </c>
      <c r="C83" s="159">
        <f>'RISK INPUT'!J68</f>
        <v>0</v>
      </c>
    </row>
    <row r="84" spans="2:3">
      <c r="B84" s="158" t="e">
        <f>'RISK INPUT'!I69</f>
        <v>#N/A</v>
      </c>
      <c r="C84" s="159">
        <f>'RISK INPUT'!J69</f>
        <v>0</v>
      </c>
    </row>
    <row r="85" spans="2:3">
      <c r="B85" s="158" t="e">
        <f>'RISK INPUT'!I70</f>
        <v>#N/A</v>
      </c>
      <c r="C85" s="159">
        <f>'RISK INPUT'!J70</f>
        <v>0</v>
      </c>
    </row>
    <row r="86" spans="2:3">
      <c r="B86" s="158" t="e">
        <f>'RISK INPUT'!I71</f>
        <v>#N/A</v>
      </c>
      <c r="C86" s="159">
        <f>'RISK INPUT'!J71</f>
        <v>0</v>
      </c>
    </row>
    <row r="87" spans="2:3">
      <c r="B87" s="158" t="e">
        <f>'RISK INPUT'!I72</f>
        <v>#N/A</v>
      </c>
      <c r="C87" s="159">
        <f>'RISK INPUT'!J72</f>
        <v>0</v>
      </c>
    </row>
    <row r="88" spans="2:3">
      <c r="B88" s="158" t="e">
        <f>'RISK INPUT'!I73</f>
        <v>#N/A</v>
      </c>
      <c r="C88" s="159">
        <f>'RISK INPUT'!J73</f>
        <v>0</v>
      </c>
    </row>
    <row r="89" spans="2:3">
      <c r="B89" s="158" t="e">
        <f>'RISK INPUT'!I74</f>
        <v>#N/A</v>
      </c>
      <c r="C89" s="159">
        <f>'RISK INPUT'!J74</f>
        <v>0</v>
      </c>
    </row>
    <row r="90" spans="2:3">
      <c r="B90" s="158" t="e">
        <f>'RISK INPUT'!I75</f>
        <v>#N/A</v>
      </c>
      <c r="C90" s="159">
        <f>'RISK INPUT'!J75</f>
        <v>0</v>
      </c>
    </row>
    <row r="91" spans="2:3">
      <c r="B91" s="158" t="e">
        <f>'RISK INPUT'!I76</f>
        <v>#N/A</v>
      </c>
      <c r="C91" s="159">
        <f>'RISK INPUT'!J76</f>
        <v>0</v>
      </c>
    </row>
  </sheetData>
  <dataValidations disablePrompts="1" count="7">
    <dataValidation type="list" allowBlank="1" showInputMessage="1" showErrorMessage="1" sqref="R10">
      <formula1>"Discount,ZeroYield,ForwardRate"</formula1>
    </dataValidation>
    <dataValidation type="list" allowBlank="1" showInputMessage="1" showErrorMessage="1" sqref="T11">
      <formula1>"BackwardFlat,ForwardFlat,Linear,LogLinear,Cubic,LogCubic"</formula1>
    </dataValidation>
    <dataValidation type="list" allowBlank="1" showInputMessage="1" showErrorMessage="1" sqref="N9">
      <formula1>"AllDepos,DeposBeforeFirstFuturesStartDate,DeposBeforeFirstFuturesStartDatePlusOne,DeposBeforeFirstFuturesExpiryDate"</formula1>
    </dataValidation>
    <dataValidation type="list" allowBlank="1" showInputMessage="1" showErrorMessage="1" sqref="J7 G6">
      <formula1>"Following,Modified Following,Preceding,Modified Preceding,Unadjusted"</formula1>
    </dataValidation>
    <dataValidation type="list" allowBlank="1" showInputMessage="1" showErrorMessage="1" sqref="R8 G5 J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R9 G8 J8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J6">
      <formula1>"Annual,Semiannual,EveryFourthMonth,Quarterly,Bimonthly,Monthly,Biweekly,Weekly,Daily,Once,NoFrequency"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Y91"/>
  <sheetViews>
    <sheetView zoomScale="85" zoomScaleNormal="85" workbookViewId="0">
      <selection activeCell="G32" sqref="G32"/>
    </sheetView>
  </sheetViews>
  <sheetFormatPr defaultRowHeight="15" outlineLevelCol="1"/>
  <cols>
    <col min="1" max="1" width="10.85546875" style="115" bestFit="1" customWidth="1"/>
    <col min="2" max="2" width="22.7109375" style="115" bestFit="1" customWidth="1"/>
    <col min="3" max="3" width="14.7109375" style="115" customWidth="1"/>
    <col min="4" max="5" width="9.140625" style="115"/>
    <col min="6" max="6" width="24.5703125" style="115" bestFit="1" customWidth="1"/>
    <col min="7" max="7" width="14" style="115" customWidth="1"/>
    <col min="8" max="8" width="13.42578125" style="115" bestFit="1" customWidth="1"/>
    <col min="9" max="9" width="24.28515625" style="115" bestFit="1" customWidth="1"/>
    <col min="10" max="10" width="20.28515625" style="115" bestFit="1" customWidth="1"/>
    <col min="11" max="12" width="9.140625" style="115"/>
    <col min="13" max="13" width="24.42578125" style="115" hidden="1" customWidth="1" outlineLevel="1"/>
    <col min="14" max="16" width="9.140625" style="115" hidden="1" customWidth="1" outlineLevel="1"/>
    <col min="17" max="17" width="16.140625" style="115" customWidth="1" collapsed="1"/>
    <col min="18" max="18" width="22.140625" style="115" bestFit="1" customWidth="1"/>
    <col min="19" max="19" width="15.140625" style="115" bestFit="1" customWidth="1"/>
    <col min="20" max="20" width="10.7109375" style="115" bestFit="1" customWidth="1"/>
    <col min="21" max="21" width="23.5703125" style="115" bestFit="1" customWidth="1"/>
    <col min="22" max="23" width="9.140625" style="115"/>
    <col min="24" max="24" width="15.7109375" style="115" bestFit="1" customWidth="1"/>
    <col min="25" max="25" width="19.85546875" style="115" bestFit="1" customWidth="1"/>
    <col min="26" max="26" width="9.140625" style="115"/>
    <col min="27" max="27" width="12.28515625" style="115" bestFit="1" customWidth="1"/>
    <col min="28" max="16384" width="9.140625" style="115"/>
  </cols>
  <sheetData>
    <row r="2" spans="2:25">
      <c r="B2" s="162" t="s">
        <v>327</v>
      </c>
      <c r="C2" s="160">
        <f>_xll.qlSettingsEvaluationDate()</f>
        <v>43705</v>
      </c>
    </row>
    <row r="3" spans="2:25" ht="15.75" thickBot="1">
      <c r="B3" s="163" t="s">
        <v>322</v>
      </c>
      <c r="C3" s="161">
        <f>_xll.qlCalendarAdvance($R$8,C2,"2d","following")</f>
        <v>43707</v>
      </c>
    </row>
    <row r="4" spans="2:25" ht="15.75" thickBot="1">
      <c r="F4" s="36" t="s">
        <v>291</v>
      </c>
      <c r="I4" s="52" t="s">
        <v>284</v>
      </c>
      <c r="Q4" s="2" t="s">
        <v>267</v>
      </c>
      <c r="R4" s="3" t="str">
        <f ca="1">_xll.qlPiecewiseYieldCurve(R6,R7,R8,_xll.ohPack(O21:O54),R9,,,R12,R10,R11,R13,R14)</f>
        <v>USD_SWAP_1M_QL#0000</v>
      </c>
    </row>
    <row r="5" spans="2:25" ht="15.75" thickBot="1">
      <c r="B5" s="2" t="s">
        <v>242</v>
      </c>
      <c r="C5" s="3" t="str">
        <f ca="1">_xll.qlLibor(C7,"USD",C8,C10,C11)</f>
        <v>USD1m#0000</v>
      </c>
      <c r="F5" s="53" t="s">
        <v>269</v>
      </c>
      <c r="G5" s="32" t="s">
        <v>331</v>
      </c>
      <c r="I5" s="53" t="s">
        <v>269</v>
      </c>
      <c r="J5" s="32" t="s">
        <v>330</v>
      </c>
      <c r="Q5" s="4" t="s">
        <v>243</v>
      </c>
      <c r="R5" s="5" t="str">
        <f ca="1">_xll.ohRangeRetrieveError(R4)</f>
        <v/>
      </c>
      <c r="X5" s="57" t="s">
        <v>270</v>
      </c>
      <c r="Y5" s="78" t="s">
        <v>280</v>
      </c>
    </row>
    <row r="6" spans="2:25" ht="15.75" thickBot="1">
      <c r="B6" s="4" t="s">
        <v>243</v>
      </c>
      <c r="C6" s="5" t="str">
        <f ca="1">_xll.ohRangeRetrieveError(C5)</f>
        <v/>
      </c>
      <c r="F6" s="54" t="s">
        <v>292</v>
      </c>
      <c r="G6" s="18" t="s">
        <v>252</v>
      </c>
      <c r="I6" s="54" t="s">
        <v>285</v>
      </c>
      <c r="J6" s="18" t="s">
        <v>256</v>
      </c>
      <c r="M6" s="2" t="s">
        <v>262</v>
      </c>
      <c r="N6" s="24">
        <v>0</v>
      </c>
      <c r="Q6" s="2" t="s">
        <v>244</v>
      </c>
      <c r="R6" s="6" t="s">
        <v>785</v>
      </c>
      <c r="X6" s="64" t="s">
        <v>269</v>
      </c>
      <c r="Y6" s="62" t="s">
        <v>251</v>
      </c>
    </row>
    <row r="7" spans="2:25">
      <c r="B7" s="2" t="s">
        <v>244</v>
      </c>
      <c r="C7" s="6" t="str">
        <f>"USD"&amp;C8</f>
        <v>USD1m</v>
      </c>
      <c r="F7" s="54" t="s">
        <v>293</v>
      </c>
      <c r="G7" s="18" t="b">
        <v>1</v>
      </c>
      <c r="I7" s="54" t="s">
        <v>286</v>
      </c>
      <c r="J7" s="33" t="s">
        <v>254</v>
      </c>
      <c r="M7" s="7" t="s">
        <v>263</v>
      </c>
      <c r="N7" s="28">
        <v>0</v>
      </c>
      <c r="Q7" s="7" t="s">
        <v>268</v>
      </c>
      <c r="R7" s="8">
        <v>0</v>
      </c>
      <c r="X7" s="64" t="s">
        <v>271</v>
      </c>
      <c r="Y7" s="62" t="s">
        <v>272</v>
      </c>
    </row>
    <row r="8" spans="2:25" ht="15.75" thickBot="1">
      <c r="B8" s="7" t="s">
        <v>245</v>
      </c>
      <c r="C8" s="8" t="s">
        <v>784</v>
      </c>
      <c r="F8" s="56" t="s">
        <v>294</v>
      </c>
      <c r="G8" s="35" t="s">
        <v>253</v>
      </c>
      <c r="I8" s="54" t="s">
        <v>287</v>
      </c>
      <c r="J8" s="18" t="s">
        <v>253</v>
      </c>
      <c r="M8" s="7" t="s">
        <v>264</v>
      </c>
      <c r="N8" s="28">
        <v>3</v>
      </c>
      <c r="Q8" s="7" t="s">
        <v>269</v>
      </c>
      <c r="R8" s="8" t="s">
        <v>255</v>
      </c>
      <c r="X8" s="64" t="s">
        <v>273</v>
      </c>
      <c r="Y8" s="62" t="s">
        <v>274</v>
      </c>
    </row>
    <row r="9" spans="2:25">
      <c r="B9" s="7" t="s">
        <v>246</v>
      </c>
      <c r="C9" s="8"/>
      <c r="I9" s="54" t="s">
        <v>288</v>
      </c>
      <c r="J9" s="18" t="str">
        <f ca="1">$C$5</f>
        <v>USD1m#0000</v>
      </c>
      <c r="M9" s="7" t="s">
        <v>265</v>
      </c>
      <c r="N9" s="8" t="s">
        <v>266</v>
      </c>
      <c r="Q9" s="7" t="s">
        <v>270</v>
      </c>
      <c r="R9" s="8"/>
      <c r="X9" s="64" t="s">
        <v>329</v>
      </c>
      <c r="Y9" s="62"/>
    </row>
    <row r="10" spans="2:25" ht="15.75" thickBot="1">
      <c r="B10" s="7" t="s">
        <v>247</v>
      </c>
      <c r="C10" s="8"/>
      <c r="I10" s="54" t="s">
        <v>289</v>
      </c>
      <c r="J10" s="34">
        <v>0</v>
      </c>
      <c r="M10" s="4" t="s">
        <v>248</v>
      </c>
      <c r="N10" s="9">
        <v>1</v>
      </c>
      <c r="Q10" s="7" t="s">
        <v>271</v>
      </c>
      <c r="R10" s="8" t="s">
        <v>272</v>
      </c>
      <c r="X10" s="71" t="s">
        <v>328</v>
      </c>
      <c r="Y10" s="65" t="str">
        <f>_xll.qlInterpolatedYieldCurve(Y9,X19:X54,Y19:Y54,Y6,Y5,,,Y7,Y8)</f>
        <v>obj_00121#0000</v>
      </c>
    </row>
    <row r="11" spans="2:25" ht="15.75" thickBot="1">
      <c r="B11" s="4" t="s">
        <v>248</v>
      </c>
      <c r="C11" s="157">
        <f ca="1">RAND()</f>
        <v>0.86542364055511545</v>
      </c>
      <c r="I11" s="54" t="s">
        <v>290</v>
      </c>
      <c r="J11" s="18" t="s">
        <v>277</v>
      </c>
      <c r="Q11" s="7" t="s">
        <v>273</v>
      </c>
      <c r="R11" s="8" t="s">
        <v>274</v>
      </c>
      <c r="T11" s="8" t="s">
        <v>447</v>
      </c>
      <c r="Y11" s="115" t="str">
        <f>_xll.ohRangeRetrieveError(Y10)</f>
        <v/>
      </c>
    </row>
    <row r="12" spans="2:25" ht="15.75" thickBot="1">
      <c r="I12" s="55" t="s">
        <v>295</v>
      </c>
      <c r="J12" s="35" t="str">
        <f>'USD OIS'!R4</f>
        <v>USD_OIS_COL00_QL#0000</v>
      </c>
      <c r="Q12" s="7" t="s">
        <v>275</v>
      </c>
      <c r="R12" s="8"/>
    </row>
    <row r="13" spans="2:25">
      <c r="Q13" s="7" t="s">
        <v>247</v>
      </c>
      <c r="R13" s="8"/>
    </row>
    <row r="14" spans="2:25">
      <c r="Q14" s="7" t="s">
        <v>248</v>
      </c>
      <c r="R14" s="8"/>
    </row>
    <row r="15" spans="2:25" ht="15.75" thickBot="1">
      <c r="Q15" s="4" t="s">
        <v>279</v>
      </c>
      <c r="R15" s="9" t="s">
        <v>280</v>
      </c>
    </row>
    <row r="16" spans="2:25">
      <c r="B16" s="139" t="s">
        <v>305</v>
      </c>
      <c r="X16" s="31"/>
    </row>
    <row r="17" spans="2:25">
      <c r="X17" s="31"/>
    </row>
    <row r="19" spans="2:25" ht="15.75" thickBot="1">
      <c r="G19" s="115" t="str">
        <f ca="1">G36</f>
        <v/>
      </c>
      <c r="Q19" s="116" t="s">
        <v>281</v>
      </c>
      <c r="R19" s="61" t="s">
        <v>282</v>
      </c>
      <c r="S19" s="61" t="s">
        <v>283</v>
      </c>
      <c r="T19" s="61" t="s">
        <v>296</v>
      </c>
      <c r="U19" s="127" t="s">
        <v>297</v>
      </c>
      <c r="X19" s="58">
        <f>$C$2</f>
        <v>43705</v>
      </c>
      <c r="Y19" s="154">
        <v>1</v>
      </c>
    </row>
    <row r="20" spans="2:25">
      <c r="B20" s="1"/>
      <c r="C20" s="1"/>
      <c r="F20" s="88"/>
      <c r="G20" s="38" t="s">
        <v>243</v>
      </c>
      <c r="H20" s="38" t="s">
        <v>244</v>
      </c>
      <c r="I20" s="38" t="s">
        <v>250</v>
      </c>
      <c r="J20" s="38"/>
      <c r="K20" s="39"/>
      <c r="M20" s="20" t="s">
        <v>259</v>
      </c>
      <c r="N20" s="21" t="s">
        <v>260</v>
      </c>
      <c r="O20" s="22" t="s">
        <v>261</v>
      </c>
      <c r="P20" s="23"/>
      <c r="Q20" s="77">
        <f t="array" aca="1" ref="Q20:Q57" ca="1">_xll.qlPiecewiseYieldCurveDates(R4)</f>
        <v>43705</v>
      </c>
      <c r="R20" s="72">
        <f t="array" aca="1" ref="R20:R57" ca="1">_xll.qlPiecewiseYieldCurveData(R4)</f>
        <v>1</v>
      </c>
      <c r="S20" s="59">
        <f t="array" aca="1" ref="S20:S57" ca="1">_xll.qlYieldTSZeroRate($R$4,_xll.ohPack(Q20:Q56),$R$15,"compounded","annual")</f>
        <v>3.1137875905415946E-3</v>
      </c>
      <c r="T20" s="73"/>
      <c r="U20" s="76"/>
      <c r="W20" s="115" t="s">
        <v>204</v>
      </c>
      <c r="X20" s="58">
        <f>_xll.qlCalendarAdvance($R$8,$C$2,"1d","following")</f>
        <v>43706</v>
      </c>
      <c r="Y20" s="154">
        <v>0.99998902801855105</v>
      </c>
    </row>
    <row r="21" spans="2:25">
      <c r="B21" s="156" t="str">
        <f>'RISK INPUT'!F6</f>
        <v>DEPO-USD-FIX-O/N-</v>
      </c>
      <c r="C21" s="405">
        <f>'RISK INPUT'!G6</f>
        <v>0.30663744999999998</v>
      </c>
      <c r="D21" s="115" t="s">
        <v>204</v>
      </c>
      <c r="F21" s="40" t="str">
        <f ca="1">_xll.qlDepositRateHelper2(H21,I21,J21,K21,$G$5,$G$6,$G$7,$G$8,,$C$11)</f>
        <v>USD1mDepoON#0000</v>
      </c>
      <c r="G21" s="12" t="str">
        <f ca="1">_xll.ohRangeRetrieveError(F21)</f>
        <v/>
      </c>
      <c r="H21" s="13" t="str">
        <f>$C$7&amp;"DepoON"</f>
        <v>USD1mDepoON</v>
      </c>
      <c r="I21" s="14">
        <f>C21/100</f>
        <v>3.0663744999999999E-3</v>
      </c>
      <c r="J21" s="13" t="s">
        <v>206</v>
      </c>
      <c r="K21" s="41">
        <v>0</v>
      </c>
      <c r="M21" s="25" t="str">
        <f t="shared" ref="M21:M57" ca="1" si="0">F21</f>
        <v>USD1mDepoON#0000</v>
      </c>
      <c r="N21" s="26">
        <v>1</v>
      </c>
      <c r="O21" s="27" t="str">
        <f t="array" aca="1" ref="O21:O56" ca="1">_xll.qlRateHelperSelection(_xll.ohPack(M21:M54),_xll.ohPack(N21:N54),N6,N7,N8,N9,N10)</f>
        <v>USD1mDepoON</v>
      </c>
      <c r="P21" s="23"/>
      <c r="Q21" s="75">
        <f ca="1"/>
        <v>43706</v>
      </c>
      <c r="R21" s="74">
        <f ca="1"/>
        <v>0.99999148236560631</v>
      </c>
      <c r="S21" s="66">
        <f ca="1"/>
        <v>3.1137875907762957E-3</v>
      </c>
      <c r="T21" s="63"/>
      <c r="U21" s="60"/>
      <c r="W21" s="115" t="s">
        <v>205</v>
      </c>
      <c r="X21" s="58">
        <f>_xll.qlCalendarAdvance($R$8,$C$2,"2d","following")</f>
        <v>43707</v>
      </c>
      <c r="Y21" s="154">
        <v>0.99997805615748636</v>
      </c>
    </row>
    <row r="22" spans="2:25">
      <c r="B22" s="156" t="str">
        <f>'RISK INPUT'!F7</f>
        <v>DEPO-USD-FIX-T/N-</v>
      </c>
      <c r="C22" s="405">
        <f>'RISK INPUT'!G7</f>
        <v>0.30663744999999998</v>
      </c>
      <c r="D22" s="115" t="s">
        <v>205</v>
      </c>
      <c r="F22" s="42" t="str">
        <f ca="1">_xll.qlDepositRateHelper2(H22,I22,J22,K22,$G$5,$G$6,$G$7,$G$8,,$C$11)</f>
        <v>USD1mDepoTN#0000</v>
      </c>
      <c r="G22" s="15" t="str">
        <f ca="1">_xll.ohRangeRetrieveError(F22)</f>
        <v/>
      </c>
      <c r="H22" s="16" t="str">
        <f>$C$7&amp;"DepoTN"</f>
        <v>USD1mDepoTN</v>
      </c>
      <c r="I22" s="17">
        <f t="shared" ref="I22:I54" si="1">C22/100</f>
        <v>3.0663744999999999E-3</v>
      </c>
      <c r="J22" s="16" t="s">
        <v>276</v>
      </c>
      <c r="K22" s="43">
        <v>1</v>
      </c>
      <c r="M22" s="25" t="str">
        <f t="shared" ca="1" si="0"/>
        <v>USD1mDepoTN#0000</v>
      </c>
      <c r="N22" s="26">
        <v>1</v>
      </c>
      <c r="O22" s="27" t="str">
        <f ca="1"/>
        <v>USD1mDepo1D</v>
      </c>
      <c r="P22" s="23"/>
      <c r="Q22" s="75">
        <f ca="1"/>
        <v>43711</v>
      </c>
      <c r="R22" s="74">
        <f ca="1"/>
        <v>0.9999488954634993</v>
      </c>
      <c r="S22" s="66">
        <f ca="1"/>
        <v>3.1137765071007628E-3</v>
      </c>
      <c r="T22" s="63"/>
      <c r="U22" s="60"/>
      <c r="W22" s="115" t="s">
        <v>206</v>
      </c>
      <c r="X22" s="58">
        <f>_xll.qlCalendarAdvance($R$8,$C$3,W22,"following")</f>
        <v>43710</v>
      </c>
      <c r="Y22" s="154">
        <v>0.99994514129658529</v>
      </c>
    </row>
    <row r="23" spans="2:25">
      <c r="B23" s="156" t="str">
        <f>'RISK INPUT'!F8</f>
        <v>DEPO-USD-FIX-1D-</v>
      </c>
      <c r="C23" s="405">
        <f>'RISK INPUT'!G8</f>
        <v>0.30664005999999999</v>
      </c>
      <c r="D23" s="115" t="s">
        <v>206</v>
      </c>
      <c r="F23" s="42" t="str">
        <f ca="1">_xll.qlDepositRateHelper2(H23,I23,J23,K23,$G$5,$G$6,$G$7,$G$8,,$C$11)</f>
        <v>USD1mDepo1D#0000</v>
      </c>
      <c r="G23" s="15" t="str">
        <f ca="1">_xll.ohRangeRetrieveError(F23)</f>
        <v/>
      </c>
      <c r="H23" s="16" t="str">
        <f>$C$7&amp;"Depo1D"</f>
        <v>USD1mDepo1D</v>
      </c>
      <c r="I23" s="17">
        <f t="shared" si="1"/>
        <v>3.0664005999999997E-3</v>
      </c>
      <c r="J23" s="16" t="str">
        <f t="shared" ref="J23:J53" si="2">D23</f>
        <v>1D</v>
      </c>
      <c r="K23" s="43">
        <v>2</v>
      </c>
      <c r="M23" s="25" t="str">
        <f t="shared" ca="1" si="0"/>
        <v>USD1mDepo1D#0000</v>
      </c>
      <c r="N23" s="26">
        <v>1</v>
      </c>
      <c r="O23" s="27" t="str">
        <f ca="1"/>
        <v>USD1mDepo1W</v>
      </c>
      <c r="P23" s="23"/>
      <c r="Q23" s="75">
        <f ca="1"/>
        <v>43714</v>
      </c>
      <c r="R23" s="74">
        <f ca="1"/>
        <v>0.99993229679320994</v>
      </c>
      <c r="S23" s="66">
        <f ca="1"/>
        <v>2.7496073714854408E-3</v>
      </c>
      <c r="T23" s="63"/>
      <c r="U23" s="60"/>
      <c r="W23" s="115" t="s">
        <v>207</v>
      </c>
      <c r="X23" s="58">
        <f>_xll.qlCalendarAdvance($R$8,$C$3,W23,"following")</f>
        <v>43714</v>
      </c>
      <c r="Y23" s="154">
        <v>0.99991117321012224</v>
      </c>
    </row>
    <row r="24" spans="2:25">
      <c r="B24" s="156" t="str">
        <f>'RISK INPUT'!F9</f>
        <v>DEPO-USD-FIX-1W-</v>
      </c>
      <c r="C24" s="405">
        <f>'RISK INPUT'!G9</f>
        <v>0.26059617000000002</v>
      </c>
      <c r="D24" s="115" t="s">
        <v>207</v>
      </c>
      <c r="F24" s="42" t="str">
        <f ca="1">_xll.qlDepositRateHelper2(H24,I24,J24,K24,$G$5,$G$6,$G$7,$G$8,,$C$11)</f>
        <v>USD1mDepo1W#0000</v>
      </c>
      <c r="G24" s="15" t="str">
        <f ca="1">_xll.ohRangeRetrieveError(F24)</f>
        <v/>
      </c>
      <c r="H24" s="16" t="str">
        <f t="shared" ref="H24:H34" si="3">$C$7&amp;"Depo"&amp;J24</f>
        <v>USD1mDepo1W</v>
      </c>
      <c r="I24" s="17">
        <f t="shared" si="1"/>
        <v>2.6059617000000002E-3</v>
      </c>
      <c r="J24" s="16" t="str">
        <f t="shared" si="2"/>
        <v>1W</v>
      </c>
      <c r="K24" s="43">
        <v>2</v>
      </c>
      <c r="M24" s="25" t="str">
        <f t="shared" ca="1" si="0"/>
        <v>USD1mDepo1W#0000</v>
      </c>
      <c r="N24" s="26">
        <v>1</v>
      </c>
      <c r="O24" s="27" t="str">
        <f ca="1"/>
        <v>USD1mDepo1M</v>
      </c>
      <c r="P24" s="23"/>
      <c r="Q24" s="75">
        <f ca="1"/>
        <v>43738</v>
      </c>
      <c r="R24" s="74">
        <f ca="1"/>
        <v>0.99957880042348124</v>
      </c>
      <c r="S24" s="471">
        <f ca="1"/>
        <v>4.6705772932145173E-3</v>
      </c>
      <c r="T24" s="63"/>
      <c r="U24" s="60"/>
      <c r="W24" s="115" t="s">
        <v>208</v>
      </c>
      <c r="X24" s="58">
        <f>_xll.qlCalendarAdvance($R$8,$C$3,W24,"following")</f>
        <v>43738</v>
      </c>
      <c r="Y24" s="154">
        <v>0.99966402075353289</v>
      </c>
    </row>
    <row r="25" spans="2:25">
      <c r="B25" s="156" t="str">
        <f>'RISK INPUT'!F10</f>
        <v>DEPO-USD-FIX-1M-</v>
      </c>
      <c r="C25" s="405">
        <f>'RISK INPUT'!G10</f>
        <v>0.46955000000000002</v>
      </c>
      <c r="D25" s="115" t="s">
        <v>208</v>
      </c>
      <c r="F25" s="42" t="str">
        <f ca="1">_xll.qlDepositRateHelper2(H25,I25,J25,K25,$G$5,$G$6,$G$7,$G$8,,$C$11)</f>
        <v>USD1mDepo1M#0000</v>
      </c>
      <c r="G25" s="15" t="str">
        <f ca="1">_xll.ohRangeRetrieveError(F25)</f>
        <v/>
      </c>
      <c r="H25" s="16" t="str">
        <f t="shared" si="3"/>
        <v>USD1mDepo1M</v>
      </c>
      <c r="I25" s="17">
        <f t="shared" si="1"/>
        <v>4.6955E-3</v>
      </c>
      <c r="J25" s="16" t="str">
        <f t="shared" si="2"/>
        <v>1M</v>
      </c>
      <c r="K25" s="43">
        <v>2</v>
      </c>
      <c r="M25" s="25" t="str">
        <f t="shared" ca="1" si="0"/>
        <v>USD1mDepo1M#0000</v>
      </c>
      <c r="N25" s="26">
        <v>1</v>
      </c>
      <c r="O25" s="27" t="str">
        <f ca="1"/>
        <v>USD1mDepo2M</v>
      </c>
      <c r="P25" s="23"/>
      <c r="Q25" s="75">
        <f ca="1"/>
        <v>43769</v>
      </c>
      <c r="R25" s="74">
        <f ca="1"/>
        <v>0.99913606904057228</v>
      </c>
      <c r="S25" s="472">
        <f ca="1"/>
        <v>4.9414044881679331E-3</v>
      </c>
      <c r="T25" s="63"/>
      <c r="U25" s="60"/>
      <c r="W25" s="115" t="s">
        <v>209</v>
      </c>
      <c r="X25" s="58">
        <f>_xll.qlCalendarAdvance($R$8,$C$3,W25,"following")</f>
        <v>43768</v>
      </c>
      <c r="Y25" s="154">
        <v>0.99933628794522966</v>
      </c>
    </row>
    <row r="26" spans="2:25">
      <c r="B26" s="156" t="str">
        <f>'RISK INPUT'!F11</f>
        <v>DEPO-USD-FIX-2M-</v>
      </c>
      <c r="C26" s="405">
        <f>'RISK INPUT'!G11</f>
        <v>0.49217115</v>
      </c>
      <c r="D26" s="115" t="s">
        <v>209</v>
      </c>
      <c r="F26" s="42" t="str">
        <f ca="1">_xll.qlDepositRateHelper2(H26,I26,J26,K26,$G$5,$G$6,$G$7,$G$8,,$C$11)</f>
        <v>USD1mDepo2M#0000</v>
      </c>
      <c r="G26" s="15" t="str">
        <f ca="1">_xll.ohRangeRetrieveError(F26)</f>
        <v/>
      </c>
      <c r="H26" s="16" t="str">
        <f t="shared" si="3"/>
        <v>USD1mDepo2M</v>
      </c>
      <c r="I26" s="17">
        <f t="shared" si="1"/>
        <v>4.9217115000000002E-3</v>
      </c>
      <c r="J26" s="16" t="str">
        <f t="shared" si="2"/>
        <v>2M</v>
      </c>
      <c r="K26" s="43">
        <v>2</v>
      </c>
      <c r="M26" s="25" t="str">
        <f t="shared" ca="1" si="0"/>
        <v>USD1mDepo2M#0000</v>
      </c>
      <c r="N26" s="26">
        <v>1</v>
      </c>
      <c r="O26" s="27" t="str">
        <f ca="1"/>
        <v>USD1mDepo3M</v>
      </c>
      <c r="P26" s="23"/>
      <c r="Q26" s="75">
        <f ca="1"/>
        <v>43798</v>
      </c>
      <c r="R26" s="74">
        <f ca="1"/>
        <v>0.99863373412389544</v>
      </c>
      <c r="S26" s="66">
        <f ca="1"/>
        <v>5.3803149281690388E-3</v>
      </c>
      <c r="T26" s="63"/>
      <c r="U26" s="60"/>
      <c r="W26" s="115" t="s">
        <v>210</v>
      </c>
      <c r="X26" s="58">
        <f>_xll.qlCalendarAdvance($R$8,$C$3,W26,"following")</f>
        <v>43801</v>
      </c>
      <c r="Y26" s="154">
        <v>0.99898564716581062</v>
      </c>
    </row>
    <row r="27" spans="2:25">
      <c r="B27" s="156" t="str">
        <f>'RISK INPUT'!F12</f>
        <v>DEPO-USD-FIX-3M-</v>
      </c>
      <c r="C27" s="405">
        <f>'RISK INPUT'!G12</f>
        <v>0.53449186000000004</v>
      </c>
      <c r="D27" s="115" t="s">
        <v>210</v>
      </c>
      <c r="F27" s="42" t="str">
        <f ca="1">_xll.qlDepositRateHelper2(H27,I27,J27,K27,$G$5,$G$6,$G$7,$G$8,,$C$11)</f>
        <v>USD1mDepo3M#0000</v>
      </c>
      <c r="G27" s="15" t="str">
        <f ca="1">_xll.ohRangeRetrieveError(F27)</f>
        <v/>
      </c>
      <c r="H27" s="16" t="str">
        <f t="shared" si="3"/>
        <v>USD1mDepo3M</v>
      </c>
      <c r="I27" s="17">
        <f t="shared" si="1"/>
        <v>5.3449186000000008E-3</v>
      </c>
      <c r="J27" s="16" t="str">
        <f t="shared" si="2"/>
        <v>3M</v>
      </c>
      <c r="K27" s="43">
        <v>2</v>
      </c>
      <c r="M27" s="25" t="str">
        <f t="shared" ca="1" si="0"/>
        <v>USD1mDepo3M#0000</v>
      </c>
      <c r="N27" s="26">
        <v>1</v>
      </c>
      <c r="O27" s="27" t="str">
        <f ca="1"/>
        <v>USD1mDepo4M</v>
      </c>
      <c r="P27" s="23"/>
      <c r="Q27" s="75">
        <f ca="1"/>
        <v>43830</v>
      </c>
      <c r="R27" s="74">
        <f ca="1"/>
        <v>0.99808969761107125</v>
      </c>
      <c r="S27" s="66">
        <f ca="1"/>
        <v>5.5990340104521419E-3</v>
      </c>
      <c r="T27" s="63"/>
      <c r="U27" s="60"/>
      <c r="W27" s="115" t="s">
        <v>226</v>
      </c>
      <c r="X27" s="58">
        <f>_xll.qlCalendarAdvance($R$8,$C$3,W27,"following")</f>
        <v>43829</v>
      </c>
      <c r="Y27" s="154">
        <v>0.99859191167068428</v>
      </c>
    </row>
    <row r="28" spans="2:25">
      <c r="B28" s="156" t="str">
        <f>'RISK INPUT'!F13</f>
        <v>DEPO-USD-FIX-4M-</v>
      </c>
      <c r="C28" s="405">
        <f>'RISK INPUT'!G13</f>
        <v>0.55518756999999996</v>
      </c>
      <c r="D28" s="115" t="s">
        <v>226</v>
      </c>
      <c r="F28" s="42" t="str">
        <f ca="1">_xll.qlDepositRateHelper2(H28,I28,J28,K28,$G$5,$G$6,$G$7,$G$8,,$C$11)</f>
        <v>USD1mDepo4M#0000</v>
      </c>
      <c r="G28" s="15" t="str">
        <f ca="1">_xll.ohRangeRetrieveError(F28)</f>
        <v/>
      </c>
      <c r="H28" s="16" t="str">
        <f t="shared" si="3"/>
        <v>USD1mDepo4M</v>
      </c>
      <c r="I28" s="17">
        <f t="shared" si="1"/>
        <v>5.5518756999999993E-3</v>
      </c>
      <c r="J28" s="16" t="str">
        <f t="shared" si="2"/>
        <v>4M</v>
      </c>
      <c r="K28" s="43">
        <v>2</v>
      </c>
      <c r="M28" s="25" t="str">
        <f t="shared" ca="1" si="0"/>
        <v>USD1mDepo4M#0000</v>
      </c>
      <c r="N28" s="26">
        <v>1</v>
      </c>
      <c r="O28" s="27" t="str">
        <f ca="1"/>
        <v>USD1mDepo5M</v>
      </c>
      <c r="P28" s="23"/>
      <c r="Q28" s="75">
        <f ca="1"/>
        <v>43861</v>
      </c>
      <c r="R28" s="74">
        <f ca="1"/>
        <v>0.99751489843917118</v>
      </c>
      <c r="S28" s="66">
        <f ca="1"/>
        <v>5.8387164967141914E-3</v>
      </c>
      <c r="T28" s="63"/>
      <c r="U28" s="60"/>
      <c r="W28" s="115" t="s">
        <v>227</v>
      </c>
      <c r="X28" s="58">
        <f>_xll.qlCalendarAdvance($R$8,$C$3,W28,"following")</f>
        <v>43860</v>
      </c>
      <c r="Y28" s="154">
        <v>0.99818357164144589</v>
      </c>
    </row>
    <row r="29" spans="2:25">
      <c r="B29" s="156" t="str">
        <f>'RISK INPUT'!F14</f>
        <v>DEPO-USD-FIX-5M-</v>
      </c>
      <c r="C29" s="405">
        <f>'RISK INPUT'!G14</f>
        <v>0.57838794000000004</v>
      </c>
      <c r="D29" s="115" t="s">
        <v>227</v>
      </c>
      <c r="F29" s="42" t="str">
        <f ca="1">_xll.qlDepositRateHelper2(H29,I29,J29,K29,$G$5,$G$6,$G$7,$G$8,,$C$11)</f>
        <v>USD1mDepo5M#0000</v>
      </c>
      <c r="G29" s="15" t="str">
        <f ca="1">_xll.ohRangeRetrieveError(F29)</f>
        <v/>
      </c>
      <c r="H29" s="16" t="str">
        <f t="shared" si="3"/>
        <v>USD1mDepo5M</v>
      </c>
      <c r="I29" s="17">
        <f t="shared" si="1"/>
        <v>5.7838794000000006E-3</v>
      </c>
      <c r="J29" s="16" t="str">
        <f t="shared" si="2"/>
        <v>5M</v>
      </c>
      <c r="K29" s="43">
        <v>2</v>
      </c>
      <c r="M29" s="25" t="str">
        <f t="shared" ca="1" si="0"/>
        <v>USD1mDepo5M#0000</v>
      </c>
      <c r="N29" s="26">
        <v>1</v>
      </c>
      <c r="O29" s="27" t="str">
        <f ca="1"/>
        <v>USD1mDepo6M</v>
      </c>
      <c r="P29" s="23"/>
      <c r="Q29" s="75">
        <f ca="1"/>
        <v>43889</v>
      </c>
      <c r="R29" s="74">
        <f ca="1"/>
        <v>0.9969712248967787</v>
      </c>
      <c r="S29" s="66">
        <f ca="1"/>
        <v>6.0354253390548784E-3</v>
      </c>
      <c r="T29" s="63"/>
      <c r="U29" s="60"/>
      <c r="W29" s="115" t="s">
        <v>228</v>
      </c>
      <c r="X29" s="58">
        <f>_xll.qlCalendarAdvance($R$8,$C$3,W29,"following")</f>
        <v>43892</v>
      </c>
      <c r="Y29" s="154">
        <v>0.99772209564097381</v>
      </c>
    </row>
    <row r="30" spans="2:25">
      <c r="B30" s="156" t="str">
        <f>'RISK INPUT'!F15</f>
        <v>DEPO-USD-FIX-6M-</v>
      </c>
      <c r="C30" s="405">
        <f>'RISK INPUT'!G15</f>
        <v>0.59753858999999998</v>
      </c>
      <c r="D30" s="115" t="s">
        <v>228</v>
      </c>
      <c r="F30" s="42" t="str">
        <f ca="1">_xll.qlDepositRateHelper2(H30,I30,J30,K30,$G$5,$G$6,$G$7,$G$8,,$C$11)</f>
        <v>USD1mDepo6M#0000</v>
      </c>
      <c r="G30" s="15" t="str">
        <f ca="1">_xll.ohRangeRetrieveError(F30)</f>
        <v/>
      </c>
      <c r="H30" s="16" t="str">
        <f t="shared" si="3"/>
        <v>USD1mDepo6M</v>
      </c>
      <c r="I30" s="17">
        <f t="shared" si="1"/>
        <v>5.9753858999999996E-3</v>
      </c>
      <c r="J30" s="16" t="str">
        <f t="shared" si="2"/>
        <v>6M</v>
      </c>
      <c r="K30" s="43">
        <v>2</v>
      </c>
      <c r="M30" s="25" t="str">
        <f t="shared" ca="1" si="0"/>
        <v>USD1mDepo6M#0000</v>
      </c>
      <c r="N30" s="26">
        <v>1</v>
      </c>
      <c r="O30" s="27" t="str">
        <f ca="1"/>
        <v>USD1mDepo7M</v>
      </c>
      <c r="P30" s="23"/>
      <c r="Q30" s="75">
        <f ca="1"/>
        <v>43921</v>
      </c>
      <c r="R30" s="74">
        <f ca="1"/>
        <v>0.99632713947915352</v>
      </c>
      <c r="S30" s="66">
        <f ca="1"/>
        <v>6.2372509693950917E-3</v>
      </c>
      <c r="T30" s="63"/>
      <c r="U30" s="60"/>
      <c r="W30" s="115" t="s">
        <v>229</v>
      </c>
      <c r="X30" s="58">
        <f>_xll.qlCalendarAdvance($R$8,$C$3,W30,"following")</f>
        <v>43920</v>
      </c>
      <c r="Y30" s="154">
        <v>0.99728660123952628</v>
      </c>
    </row>
    <row r="31" spans="2:25">
      <c r="B31" s="156" t="str">
        <f>'RISK INPUT'!F16</f>
        <v>DEPO-USD-FIX-7M-</v>
      </c>
      <c r="C31" s="405">
        <f>'RISK INPUT'!G16</f>
        <v>0.61726579000000004</v>
      </c>
      <c r="D31" s="115" t="s">
        <v>229</v>
      </c>
      <c r="F31" s="42" t="str">
        <f ca="1">_xll.qlDepositRateHelper2(H31,I31,J31,K31,$G$5,$G$6,$G$7,$G$8,,$C$11)</f>
        <v>USD1mDepo7M#0000</v>
      </c>
      <c r="G31" s="15" t="str">
        <f ca="1">_xll.ohRangeRetrieveError(F31)</f>
        <v/>
      </c>
      <c r="H31" s="16" t="str">
        <f t="shared" si="3"/>
        <v>USD1mDepo7M</v>
      </c>
      <c r="I31" s="17">
        <f t="shared" si="1"/>
        <v>6.1726579000000005E-3</v>
      </c>
      <c r="J31" s="16" t="str">
        <f t="shared" si="2"/>
        <v>7M</v>
      </c>
      <c r="K31" s="43">
        <v>2</v>
      </c>
      <c r="M31" s="25" t="str">
        <f t="shared" ca="1" si="0"/>
        <v>USD1mDepo7M#0000</v>
      </c>
      <c r="N31" s="26">
        <v>1</v>
      </c>
      <c r="O31" s="27" t="str">
        <f ca="1"/>
        <v>USD1mDepo8M</v>
      </c>
      <c r="P31" s="23"/>
      <c r="Q31" s="75">
        <f ca="1"/>
        <v>43951</v>
      </c>
      <c r="R31" s="74">
        <f ca="1"/>
        <v>0.9956814664934498</v>
      </c>
      <c r="S31" s="66">
        <f ca="1"/>
        <v>6.4421175904396666E-3</v>
      </c>
      <c r="T31" s="63"/>
      <c r="U31" s="60"/>
      <c r="W31" s="115" t="s">
        <v>230</v>
      </c>
      <c r="X31" s="58">
        <f>_xll.qlCalendarAdvance($R$8,$C$3,W31,"following")</f>
        <v>43951</v>
      </c>
      <c r="Y31" s="154">
        <v>0.99680268582309983</v>
      </c>
    </row>
    <row r="32" spans="2:25">
      <c r="B32" s="156" t="str">
        <f>'RISK INPUT'!F17</f>
        <v>DEPO-USD-FIX-8M-</v>
      </c>
      <c r="C32" s="405">
        <f>'RISK INPUT'!G17</f>
        <v>0.63739992999999995</v>
      </c>
      <c r="D32" s="115" t="s">
        <v>230</v>
      </c>
      <c r="F32" s="42" t="str">
        <f ca="1">_xll.qlDepositRateHelper2(H32,I32,J32,K32,$G$5,$G$6,$G$7,$G$8,,$C$11)</f>
        <v>USD1mDepo8M#0000</v>
      </c>
      <c r="G32" s="15" t="str">
        <f ca="1">_xll.ohRangeRetrieveError(F32)</f>
        <v/>
      </c>
      <c r="H32" s="16" t="str">
        <f t="shared" si="3"/>
        <v>USD1mDepo8M</v>
      </c>
      <c r="I32" s="17">
        <f t="shared" si="1"/>
        <v>6.3739992999999997E-3</v>
      </c>
      <c r="J32" s="16" t="str">
        <f t="shared" si="2"/>
        <v>8M</v>
      </c>
      <c r="K32" s="43">
        <v>2</v>
      </c>
      <c r="M32" s="25" t="str">
        <f t="shared" ca="1" si="0"/>
        <v>USD1mDepo8M#0000</v>
      </c>
      <c r="N32" s="26">
        <v>1</v>
      </c>
      <c r="O32" s="27" t="str">
        <f ca="1"/>
        <v>USD1mDepo9M</v>
      </c>
      <c r="P32" s="23"/>
      <c r="Q32" s="75">
        <f ca="1"/>
        <v>43980</v>
      </c>
      <c r="R32" s="74">
        <f ca="1"/>
        <v>0.99502914774682671</v>
      </c>
      <c r="S32" s="66">
        <f ca="1"/>
        <v>6.6360508665272988E-3</v>
      </c>
      <c r="T32" s="63"/>
      <c r="U32" s="60"/>
      <c r="W32" s="115" t="s">
        <v>231</v>
      </c>
      <c r="X32" s="58">
        <f>_xll.qlCalendarAdvance($R$8,$C$3,W32,"following")</f>
        <v>43983</v>
      </c>
      <c r="Y32" s="154">
        <v>0.9962583595278981</v>
      </c>
    </row>
    <row r="33" spans="2:25">
      <c r="B33" s="156" t="str">
        <f>'RISK INPUT'!F18</f>
        <v>DEPO-USD-FIX-9M-</v>
      </c>
      <c r="C33" s="405">
        <f>'RISK INPUT'!G18</f>
        <v>0.65651404000000002</v>
      </c>
      <c r="D33" s="115" t="s">
        <v>231</v>
      </c>
      <c r="F33" s="42" t="str">
        <f ca="1">_xll.qlDepositRateHelper2(H33,I33,J33,K33,$G$5,$G$6,$G$7,$G$8,,$C$11)</f>
        <v>USD1mDepo9M#0000</v>
      </c>
      <c r="G33" s="15" t="str">
        <f ca="1">_xll.ohRangeRetrieveError(F33)</f>
        <v/>
      </c>
      <c r="H33" s="16" t="str">
        <f t="shared" si="3"/>
        <v>USD1mDepo9M</v>
      </c>
      <c r="I33" s="17">
        <f t="shared" si="1"/>
        <v>6.5651403999999998E-3</v>
      </c>
      <c r="J33" s="16" t="str">
        <f t="shared" si="2"/>
        <v>9M</v>
      </c>
      <c r="K33" s="43">
        <v>2</v>
      </c>
      <c r="M33" s="25" t="str">
        <f t="shared" ca="1" si="0"/>
        <v>USD1mDepo9M#0000</v>
      </c>
      <c r="N33" s="26">
        <v>1</v>
      </c>
      <c r="O33" s="27" t="str">
        <f ca="1"/>
        <v>USD1mDepo10M</v>
      </c>
      <c r="P33" s="23"/>
      <c r="Q33" s="75">
        <f ca="1"/>
        <v>44012</v>
      </c>
      <c r="R33" s="74">
        <f ca="1"/>
        <v>0.99429159302713677</v>
      </c>
      <c r="S33" s="66">
        <f ca="1"/>
        <v>6.8295289556150607E-3</v>
      </c>
      <c r="T33" s="63"/>
      <c r="U33" s="60"/>
      <c r="W33" s="115" t="s">
        <v>232</v>
      </c>
      <c r="X33" s="58">
        <f>_xll.qlCalendarAdvance($R$8,$C$3,W33,"following")</f>
        <v>44012</v>
      </c>
      <c r="Y33" s="154">
        <v>0.9957599065515691</v>
      </c>
    </row>
    <row r="34" spans="2:25">
      <c r="B34" s="156" t="str">
        <f>'RISK INPUT'!F19</f>
        <v>DEPO-USD-FIX-10M-</v>
      </c>
      <c r="C34" s="405">
        <f>'RISK INPUT'!G19</f>
        <v>0.67562522000000003</v>
      </c>
      <c r="D34" s="115" t="s">
        <v>232</v>
      </c>
      <c r="F34" s="42" t="str">
        <f ca="1">_xll.qlDepositRateHelper2(H34,I34,J34,K34,$G$5,$G$6,$G$7,$G$8,,$C$11)</f>
        <v>USD1mDepo10M#0000</v>
      </c>
      <c r="G34" s="15" t="str">
        <f ca="1">_xll.ohRangeRetrieveError(F34)</f>
        <v/>
      </c>
      <c r="H34" s="16" t="str">
        <f t="shared" si="3"/>
        <v>USD1mDepo10M</v>
      </c>
      <c r="I34" s="17">
        <f t="shared" si="1"/>
        <v>6.7562522E-3</v>
      </c>
      <c r="J34" s="16" t="str">
        <f t="shared" si="2"/>
        <v>10M</v>
      </c>
      <c r="K34" s="43">
        <v>2</v>
      </c>
      <c r="M34" s="25" t="str">
        <f t="shared" ca="1" si="0"/>
        <v>USD1mDepo10M#0000</v>
      </c>
      <c r="N34" s="26">
        <v>1</v>
      </c>
      <c r="O34" s="27" t="str">
        <f ca="1"/>
        <v>USD1mDepo11M</v>
      </c>
      <c r="P34" s="23"/>
      <c r="Q34" s="75">
        <f ca="1"/>
        <v>44043</v>
      </c>
      <c r="R34" s="74">
        <f ca="1"/>
        <v>0.99355933510667649</v>
      </c>
      <c r="S34" s="66">
        <f ca="1"/>
        <v>7.00205095117723E-3</v>
      </c>
      <c r="T34" s="63"/>
      <c r="U34" s="60"/>
      <c r="W34" s="115" t="s">
        <v>233</v>
      </c>
      <c r="X34" s="58">
        <f>_xll.qlCalendarAdvance($R$8,$C$3,W34,"following")</f>
        <v>44042</v>
      </c>
      <c r="Y34" s="154">
        <v>0.99522282620130986</v>
      </c>
    </row>
    <row r="35" spans="2:25">
      <c r="B35" s="156" t="str">
        <f>'RISK INPUT'!F20</f>
        <v>DEPO-USD-FIX-11M-</v>
      </c>
      <c r="C35" s="405">
        <f>'RISK INPUT'!G20</f>
        <v>0.69270754000000001</v>
      </c>
      <c r="D35" s="115" t="s">
        <v>233</v>
      </c>
      <c r="F35" s="42" t="str">
        <f ca="1">_xll.qlDepositRateHelper2(H35,I35,J35,K35,$G$5,$G$6,$G$7,$G$8,,$C$11)</f>
        <v>USD1mDepo11M#0000</v>
      </c>
      <c r="G35" s="15" t="str">
        <f ca="1">_xll.ohRangeRetrieveError(F35)</f>
        <v/>
      </c>
      <c r="H35" s="16" t="str">
        <f>$C$7&amp;"Depo"&amp;J35</f>
        <v>USD1mDepo11M</v>
      </c>
      <c r="I35" s="17">
        <f t="shared" si="1"/>
        <v>6.9270753999999997E-3</v>
      </c>
      <c r="J35" s="16" t="str">
        <f t="shared" si="2"/>
        <v>11M</v>
      </c>
      <c r="K35" s="43">
        <v>2</v>
      </c>
      <c r="M35" s="25" t="str">
        <f t="shared" ca="1" si="0"/>
        <v>USD1mDepo11M#0000</v>
      </c>
      <c r="N35" s="26">
        <v>1</v>
      </c>
      <c r="O35" s="27" t="str">
        <f ca="1"/>
        <v>USD1mSwap12M</v>
      </c>
      <c r="P35" s="23"/>
      <c r="Q35" s="75">
        <f ca="1"/>
        <v>44071</v>
      </c>
      <c r="R35" s="74">
        <f ca="1"/>
        <v>0.9928442676496807</v>
      </c>
      <c r="S35" s="66">
        <f ca="1"/>
        <v>7.1875432099868242E-3</v>
      </c>
      <c r="T35" s="63"/>
      <c r="U35" s="60"/>
      <c r="W35" s="115" t="s">
        <v>332</v>
      </c>
      <c r="X35" s="58">
        <f>_xll.qlCalendarAdvance($R$8,$C$3,W35,"following")</f>
        <v>44074</v>
      </c>
      <c r="Y35" s="154">
        <v>0.99459873815833155</v>
      </c>
    </row>
    <row r="36" spans="2:25">
      <c r="B36" s="156" t="str">
        <f>'RISK INPUT'!F21</f>
        <v>DEPO-USD-FIX-12M-</v>
      </c>
      <c r="C36" s="406">
        <f>'RISK INPUT'!G21</f>
        <v>0.71080158999999998</v>
      </c>
      <c r="D36" s="115" t="s">
        <v>332</v>
      </c>
      <c r="F36" s="42" t="str">
        <f ca="1">_xll.qlSwapRateHelper2(H36,I36,,J36,$J$5,$J$6,$J$7,$J$8,$J$9,$J$10,$J$11,$J$12,,,,$C$11)</f>
        <v>USD1mSwap12M#0000</v>
      </c>
      <c r="G36" s="15" t="str">
        <f ca="1">_xll.ohRangeRetrieveError(F36)</f>
        <v/>
      </c>
      <c r="H36" s="16" t="str">
        <f t="shared" ref="H36:H53" si="4">$C$7&amp;"Swap"&amp;J36</f>
        <v>USD1mSwap12M</v>
      </c>
      <c r="I36" s="17">
        <f t="shared" si="1"/>
        <v>7.1080158999999995E-3</v>
      </c>
      <c r="J36" s="16" t="str">
        <f t="shared" si="2"/>
        <v>12M</v>
      </c>
      <c r="K36" s="43">
        <v>2</v>
      </c>
      <c r="M36" s="25" t="str">
        <f t="shared" ca="1" si="0"/>
        <v>USD1mSwap12M#0000</v>
      </c>
      <c r="N36" s="26">
        <v>1</v>
      </c>
      <c r="O36" s="27" t="str">
        <f ca="1"/>
        <v>USD1mSwap15M</v>
      </c>
      <c r="P36" s="23"/>
      <c r="Q36" s="75">
        <f ca="1"/>
        <v>44165</v>
      </c>
      <c r="R36" s="74">
        <f ca="1"/>
        <v>0.99044041988444687</v>
      </c>
      <c r="S36" s="66">
        <f ca="1"/>
        <v>7.6509278828984506E-3</v>
      </c>
      <c r="T36" s="63"/>
      <c r="U36" s="60"/>
      <c r="W36" s="115" t="s">
        <v>237</v>
      </c>
      <c r="X36" s="58">
        <f>_xll.qlCalendarAdvance($R$8,$C$3,W36,"following")</f>
        <v>44165</v>
      </c>
      <c r="Y36" s="154">
        <v>0.99282016153152275</v>
      </c>
    </row>
    <row r="37" spans="2:25">
      <c r="B37" s="156" t="str">
        <f>'RISK INPUT'!F22</f>
        <v>DEPO-USD-FIX-15M-</v>
      </c>
      <c r="C37" s="405">
        <f>'RISK INPUT'!G22</f>
        <v>0.75579110000000005</v>
      </c>
      <c r="D37" s="115" t="s">
        <v>237</v>
      </c>
      <c r="F37" s="42" t="str">
        <f ca="1">_xll.qlSwapRateHelper2(H37,I37,,J37,$J$5,$J$6,$J$7,$J$8,$J$9,$J$10,$J$11,$J$12,,,,$C$11)</f>
        <v>USD1mSwap15M#0000</v>
      </c>
      <c r="G37" s="15" t="str">
        <f ca="1">_xll.ohRangeRetrieveError(F37)</f>
        <v/>
      </c>
      <c r="H37" s="16" t="str">
        <f t="shared" si="4"/>
        <v>USD1mSwap15M</v>
      </c>
      <c r="I37" s="17">
        <f t="shared" si="1"/>
        <v>7.5579110000000005E-3</v>
      </c>
      <c r="J37" s="16" t="str">
        <f t="shared" si="2"/>
        <v>15M</v>
      </c>
      <c r="K37" s="43">
        <v>2</v>
      </c>
      <c r="M37" s="25" t="str">
        <f t="shared" ca="1" si="0"/>
        <v>USD1mSwap15M#0000</v>
      </c>
      <c r="N37" s="26">
        <v>1</v>
      </c>
      <c r="O37" s="27" t="str">
        <f ca="1"/>
        <v>USD1mSwap18M</v>
      </c>
      <c r="P37" s="23"/>
      <c r="Q37" s="75">
        <f ca="1"/>
        <v>44253</v>
      </c>
      <c r="R37" s="74">
        <f ca="1"/>
        <v>0.98801887203911831</v>
      </c>
      <c r="S37" s="66">
        <f ca="1"/>
        <v>8.0606350314986752E-3</v>
      </c>
      <c r="T37" s="63"/>
      <c r="U37" s="60"/>
      <c r="W37" s="115" t="s">
        <v>238</v>
      </c>
      <c r="X37" s="58">
        <f>_xll.qlCalendarAdvance($R$8,$C$3,W37,"following")</f>
        <v>44256</v>
      </c>
      <c r="Y37" s="154">
        <v>0.9909204421475668</v>
      </c>
    </row>
    <row r="38" spans="2:25">
      <c r="B38" s="156" t="str">
        <f>'RISK INPUT'!F23</f>
        <v>DEPO-USD-FIX-18M-</v>
      </c>
      <c r="C38" s="405">
        <f>'RISK INPUT'!G23</f>
        <v>0.79573205999999996</v>
      </c>
      <c r="D38" s="115" t="s">
        <v>238</v>
      </c>
      <c r="F38" s="42" t="str">
        <f ca="1">_xll.qlSwapRateHelper2(H38,I38,,J38,$J$5,$J$6,$J$7,$J$8,$J$9,$J$10,$J$11,$J$12,,,,$C$11)</f>
        <v>USD1mSwap18M#0000</v>
      </c>
      <c r="G38" s="15" t="str">
        <f ca="1">_xll.ohRangeRetrieveError(F38)</f>
        <v/>
      </c>
      <c r="H38" s="16" t="str">
        <f t="shared" si="4"/>
        <v>USD1mSwap18M</v>
      </c>
      <c r="I38" s="17">
        <f t="shared" si="1"/>
        <v>7.9573205999999997E-3</v>
      </c>
      <c r="J38" s="19" t="str">
        <f t="shared" si="2"/>
        <v>18M</v>
      </c>
      <c r="K38" s="90"/>
      <c r="M38" s="25" t="str">
        <f t="shared" ca="1" si="0"/>
        <v>USD1mSwap18M#0000</v>
      </c>
      <c r="N38" s="26">
        <v>1</v>
      </c>
      <c r="O38" s="27" t="str">
        <f ca="1"/>
        <v>USD1mSwap2Y</v>
      </c>
      <c r="P38" s="23"/>
      <c r="Q38" s="75">
        <f ca="1"/>
        <v>44439</v>
      </c>
      <c r="R38" s="74">
        <f ca="1"/>
        <v>0.98246464094020114</v>
      </c>
      <c r="S38" s="66">
        <f ca="1"/>
        <v>8.8360678196428566E-3</v>
      </c>
      <c r="T38" s="63"/>
      <c r="U38" s="60"/>
      <c r="W38" s="115" t="s">
        <v>239</v>
      </c>
      <c r="X38" s="58">
        <f>_xll.qlCalendarAdvance($R$8,$C$3,W38,"following")</f>
        <v>44347</v>
      </c>
      <c r="Y38" s="154">
        <v>0.98883197996942318</v>
      </c>
    </row>
    <row r="39" spans="2:25">
      <c r="B39" s="156" t="str">
        <f>'RISK INPUT'!F24</f>
        <v>SWAP-USD-USLIBOR1M-2Y-</v>
      </c>
      <c r="C39" s="405">
        <f>'RISK INPUT'!G24</f>
        <v>0.872</v>
      </c>
      <c r="D39" s="115" t="s">
        <v>240</v>
      </c>
      <c r="F39" s="42" t="str">
        <f ca="1">_xll.qlSwapRateHelper2(H39,I39,,J39,$J$5,$J$6,$J$7,$J$8,$J$9,$J$10,$J$11,$J$12,,,,$C$11)</f>
        <v>USD1mSwap2Y#0000</v>
      </c>
      <c r="G39" s="15" t="str">
        <f ca="1">_xll.ohRangeRetrieveError(F39)</f>
        <v/>
      </c>
      <c r="H39" s="16" t="str">
        <f t="shared" si="4"/>
        <v>USD1mSwap2Y</v>
      </c>
      <c r="I39" s="17">
        <f t="shared" si="1"/>
        <v>8.7200000000000003E-3</v>
      </c>
      <c r="J39" s="19" t="str">
        <f t="shared" si="2"/>
        <v>2Y</v>
      </c>
      <c r="K39" s="90"/>
      <c r="M39" s="25" t="str">
        <f t="shared" ca="1" si="0"/>
        <v>USD1mSwap2Y#0000</v>
      </c>
      <c r="N39" s="26">
        <v>1</v>
      </c>
      <c r="O39" s="27" t="str">
        <f ca="1"/>
        <v>USD1mSwap3Y</v>
      </c>
      <c r="P39" s="23"/>
      <c r="Q39" s="75">
        <f ca="1"/>
        <v>44803</v>
      </c>
      <c r="R39" s="74">
        <f ca="1"/>
        <v>0.97013550883974098</v>
      </c>
      <c r="S39" s="475">
        <f ca="1"/>
        <v>1.0129855507833074E-2</v>
      </c>
      <c r="T39" s="63"/>
      <c r="U39" s="60"/>
      <c r="W39" s="115" t="s">
        <v>240</v>
      </c>
      <c r="X39" s="58">
        <f>_xll.qlCalendarAdvance($R$8,$C$3,W39,"following")</f>
        <v>44438</v>
      </c>
      <c r="Y39" s="154">
        <v>0.98662151852474667</v>
      </c>
    </row>
    <row r="40" spans="2:25">
      <c r="B40" s="156" t="str">
        <f>'RISK INPUT'!F25</f>
        <v>SWAP-USD-USLIBOR1M-3Y-</v>
      </c>
      <c r="C40" s="405">
        <f>'RISK INPUT'!G25</f>
        <v>0.99819926000000003</v>
      </c>
      <c r="D40" s="115" t="s">
        <v>211</v>
      </c>
      <c r="F40" s="42" t="str">
        <f ca="1">_xll.qlSwapRateHelper2(H40,I40,,J40,$J$5,$J$6,$J$7,$J$8,$J$9,$J$10,$J$11,$J$12,,,,$C$11)</f>
        <v>USD1mSwap3Y#0000</v>
      </c>
      <c r="G40" s="15" t="str">
        <f ca="1">_xll.ohRangeRetrieveError(F40)</f>
        <v/>
      </c>
      <c r="H40" s="16" t="str">
        <f t="shared" si="4"/>
        <v>USD1mSwap3Y</v>
      </c>
      <c r="I40" s="17">
        <f t="shared" si="1"/>
        <v>9.9819925999999996E-3</v>
      </c>
      <c r="J40" s="19" t="str">
        <f t="shared" si="2"/>
        <v>3Y</v>
      </c>
      <c r="K40" s="90"/>
      <c r="M40" s="25" t="str">
        <f t="shared" ca="1" si="0"/>
        <v>USD1mSwap3Y#0000</v>
      </c>
      <c r="N40" s="26">
        <v>1</v>
      </c>
      <c r="O40" s="27" t="str">
        <f ca="1"/>
        <v>USD1mSwap4Y</v>
      </c>
      <c r="P40" s="23"/>
      <c r="Q40" s="75">
        <f ca="1"/>
        <v>45168</v>
      </c>
      <c r="R40" s="74">
        <f ca="1"/>
        <v>0.95649676040860465</v>
      </c>
      <c r="S40" s="66">
        <f ca="1"/>
        <v>1.1158464270694113E-2</v>
      </c>
      <c r="T40" s="63"/>
      <c r="U40" s="60"/>
      <c r="W40" s="115" t="s">
        <v>211</v>
      </c>
      <c r="X40" s="58">
        <f>_xll.qlCalendarAdvance($R$8,$C$3,W40,"following")</f>
        <v>44803</v>
      </c>
      <c r="Y40" s="154">
        <v>0.97653026067666338</v>
      </c>
    </row>
    <row r="41" spans="2:25">
      <c r="B41" s="156" t="str">
        <f>'RISK INPUT'!F26</f>
        <v>SWAP-USD-USLIBOR1M-4Y-</v>
      </c>
      <c r="C41" s="405">
        <f>'RISK INPUT'!G26</f>
        <v>1.0981428499999999</v>
      </c>
      <c r="D41" s="115" t="s">
        <v>212</v>
      </c>
      <c r="F41" s="42" t="str">
        <f ca="1">_xll.qlSwapRateHelper2(H41,I41,,J41,$J$5,$J$6,$J$7,$J$8,$J$9,$J$10,$J$11,$J$12,,,,$C$11)</f>
        <v>USD1mSwap4Y#0000</v>
      </c>
      <c r="G41" s="15" t="str">
        <f ca="1">_xll.ohRangeRetrieveError(F41)</f>
        <v/>
      </c>
      <c r="H41" s="16" t="str">
        <f t="shared" si="4"/>
        <v>USD1mSwap4Y</v>
      </c>
      <c r="I41" s="17">
        <f t="shared" si="1"/>
        <v>1.0981428499999999E-2</v>
      </c>
      <c r="J41" s="19" t="str">
        <f t="shared" si="2"/>
        <v>4Y</v>
      </c>
      <c r="K41" s="90"/>
      <c r="M41" s="25" t="str">
        <f t="shared" ca="1" si="0"/>
        <v>USD1mSwap4Y#0000</v>
      </c>
      <c r="N41" s="26">
        <v>3</v>
      </c>
      <c r="O41" s="27" t="str">
        <f ca="1"/>
        <v>USD1mSwap5Y</v>
      </c>
      <c r="P41" s="23"/>
      <c r="Q41" s="75">
        <f ca="1"/>
        <v>45534</v>
      </c>
      <c r="R41" s="74">
        <f ca="1"/>
        <v>0.94125027202967981</v>
      </c>
      <c r="S41" s="66">
        <f ca="1"/>
        <v>1.2156050839067456E-2</v>
      </c>
      <c r="T41" s="63"/>
      <c r="U41" s="60"/>
      <c r="W41" s="115" t="s">
        <v>212</v>
      </c>
      <c r="X41" s="58">
        <f>_xll.qlCalendarAdvance($R$8,$C$3,W41,"following")</f>
        <v>45168</v>
      </c>
      <c r="Y41" s="154">
        <v>0.96454054042540538</v>
      </c>
    </row>
    <row r="42" spans="2:25">
      <c r="B42" s="156" t="str">
        <f>'RISK INPUT'!F27</f>
        <v>SWAP-USD-USLIBOR1M-5Y-</v>
      </c>
      <c r="C42" s="405">
        <f>'RISK INPUT'!G27</f>
        <v>1.1945891399999999</v>
      </c>
      <c r="D42" s="115" t="s">
        <v>213</v>
      </c>
      <c r="F42" s="42" t="str">
        <f ca="1">_xll.qlSwapRateHelper2(H42,I42,,J42,$J$5,$J$6,$J$7,$J$8,$J$9,$J$10,$J$11,$J$12,,,,$C$11)</f>
        <v>USD1mSwap5Y#0000</v>
      </c>
      <c r="G42" s="15" t="str">
        <f ca="1">_xll.ohRangeRetrieveError(F42)</f>
        <v/>
      </c>
      <c r="H42" s="16" t="str">
        <f t="shared" si="4"/>
        <v>USD1mSwap5Y</v>
      </c>
      <c r="I42" s="17">
        <f t="shared" si="1"/>
        <v>1.1945891399999999E-2</v>
      </c>
      <c r="J42" s="19" t="str">
        <f t="shared" si="2"/>
        <v>5Y</v>
      </c>
      <c r="K42" s="90"/>
      <c r="M42" s="25" t="str">
        <f t="shared" ca="1" si="0"/>
        <v>USD1mSwap5Y#0000</v>
      </c>
      <c r="N42" s="26">
        <v>3</v>
      </c>
      <c r="O42" s="27" t="str">
        <f ca="1"/>
        <v>USD1mSwap6Y</v>
      </c>
      <c r="P42" s="23"/>
      <c r="Q42" s="75">
        <f ca="1"/>
        <v>45898</v>
      </c>
      <c r="R42" s="74">
        <f ca="1"/>
        <v>0.92525596886072381</v>
      </c>
      <c r="S42" s="66">
        <f ca="1"/>
        <v>1.3013714935195875E-2</v>
      </c>
      <c r="T42" s="63"/>
      <c r="U42" s="60"/>
      <c r="W42" s="115" t="s">
        <v>213</v>
      </c>
      <c r="X42" s="58">
        <f>_xll.qlCalendarAdvance($R$8,$C$3,W42,"following")</f>
        <v>45534</v>
      </c>
      <c r="Y42" s="154">
        <v>0.9507831883488248</v>
      </c>
    </row>
    <row r="43" spans="2:25">
      <c r="B43" s="156" t="str">
        <f>'RISK INPUT'!F28</f>
        <v>SWAP-USD-USLIBOR1M-6Y-</v>
      </c>
      <c r="C43" s="405">
        <f>'RISK INPUT'!G28</f>
        <v>1.27706232</v>
      </c>
      <c r="D43" s="115" t="s">
        <v>214</v>
      </c>
      <c r="F43" s="42" t="str">
        <f ca="1">_xll.qlSwapRateHelper2(H43,I43,,J43,$J$5,$J$6,$J$7,$J$8,$J$9,$J$10,$J$11,$J$12,,,,$C$11)</f>
        <v>USD1mSwap6Y#0000</v>
      </c>
      <c r="G43" s="15" t="str">
        <f ca="1">_xll.ohRangeRetrieveError(F43)</f>
        <v/>
      </c>
      <c r="H43" s="16" t="str">
        <f t="shared" si="4"/>
        <v>USD1mSwap6Y</v>
      </c>
      <c r="I43" s="17">
        <f t="shared" si="1"/>
        <v>1.2770623199999999E-2</v>
      </c>
      <c r="J43" s="19" t="str">
        <f t="shared" si="2"/>
        <v>6Y</v>
      </c>
      <c r="K43" s="90"/>
      <c r="M43" s="25" t="str">
        <f t="shared" ca="1" si="0"/>
        <v>USD1mSwap6Y#0000</v>
      </c>
      <c r="N43" s="26">
        <v>3</v>
      </c>
      <c r="O43" s="27" t="str">
        <f ca="1"/>
        <v>USD1mSwap7Y</v>
      </c>
      <c r="P43" s="23"/>
      <c r="Q43" s="75">
        <f ca="1"/>
        <v>46262</v>
      </c>
      <c r="R43" s="74">
        <f ca="1"/>
        <v>0.90749900520380966</v>
      </c>
      <c r="S43" s="66">
        <f ca="1"/>
        <v>1.3951699052908939E-2</v>
      </c>
      <c r="T43" s="63"/>
      <c r="U43" s="60"/>
      <c r="W43" s="115" t="s">
        <v>214</v>
      </c>
      <c r="X43" s="58">
        <f>_xll.qlCalendarAdvance($R$8,$C$3,W43,"following")</f>
        <v>45901</v>
      </c>
      <c r="Y43" s="154">
        <v>0.93605684917641307</v>
      </c>
    </row>
    <row r="44" spans="2:25">
      <c r="B44" s="156" t="str">
        <f>'RISK INPUT'!F29</f>
        <v>SWAP-USD-USLIBOR1M-7Y-</v>
      </c>
      <c r="C44" s="405">
        <f>'RISK INPUT'!G29</f>
        <v>1.36657523</v>
      </c>
      <c r="D44" s="115" t="s">
        <v>215</v>
      </c>
      <c r="F44" s="42" t="str">
        <f ca="1">_xll.qlSwapRateHelper2(H44,I44,,J44,$J$5,$J$6,$J$7,$J$8,$J$9,$J$10,$J$11,$J$12,,,,$C$11)</f>
        <v>USD1mSwap7Y#0000</v>
      </c>
      <c r="G44" s="15" t="str">
        <f ca="1">_xll.ohRangeRetrieveError(F44)</f>
        <v/>
      </c>
      <c r="H44" s="16" t="str">
        <f t="shared" si="4"/>
        <v>USD1mSwap7Y</v>
      </c>
      <c r="I44" s="17">
        <f t="shared" si="1"/>
        <v>1.36657523E-2</v>
      </c>
      <c r="J44" s="19" t="str">
        <f t="shared" si="2"/>
        <v>7Y</v>
      </c>
      <c r="K44" s="90"/>
      <c r="M44" s="25" t="str">
        <f t="shared" ca="1" si="0"/>
        <v>USD1mSwap7Y#0000</v>
      </c>
      <c r="N44" s="26">
        <v>3</v>
      </c>
      <c r="O44" s="27" t="str">
        <f ca="1"/>
        <v>USD1mSwap8Y</v>
      </c>
      <c r="P44" s="23"/>
      <c r="Q44" s="75">
        <f ca="1"/>
        <v>46630</v>
      </c>
      <c r="R44" s="74">
        <f ca="1"/>
        <v>0.88953530638406686</v>
      </c>
      <c r="S44" s="66">
        <f ca="1"/>
        <v>1.4714201584813402E-2</v>
      </c>
      <c r="T44" s="63"/>
      <c r="U44" s="60"/>
      <c r="W44" s="115" t="s">
        <v>215</v>
      </c>
      <c r="X44" s="58">
        <f>_xll.qlCalendarAdvance($R$8,$C$3,W44,"following")</f>
        <v>46265</v>
      </c>
      <c r="Y44" s="154">
        <v>0.91925434684312468</v>
      </c>
    </row>
    <row r="45" spans="2:25">
      <c r="B45" s="156" t="str">
        <f>'RISK INPUT'!F30</f>
        <v>SWAP-USD-USLIBOR1M-8Y-</v>
      </c>
      <c r="C45" s="405">
        <f>'RISK INPUT'!G30</f>
        <v>1.43900026</v>
      </c>
      <c r="D45" s="115" t="s">
        <v>216</v>
      </c>
      <c r="F45" s="42" t="str">
        <f ca="1">_xll.qlSwapRateHelper2(H45,I45,,J45,$J$5,$J$6,$J$7,$J$8,$J$9,$J$10,$J$11,$J$12,,,,$C$11)</f>
        <v>USD1mSwap8Y#0000</v>
      </c>
      <c r="G45" s="15" t="str">
        <f ca="1">_xll.ohRangeRetrieveError(F45)</f>
        <v/>
      </c>
      <c r="H45" s="16" t="str">
        <f t="shared" si="4"/>
        <v>USD1mSwap8Y</v>
      </c>
      <c r="I45" s="17">
        <f t="shared" si="1"/>
        <v>1.43900026E-2</v>
      </c>
      <c r="J45" s="19" t="str">
        <f t="shared" si="2"/>
        <v>8Y</v>
      </c>
      <c r="K45" s="90"/>
      <c r="M45" s="25" t="str">
        <f t="shared" ca="1" si="0"/>
        <v>USD1mSwap8Y#0000</v>
      </c>
      <c r="N45" s="26">
        <v>3</v>
      </c>
      <c r="O45" s="27" t="str">
        <f ca="1"/>
        <v>USD1mSwap9Y</v>
      </c>
      <c r="P45" s="23"/>
      <c r="Q45" s="75">
        <f ca="1"/>
        <v>46995</v>
      </c>
      <c r="R45" s="74">
        <f ca="1"/>
        <v>0.87070702526755428</v>
      </c>
      <c r="S45" s="66">
        <f ca="1"/>
        <v>1.5478493787211889E-2</v>
      </c>
      <c r="T45" s="63"/>
      <c r="U45" s="60"/>
      <c r="W45" s="115" t="s">
        <v>216</v>
      </c>
      <c r="X45" s="58">
        <f>_xll.qlCalendarAdvance($R$8,$C$3,W45,"following")</f>
        <v>46629</v>
      </c>
      <c r="Y45" s="154">
        <v>0.90214894394383616</v>
      </c>
    </row>
    <row r="46" spans="2:25">
      <c r="B46" s="156" t="str">
        <f>'RISK INPUT'!F31</f>
        <v>SWAP-USD-USLIBOR1M-9Y-</v>
      </c>
      <c r="C46" s="405">
        <f>'RISK INPUT'!G31</f>
        <v>1.5109722299999999</v>
      </c>
      <c r="D46" s="115" t="s">
        <v>217</v>
      </c>
      <c r="F46" s="42" t="str">
        <f ca="1">_xll.qlSwapRateHelper2(H46,I46,,J46,$J$5,$J$6,$J$7,$J$8,$J$9,$J$10,$J$11,$J$12,,,,$C$11)</f>
        <v>USD1mSwap9Y#0000</v>
      </c>
      <c r="G46" s="15" t="str">
        <f ca="1">_xll.ohRangeRetrieveError(F46)</f>
        <v/>
      </c>
      <c r="H46" s="16" t="str">
        <f t="shared" si="4"/>
        <v>USD1mSwap9Y</v>
      </c>
      <c r="I46" s="17">
        <f t="shared" si="1"/>
        <v>1.51097223E-2</v>
      </c>
      <c r="J46" s="19" t="str">
        <f t="shared" si="2"/>
        <v>9Y</v>
      </c>
      <c r="K46" s="90"/>
      <c r="M46" s="25" t="str">
        <f t="shared" ca="1" si="0"/>
        <v>USD1mSwap9Y#0000</v>
      </c>
      <c r="N46" s="26">
        <v>3</v>
      </c>
      <c r="O46" s="27" t="str">
        <f ca="1"/>
        <v>USD1mSwap10Y</v>
      </c>
      <c r="P46" s="23"/>
      <c r="Q46" s="75">
        <f ca="1"/>
        <v>47360</v>
      </c>
      <c r="R46" s="74">
        <f ca="1"/>
        <v>0.85162976341182817</v>
      </c>
      <c r="S46" s="66">
        <f ca="1"/>
        <v>1.6167674289701228E-2</v>
      </c>
      <c r="T46" s="63"/>
      <c r="U46" s="60"/>
      <c r="W46" s="115" t="s">
        <v>217</v>
      </c>
      <c r="X46" s="58">
        <f>_xll.qlCalendarAdvance($R$8,$C$3,W46,"following")</f>
        <v>46995</v>
      </c>
      <c r="Y46" s="154">
        <v>0.8845396439053228</v>
      </c>
    </row>
    <row r="47" spans="2:25">
      <c r="B47" s="156" t="str">
        <f>'RISK INPUT'!F32</f>
        <v>SWAP-USD-USLIBOR1M-10Y-</v>
      </c>
      <c r="C47" s="405">
        <f>'RISK INPUT'!G32</f>
        <v>1.5754442900000001</v>
      </c>
      <c r="D47" s="115" t="s">
        <v>218</v>
      </c>
      <c r="F47" s="42" t="str">
        <f ca="1">_xll.qlSwapRateHelper2(H47,I47,,J47,$J$5,$J$6,$J$7,$J$8,$J$9,$J$10,$J$11,$J$12,,,,$C$11)</f>
        <v>USD1mSwap10Y#0000</v>
      </c>
      <c r="G47" s="15" t="str">
        <f ca="1">_xll.ohRangeRetrieveError(F47)</f>
        <v/>
      </c>
      <c r="H47" s="16" t="str">
        <f t="shared" si="4"/>
        <v>USD1mSwap10Y</v>
      </c>
      <c r="I47" s="17">
        <f t="shared" si="1"/>
        <v>1.5754442900000002E-2</v>
      </c>
      <c r="J47" s="19" t="str">
        <f t="shared" si="2"/>
        <v>10Y</v>
      </c>
      <c r="K47" s="90"/>
      <c r="M47" s="25" t="str">
        <f t="shared" ca="1" si="0"/>
        <v>USD1mSwap10Y#0000</v>
      </c>
      <c r="N47" s="26">
        <v>3</v>
      </c>
      <c r="O47" s="27" t="str">
        <f ca="1"/>
        <v>USD1mSwap12Y</v>
      </c>
      <c r="P47" s="23"/>
      <c r="Q47" s="75">
        <f ca="1"/>
        <v>48089</v>
      </c>
      <c r="R47" s="74">
        <f ca="1"/>
        <v>0.81350898455175469</v>
      </c>
      <c r="S47" s="66">
        <f ca="1"/>
        <v>1.7332662859497638E-2</v>
      </c>
      <c r="T47" s="63"/>
      <c r="U47" s="60"/>
      <c r="W47" s="115" t="s">
        <v>218</v>
      </c>
      <c r="X47" s="58">
        <f>_xll.qlCalendarAdvance($R$8,$C$3,W47,"following")</f>
        <v>47360</v>
      </c>
      <c r="Y47" s="154">
        <v>0.86636278595602711</v>
      </c>
    </row>
    <row r="48" spans="2:25">
      <c r="B48" s="156" t="str">
        <f>'RISK INPUT'!F33</f>
        <v>SWAP-USD-USLIBOR1M-12Y-</v>
      </c>
      <c r="C48" s="405">
        <f>'RISK INPUT'!G33</f>
        <v>1.6833914699999999</v>
      </c>
      <c r="D48" s="115" t="s">
        <v>219</v>
      </c>
      <c r="F48" s="42" t="str">
        <f ca="1">_xll.qlSwapRateHelper2(H48,I48,,J48,$J$5,$J$6,$J$7,$J$8,$J$9,$J$10,$J$11,$J$12,,,,$C$11)</f>
        <v>USD1mSwap12Y#0000</v>
      </c>
      <c r="G48" s="15" t="str">
        <f ca="1">_xll.ohRangeRetrieveError(F48)</f>
        <v/>
      </c>
      <c r="H48" s="16" t="str">
        <f t="shared" si="4"/>
        <v>USD1mSwap12Y</v>
      </c>
      <c r="I48" s="17">
        <f t="shared" si="1"/>
        <v>1.6833914699999997E-2</v>
      </c>
      <c r="J48" s="19" t="str">
        <f t="shared" si="2"/>
        <v>12Y</v>
      </c>
      <c r="K48" s="90"/>
      <c r="M48" s="25" t="str">
        <f t="shared" ca="1" si="0"/>
        <v>USD1mSwap12Y#0000</v>
      </c>
      <c r="N48" s="26">
        <v>3</v>
      </c>
      <c r="O48" s="27" t="str">
        <f ca="1"/>
        <v>USD1mSwap15Y</v>
      </c>
      <c r="P48" s="23"/>
      <c r="Q48" s="75">
        <f ca="1"/>
        <v>49186</v>
      </c>
      <c r="R48" s="74">
        <f ca="1"/>
        <v>0.75825923123512595</v>
      </c>
      <c r="S48" s="66">
        <f ca="1"/>
        <v>1.8599320413500653E-2</v>
      </c>
      <c r="T48" s="63"/>
      <c r="U48" s="60"/>
      <c r="W48" s="115" t="s">
        <v>219</v>
      </c>
      <c r="X48" s="58">
        <f>_xll.qlCalendarAdvance($R$8,$C$3,W48,"following")</f>
        <v>48092</v>
      </c>
      <c r="Y48" s="154">
        <v>0.82874328940172282</v>
      </c>
    </row>
    <row r="49" spans="2:25">
      <c r="B49" s="156" t="str">
        <f>'RISK INPUT'!F34</f>
        <v>SWAP-USD-USLIBOR1M-15Y-</v>
      </c>
      <c r="C49" s="405">
        <f>'RISK INPUT'!G34</f>
        <v>1.7993085799999999</v>
      </c>
      <c r="D49" s="115" t="s">
        <v>220</v>
      </c>
      <c r="F49" s="42" t="str">
        <f ca="1">_xll.qlSwapRateHelper2(H49,I49,,J49,$J$5,$J$6,$J$7,$J$8,$J$9,$J$10,$J$11,$J$12,,,,$C$11)</f>
        <v>USD1mSwap15Y#0000</v>
      </c>
      <c r="G49" s="15" t="str">
        <f ca="1">_xll.ohRangeRetrieveError(F49)</f>
        <v/>
      </c>
      <c r="H49" s="16" t="str">
        <f t="shared" si="4"/>
        <v>USD1mSwap15Y</v>
      </c>
      <c r="I49" s="17">
        <f t="shared" si="1"/>
        <v>1.7993085799999999E-2</v>
      </c>
      <c r="J49" s="19" t="str">
        <f t="shared" si="2"/>
        <v>15Y</v>
      </c>
      <c r="K49" s="90"/>
      <c r="M49" s="25" t="str">
        <f t="shared" ca="1" si="0"/>
        <v>USD1mSwap15Y#0000</v>
      </c>
      <c r="N49" s="26">
        <v>3</v>
      </c>
      <c r="O49" s="27" t="str">
        <f ca="1"/>
        <v>USD1mSwap20Y</v>
      </c>
      <c r="P49" s="23"/>
      <c r="Q49" s="75">
        <f ca="1"/>
        <v>51012</v>
      </c>
      <c r="R49" s="74">
        <f ca="1"/>
        <v>0.67528701026846694</v>
      </c>
      <c r="S49" s="66">
        <f ca="1"/>
        <v>1.980564784431893E-2</v>
      </c>
      <c r="T49" s="63"/>
      <c r="U49" s="60"/>
      <c r="W49" s="115" t="s">
        <v>220</v>
      </c>
      <c r="X49" s="58">
        <f>_xll.qlCalendarAdvance($R$8,$C$3,W49,"following")</f>
        <v>49186</v>
      </c>
      <c r="Y49" s="154">
        <v>0.77479789155799861</v>
      </c>
    </row>
    <row r="50" spans="2:25">
      <c r="B50" s="156" t="str">
        <f>'RISK INPUT'!F35</f>
        <v>SWAP-USD-USLIBOR1M-20Y-</v>
      </c>
      <c r="C50" s="405">
        <f>'RISK INPUT'!G35</f>
        <v>1.9086584600000001</v>
      </c>
      <c r="D50" s="115" t="s">
        <v>221</v>
      </c>
      <c r="F50" s="42" t="str">
        <f ca="1">_xll.qlSwapRateHelper2(H50,I50,,J50,$J$5,$J$6,$J$7,$J$8,$J$9,$J$10,$J$11,$J$12,,,,$C$11)</f>
        <v>USD1mSwap20Y#0000</v>
      </c>
      <c r="G50" s="15" t="str">
        <f ca="1">_xll.ohRangeRetrieveError(F50)</f>
        <v/>
      </c>
      <c r="H50" s="16" t="str">
        <f t="shared" si="4"/>
        <v>USD1mSwap20Y</v>
      </c>
      <c r="I50" s="17">
        <f t="shared" si="1"/>
        <v>1.9086584600000001E-2</v>
      </c>
      <c r="J50" s="19" t="str">
        <f t="shared" si="2"/>
        <v>20Y</v>
      </c>
      <c r="K50" s="90"/>
      <c r="M50" s="25" t="str">
        <f t="shared" ca="1" si="0"/>
        <v>USD1mSwap20Y#0000</v>
      </c>
      <c r="N50" s="26">
        <v>3</v>
      </c>
      <c r="O50" s="27" t="str">
        <f ca="1"/>
        <v>USD1mSwap25Y</v>
      </c>
      <c r="P50" s="23"/>
      <c r="Q50" s="75">
        <f ca="1"/>
        <v>52839</v>
      </c>
      <c r="R50" s="74">
        <f ca="1"/>
        <v>0.60488449291674207</v>
      </c>
      <c r="S50" s="66">
        <f ca="1"/>
        <v>2.0292036583109629E-2</v>
      </c>
      <c r="T50" s="63"/>
      <c r="U50" s="60"/>
      <c r="W50" s="115" t="s">
        <v>221</v>
      </c>
      <c r="X50" s="58">
        <f>_xll.qlCalendarAdvance($R$8,$C$3,W50,"following")</f>
        <v>51012</v>
      </c>
      <c r="Y50" s="154">
        <v>0.69078459689786287</v>
      </c>
    </row>
    <row r="51" spans="2:25">
      <c r="B51" s="156" t="str">
        <f>'RISK INPUT'!F36</f>
        <v>SWAP-USD-USLIBOR1M-25Y-</v>
      </c>
      <c r="C51" s="405">
        <f>'RISK INPUT'!G36</f>
        <v>1.9545213100000001</v>
      </c>
      <c r="D51" s="115" t="s">
        <v>222</v>
      </c>
      <c r="F51" s="42" t="str">
        <f ca="1">_xll.qlSwapRateHelper2(H51,I51,,J51,$J$5,$J$6,$J$7,$J$8,$J$9,$J$10,$J$11,$J$12,,,,$C$11)</f>
        <v>USD1mSwap25Y#0000</v>
      </c>
      <c r="G51" s="15" t="str">
        <f ca="1">_xll.ohRangeRetrieveError(F51)</f>
        <v/>
      </c>
      <c r="H51" s="16" t="str">
        <f t="shared" si="4"/>
        <v>USD1mSwap25Y</v>
      </c>
      <c r="I51" s="17">
        <f t="shared" si="1"/>
        <v>1.95452131E-2</v>
      </c>
      <c r="J51" s="19" t="str">
        <f t="shared" si="2"/>
        <v>25Y</v>
      </c>
      <c r="K51" s="90"/>
      <c r="M51" s="25" t="str">
        <f t="shared" ca="1" si="0"/>
        <v>USD1mSwap25Y#0000</v>
      </c>
      <c r="N51" s="26">
        <v>3</v>
      </c>
      <c r="O51" s="27" t="str">
        <f ca="1"/>
        <v>USD1mSwap30Y</v>
      </c>
      <c r="Q51" s="75">
        <f ca="1"/>
        <v>54666</v>
      </c>
      <c r="R51" s="74">
        <f ca="1"/>
        <v>0.54338650659806298</v>
      </c>
      <c r="S51" s="66">
        <f ca="1"/>
        <v>2.0518410363575601E-2</v>
      </c>
      <c r="T51" s="63"/>
      <c r="U51" s="60"/>
      <c r="W51" s="115" t="s">
        <v>222</v>
      </c>
      <c r="X51" s="58">
        <f>_xll.qlCalendarAdvance($R$8,$C$3,W51,"following")</f>
        <v>52839</v>
      </c>
      <c r="Y51" s="154">
        <v>0.61824189035595778</v>
      </c>
    </row>
    <row r="52" spans="2:25">
      <c r="B52" s="156" t="str">
        <f>'RISK INPUT'!F37</f>
        <v>SWAP-USD-USLIBOR1M-30Y-</v>
      </c>
      <c r="C52" s="405">
        <f>'RISK INPUT'!G37</f>
        <v>1.9774151099999999</v>
      </c>
      <c r="D52" s="115" t="s">
        <v>223</v>
      </c>
      <c r="F52" s="42" t="str">
        <f ca="1">_xll.qlSwapRateHelper2(H52,I52,,J52,$J$5,$J$6,$J$7,$J$8,$J$9,$J$10,$J$11,$J$12,,,,$C$11)</f>
        <v>USD1mSwap30Y#0000</v>
      </c>
      <c r="G52" s="15" t="str">
        <f ca="1">_xll.ohRangeRetrieveError(F52)</f>
        <v/>
      </c>
      <c r="H52" s="16" t="str">
        <f t="shared" si="4"/>
        <v>USD1mSwap30Y</v>
      </c>
      <c r="I52" s="17">
        <f t="shared" si="1"/>
        <v>1.9774151099999998E-2</v>
      </c>
      <c r="J52" s="19" t="str">
        <f t="shared" si="2"/>
        <v>30Y</v>
      </c>
      <c r="K52" s="90"/>
      <c r="M52" s="25" t="str">
        <f t="shared" ca="1" si="0"/>
        <v>USD1mSwap30Y#0000</v>
      </c>
      <c r="N52" s="26">
        <v>3</v>
      </c>
      <c r="O52" s="27" t="str">
        <f ca="1"/>
        <v>USD1mSwap40Y</v>
      </c>
      <c r="Q52" s="75">
        <f ca="1"/>
        <v>58316</v>
      </c>
      <c r="R52" s="74">
        <f ca="1"/>
        <v>0.44257053237336191</v>
      </c>
      <c r="S52" s="66">
        <f ca="1"/>
        <v>2.0572294921056722E-2</v>
      </c>
      <c r="T52" s="63"/>
      <c r="U52" s="60"/>
      <c r="W52" s="115" t="s">
        <v>223</v>
      </c>
      <c r="X52" s="58">
        <f>_xll.qlCalendarAdvance($R$8,$C$3,W52,"following")</f>
        <v>54665</v>
      </c>
      <c r="Y52" s="154">
        <v>0.55505986202796276</v>
      </c>
    </row>
    <row r="53" spans="2:25">
      <c r="B53" s="156" t="str">
        <f>'RISK INPUT'!F38</f>
        <v>SWAP-USD-USLIBOR1M-40Y-</v>
      </c>
      <c r="C53" s="405">
        <f>'RISK INPUT'!G38</f>
        <v>1.9893627199999999</v>
      </c>
      <c r="D53" s="115" t="s">
        <v>224</v>
      </c>
      <c r="F53" s="42" t="str">
        <f ca="1">_xll.qlSwapRateHelper2(H53,I53,,J53,$J$5,$J$6,$J$7,$J$8,$J$9,$J$10,$J$11,$J$12,,,,$C$11)</f>
        <v>USD1mSwap40Y#0000</v>
      </c>
      <c r="G53" s="15" t="str">
        <f ca="1">_xll.ohRangeRetrieveError(F53)</f>
        <v/>
      </c>
      <c r="H53" s="16" t="str">
        <f t="shared" si="4"/>
        <v>USD1mSwap40Y</v>
      </c>
      <c r="I53" s="17">
        <f t="shared" si="1"/>
        <v>1.98936272E-2</v>
      </c>
      <c r="J53" s="19" t="str">
        <f t="shared" si="2"/>
        <v>40Y</v>
      </c>
      <c r="K53" s="90"/>
      <c r="M53" s="25" t="str">
        <f t="shared" ca="1" si="0"/>
        <v>USD1mSwap40Y#0000</v>
      </c>
      <c r="N53" s="26">
        <v>3</v>
      </c>
      <c r="O53" s="27" t="str">
        <f ca="1"/>
        <v>USD1mSwap50Y</v>
      </c>
      <c r="Q53" s="75">
        <f ca="1"/>
        <v>61970</v>
      </c>
      <c r="R53" s="74">
        <f ca="1"/>
        <v>0.36691147653831441</v>
      </c>
      <c r="S53" s="66">
        <f ca="1"/>
        <v>2.0238297731459465E-2</v>
      </c>
      <c r="T53" s="63"/>
      <c r="U53" s="60"/>
      <c r="W53" s="115" t="s">
        <v>224</v>
      </c>
      <c r="X53" s="58">
        <f>_xll.qlCalendarAdvance($R$8,$C$3,W53,"following")</f>
        <v>58319</v>
      </c>
      <c r="Y53" s="154">
        <v>0.45493971625251084</v>
      </c>
    </row>
    <row r="54" spans="2:25">
      <c r="B54" s="156" t="str">
        <f>'RISK INPUT'!F39</f>
        <v>SWAP-USD-USLIBOR1M-50Y-</v>
      </c>
      <c r="C54" s="405">
        <f>'RISK INPUT'!G39</f>
        <v>1.9728555800000001</v>
      </c>
      <c r="D54" s="115" t="s">
        <v>225</v>
      </c>
      <c r="F54" s="42" t="str">
        <f ca="1">_xll.qlSwapRateHelper2(H54,I54,,J54,$J$5,$J$6,$J$7,$J$8,$J$9,$J$10,$J$11,$J$12,,,,$C$11)</f>
        <v>USD1mSwap50Y#0000</v>
      </c>
      <c r="G54" s="15" t="str">
        <f ca="1">_xll.ohRangeRetrieveError(F54)</f>
        <v/>
      </c>
      <c r="H54" s="16" t="str">
        <f>$C$7&amp;"Swap"&amp;J54</f>
        <v>USD1mSwap50Y</v>
      </c>
      <c r="I54" s="17">
        <f t="shared" si="1"/>
        <v>1.9728555800000002E-2</v>
      </c>
      <c r="J54" s="16" t="str">
        <f>D54</f>
        <v>50Y</v>
      </c>
      <c r="K54" s="90"/>
      <c r="M54" s="25" t="str">
        <f ca="1">F54</f>
        <v>USD1mSwap50Y#0000</v>
      </c>
      <c r="N54" s="26">
        <v>3</v>
      </c>
      <c r="O54" s="27" t="e">
        <f ca="1"/>
        <v>#N/A</v>
      </c>
      <c r="Q54" s="75" t="e">
        <f ca="1"/>
        <v>#N/A</v>
      </c>
      <c r="R54" s="74" t="e">
        <f ca="1"/>
        <v>#N/A</v>
      </c>
      <c r="S54" s="66" t="e">
        <f ca="1"/>
        <v>#N/A</v>
      </c>
      <c r="T54" s="63"/>
      <c r="U54" s="60"/>
      <c r="W54" s="115" t="s">
        <v>225</v>
      </c>
      <c r="X54" s="58">
        <f>_xll.qlCalendarAdvance($R$8,$C$3,W54,"following")</f>
        <v>61970</v>
      </c>
      <c r="Y54" s="154">
        <v>0.37952477951256181</v>
      </c>
    </row>
    <row r="55" spans="2:25">
      <c r="B55" s="158" t="e">
        <f>'RISK INPUT'!F40</f>
        <v>#N/A</v>
      </c>
      <c r="C55" s="159">
        <f>'RISK INPUT'!G40</f>
        <v>0</v>
      </c>
      <c r="F55" s="42"/>
      <c r="G55" s="15"/>
      <c r="H55" s="16"/>
      <c r="I55" s="17"/>
      <c r="J55" s="19"/>
      <c r="K55" s="90"/>
      <c r="M55" s="25">
        <f t="shared" si="0"/>
        <v>0</v>
      </c>
      <c r="N55" s="26">
        <v>3</v>
      </c>
      <c r="O55" s="27" t="e">
        <f ca="1"/>
        <v>#N/A</v>
      </c>
      <c r="Q55" s="75" t="e">
        <f ca="1"/>
        <v>#N/A</v>
      </c>
      <c r="R55" s="74" t="e">
        <f ca="1"/>
        <v>#N/A</v>
      </c>
      <c r="S55" s="66" t="e">
        <f ca="1"/>
        <v>#N/A</v>
      </c>
      <c r="T55" s="63"/>
      <c r="U55" s="90"/>
      <c r="X55" s="58"/>
      <c r="Y55" s="80">
        <v>0</v>
      </c>
    </row>
    <row r="56" spans="2:25">
      <c r="B56" s="158" t="e">
        <f>'RISK INPUT'!F41</f>
        <v>#N/A</v>
      </c>
      <c r="C56" s="159">
        <f>'RISK INPUT'!G41</f>
        <v>0.01</v>
      </c>
      <c r="F56" s="42"/>
      <c r="G56" s="15"/>
      <c r="H56" s="16"/>
      <c r="I56" s="17"/>
      <c r="J56" s="19"/>
      <c r="K56" s="90"/>
      <c r="M56" s="25">
        <f t="shared" si="0"/>
        <v>0</v>
      </c>
      <c r="N56" s="26">
        <v>3</v>
      </c>
      <c r="O56" s="27" t="e">
        <f ca="1"/>
        <v>#N/A</v>
      </c>
      <c r="Q56" s="84" t="e">
        <f ca="1"/>
        <v>#N/A</v>
      </c>
      <c r="R56" s="81" t="e">
        <f ca="1"/>
        <v>#N/A</v>
      </c>
      <c r="S56" s="86" t="e">
        <f ca="1"/>
        <v>#N/A</v>
      </c>
      <c r="T56" s="82"/>
      <c r="U56" s="50"/>
      <c r="X56" s="58"/>
      <c r="Y56" s="80">
        <v>0</v>
      </c>
    </row>
    <row r="57" spans="2:25">
      <c r="B57" s="158" t="e">
        <f>'RISK INPUT'!F42</f>
        <v>#N/A</v>
      </c>
      <c r="C57" s="159">
        <f>'RISK INPUT'!G42</f>
        <v>0.01</v>
      </c>
      <c r="F57" s="45"/>
      <c r="G57" s="46"/>
      <c r="H57" s="47"/>
      <c r="I57" s="48"/>
      <c r="J57" s="49"/>
      <c r="K57" s="50"/>
      <c r="M57" s="25">
        <f t="shared" si="0"/>
        <v>0</v>
      </c>
      <c r="N57" s="26">
        <v>3</v>
      </c>
      <c r="O57" s="27"/>
      <c r="Q57" s="58" t="e">
        <f ca="1"/>
        <v>#N/A</v>
      </c>
      <c r="R57" s="80" t="e">
        <f ca="1"/>
        <v>#N/A</v>
      </c>
      <c r="S57" s="91" t="e">
        <f ca="1"/>
        <v>#N/A</v>
      </c>
      <c r="T57" s="83"/>
      <c r="X57" s="58"/>
      <c r="Y57" s="80"/>
    </row>
    <row r="58" spans="2:25">
      <c r="B58" s="158" t="e">
        <f>'RISK INPUT'!F43</f>
        <v>#N/A</v>
      </c>
      <c r="C58" s="159">
        <f>'RISK INPUT'!G43</f>
        <v>0.01</v>
      </c>
      <c r="M58" s="25"/>
      <c r="N58" s="26"/>
      <c r="X58" s="58"/>
      <c r="Y58" s="80"/>
    </row>
    <row r="59" spans="2:25">
      <c r="B59" s="158" t="e">
        <f>'RISK INPUT'!F44</f>
        <v>#N/A</v>
      </c>
      <c r="C59" s="159">
        <f>'RISK INPUT'!G44</f>
        <v>0.01</v>
      </c>
      <c r="E59" s="115" t="str">
        <f ca="1">G53</f>
        <v/>
      </c>
      <c r="M59" s="25"/>
      <c r="N59" s="26"/>
    </row>
    <row r="60" spans="2:25">
      <c r="B60" s="158" t="e">
        <f>'RISK INPUT'!F45</f>
        <v>#N/A</v>
      </c>
      <c r="C60" s="159">
        <f>'RISK INPUT'!G45</f>
        <v>0.01</v>
      </c>
      <c r="M60" s="25"/>
      <c r="N60" s="26"/>
    </row>
    <row r="61" spans="2:25">
      <c r="B61" s="158" t="e">
        <f>'RISK INPUT'!F46</f>
        <v>#N/A</v>
      </c>
      <c r="C61" s="159">
        <f>'RISK INPUT'!G46</f>
        <v>0.01</v>
      </c>
      <c r="M61" s="25"/>
      <c r="N61" s="26"/>
    </row>
    <row r="62" spans="2:25">
      <c r="B62" s="158" t="e">
        <f>'RISK INPUT'!F47</f>
        <v>#N/A</v>
      </c>
      <c r="C62" s="159">
        <f>'RISK INPUT'!G47</f>
        <v>0</v>
      </c>
      <c r="M62" s="25"/>
      <c r="N62" s="26"/>
    </row>
    <row r="63" spans="2:25">
      <c r="B63" s="158" t="e">
        <f>'RISK INPUT'!F48</f>
        <v>#N/A</v>
      </c>
      <c r="C63" s="159">
        <f>'RISK INPUT'!G48</f>
        <v>0</v>
      </c>
      <c r="M63" s="25"/>
      <c r="N63" s="26"/>
    </row>
    <row r="64" spans="2:25">
      <c r="B64" s="158" t="e">
        <f>'RISK INPUT'!F49</f>
        <v>#N/A</v>
      </c>
      <c r="C64" s="159">
        <f>'RISK INPUT'!G49</f>
        <v>0</v>
      </c>
      <c r="M64" s="25"/>
      <c r="N64" s="26"/>
    </row>
    <row r="65" spans="2:22">
      <c r="B65" s="158" t="e">
        <f>'RISK INPUT'!F50</f>
        <v>#N/A</v>
      </c>
      <c r="C65" s="159">
        <f>'RISK INPUT'!G50</f>
        <v>0</v>
      </c>
    </row>
    <row r="66" spans="2:22">
      <c r="B66" s="158" t="e">
        <f>'RISK INPUT'!F51</f>
        <v>#N/A</v>
      </c>
      <c r="C66" s="159">
        <f>'RISK INPUT'!G51</f>
        <v>0</v>
      </c>
      <c r="S66" s="115">
        <f>0.0001%</f>
        <v>9.9999999999999995E-7</v>
      </c>
      <c r="U66" s="115">
        <v>1000000</v>
      </c>
    </row>
    <row r="67" spans="2:22">
      <c r="B67" s="158" t="e">
        <f>'RISK INPUT'!F52</f>
        <v>#N/A</v>
      </c>
      <c r="C67" s="159">
        <f>'RISK INPUT'!G52</f>
        <v>0</v>
      </c>
      <c r="S67" s="476">
        <v>2.020273556427532E-2</v>
      </c>
      <c r="T67" s="173">
        <f ca="1">(S53-S67)/S66</f>
        <v>35.5621671841444</v>
      </c>
      <c r="U67" s="115">
        <f ca="1">T67*0.01</f>
        <v>0.355621671841444</v>
      </c>
      <c r="V67" s="115">
        <f ca="1">U67*U66</f>
        <v>355621.67184144398</v>
      </c>
    </row>
    <row r="68" spans="2:22">
      <c r="B68" s="158" t="e">
        <f>'RISK INPUT'!F53</f>
        <v>#N/A</v>
      </c>
      <c r="C68" s="159">
        <f>'RISK INPUT'!G53</f>
        <v>0</v>
      </c>
    </row>
    <row r="69" spans="2:22">
      <c r="B69" s="158" t="e">
        <f>'RISK INPUT'!F54</f>
        <v>#N/A</v>
      </c>
      <c r="C69" s="159">
        <f>'RISK INPUT'!G54</f>
        <v>0</v>
      </c>
    </row>
    <row r="70" spans="2:22">
      <c r="B70" s="158" t="e">
        <f>'RISK INPUT'!F55</f>
        <v>#N/A</v>
      </c>
      <c r="C70" s="159">
        <f>'RISK INPUT'!G55</f>
        <v>0</v>
      </c>
    </row>
    <row r="71" spans="2:22">
      <c r="B71" s="158" t="e">
        <f>'RISK INPUT'!F56</f>
        <v>#N/A</v>
      </c>
      <c r="C71" s="159">
        <f>'RISK INPUT'!G56</f>
        <v>0</v>
      </c>
    </row>
    <row r="72" spans="2:22">
      <c r="B72" s="158" t="e">
        <f>'RISK INPUT'!F57</f>
        <v>#N/A</v>
      </c>
      <c r="C72" s="159">
        <f>'RISK INPUT'!G57</f>
        <v>0</v>
      </c>
    </row>
    <row r="73" spans="2:22">
      <c r="B73" s="158" t="e">
        <f>'RISK INPUT'!F58</f>
        <v>#N/A</v>
      </c>
      <c r="C73" s="159">
        <f>'RISK INPUT'!G58</f>
        <v>0</v>
      </c>
    </row>
    <row r="74" spans="2:22">
      <c r="B74" s="158" t="e">
        <f>'RISK INPUT'!F59</f>
        <v>#N/A</v>
      </c>
      <c r="C74" s="159">
        <f>'RISK INPUT'!G59</f>
        <v>0</v>
      </c>
    </row>
    <row r="75" spans="2:22">
      <c r="B75" s="158" t="e">
        <f>'RISK INPUT'!F60</f>
        <v>#N/A</v>
      </c>
      <c r="C75" s="159">
        <f>'RISK INPUT'!G60</f>
        <v>0</v>
      </c>
    </row>
    <row r="76" spans="2:22">
      <c r="B76" s="158" t="e">
        <f>'RISK INPUT'!F61</f>
        <v>#N/A</v>
      </c>
      <c r="C76" s="159">
        <f>'RISK INPUT'!G61</f>
        <v>0</v>
      </c>
    </row>
    <row r="77" spans="2:22">
      <c r="B77" s="158" t="e">
        <f>'RISK INPUT'!F62</f>
        <v>#N/A</v>
      </c>
      <c r="C77" s="159">
        <f>'RISK INPUT'!G62</f>
        <v>0</v>
      </c>
    </row>
    <row r="78" spans="2:22">
      <c r="B78" s="158" t="e">
        <f>'RISK INPUT'!F63</f>
        <v>#N/A</v>
      </c>
      <c r="C78" s="159">
        <f>'RISK INPUT'!G63</f>
        <v>0</v>
      </c>
    </row>
    <row r="79" spans="2:22">
      <c r="B79" s="158" t="e">
        <f>'RISK INPUT'!F64</f>
        <v>#N/A</v>
      </c>
      <c r="C79" s="159">
        <f>'RISK INPUT'!G64</f>
        <v>0</v>
      </c>
    </row>
    <row r="80" spans="2:22">
      <c r="B80" s="158" t="e">
        <f>'RISK INPUT'!F65</f>
        <v>#N/A</v>
      </c>
      <c r="C80" s="159">
        <f>'RISK INPUT'!G65</f>
        <v>0</v>
      </c>
    </row>
    <row r="81" spans="2:3">
      <c r="B81" s="158" t="e">
        <f>'RISK INPUT'!F66</f>
        <v>#N/A</v>
      </c>
      <c r="C81" s="159">
        <f>'RISK INPUT'!G66</f>
        <v>0</v>
      </c>
    </row>
    <row r="82" spans="2:3">
      <c r="B82" s="158" t="e">
        <f>'RISK INPUT'!F67</f>
        <v>#N/A</v>
      </c>
      <c r="C82" s="159">
        <f>'RISK INPUT'!G67</f>
        <v>0</v>
      </c>
    </row>
    <row r="83" spans="2:3">
      <c r="B83" s="158" t="e">
        <f>'RISK INPUT'!F68</f>
        <v>#N/A</v>
      </c>
      <c r="C83" s="159">
        <f>'RISK INPUT'!G68</f>
        <v>0</v>
      </c>
    </row>
    <row r="84" spans="2:3">
      <c r="B84" s="158" t="e">
        <f>'RISK INPUT'!F69</f>
        <v>#N/A</v>
      </c>
      <c r="C84" s="159">
        <f>'RISK INPUT'!G69</f>
        <v>0</v>
      </c>
    </row>
    <row r="85" spans="2:3">
      <c r="B85" s="158" t="e">
        <f>'RISK INPUT'!F70</f>
        <v>#N/A</v>
      </c>
      <c r="C85" s="159">
        <f>'RISK INPUT'!G70</f>
        <v>0</v>
      </c>
    </row>
    <row r="86" spans="2:3">
      <c r="B86" s="158" t="e">
        <f>'RISK INPUT'!F71</f>
        <v>#N/A</v>
      </c>
      <c r="C86" s="159">
        <f>'RISK INPUT'!G71</f>
        <v>0</v>
      </c>
    </row>
    <row r="87" spans="2:3">
      <c r="B87" s="158" t="e">
        <f>'RISK INPUT'!F72</f>
        <v>#N/A</v>
      </c>
      <c r="C87" s="159">
        <f>'RISK INPUT'!G72</f>
        <v>0</v>
      </c>
    </row>
    <row r="88" spans="2:3">
      <c r="B88" s="158" t="e">
        <f>'RISK INPUT'!F73</f>
        <v>#N/A</v>
      </c>
      <c r="C88" s="159">
        <f>'RISK INPUT'!G73</f>
        <v>0</v>
      </c>
    </row>
    <row r="89" spans="2:3">
      <c r="B89" s="158" t="e">
        <f>'RISK INPUT'!F74</f>
        <v>#N/A</v>
      </c>
      <c r="C89" s="159">
        <f>'RISK INPUT'!G74</f>
        <v>0</v>
      </c>
    </row>
    <row r="90" spans="2:3">
      <c r="B90" s="158" t="e">
        <f>'RISK INPUT'!F75</f>
        <v>#N/A</v>
      </c>
      <c r="C90" s="159">
        <f>'RISK INPUT'!G75</f>
        <v>0</v>
      </c>
    </row>
    <row r="91" spans="2:3">
      <c r="B91" s="158" t="e">
        <f>'RISK INPUT'!F76</f>
        <v>#N/A</v>
      </c>
      <c r="C91" s="159">
        <f>'RISK INPUT'!G76</f>
        <v>0</v>
      </c>
    </row>
  </sheetData>
  <dataValidations count="7">
    <dataValidation type="list" allowBlank="1" showInputMessage="1" showErrorMessage="1" sqref="J6">
      <formula1>"Annual,Semiannual,EveryFourthMonth,Quarterly,Bimonthly,Monthly,Biweekly,Weekly,Daily,Once,NoFrequency"</formula1>
    </dataValidation>
    <dataValidation type="list" allowBlank="1" showInputMessage="1" showErrorMessage="1" sqref="R9 G8 J8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R8 G5 J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J7 G6">
      <formula1>"Following,Modified Following,Preceding,Modified Preceding,Unadjusted"</formula1>
    </dataValidation>
    <dataValidation type="list" allowBlank="1" showInputMessage="1" showErrorMessage="1" sqref="N9">
      <formula1>"AllDepos,DeposBeforeFirstFuturesStartDate,DeposBeforeFirstFuturesStartDatePlusOne,DeposBeforeFirstFuturesExpiryDate"</formula1>
    </dataValidation>
    <dataValidation type="list" allowBlank="1" showInputMessage="1" showErrorMessage="1" sqref="T11">
      <formula1>"BackwardFlat,ForwardFlat,Linear,LogLinear,Cubic,LogCubic"</formula1>
    </dataValidation>
    <dataValidation type="list" allowBlank="1" showInputMessage="1" showErrorMessage="1" sqref="R10">
      <formula1>"Discount,ZeroYield,ForwardRate"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W344"/>
  <sheetViews>
    <sheetView zoomScale="85" zoomScaleNormal="85" workbookViewId="0">
      <selection activeCell="G50" sqref="G50"/>
    </sheetView>
  </sheetViews>
  <sheetFormatPr defaultRowHeight="15" outlineLevelCol="1"/>
  <cols>
    <col min="1" max="1" width="10.28515625" style="87" bestFit="1" customWidth="1"/>
    <col min="2" max="2" width="33.28515625" style="87" bestFit="1" customWidth="1"/>
    <col min="3" max="3" width="22.140625" style="87" bestFit="1" customWidth="1"/>
    <col min="4" max="4" width="15.42578125" style="87" bestFit="1" customWidth="1"/>
    <col min="5" max="5" width="15.42578125" style="115" customWidth="1"/>
    <col min="6" max="6" width="24.42578125" style="87" customWidth="1"/>
    <col min="7" max="7" width="24.5703125" style="87" bestFit="1" customWidth="1"/>
    <col min="8" max="8" width="9.28515625" style="115" customWidth="1"/>
    <col min="9" max="11" width="1.85546875" style="115" customWidth="1"/>
    <col min="12" max="12" width="23.7109375" hidden="1" customWidth="1" outlineLevel="1"/>
    <col min="13" max="13" width="19" hidden="1" customWidth="1" outlineLevel="1"/>
    <col min="14" max="14" width="23.85546875" hidden="1" customWidth="1" outlineLevel="1"/>
    <col min="15" max="15" width="13.7109375" hidden="1" customWidth="1" outlineLevel="1"/>
    <col min="16" max="16" width="34.85546875" style="87" customWidth="1" collapsed="1"/>
    <col min="17" max="17" width="9" style="87" bestFit="1" customWidth="1"/>
    <col min="18" max="18" width="7.28515625" style="87" customWidth="1"/>
    <col min="19" max="19" width="23.42578125" style="87" hidden="1" customWidth="1" outlineLevel="1"/>
    <col min="20" max="20" width="24.42578125" style="87" hidden="1" customWidth="1" outlineLevel="1"/>
    <col min="21" max="21" width="24.42578125" style="115" hidden="1" customWidth="1" outlineLevel="1"/>
    <col min="22" max="22" width="18.140625" style="87" hidden="1" customWidth="1" outlineLevel="1"/>
    <col min="23" max="23" width="16" style="87" hidden="1" customWidth="1" outlineLevel="1"/>
    <col min="24" max="24" width="22" style="87" customWidth="1" collapsed="1"/>
    <col min="25" max="25" width="13.42578125" style="87" hidden="1" customWidth="1" outlineLevel="1"/>
    <col min="26" max="26" width="18.28515625" style="87" hidden="1" customWidth="1" outlineLevel="1"/>
    <col min="27" max="27" width="18.28515625" style="115" hidden="1" customWidth="1" outlineLevel="1"/>
    <col min="28" max="28" width="13.42578125" style="87" hidden="1" customWidth="1" outlineLevel="1"/>
    <col min="29" max="29" width="22.42578125" style="87" hidden="1" customWidth="1" outlineLevel="1"/>
    <col min="30" max="30" width="15.28515625" style="87" bestFit="1" customWidth="1" collapsed="1"/>
    <col min="31" max="31" width="13.42578125" style="87" customWidth="1"/>
    <col min="32" max="32" width="16.140625" style="87" bestFit="1" customWidth="1"/>
    <col min="33" max="33" width="13.42578125" style="87" customWidth="1"/>
    <col min="34" max="34" width="24.28515625" style="87" bestFit="1" customWidth="1"/>
    <col min="35" max="35" width="9.140625" style="87"/>
    <col min="36" max="36" width="10.85546875" style="115" bestFit="1" customWidth="1"/>
    <col min="37" max="37" width="10.85546875" style="115" customWidth="1"/>
    <col min="38" max="38" width="9.140625" style="115" customWidth="1"/>
    <col min="39" max="39" width="8.85546875" style="115" customWidth="1"/>
    <col min="40" max="40" width="10.85546875" style="115" customWidth="1"/>
    <col min="41" max="41" width="9.140625" style="115" customWidth="1"/>
    <col min="42" max="42" width="9.140625" style="87"/>
    <col min="43" max="43" width="10.85546875" style="115" customWidth="1"/>
    <col min="44" max="44" width="9.140625" style="115" customWidth="1"/>
    <col min="45" max="45" width="9.140625" style="87"/>
    <col min="46" max="46" width="10.85546875" style="115" customWidth="1"/>
    <col min="47" max="47" width="9.140625" style="115" customWidth="1"/>
    <col min="48" max="48" width="9.140625" style="115"/>
    <col min="49" max="49" width="9.7109375" style="87" bestFit="1" customWidth="1"/>
    <col min="50" max="16384" width="9.140625" style="87"/>
  </cols>
  <sheetData>
    <row r="1" spans="2:47">
      <c r="D1" s="87" t="str">
        <f>_xll.ohRangeRetrieveError(C3)</f>
        <v/>
      </c>
      <c r="P1" s="488"/>
      <c r="AD1" s="87" t="str">
        <f ca="1">_xll.ohRangeRetrieveError(AD39)</f>
        <v/>
      </c>
    </row>
    <row r="2" spans="2:47" ht="15.75" thickBot="1">
      <c r="B2" s="116" t="s">
        <v>327</v>
      </c>
      <c r="C2" s="104">
        <f>_xll.qlSettingsEvaluationDate()</f>
        <v>43705</v>
      </c>
      <c r="M2" t="s">
        <v>354</v>
      </c>
      <c r="N2" t="str">
        <f>'CCS EUR_USD col USD'!S39</f>
        <v>obj_000a1#0000</v>
      </c>
      <c r="P2" s="488"/>
      <c r="S2" s="87" t="s">
        <v>298</v>
      </c>
      <c r="Y2" s="87" t="s">
        <v>333</v>
      </c>
    </row>
    <row r="3" spans="2:47" ht="15.75" thickBot="1">
      <c r="B3" s="116" t="s">
        <v>366</v>
      </c>
      <c r="C3" s="104">
        <f>_xll.qlCalendarAdvance($T$4,$C$2,$T$11,$T$6)</f>
        <v>43707</v>
      </c>
      <c r="M3" s="115"/>
      <c r="N3" s="115"/>
      <c r="O3" s="115"/>
      <c r="P3" s="488"/>
      <c r="S3" s="52" t="s">
        <v>284</v>
      </c>
      <c r="T3" s="87" t="s">
        <v>334</v>
      </c>
      <c r="V3" s="2" t="s">
        <v>242</v>
      </c>
      <c r="W3" s="3" t="str">
        <f ca="1">_xll.qlEuribor(W5,W6,W7,W8,W9)</f>
        <v>EURccs3m#0000</v>
      </c>
      <c r="Y3" s="52" t="s">
        <v>284</v>
      </c>
      <c r="AB3" s="2" t="s">
        <v>341</v>
      </c>
      <c r="AC3" s="3" t="str">
        <f ca="1">_xll.qlLibor(AC5,"USD",AC6,AC7,AC9)</f>
        <v>USDccs3m#0000</v>
      </c>
    </row>
    <row r="4" spans="2:47" ht="15.75" thickBot="1">
      <c r="B4" s="87" t="s">
        <v>360</v>
      </c>
      <c r="C4" s="87" t="s">
        <v>350</v>
      </c>
      <c r="L4" s="115"/>
      <c r="M4" s="115"/>
      <c r="N4" s="115"/>
      <c r="O4" s="115"/>
      <c r="P4" s="488"/>
      <c r="S4" s="53" t="s">
        <v>269</v>
      </c>
      <c r="T4" s="32" t="s">
        <v>255</v>
      </c>
      <c r="V4" s="4" t="s">
        <v>243</v>
      </c>
      <c r="W4" s="5" t="str">
        <f ca="1">_xll.ohRangeRetrieveError(W3)</f>
        <v/>
      </c>
      <c r="Y4" s="53" t="s">
        <v>269</v>
      </c>
      <c r="Z4" s="32" t="s">
        <v>331</v>
      </c>
      <c r="AB4" s="4" t="s">
        <v>243</v>
      </c>
      <c r="AC4" s="5" t="str">
        <f ca="1">_xll.ohRangeRetrieveError(AC3)</f>
        <v/>
      </c>
      <c r="AK4" s="115" t="s">
        <v>450</v>
      </c>
      <c r="AN4" s="115" t="s">
        <v>451</v>
      </c>
      <c r="AQ4" s="115" t="s">
        <v>454</v>
      </c>
      <c r="AT4" s="115" t="s">
        <v>455</v>
      </c>
    </row>
    <row r="5" spans="2:47">
      <c r="C5" s="87" t="s">
        <v>351</v>
      </c>
      <c r="H5" s="134"/>
      <c r="I5" s="134"/>
      <c r="J5" s="134"/>
      <c r="K5" s="134"/>
      <c r="L5" s="115"/>
      <c r="M5" s="115"/>
      <c r="N5" s="115"/>
      <c r="O5" s="115"/>
      <c r="P5" s="488"/>
      <c r="S5" s="54" t="s">
        <v>285</v>
      </c>
      <c r="T5" s="33" t="s">
        <v>210</v>
      </c>
      <c r="V5" s="2" t="s">
        <v>244</v>
      </c>
      <c r="W5" s="6" t="str">
        <f>"EURccs"&amp;W6</f>
        <v>EURccs3m</v>
      </c>
      <c r="Y5" s="54" t="s">
        <v>285</v>
      </c>
      <c r="Z5" s="33" t="s">
        <v>210</v>
      </c>
      <c r="AB5" s="2" t="s">
        <v>244</v>
      </c>
      <c r="AC5" s="6" t="str">
        <f>"USDccs"&amp;AC6</f>
        <v>USDccs3m</v>
      </c>
      <c r="AK5" s="118" t="s">
        <v>270</v>
      </c>
      <c r="AL5" s="119" t="s">
        <v>280</v>
      </c>
      <c r="AN5" s="118" t="s">
        <v>270</v>
      </c>
      <c r="AO5" s="119" t="s">
        <v>280</v>
      </c>
      <c r="AQ5" s="118" t="s">
        <v>270</v>
      </c>
      <c r="AR5" s="119" t="s">
        <v>280</v>
      </c>
      <c r="AT5" s="118" t="s">
        <v>270</v>
      </c>
      <c r="AU5" s="119" t="s">
        <v>280</v>
      </c>
    </row>
    <row r="6" spans="2:47">
      <c r="H6" s="134"/>
      <c r="I6" s="134"/>
      <c r="J6" s="134"/>
      <c r="K6" s="134"/>
      <c r="L6" s="115"/>
      <c r="M6" s="115"/>
      <c r="N6" s="115"/>
      <c r="O6" s="115"/>
      <c r="P6" s="488"/>
      <c r="S6" s="54" t="s">
        <v>286</v>
      </c>
      <c r="T6" s="33" t="s">
        <v>254</v>
      </c>
      <c r="V6" s="7" t="s">
        <v>245</v>
      </c>
      <c r="W6" s="8" t="s">
        <v>249</v>
      </c>
      <c r="Y6" s="54" t="s">
        <v>286</v>
      </c>
      <c r="Z6" s="33" t="s">
        <v>252</v>
      </c>
      <c r="AB6" s="7" t="s">
        <v>245</v>
      </c>
      <c r="AC6" s="8" t="s">
        <v>249</v>
      </c>
      <c r="AK6" s="120" t="s">
        <v>269</v>
      </c>
      <c r="AL6" s="121" t="s">
        <v>251</v>
      </c>
      <c r="AN6" s="120" t="s">
        <v>269</v>
      </c>
      <c r="AO6" s="121" t="s">
        <v>251</v>
      </c>
      <c r="AQ6" s="120" t="s">
        <v>269</v>
      </c>
      <c r="AR6" s="121" t="s">
        <v>251</v>
      </c>
      <c r="AT6" s="120" t="s">
        <v>269</v>
      </c>
      <c r="AU6" s="121" t="s">
        <v>251</v>
      </c>
    </row>
    <row r="7" spans="2:47">
      <c r="D7" s="126" t="s">
        <v>367</v>
      </c>
      <c r="E7" s="136"/>
      <c r="F7" s="118" t="s">
        <v>270</v>
      </c>
      <c r="G7" s="119" t="s">
        <v>280</v>
      </c>
      <c r="H7" s="134"/>
      <c r="I7" s="134"/>
      <c r="J7" s="134"/>
      <c r="K7" s="134"/>
      <c r="L7" s="115"/>
      <c r="M7" s="115"/>
      <c r="N7" s="115"/>
      <c r="O7" s="115"/>
      <c r="P7" s="488"/>
      <c r="S7" s="54" t="s">
        <v>287</v>
      </c>
      <c r="T7" s="18" t="s">
        <v>253</v>
      </c>
      <c r="V7" s="7" t="s">
        <v>246</v>
      </c>
      <c r="W7" s="8" t="str">
        <f ca="1">X7</f>
        <v>EUR_TRADER_3M_QL#0000</v>
      </c>
      <c r="X7" s="11" t="str">
        <f ca="1">'EUR 3m'!R4</f>
        <v>EUR_TRADER_3M_QL#0000</v>
      </c>
      <c r="Y7" s="54" t="s">
        <v>287</v>
      </c>
      <c r="Z7" s="18" t="s">
        <v>253</v>
      </c>
      <c r="AB7" s="7" t="s">
        <v>246</v>
      </c>
      <c r="AC7" s="8" t="str">
        <f ca="1">AD7</f>
        <v>USD_DEPOSWAP_3M_QL#0000</v>
      </c>
      <c r="AD7" s="11" t="str">
        <f ca="1">'USD 3m'!R4</f>
        <v>USD_DEPOSWAP_3M_QL#0000</v>
      </c>
      <c r="AK7" s="120" t="s">
        <v>271</v>
      </c>
      <c r="AL7" s="121" t="s">
        <v>272</v>
      </c>
      <c r="AN7" s="120" t="s">
        <v>271</v>
      </c>
      <c r="AO7" s="121" t="s">
        <v>272</v>
      </c>
      <c r="AQ7" s="120" t="s">
        <v>271</v>
      </c>
      <c r="AR7" s="121" t="s">
        <v>272</v>
      </c>
      <c r="AT7" s="120" t="s">
        <v>271</v>
      </c>
      <c r="AU7" s="121" t="s">
        <v>272</v>
      </c>
    </row>
    <row r="8" spans="2:47">
      <c r="B8" s="131" t="s">
        <v>345</v>
      </c>
      <c r="C8" s="132">
        <v>100000000</v>
      </c>
      <c r="D8" s="127" t="b">
        <v>0</v>
      </c>
      <c r="E8" s="136"/>
      <c r="F8" s="120" t="s">
        <v>269</v>
      </c>
      <c r="G8" s="121" t="s">
        <v>251</v>
      </c>
      <c r="H8" s="134"/>
      <c r="I8" s="134"/>
      <c r="J8" s="134"/>
      <c r="K8" s="134"/>
      <c r="L8" s="115"/>
      <c r="M8" s="115"/>
      <c r="N8" s="115"/>
      <c r="O8" s="115"/>
      <c r="P8" s="488"/>
      <c r="S8" s="54" t="s">
        <v>288</v>
      </c>
      <c r="T8" s="18" t="str">
        <f ca="1">$W$3</f>
        <v>EURccs3m#0000</v>
      </c>
      <c r="V8" s="7" t="s">
        <v>247</v>
      </c>
      <c r="W8" s="8"/>
      <c r="X8" s="11" t="str">
        <f>AR9</f>
        <v>EUR_DEPOSWAP_3M_mx#0000</v>
      </c>
      <c r="Y8" s="54" t="s">
        <v>288</v>
      </c>
      <c r="Z8" s="18" t="str">
        <f ca="1">$AC$3</f>
        <v>USDccs3m#0000</v>
      </c>
      <c r="AB8" s="7" t="s">
        <v>247</v>
      </c>
      <c r="AC8" s="8"/>
      <c r="AD8" s="11" t="str">
        <f>AU9</f>
        <v>USD_DEPOSWAP_3M_mx#0000</v>
      </c>
      <c r="AK8" s="122" t="s">
        <v>273</v>
      </c>
      <c r="AL8" s="123" t="s">
        <v>274</v>
      </c>
      <c r="AN8" s="122" t="s">
        <v>273</v>
      </c>
      <c r="AO8" s="123" t="s">
        <v>274</v>
      </c>
      <c r="AQ8" s="122" t="s">
        <v>273</v>
      </c>
      <c r="AR8" s="123" t="s">
        <v>274</v>
      </c>
      <c r="AT8" s="122" t="s">
        <v>273</v>
      </c>
      <c r="AU8" s="123" t="s">
        <v>274</v>
      </c>
    </row>
    <row r="9" spans="2:47" ht="15.75" thickBot="1">
      <c r="B9" s="107" t="s">
        <v>346</v>
      </c>
      <c r="C9" s="106">
        <f>C8*C12</f>
        <v>111820000.00000001</v>
      </c>
      <c r="D9" s="127" t="b">
        <v>1</v>
      </c>
      <c r="E9" s="136"/>
      <c r="F9" s="120" t="s">
        <v>271</v>
      </c>
      <c r="G9" s="121" t="s">
        <v>272</v>
      </c>
      <c r="H9" s="135"/>
      <c r="I9" s="135"/>
      <c r="J9" s="135"/>
      <c r="K9" s="135"/>
      <c r="L9" s="115"/>
      <c r="M9" s="115"/>
      <c r="N9" s="115"/>
      <c r="O9" s="115"/>
      <c r="P9" s="488"/>
      <c r="S9" s="54" t="s">
        <v>361</v>
      </c>
      <c r="T9" s="18" t="str">
        <f ca="1">$W$10</f>
        <v>EURccs2-3m#0000</v>
      </c>
      <c r="V9" s="4" t="s">
        <v>248</v>
      </c>
      <c r="W9" s="157">
        <f ca="1">'EUR 3m'!C11</f>
        <v>0.88304726766687058</v>
      </c>
      <c r="X9" s="11" t="e">
        <f ca="1">'MercuryChecks (2)'!N7</f>
        <v>#NUM!</v>
      </c>
      <c r="Y9" s="54" t="s">
        <v>361</v>
      </c>
      <c r="Z9" s="18" t="str">
        <f>AC10</f>
        <v>USDccs2-3m#0000</v>
      </c>
      <c r="AB9" s="4" t="s">
        <v>248</v>
      </c>
      <c r="AC9" s="9"/>
      <c r="AD9" s="11" t="e">
        <f ca="1">'MercuryChecks (2)'!W7</f>
        <v>#NUM!</v>
      </c>
      <c r="AK9" s="124" t="s">
        <v>328</v>
      </c>
      <c r="AL9" s="125" t="str">
        <f>_xll.qlInterpolatedYieldCurve(AL10,AK18:AK218,AL18:AL218,AL6,AL5,,,AL7,AL8)</f>
        <v>EURBASTRACOLUSD_mx#0000</v>
      </c>
      <c r="AN9" s="124" t="s">
        <v>328</v>
      </c>
      <c r="AO9" s="125" t="str">
        <f>_xll.qlInterpolatedYieldCurve(AO10,AN18:AN218,AO18:AO218,AO6,AO5,,,AO7,AO8)</f>
        <v>USD_OIS_COL_mx#0000</v>
      </c>
      <c r="AQ9" s="124" t="s">
        <v>328</v>
      </c>
      <c r="AR9" s="125" t="str">
        <f>_xll.qlInterpolatedYieldCurve(AR10,AQ18:AQ218,AR18:AR218,AR6,AR5,,,AR7,AR8)</f>
        <v>EUR_DEPOSWAP_3M_mx#0000</v>
      </c>
      <c r="AT9" s="124" t="s">
        <v>328</v>
      </c>
      <c r="AU9" s="125" t="str">
        <f>_xll.qlInterpolatedYieldCurve(AU10,AT18:AT218,AU18:AU218,AU6,AU5,,,AU7,AU8)</f>
        <v>USD_DEPOSWAP_3M_mx#0000</v>
      </c>
    </row>
    <row r="10" spans="2:47">
      <c r="F10" s="122" t="s">
        <v>273</v>
      </c>
      <c r="G10" s="123" t="s">
        <v>274</v>
      </c>
      <c r="H10" s="136"/>
      <c r="I10" s="173"/>
      <c r="K10" s="136"/>
      <c r="L10" s="115"/>
      <c r="M10" s="115"/>
      <c r="N10" s="115"/>
      <c r="O10" s="115"/>
      <c r="P10" s="488"/>
      <c r="S10" s="54" t="s">
        <v>289</v>
      </c>
      <c r="T10" s="34">
        <v>0</v>
      </c>
      <c r="V10" s="2" t="s">
        <v>242</v>
      </c>
      <c r="W10" s="3" t="str">
        <f ca="1">_xll.qlEuribor(W12,W13,W14,W15,W16)</f>
        <v>EURccs2-3m#0000</v>
      </c>
      <c r="Y10" s="54" t="s">
        <v>289</v>
      </c>
      <c r="Z10" s="34">
        <v>0</v>
      </c>
      <c r="AB10" s="2" t="s">
        <v>341</v>
      </c>
      <c r="AC10" s="3" t="str">
        <f>_xll.qlLibor(AC12,"USD",AC13,AC14,AC16)</f>
        <v>USDccs2-3m#0000</v>
      </c>
      <c r="AL10" s="126" t="s">
        <v>449</v>
      </c>
      <c r="AO10" s="126" t="s">
        <v>448</v>
      </c>
      <c r="AR10" s="126" t="s">
        <v>452</v>
      </c>
      <c r="AU10" s="126" t="s">
        <v>453</v>
      </c>
    </row>
    <row r="11" spans="2:47" ht="15.75" thickBot="1">
      <c r="B11" s="10"/>
      <c r="C11" s="11"/>
      <c r="F11" s="124" t="s">
        <v>328</v>
      </c>
      <c r="G11" s="125" t="str">
        <f>_xll.qlInterpolatedYieldCurve(G12,F19:F39,G19:G39,G8,G7,,,G9,G10)</f>
        <v>EURBASTRACOLUSD_QL#0000</v>
      </c>
      <c r="I11" s="172"/>
      <c r="L11" s="115"/>
      <c r="M11" s="115"/>
      <c r="N11" s="115"/>
      <c r="O11" s="115"/>
      <c r="P11" s="488"/>
      <c r="S11" s="54" t="s">
        <v>290</v>
      </c>
      <c r="T11" s="18" t="s">
        <v>365</v>
      </c>
      <c r="U11" s="11"/>
      <c r="V11" s="4" t="s">
        <v>243</v>
      </c>
      <c r="W11" s="5" t="str">
        <f ca="1">_xll.ohRangeRetrieveError(W10)</f>
        <v/>
      </c>
      <c r="Y11" s="54" t="s">
        <v>290</v>
      </c>
      <c r="Z11" s="18"/>
      <c r="AA11" s="11"/>
      <c r="AB11" s="4" t="s">
        <v>243</v>
      </c>
      <c r="AC11" s="5" t="str">
        <f>_xll.ohRangeRetrieveError(AC10)</f>
        <v/>
      </c>
      <c r="AR11" s="115" t="str">
        <f>_xll.ohRangeRetrieveError(AR9)</f>
        <v/>
      </c>
      <c r="AU11" s="115" t="str">
        <f>_xll.ohRangeRetrieveError(AU9)</f>
        <v/>
      </c>
    </row>
    <row r="12" spans="2:47" ht="15.75" thickBot="1">
      <c r="B12" s="1" t="s">
        <v>344</v>
      </c>
      <c r="C12" s="141">
        <f>D12</f>
        <v>1.1182000000000001</v>
      </c>
      <c r="D12" s="87">
        <f>'RISK INPUT'!BA7</f>
        <v>1.1182000000000001</v>
      </c>
      <c r="F12" s="115"/>
      <c r="G12" s="126" t="s">
        <v>729</v>
      </c>
      <c r="L12" s="115"/>
      <c r="M12" s="115"/>
      <c r="N12" s="115"/>
      <c r="O12" s="115"/>
      <c r="P12" s="488"/>
      <c r="S12" s="55" t="s">
        <v>295</v>
      </c>
      <c r="T12" s="35" t="str">
        <f>U12</f>
        <v>EURBASTRACOLUSD_QL#0000</v>
      </c>
      <c r="U12" s="11" t="str">
        <f>G11</f>
        <v>EURBASTRACOLUSD_QL#0000</v>
      </c>
      <c r="V12" s="2" t="s">
        <v>244</v>
      </c>
      <c r="W12" s="6" t="str">
        <f>"EURccs2-"&amp;W13</f>
        <v>EURccs2-3m</v>
      </c>
      <c r="Y12" s="55" t="s">
        <v>295</v>
      </c>
      <c r="Z12" s="35" t="str">
        <f>AA12</f>
        <v>USD_OIS_COL00_QL#0000</v>
      </c>
      <c r="AA12" s="11" t="str">
        <f>'USD OIS'!R4</f>
        <v>USD_OIS_COL00_QL#0000</v>
      </c>
      <c r="AB12" s="2" t="s">
        <v>244</v>
      </c>
      <c r="AC12" s="6" t="str">
        <f>"USDccs2-"&amp;AC13</f>
        <v>USDccs2-3m</v>
      </c>
    </row>
    <row r="13" spans="2:47" ht="15.75" thickBot="1">
      <c r="L13" s="115"/>
      <c r="M13" s="115"/>
      <c r="N13" s="115"/>
      <c r="O13" s="115"/>
      <c r="P13" s="488"/>
      <c r="S13" s="95" t="s">
        <v>342</v>
      </c>
      <c r="T13" s="94" t="str">
        <f>_xll.qlDiscountingSwapEngine("EUR_DISCOUNT",T12)</f>
        <v>EUR_DISCOUNT#0000</v>
      </c>
      <c r="U13" s="11" t="str">
        <f>+AL9</f>
        <v>EURBASTRACOLUSD_mx#0000</v>
      </c>
      <c r="V13" s="7" t="s">
        <v>245</v>
      </c>
      <c r="W13" s="8" t="s">
        <v>249</v>
      </c>
      <c r="Y13" s="95" t="s">
        <v>342</v>
      </c>
      <c r="Z13" s="94" t="str">
        <f>_xll.qlDiscountingSwapEngine("USD_DISCOUNT",Z12)</f>
        <v>USD_DISCOUNT#0000</v>
      </c>
      <c r="AA13" s="11" t="str">
        <f>AO9</f>
        <v>USD_OIS_COL_mx#0000</v>
      </c>
      <c r="AB13" s="7" t="s">
        <v>245</v>
      </c>
      <c r="AC13" s="8" t="s">
        <v>249</v>
      </c>
    </row>
    <row r="14" spans="2:47">
      <c r="L14" s="115"/>
      <c r="M14" s="115"/>
      <c r="N14" s="115"/>
      <c r="O14" s="115"/>
      <c r="P14" s="488"/>
      <c r="U14" s="11" t="e">
        <f ca="1">'MercuryChecks (2)'!T7</f>
        <v>#NUM!</v>
      </c>
      <c r="V14" s="7" t="s">
        <v>246</v>
      </c>
      <c r="W14" s="8" t="str">
        <f>+T12</f>
        <v>EURBASTRACOLUSD_QL#0000</v>
      </c>
      <c r="AA14" s="11" t="e">
        <f ca="1">'MercuryChecks (2)'!Q7</f>
        <v>#NUM!</v>
      </c>
      <c r="AB14" s="7" t="s">
        <v>246</v>
      </c>
      <c r="AC14" s="8" t="str">
        <f>Z12</f>
        <v>USD_OIS_COL00_QL#0000</v>
      </c>
    </row>
    <row r="15" spans="2:47">
      <c r="L15" s="115"/>
      <c r="M15" s="115"/>
      <c r="N15" s="115"/>
      <c r="O15" s="115"/>
      <c r="P15" s="488"/>
      <c r="U15" s="117"/>
      <c r="V15" s="7" t="s">
        <v>247</v>
      </c>
      <c r="W15" s="8"/>
      <c r="X15" s="87" t="str">
        <f ca="1">_xll.ohRangeRetrieveError(X25)</f>
        <v/>
      </c>
      <c r="AA15" s="117"/>
      <c r="AB15" s="7" t="s">
        <v>247</v>
      </c>
      <c r="AC15" s="8"/>
    </row>
    <row r="16" spans="2:47" ht="15.75" thickBot="1">
      <c r="E16" s="117"/>
      <c r="F16" s="128"/>
      <c r="P16" s="488" t="str">
        <f ca="1">_xll.ohRangeRetrieveError(T20)</f>
        <v/>
      </c>
      <c r="V16" s="4" t="s">
        <v>248</v>
      </c>
      <c r="W16" s="157">
        <f ca="1">'USD 3m'!C11</f>
        <v>0.69249309635155554</v>
      </c>
      <c r="AB16" s="4" t="s">
        <v>248</v>
      </c>
      <c r="AC16" s="9"/>
    </row>
    <row r="17" spans="2:49">
      <c r="B17" s="126" t="s">
        <v>310</v>
      </c>
      <c r="E17" s="117"/>
      <c r="H17" s="137"/>
      <c r="M17" s="115"/>
      <c r="N17" s="115"/>
      <c r="O17" s="115"/>
      <c r="P17" s="488"/>
      <c r="T17" s="151">
        <v>1</v>
      </c>
      <c r="U17" s="149">
        <v>1</v>
      </c>
      <c r="Z17" s="151">
        <v>1</v>
      </c>
      <c r="AA17" s="149">
        <v>1</v>
      </c>
      <c r="AI17" s="115"/>
      <c r="AW17" s="194"/>
    </row>
    <row r="18" spans="2:49">
      <c r="F18" s="112" t="s">
        <v>281</v>
      </c>
      <c r="G18" s="109" t="s">
        <v>349</v>
      </c>
      <c r="H18" s="137"/>
      <c r="K18" s="26"/>
      <c r="L18" s="115"/>
      <c r="M18" s="115"/>
      <c r="N18" s="115"/>
      <c r="O18" s="115"/>
      <c r="P18" s="488"/>
      <c r="T18" s="87" t="b">
        <v>1</v>
      </c>
      <c r="U18" s="115" t="b">
        <v>0</v>
      </c>
      <c r="W18" s="133">
        <f>+$C$8*(1-_xll.qlYieldTSDiscount($T$12,Q39))</f>
        <v>-3581128.1815395723</v>
      </c>
      <c r="X18" s="128">
        <f ca="1">_xll.qlInstrumentNPV(V20,W20)+$C$8*(1-_xll.qlYieldTSDiscount($T$12,Q20))</f>
        <v>-267327.24187572143</v>
      </c>
      <c r="Z18" s="87" t="b">
        <v>0</v>
      </c>
      <c r="AA18" s="115" t="b">
        <v>1</v>
      </c>
      <c r="AC18" s="133">
        <f>+$C$9*(1-_xll.qlYieldTSDiscount($Z$12,Q39))</f>
        <v>67380675.474070966</v>
      </c>
      <c r="AD18" s="128">
        <f ca="1">_xll.qlInstrumentNPV(AB20,AC20)+$C$8*(1-_xll.qlYieldTSDiscount($Z$12,Q20))</f>
        <v>187821.55593051447</v>
      </c>
      <c r="AG18" s="87">
        <f ca="1">SQRT(ABS(SUM(AG20:AG39)))</f>
        <v>243.70668484657733</v>
      </c>
      <c r="AI18" s="115"/>
      <c r="AK18" s="92">
        <v>42489</v>
      </c>
      <c r="AL18" s="115">
        <v>1</v>
      </c>
      <c r="AN18" s="92">
        <f>AK18</f>
        <v>42489</v>
      </c>
      <c r="AO18" s="115">
        <v>1</v>
      </c>
      <c r="AQ18" s="92">
        <f>AN18</f>
        <v>42489</v>
      </c>
      <c r="AR18" s="115">
        <v>1</v>
      </c>
      <c r="AS18" s="193"/>
      <c r="AT18" s="92">
        <f t="shared" ref="AT18:AT81" si="0">AQ18</f>
        <v>42489</v>
      </c>
      <c r="AU18" s="115">
        <v>1</v>
      </c>
      <c r="AV18" s="193"/>
      <c r="AW18" s="172"/>
    </row>
    <row r="19" spans="2:49">
      <c r="F19" s="114">
        <f>C2</f>
        <v>43705</v>
      </c>
      <c r="G19" s="111">
        <f t="shared" ref="G19" si="1">EXP(-5%*(F19-$F$19)/365)</f>
        <v>1</v>
      </c>
      <c r="H19" s="137"/>
      <c r="K19" s="26"/>
      <c r="L19" s="115"/>
      <c r="M19" s="115"/>
      <c r="N19" s="115"/>
      <c r="O19" s="115"/>
      <c r="P19" s="488"/>
      <c r="Q19" s="88"/>
      <c r="R19" s="38" t="s">
        <v>243</v>
      </c>
      <c r="S19" s="38" t="s">
        <v>336</v>
      </c>
      <c r="T19" s="38" t="s">
        <v>357</v>
      </c>
      <c r="U19" s="38" t="s">
        <v>358</v>
      </c>
      <c r="V19" s="38" t="s">
        <v>338</v>
      </c>
      <c r="W19" s="38"/>
      <c r="X19" s="38" t="s">
        <v>340</v>
      </c>
      <c r="Y19" s="38" t="s">
        <v>335</v>
      </c>
      <c r="Z19" s="38" t="s">
        <v>337</v>
      </c>
      <c r="AA19" s="38" t="s">
        <v>359</v>
      </c>
      <c r="AB19" s="38" t="s">
        <v>339</v>
      </c>
      <c r="AC19" s="38"/>
      <c r="AD19" s="38" t="s">
        <v>343</v>
      </c>
      <c r="AE19" s="38"/>
      <c r="AF19" s="38" t="s">
        <v>347</v>
      </c>
      <c r="AG19" s="38" t="s">
        <v>348</v>
      </c>
      <c r="AH19" s="100" t="s">
        <v>250</v>
      </c>
      <c r="AI19" s="115"/>
      <c r="AK19" s="92">
        <v>42580</v>
      </c>
      <c r="AL19" s="115">
        <v>1.0018719221844199</v>
      </c>
      <c r="AN19" s="92">
        <f t="shared" ref="AN19:AN82" si="2">AK19</f>
        <v>42580</v>
      </c>
      <c r="AO19" s="115">
        <v>0.99901508888681101</v>
      </c>
      <c r="AQ19" s="92">
        <f t="shared" ref="AQ19:AQ82" si="3">AN19</f>
        <v>42580</v>
      </c>
      <c r="AR19" s="115">
        <v>1.00063740602764</v>
      </c>
      <c r="AS19" s="193"/>
      <c r="AT19" s="92">
        <f t="shared" si="0"/>
        <v>42580</v>
      </c>
      <c r="AU19" s="115">
        <v>0.998394913776952</v>
      </c>
      <c r="AV19" s="193"/>
      <c r="AW19" s="172"/>
    </row>
    <row r="20" spans="2:49">
      <c r="B20" s="156" t="str">
        <f t="array" ref="B20:C90">'RISK INPUT'!AA6:AB76</f>
        <v>GEN-EUR-USD-CCS-RESET-3M</v>
      </c>
      <c r="C20" s="190">
        <v>-0.3075</v>
      </c>
      <c r="D20" s="87" t="s">
        <v>210</v>
      </c>
      <c r="F20" s="114">
        <f t="shared" ref="F20:F38" si="4">Q20</f>
        <v>43801</v>
      </c>
      <c r="G20" s="175">
        <v>1.0020997674066818</v>
      </c>
      <c r="H20" s="137"/>
      <c r="K20" s="137"/>
      <c r="L20" s="115"/>
      <c r="M20" s="115"/>
      <c r="N20" s="115"/>
      <c r="O20" s="115"/>
      <c r="P20" s="488"/>
      <c r="Q20" s="79">
        <f>_xll.qlCalendarAdvance($T$4,$C$3,D20,"following")</f>
        <v>43801</v>
      </c>
      <c r="R20" s="12" t="str">
        <f ca="1">_xll.ohRangeRetrieveError(AD20)</f>
        <v/>
      </c>
      <c r="S20" s="13" t="str">
        <f>_xll.qlSchedule(,$C$3,Q20,$T$5,$T$4,$T$6)</f>
        <v>obj_00096#0000</v>
      </c>
      <c r="T20" s="13" t="str">
        <f ca="1">_xll.qlIborLeg(,$T$6,$C$8,S20,,,$T$7,,$T$17,$T$8,AH20*$T$17)</f>
        <v>obj_001d4#0000</v>
      </c>
      <c r="U20" s="13" t="str">
        <f ca="1">_xll.qlIborLeg(,$T$6,$C$8,S20,,,$T$7,,$U$17,$T$9)</f>
        <v>obj_00146#0000</v>
      </c>
      <c r="V20" s="13" t="str">
        <f ca="1">_xll.qlSwap(,T20:U20,$T$18:$U$18)</f>
        <v>obj_0023f#0000</v>
      </c>
      <c r="W20" s="13" t="b">
        <f ca="1">_xll.qlInstrumentSetPricingEngine(V20,$T$13)</f>
        <v>1</v>
      </c>
      <c r="X20" s="96">
        <f ca="1">_xll.qlInstrumentNPV(V20,W20)</f>
        <v>-57350.501207538473</v>
      </c>
      <c r="Y20" s="13" t="str">
        <f>_xll.qlSchedule(,$C$3,Q20,$Z$5,$Z$4,$Z$6)</f>
        <v>obj_0008c#0000</v>
      </c>
      <c r="Z20" s="13" t="str">
        <f ca="1">_xll.qlIborLeg(,$Z$6,Nominals,Y20,,,$Z$7,,$Z$17,$Z$8)</f>
        <v>obj_0024f#0000</v>
      </c>
      <c r="AA20" s="13" t="str">
        <f ca="1">_xll.qlIborLeg(,$Z$6,Nominals,Y20,,,$Z$7,,$AA$17,$Z$9)</f>
        <v>obj_00258#0000</v>
      </c>
      <c r="AB20" s="13" t="str">
        <f ca="1">_xll.qlSwap(,Z20:AA20,$Z$18:$AA$18)</f>
        <v>obj_0027b#0000</v>
      </c>
      <c r="AC20" s="13" t="b">
        <f ca="1">_xll.qlInstrumentSetPricingEngine(AB20,$Z$13)</f>
        <v>1</v>
      </c>
      <c r="AD20" s="97">
        <f ca="1">_xll.qlInstrumentNPV(AB20,AC20)</f>
        <v>65472.35188656667</v>
      </c>
      <c r="AE20" s="13"/>
      <c r="AF20" s="188">
        <f t="shared" ref="AF20:AF38" ca="1" si="5">AD20+X20*C$12</f>
        <v>1343.0214362971456</v>
      </c>
      <c r="AG20" s="261">
        <f ca="1">AF20</f>
        <v>1343.0214362971456</v>
      </c>
      <c r="AH20" s="101">
        <f t="shared" ref="AH20:AI39" si="6">$C20/100</f>
        <v>-3.075E-3</v>
      </c>
      <c r="AI20" s="101">
        <f t="shared" si="6"/>
        <v>-3.075E-3</v>
      </c>
      <c r="AK20" s="92">
        <v>42674</v>
      </c>
      <c r="AL20" s="115">
        <v>1.0040297373017799</v>
      </c>
      <c r="AN20" s="92">
        <f t="shared" si="2"/>
        <v>42674</v>
      </c>
      <c r="AO20" s="115">
        <v>0.99774385543458</v>
      </c>
      <c r="AQ20" s="92">
        <f t="shared" si="3"/>
        <v>42674</v>
      </c>
      <c r="AR20" s="115">
        <v>1.00131362309181</v>
      </c>
      <c r="AS20" s="193"/>
      <c r="AT20" s="92">
        <f t="shared" si="0"/>
        <v>42674</v>
      </c>
      <c r="AU20" s="115">
        <v>0.99642950037132505</v>
      </c>
      <c r="AV20" s="193"/>
      <c r="AW20" s="172"/>
    </row>
    <row r="21" spans="2:49">
      <c r="B21" s="156" t="str">
        <v>GEN-EUR-USD-CCS-RESET-6M</v>
      </c>
      <c r="C21" s="152">
        <v>-0.30498327868000003</v>
      </c>
      <c r="D21" s="87" t="s">
        <v>228</v>
      </c>
      <c r="F21" s="114">
        <f t="shared" si="4"/>
        <v>43892</v>
      </c>
      <c r="G21" s="175">
        <v>1.0042150009208033</v>
      </c>
      <c r="H21" s="137"/>
      <c r="K21" s="137"/>
      <c r="L21" s="129" t="s">
        <v>281</v>
      </c>
      <c r="M21" s="129" t="s">
        <v>355</v>
      </c>
      <c r="N21" s="129" t="s">
        <v>356</v>
      </c>
      <c r="O21" s="129" t="s">
        <v>364</v>
      </c>
      <c r="P21" s="488"/>
      <c r="Q21" s="85">
        <f>_xll.qlCalendarAdvance($T$4,$C$3,D21,"following")</f>
        <v>43892</v>
      </c>
      <c r="R21" s="15" t="str">
        <f ca="1">_xll.ohRangeRetrieveError(X21)</f>
        <v/>
      </c>
      <c r="S21" s="16" t="str">
        <f>_xll.qlSchedule(,$C$3,Q21,$T$5,$T$4,$T$6)</f>
        <v>obj_00091#0000</v>
      </c>
      <c r="T21" s="16" t="str">
        <f ca="1">_xll.qlIborLeg(,$T$6,$C$8,S21,,,$T$7,,$T$17,$T$8,AH21*$T$17)</f>
        <v>obj_001e7#0000</v>
      </c>
      <c r="U21" s="16" t="str">
        <f ca="1">_xll.qlIborLeg(,$T$6,$C$8,S21,,,$T$7,,$U$17,$T$9)</f>
        <v>obj_00139#0000</v>
      </c>
      <c r="V21" s="16" t="str">
        <f ca="1">_xll.qlSwap(,T21:U21,$T$18:$U$18)</f>
        <v>obj_0024a#0000</v>
      </c>
      <c r="W21" s="16" t="b">
        <f ca="1">_xll.qlInstrumentSetPricingEngine(V21,$T$13)</f>
        <v>1</v>
      </c>
      <c r="X21" s="98">
        <f ca="1">_xll.qlInstrumentNPV(V21,W21)</f>
        <v>-122927.73928491847</v>
      </c>
      <c r="Y21" s="16" t="str">
        <f>_xll.qlSchedule(,$C$3,Q21,$Z$5,$Z$4,$Z$6)</f>
        <v>obj_0008b#0000</v>
      </c>
      <c r="Z21" s="16" t="str">
        <f ca="1">_xll.qlIborLeg(,$Z$6,Nominals,Y21,,,$Z$7,,$Z$17,$Z$8)</f>
        <v>obj_0026c#0000</v>
      </c>
      <c r="AA21" s="16" t="str">
        <f ca="1">_xll.qlIborLeg(,$Z$6,Nominals,Y21,,,$Z$7,,$AA$17,$Z$9)</f>
        <v>obj_0026e#0000</v>
      </c>
      <c r="AB21" s="16" t="str">
        <f ca="1">_xll.qlSwap(,Z21:AA21,$Z$18:$AA$18)</f>
        <v>obj_0027c#0000</v>
      </c>
      <c r="AC21" s="16" t="b">
        <f ca="1">_xll.qlInstrumentSetPricingEngine(AB21,$Z$13)</f>
        <v>1</v>
      </c>
      <c r="AD21" s="99">
        <f ca="1">_xll.qlInstrumentNPV(AB21,AC21)</f>
        <v>139102.80476789939</v>
      </c>
      <c r="AE21" s="16"/>
      <c r="AF21" s="187">
        <f t="shared" ca="1" si="5"/>
        <v>1645.006699503545</v>
      </c>
      <c r="AG21" s="261">
        <f t="shared" ref="AG21:AG39" ca="1" si="7">AF21</f>
        <v>1645.006699503545</v>
      </c>
      <c r="AH21" s="102">
        <f t="shared" si="6"/>
        <v>-3.0498327868000003E-3</v>
      </c>
      <c r="AI21" s="102">
        <f t="shared" si="6"/>
        <v>-3.0498327868000003E-3</v>
      </c>
      <c r="AK21" s="92">
        <v>42765</v>
      </c>
      <c r="AL21" s="115">
        <v>1.0064352030149</v>
      </c>
      <c r="AN21" s="92">
        <f t="shared" si="2"/>
        <v>42765</v>
      </c>
      <c r="AO21" s="115">
        <v>0.99626487390501095</v>
      </c>
      <c r="AQ21" s="92">
        <f t="shared" si="3"/>
        <v>42765</v>
      </c>
      <c r="AR21" s="115">
        <v>1.0020258340396699</v>
      </c>
      <c r="AS21" s="193"/>
      <c r="AT21" s="92">
        <f t="shared" si="0"/>
        <v>42765</v>
      </c>
      <c r="AU21" s="115">
        <v>0.99425389049466895</v>
      </c>
      <c r="AV21" s="193"/>
      <c r="AW21" s="172"/>
    </row>
    <row r="22" spans="2:49">
      <c r="B22" s="156" t="str">
        <v>GEN-EUR-USD-CCS-RESET-9M</v>
      </c>
      <c r="C22" s="152">
        <v>-0.32744320076</v>
      </c>
      <c r="D22" s="87" t="s">
        <v>231</v>
      </c>
      <c r="F22" s="114">
        <f t="shared" si="4"/>
        <v>43983</v>
      </c>
      <c r="G22" s="175">
        <v>1.0064927014617606</v>
      </c>
      <c r="H22" s="137"/>
      <c r="K22" s="137"/>
      <c r="L22" s="58">
        <f t="array" ref="L22:L344">_xll.qlScheduleDates(N2)</f>
        <v>43707</v>
      </c>
      <c r="M22" s="138">
        <f t="array" ref="M22:M344">_xll.qlYieldTSDiscount(T12,_xll.ohPack(L22:L344))</f>
        <v>1.0000437002459992</v>
      </c>
      <c r="N22" s="138">
        <f t="array" ref="N22:N344">_xll.qlYieldTSDiscount(Z12,_xll.ohPack(L22:L344))</f>
        <v>0.99997805615726687</v>
      </c>
      <c r="O22">
        <f t="shared" ref="O22:O85" si="8">IF($D$9,M22/N22*$C$9,$C$9)</f>
        <v>111827340.48308048</v>
      </c>
      <c r="P22" s="488"/>
      <c r="Q22" s="85">
        <f>_xll.qlCalendarAdvance($T$4,$C$3,D22,"following")</f>
        <v>43983</v>
      </c>
      <c r="R22" s="15" t="str">
        <f ca="1">_xll.ohRangeRetrieveError(X22)</f>
        <v/>
      </c>
      <c r="S22" s="16" t="str">
        <f>_xll.qlSchedule(,$C$3,Q22,$T$5,$T$4,$T$6)</f>
        <v>obj_00094#0000</v>
      </c>
      <c r="T22" s="16" t="str">
        <f ca="1">_xll.qlIborLeg(,$T$6,$C$8,S22,,,$T$7,,$T$17,$T$8,AH22*$T$17)</f>
        <v>obj_001e2#0000</v>
      </c>
      <c r="U22" s="16" t="str">
        <f ca="1">_xll.qlIborLeg(,$T$6,$C$8,S22,,,$T$7,,$U$17,$T$9)</f>
        <v>obj_00142#0000</v>
      </c>
      <c r="V22" s="16" t="str">
        <f ca="1">_xll.qlSwap(,T22:U22,$T$18:$U$18)</f>
        <v>obj_00247#0000</v>
      </c>
      <c r="W22" s="16" t="b">
        <f ca="1">_xll.qlInstrumentSetPricingEngine(V22,$T$13)</f>
        <v>1</v>
      </c>
      <c r="X22" s="98">
        <f ca="1">_xll.qlInstrumentNPV(V22,W22)</f>
        <v>-183184.52877921192</v>
      </c>
      <c r="Y22" s="16" t="str">
        <f>_xll.qlSchedule(,$C$3,Q22,$Z$5,$Z$4,$Z$6)</f>
        <v>obj_000d8#0000</v>
      </c>
      <c r="Z22" s="16" t="str">
        <f ca="1">_xll.qlIborLeg(,$Z$6,Nominals,Y22,,,$Z$7,,$Z$17,$Z$8)</f>
        <v>obj_00269#0000</v>
      </c>
      <c r="AA22" s="16" t="str">
        <f ca="1">_xll.qlIborLeg(,$Z$6,Nominals,Y22,,,$Z$7,,$AA$17,$Z$9)</f>
        <v>obj_0026d#0000</v>
      </c>
      <c r="AB22" s="16" t="str">
        <f ca="1">_xll.qlSwap(,Z22:AA22,$Z$18:$AA$18)</f>
        <v>obj_00279#0000</v>
      </c>
      <c r="AC22" s="16" t="b">
        <f ca="1">_xll.qlInstrumentSetPricingEngine(AB22,$Z$13)</f>
        <v>1</v>
      </c>
      <c r="AD22" s="99">
        <f ca="1">_xll.qlInstrumentNPV(AB22,AC22)</f>
        <v>214491.60913282866</v>
      </c>
      <c r="AE22" s="16"/>
      <c r="AF22" s="187">
        <f t="shared" ca="1" si="5"/>
        <v>9654.6690519138647</v>
      </c>
      <c r="AG22" s="261">
        <f t="shared" ca="1" si="7"/>
        <v>9654.6690519138647</v>
      </c>
      <c r="AH22" s="102">
        <f t="shared" si="6"/>
        <v>-3.2744320075999999E-3</v>
      </c>
      <c r="AI22" s="102">
        <f t="shared" si="6"/>
        <v>-3.2744320075999999E-3</v>
      </c>
      <c r="AK22" s="92">
        <v>42853</v>
      </c>
      <c r="AL22" s="115">
        <v>1.0087732835498999</v>
      </c>
      <c r="AN22" s="92">
        <f t="shared" si="2"/>
        <v>42853</v>
      </c>
      <c r="AO22" s="115">
        <v>0.99469192443118704</v>
      </c>
      <c r="AQ22" s="92">
        <f t="shared" si="3"/>
        <v>42853</v>
      </c>
      <c r="AR22" s="115">
        <v>1.00275268980044</v>
      </c>
      <c r="AS22" s="193"/>
      <c r="AT22" s="92">
        <f t="shared" si="0"/>
        <v>42853</v>
      </c>
      <c r="AU22" s="115">
        <v>0.99196962005692002</v>
      </c>
      <c r="AV22" s="193"/>
      <c r="AW22" s="172"/>
    </row>
    <row r="23" spans="2:49">
      <c r="B23" s="156" t="str">
        <v>GEN-EUR-USD-CCS-RESET-1Y</v>
      </c>
      <c r="C23" s="152">
        <v>-0.33618703153000001</v>
      </c>
      <c r="D23" s="87" t="s">
        <v>332</v>
      </c>
      <c r="F23" s="114">
        <f t="shared" si="4"/>
        <v>44074</v>
      </c>
      <c r="G23" s="175">
        <v>1.0089668481603236</v>
      </c>
      <c r="H23" s="137"/>
      <c r="K23" s="137"/>
      <c r="L23" s="58">
        <v>43798</v>
      </c>
      <c r="M23" s="130">
        <v>1.0020340829851995</v>
      </c>
      <c r="N23" s="130">
        <v>0.99882080880014457</v>
      </c>
      <c r="O23" s="115">
        <f t="shared" si="8"/>
        <v>112179732.51278624</v>
      </c>
      <c r="P23" s="488"/>
      <c r="Q23" s="85">
        <f>_xll.qlCalendarAdvance($T$4,$C$3,D23,"following")</f>
        <v>44074</v>
      </c>
      <c r="R23" s="15" t="str">
        <f ca="1">_xll.ohRangeRetrieveError(X23)</f>
        <v/>
      </c>
      <c r="S23" s="16" t="str">
        <f>_xll.qlSchedule(,$C$3,Q23,$T$5,$T$4,$T$6)</f>
        <v>obj_0009d#0000</v>
      </c>
      <c r="T23" s="16" t="str">
        <f ca="1">_xll.qlIborLeg(,$T$6,$C$8,S23,,,$T$7,,$T$17,$T$8,AH23*$T$17)</f>
        <v>obj_001e6#0000</v>
      </c>
      <c r="U23" s="16" t="str">
        <f ca="1">_xll.qlIborLeg(,$T$6,$C$8,S23,,,$T$7,,$U$17,$T$9)</f>
        <v>obj_00147#0000</v>
      </c>
      <c r="V23" s="16" t="str">
        <f ca="1">_xll.qlSwap(,T23:U23,$T$18:$U$18)</f>
        <v>obj_00244#0000</v>
      </c>
      <c r="W23" s="16" t="b">
        <f ca="1">_xll.qlInstrumentSetPricingEngine(V23,$T$13)</f>
        <v>1</v>
      </c>
      <c r="X23" s="98">
        <f ca="1">_xll.qlInstrumentNPV(V23,W23)</f>
        <v>-261373.31757292117</v>
      </c>
      <c r="Y23" s="16" t="str">
        <f>_xll.qlSchedule(,$C$3,Q23,$Z$5,$Z$4,$Z$6)</f>
        <v>obj_000ca#0000</v>
      </c>
      <c r="Z23" s="16" t="str">
        <f ca="1">_xll.qlIborLeg(,$Z$6,Nominals,Y23,,,$Z$7,,$Z$17,$Z$8)</f>
        <v>obj_0024d#0000</v>
      </c>
      <c r="AA23" s="16" t="str">
        <f ca="1">_xll.qlIborLeg(,$Z$6,Nominals,Y23,,,$Z$7,,$AA$17,$Z$9)</f>
        <v>obj_0025b#0000</v>
      </c>
      <c r="AB23" s="16" t="str">
        <f ca="1">_xll.qlSwap(,Z23:AA23,$Z$18:$AA$18)</f>
        <v>obj_00268#0000</v>
      </c>
      <c r="AC23" s="16" t="b">
        <f ca="1">_xll.qlInstrumentSetPricingEngine(AB23,$Z$13)</f>
        <v>1</v>
      </c>
      <c r="AD23" s="99">
        <f ca="1">_xll.qlInstrumentNPV(AB23,AC23)</f>
        <v>295336.92324123089</v>
      </c>
      <c r="AE23" s="16"/>
      <c r="AF23" s="187">
        <f t="shared" ca="1" si="5"/>
        <v>3069.2795311904047</v>
      </c>
      <c r="AG23" s="261">
        <f t="shared" ca="1" si="7"/>
        <v>3069.2795311904047</v>
      </c>
      <c r="AH23" s="102">
        <f t="shared" si="6"/>
        <v>-3.3618703153E-3</v>
      </c>
      <c r="AI23" s="102">
        <f t="shared" si="6"/>
        <v>-3.3618703153E-3</v>
      </c>
      <c r="AK23" s="92">
        <v>42947</v>
      </c>
      <c r="AL23" s="115">
        <v>1.0113447640520199</v>
      </c>
      <c r="AN23" s="92">
        <f t="shared" si="2"/>
        <v>42947</v>
      </c>
      <c r="AO23" s="115">
        <v>0.99284137550160101</v>
      </c>
      <c r="AQ23" s="92">
        <f t="shared" si="3"/>
        <v>42947</v>
      </c>
      <c r="AR23" s="115">
        <v>1.0035258938304501</v>
      </c>
      <c r="AS23" s="193"/>
      <c r="AT23" s="92">
        <f t="shared" si="0"/>
        <v>42947</v>
      </c>
      <c r="AU23" s="115">
        <v>0.98933320124041002</v>
      </c>
      <c r="AV23" s="193"/>
      <c r="AW23" s="172"/>
    </row>
    <row r="24" spans="2:49">
      <c r="B24" s="156" t="str">
        <v>GEN-EUR-USD-CCS-RESET-2Y</v>
      </c>
      <c r="C24" s="152">
        <v>-0.35860182295999998</v>
      </c>
      <c r="D24" s="87" t="s">
        <v>240</v>
      </c>
      <c r="F24" s="114">
        <f t="shared" si="4"/>
        <v>44438</v>
      </c>
      <c r="G24" s="175">
        <v>1.0189847540068748</v>
      </c>
      <c r="H24" s="137"/>
      <c r="K24" s="137"/>
      <c r="L24" s="58">
        <v>43889</v>
      </c>
      <c r="M24" s="130">
        <v>1.0041451968295043</v>
      </c>
      <c r="N24" s="130">
        <v>0.99739502583585615</v>
      </c>
      <c r="O24" s="115">
        <f t="shared" si="8"/>
        <v>112576775.50113828</v>
      </c>
      <c r="P24" s="488"/>
      <c r="Q24" s="85">
        <f>_xll.qlCalendarAdvance($T$4,$C$3,D24,"following")</f>
        <v>44438</v>
      </c>
      <c r="R24" s="15" t="str">
        <f ca="1">_xll.ohRangeRetrieveError(X24)</f>
        <v/>
      </c>
      <c r="S24" s="16" t="str">
        <f>_xll.qlSchedule(,$C$3,Q24,$T$5,$T$4,$T$6)</f>
        <v>obj_0008e#0000</v>
      </c>
      <c r="T24" s="16" t="str">
        <f ca="1">_xll.qlIborLeg(,$T$6,$C$8,S24,,,$T$7,,$T$17,$T$8,AH24*$T$17)</f>
        <v>obj_001dc#0000</v>
      </c>
      <c r="U24" s="16" t="str">
        <f ca="1">_xll.qlIborLeg(,$T$6,$C$8,S24,,,$T$7,,$U$17,$T$9)</f>
        <v>obj_0014a#0000</v>
      </c>
      <c r="V24" s="16" t="str">
        <f ca="1">_xll.qlSwap(,T24:U24,$T$18:$U$18)</f>
        <v>obj_0023b#0000</v>
      </c>
      <c r="W24" s="16" t="b">
        <f ca="1">_xll.qlInstrumentSetPricingEngine(V24,$T$13)</f>
        <v>1</v>
      </c>
      <c r="X24" s="98">
        <f ca="1">_xll.qlInstrumentNPV(V24,W24)</f>
        <v>-561973.38526580855</v>
      </c>
      <c r="Y24" s="16" t="str">
        <f>_xll.qlSchedule(,$C$3,Q24,$Z$5,$Z$4,$Z$6)</f>
        <v>obj_0008f#0000</v>
      </c>
      <c r="Z24" s="16" t="str">
        <f ca="1">_xll.qlIborLeg(,$Z$6,Nominals,Y24,,,$Z$7,,$Z$17,$Z$8)</f>
        <v>obj_00264#0000</v>
      </c>
      <c r="AA24" s="16" t="str">
        <f ca="1">_xll.qlIborLeg(,$Z$6,Nominals,Y24,,,$Z$7,,$AA$17,$Z$9)</f>
        <v>obj_00267#0000</v>
      </c>
      <c r="AB24" s="16" t="str">
        <f ca="1">_xll.qlSwap(,Z24:AA24,$Z$18:$AA$18)</f>
        <v>obj_00287#0000</v>
      </c>
      <c r="AC24" s="16" t="b">
        <f ca="1">_xll.qlInstrumentSetPricingEngine(AB24,$Z$13)</f>
        <v>1</v>
      </c>
      <c r="AD24" s="99">
        <f ca="1">_xll.qlInstrumentNPV(AB24,AC24)</f>
        <v>626794.55572400475</v>
      </c>
      <c r="AE24" s="16"/>
      <c r="AF24" s="187">
        <f t="shared" ca="1" si="5"/>
        <v>-1604.083680222393</v>
      </c>
      <c r="AG24" s="261">
        <f t="shared" ca="1" si="7"/>
        <v>-1604.083680222393</v>
      </c>
      <c r="AH24" s="102">
        <f t="shared" si="6"/>
        <v>-3.5860182295999999E-3</v>
      </c>
      <c r="AI24" s="102">
        <f t="shared" si="6"/>
        <v>-3.5860182295999999E-3</v>
      </c>
      <c r="AK24" s="92">
        <v>43038</v>
      </c>
      <c r="AL24" s="115">
        <v>1.0139310525343801</v>
      </c>
      <c r="AN24" s="92">
        <f t="shared" si="2"/>
        <v>43038</v>
      </c>
      <c r="AO24" s="115">
        <v>0.99086648148172896</v>
      </c>
      <c r="AQ24" s="92">
        <f t="shared" si="3"/>
        <v>43038</v>
      </c>
      <c r="AR24" s="115">
        <v>1.00428323186096</v>
      </c>
      <c r="AS24" s="193"/>
      <c r="AT24" s="92">
        <f t="shared" si="0"/>
        <v>43038</v>
      </c>
      <c r="AU24" s="115">
        <v>0.98659800245567097</v>
      </c>
      <c r="AV24" s="193"/>
      <c r="AW24" s="172"/>
    </row>
    <row r="25" spans="2:49">
      <c r="B25" s="156" t="str">
        <v>GEN-EUR-USD-CCS-RESET-3Y</v>
      </c>
      <c r="C25" s="152">
        <v>-0.37850101101</v>
      </c>
      <c r="D25" s="87" t="s">
        <v>211</v>
      </c>
      <c r="F25" s="114">
        <f t="shared" si="4"/>
        <v>44803</v>
      </c>
      <c r="G25" s="175">
        <v>1.0331610992752491</v>
      </c>
      <c r="H25" s="137"/>
      <c r="K25" s="137"/>
      <c r="L25" s="58">
        <v>43980</v>
      </c>
      <c r="M25" s="130">
        <v>1.0064175301482969</v>
      </c>
      <c r="N25" s="130">
        <v>0.9957059412462157</v>
      </c>
      <c r="O25" s="115">
        <f t="shared" si="8"/>
        <v>113022935.34608382</v>
      </c>
      <c r="Q25" s="85">
        <f>_xll.qlCalendarAdvance($T$4,$C$3,D25,"following")</f>
        <v>44803</v>
      </c>
      <c r="R25" s="15" t="str">
        <f ca="1">_xll.ohRangeRetrieveError(X25)</f>
        <v/>
      </c>
      <c r="S25" s="16" t="str">
        <f>_xll.qlSchedule(,$C$3,Q25,$T$5,$T$4,$T$6)</f>
        <v>obj_0009f#0000</v>
      </c>
      <c r="T25" s="16" t="str">
        <f ca="1">_xll.qlIborLeg(,$T$6,$C$8,S25,,,$T$7,,$T$17,$T$8,AH25*$T$17)</f>
        <v>obj_001da#0000</v>
      </c>
      <c r="U25" s="16" t="str">
        <f ca="1">_xll.qlIborLeg(,$T$6,$C$8,S25,,,$T$7,,$U$17,$T$9)</f>
        <v>obj_0013d#0000</v>
      </c>
      <c r="V25" s="16" t="str">
        <f ca="1">_xll.qlSwap(,T25:U25,$T$18:$U$18)</f>
        <v>obj_00239#0000</v>
      </c>
      <c r="W25" s="16" t="b">
        <f ca="1">_xll.qlInstrumentSetPricingEngine(V25,$T$13)</f>
        <v>1</v>
      </c>
      <c r="X25" s="98">
        <f ca="1">_xll.qlInstrumentNPV(V25,W25)</f>
        <v>-880124.80331116263</v>
      </c>
      <c r="Y25" s="16" t="str">
        <f>_xll.qlSchedule(,$C$3,Q25,$Z$5,$Z$4,$Z$6)</f>
        <v>obj_00073#0000</v>
      </c>
      <c r="Z25" s="16" t="str">
        <f ca="1">_xll.qlIborLeg(,$Z$6,Nominals,Y25,,,$Z$7,,$Z$17,$Z$8)</f>
        <v>obj_00250#0000</v>
      </c>
      <c r="AA25" s="16" t="str">
        <f ca="1">_xll.qlIborLeg(,$Z$6,Nominals,Y25,,,$Z$7,,$AA$17,$Z$9)</f>
        <v>obj_00262#0000</v>
      </c>
      <c r="AB25" s="16" t="str">
        <f ca="1">_xll.qlSwap(,Z25:AA25,$Z$18:$AA$18)</f>
        <v>obj_00263#0000</v>
      </c>
      <c r="AC25" s="16" t="b">
        <f ca="1">_xll.qlInstrumentSetPricingEngine(AB25,$Z$13)</f>
        <v>1</v>
      </c>
      <c r="AD25" s="99">
        <f ca="1">_xll.qlInstrumentNPV(AB25,AC25)</f>
        <v>985158.11185408244</v>
      </c>
      <c r="AE25" s="16"/>
      <c r="AF25" s="187">
        <f t="shared" ca="1" si="5"/>
        <v>1002.5567915403517</v>
      </c>
      <c r="AG25" s="261">
        <f t="shared" ca="1" si="7"/>
        <v>1002.5567915403517</v>
      </c>
      <c r="AH25" s="102">
        <f t="shared" si="6"/>
        <v>-3.7850101101E-3</v>
      </c>
      <c r="AI25" s="102">
        <f t="shared" si="6"/>
        <v>-3.7850101101E-3</v>
      </c>
      <c r="AK25" s="92">
        <v>43129</v>
      </c>
      <c r="AL25" s="115">
        <v>1.01653684332274</v>
      </c>
      <c r="AN25" s="92">
        <f t="shared" si="2"/>
        <v>43129</v>
      </c>
      <c r="AO25" s="115">
        <v>0.988748136491854</v>
      </c>
      <c r="AQ25" s="92">
        <f t="shared" si="3"/>
        <v>43129</v>
      </c>
      <c r="AR25" s="115">
        <v>1.0049883003439599</v>
      </c>
      <c r="AS25" s="193"/>
      <c r="AT25" s="92">
        <f t="shared" si="0"/>
        <v>43129</v>
      </c>
      <c r="AU25" s="115">
        <v>0.98374604727908399</v>
      </c>
      <c r="AV25" s="193"/>
      <c r="AW25" s="172"/>
    </row>
    <row r="26" spans="2:49">
      <c r="B26" s="156" t="str">
        <v>GEN-EUR-USD-CCS-RESET-4Y</v>
      </c>
      <c r="C26" s="152">
        <v>-0.39463988115999998</v>
      </c>
      <c r="D26" s="87" t="s">
        <v>212</v>
      </c>
      <c r="F26" s="114">
        <f t="shared" si="4"/>
        <v>45168</v>
      </c>
      <c r="G26" s="175">
        <v>1.0405877191362796</v>
      </c>
      <c r="H26" s="137"/>
      <c r="K26" s="137"/>
      <c r="L26" s="58">
        <v>44074</v>
      </c>
      <c r="M26" s="130">
        <v>1.0089668481603236</v>
      </c>
      <c r="N26" s="130">
        <v>0.99373915809925362</v>
      </c>
      <c r="O26" s="115">
        <f t="shared" si="8"/>
        <v>113533488.18123032</v>
      </c>
      <c r="Q26" s="85">
        <f>_xll.qlCalendarAdvance($T$4,$C$3,D26,"following")</f>
        <v>45168</v>
      </c>
      <c r="R26" s="15" t="str">
        <f ca="1">_xll.ohRangeRetrieveError(X26)</f>
        <v/>
      </c>
      <c r="S26" s="16" t="str">
        <f>_xll.qlSchedule(,$C$3,Q26,$T$5,$T$4,$T$6)</f>
        <v>obj_000a0#0000</v>
      </c>
      <c r="T26" s="16" t="str">
        <f ca="1">_xll.qlIborLeg(,$T$6,$C$8,S26,,,$T$7,,$T$17,$T$8,AH26*$T$17)</f>
        <v>obj_001d9#0000</v>
      </c>
      <c r="U26" s="16" t="str">
        <f ca="1">_xll.qlIborLeg(,$T$6,$C$8,S26,,,$T$7,,$U$17,$T$9)</f>
        <v>obj_0013a#0000</v>
      </c>
      <c r="V26" s="16" t="str">
        <f ca="1">_xll.qlSwap(,T26:U26,$T$18:$U$18)</f>
        <v>obj_00242#0000</v>
      </c>
      <c r="W26" s="16" t="b">
        <f ca="1">_xll.qlInstrumentSetPricingEngine(V26,$T$13)</f>
        <v>1</v>
      </c>
      <c r="X26" s="98">
        <f ca="1">_xll.qlInstrumentNPV(V26,W26)</f>
        <v>-1217084.6597506464</v>
      </c>
      <c r="Y26" s="16" t="str">
        <f>_xll.qlSchedule(,$C$3,Q26,$Z$5,$Z$4,$Z$6)</f>
        <v>obj_0004c#0000</v>
      </c>
      <c r="Z26" s="16" t="str">
        <f ca="1">_xll.qlIborLeg(,$Z$6,Nominals,Y26,,,$Z$7,,$Z$17,$Z$8)</f>
        <v>obj_00253#0000</v>
      </c>
      <c r="AA26" s="16" t="str">
        <f ca="1">_xll.qlIborLeg(,$Z$6,Nominals,Y26,,,$Z$7,,$AA$17,$Z$9)</f>
        <v>obj_00251#0000</v>
      </c>
      <c r="AB26" s="16" t="str">
        <f ca="1">_xll.qlSwap(,Z26:AA26,$Z$18:$AA$18)</f>
        <v>obj_00254#0000</v>
      </c>
      <c r="AC26" s="16" t="b">
        <f ca="1">_xll.qlInstrumentSetPricingEngine(AB26,$Z$13)</f>
        <v>1</v>
      </c>
      <c r="AD26" s="99">
        <f ca="1">_xll.qlInstrumentNPV(AB26,AC26)</f>
        <v>1360935.6033013007</v>
      </c>
      <c r="AE26" s="16"/>
      <c r="AF26" s="187">
        <f t="shared" ca="1" si="5"/>
        <v>-8.4632318723015487</v>
      </c>
      <c r="AG26" s="261">
        <f t="shared" ca="1" si="7"/>
        <v>-8.4632318723015487</v>
      </c>
      <c r="AH26" s="102">
        <f t="shared" si="6"/>
        <v>-3.9463988116000001E-3</v>
      </c>
      <c r="AI26" s="102">
        <f t="shared" si="6"/>
        <v>-3.9463988116000001E-3</v>
      </c>
      <c r="AK26" s="92">
        <v>43220</v>
      </c>
      <c r="AL26" s="115">
        <v>1.01908466720191</v>
      </c>
      <c r="AN26" s="92">
        <f t="shared" si="2"/>
        <v>43220</v>
      </c>
      <c r="AO26" s="115">
        <v>0.98648243063337504</v>
      </c>
      <c r="AQ26" s="92">
        <f t="shared" si="3"/>
        <v>43220</v>
      </c>
      <c r="AR26" s="115">
        <v>1.0056564536666901</v>
      </c>
      <c r="AS26" s="193"/>
      <c r="AT26" s="92">
        <f t="shared" si="0"/>
        <v>43220</v>
      </c>
      <c r="AU26" s="115">
        <v>0.98075882439661199</v>
      </c>
      <c r="AV26" s="193"/>
      <c r="AW26" s="172"/>
    </row>
    <row r="27" spans="2:49">
      <c r="B27" s="156" t="str">
        <v>GEN-EUR-USD-CCS-RESET-5Y</v>
      </c>
      <c r="C27" s="152">
        <v>-0.41075381768000002</v>
      </c>
      <c r="D27" s="87" t="s">
        <v>213</v>
      </c>
      <c r="F27" s="114">
        <f t="shared" si="4"/>
        <v>45534</v>
      </c>
      <c r="G27" s="175">
        <v>1.0450120279506814</v>
      </c>
      <c r="H27" s="137"/>
      <c r="K27" s="137"/>
      <c r="L27" s="58">
        <v>44165</v>
      </c>
      <c r="M27" s="130">
        <v>1.0114620532771172</v>
      </c>
      <c r="N27" s="130">
        <v>0.99170065866874446</v>
      </c>
      <c r="O27" s="115">
        <f t="shared" si="8"/>
        <v>114048211.835691</v>
      </c>
      <c r="Q27" s="240">
        <f>_xll.qlCalendarAdvance($T$4,$C$3,D27,"following")</f>
        <v>45534</v>
      </c>
      <c r="R27" s="220" t="str">
        <f ca="1">_xll.ohRangeRetrieveError(X27)</f>
        <v/>
      </c>
      <c r="S27" s="222" t="str">
        <f>_xll.qlSchedule(,$C$3,Q27,$T$5,$T$4,$T$6)</f>
        <v>obj_00090#0000</v>
      </c>
      <c r="T27" s="222" t="str">
        <f ca="1">_xll.qlIborLeg(,$T$6,$C$8,S27,,,$T$7,,$T$17,$T$8,AH27*$T$17)</f>
        <v>obj_001d5#0000</v>
      </c>
      <c r="U27" s="222" t="str">
        <f ca="1">_xll.qlIborLeg(,$T$6,$C$8,S27,,,$T$7,,$U$17,$T$9)</f>
        <v>obj_00149#0000</v>
      </c>
      <c r="V27" s="222" t="str">
        <f ca="1">_xll.qlSwap(,T27:U27,$T$18:$U$18)</f>
        <v>obj_00248#0000</v>
      </c>
      <c r="W27" s="222" t="b">
        <f ca="1">_xll.qlInstrumentSetPricingEngine(V27,$T$13)</f>
        <v>1</v>
      </c>
      <c r="X27" s="224">
        <f ca="1">_xll.qlInstrumentNPV(V27,W27)</f>
        <v>-1563503.1081121801</v>
      </c>
      <c r="Y27" s="222" t="str">
        <f>_xll.qlSchedule(,$C$3,Q27,$Z$5,$Z$4,$Z$6)</f>
        <v>obj_0008d#0000</v>
      </c>
      <c r="Z27" s="222" t="str">
        <f ca="1">_xll.qlIborLeg(,$Z$6,Nominals,Y27,,,$Z$7,,$Z$17,$Z$8)</f>
        <v>obj_0025d#0000</v>
      </c>
      <c r="AA27" s="222" t="str">
        <f ca="1">_xll.qlIborLeg(,$Z$6,Nominals,Y27,,,$Z$7,,$AA$17,$Z$9)</f>
        <v>obj_00278#0000</v>
      </c>
      <c r="AB27" s="222" t="str">
        <f ca="1">_xll.qlSwap(,Z27:AA27,$Z$18:$AA$18)</f>
        <v>obj_0027d#0000</v>
      </c>
      <c r="AC27" s="222" t="b">
        <f ca="1">_xll.qlInstrumentSetPricingEngine(AB27,$Z$13)</f>
        <v>1</v>
      </c>
      <c r="AD27" s="226">
        <f ca="1">_xll.qlInstrumentNPV(AB27,AC27)</f>
        <v>1750587.251898394</v>
      </c>
      <c r="AE27" s="16"/>
      <c r="AF27" s="187">
        <f t="shared" ca="1" si="5"/>
        <v>2278.0764073540922</v>
      </c>
      <c r="AG27" s="261">
        <f t="shared" ca="1" si="7"/>
        <v>2278.0764073540922</v>
      </c>
      <c r="AH27" s="102">
        <f>$C27/100</f>
        <v>-4.1075381768E-3</v>
      </c>
      <c r="AI27" s="102">
        <f t="shared" si="6"/>
        <v>-4.1075381768E-3</v>
      </c>
      <c r="AK27" s="92">
        <v>43311</v>
      </c>
      <c r="AL27" s="115">
        <v>1.0216141071255</v>
      </c>
      <c r="AN27" s="92">
        <f t="shared" si="2"/>
        <v>43311</v>
      </c>
      <c r="AO27" s="115">
        <v>0.98407804750053995</v>
      </c>
      <c r="AQ27" s="92">
        <f t="shared" si="3"/>
        <v>43311</v>
      </c>
      <c r="AR27" s="115">
        <v>1.0062582891868199</v>
      </c>
      <c r="AS27" s="193"/>
      <c r="AT27" s="92">
        <f t="shared" si="0"/>
        <v>43311</v>
      </c>
      <c r="AU27" s="115">
        <v>0.97761284299262496</v>
      </c>
      <c r="AV27" s="193"/>
      <c r="AW27" s="172"/>
    </row>
    <row r="28" spans="2:49">
      <c r="B28" s="156" t="str">
        <v>GEN-EUR-USD-CCS-RESET-6Y</v>
      </c>
      <c r="C28" s="152">
        <v>-0.41944476586000001</v>
      </c>
      <c r="D28" s="87" t="s">
        <v>214</v>
      </c>
      <c r="F28" s="114">
        <f t="shared" si="4"/>
        <v>45901</v>
      </c>
      <c r="G28" s="175">
        <v>1.0460218226972082</v>
      </c>
      <c r="H28" s="137"/>
      <c r="K28" s="137"/>
      <c r="L28" s="58">
        <v>44253</v>
      </c>
      <c r="M28" s="130">
        <v>1.0138808676497826</v>
      </c>
      <c r="N28" s="130">
        <v>0.98957856045233072</v>
      </c>
      <c r="O28" s="115">
        <f t="shared" si="8"/>
        <v>114566102.33024545</v>
      </c>
      <c r="Q28" s="85">
        <f>_xll.qlCalendarAdvance($T$4,$C$3,D28,"following")</f>
        <v>45901</v>
      </c>
      <c r="R28" s="15" t="str">
        <f ca="1">_xll.ohRangeRetrieveError(X28)</f>
        <v/>
      </c>
      <c r="S28" s="16" t="str">
        <f>_xll.qlSchedule(,$C$3,Q28,$T$5,$T$4,$T$6)</f>
        <v>obj_0006b#0000</v>
      </c>
      <c r="T28" s="16" t="str">
        <f ca="1">_xll.qlIborLeg(,$T$6,$C$8,S28,,,$T$7,,$T$17,$T$8,AH28*$T$17)</f>
        <v>obj_001de#0000</v>
      </c>
      <c r="U28" s="16" t="str">
        <f ca="1">_xll.qlIborLeg(,$T$6,$C$8,S28,,,$T$7,,$U$17,$T$9)</f>
        <v>obj_00138#0000</v>
      </c>
      <c r="V28" s="16" t="str">
        <f ca="1">_xll.qlSwap(,T28:U28,$T$18:$U$18)</f>
        <v>obj_00241#0000</v>
      </c>
      <c r="W28" s="16" t="b">
        <f ca="1">_xll.qlInstrumentSetPricingEngine(V28,$T$13)</f>
        <v>1</v>
      </c>
      <c r="X28" s="98">
        <f ca="1">_xll.qlInstrumentNPV(V28,W28)</f>
        <v>-1919417.6182285128</v>
      </c>
      <c r="Y28" s="16" t="str">
        <f>_xll.qlSchedule(,$C$3,Q28,$Z$5,$Z$4,$Z$6)</f>
        <v>obj_000b7#0000</v>
      </c>
      <c r="Z28" s="16" t="str">
        <f ca="1">_xll.qlIborLeg(,$Z$6,Nominals,Y28,,,$Z$7,,$Z$17,$Z$8)</f>
        <v>obj_00272#0000</v>
      </c>
      <c r="AA28" s="16" t="str">
        <f ca="1">_xll.qlIborLeg(,$Z$6,Nominals,Y28,,,$Z$7,,$AA$17,$Z$9)</f>
        <v>obj_00275#0000</v>
      </c>
      <c r="AB28" s="16" t="str">
        <f ca="1">_xll.qlSwap(,Z28:AA28,$Z$18:$AA$18)</f>
        <v>obj_00285#0000</v>
      </c>
      <c r="AC28" s="16" t="b">
        <f ca="1">_xll.qlInstrumentSetPricingEngine(AB28,$Z$13)</f>
        <v>1</v>
      </c>
      <c r="AD28" s="99">
        <f ca="1">_xll.qlInstrumentNPV(AB28,AC28)</f>
        <v>2155553.3271975936</v>
      </c>
      <c r="AE28" s="16"/>
      <c r="AF28" s="187">
        <f t="shared" ca="1" si="5"/>
        <v>9260.5464944704436</v>
      </c>
      <c r="AG28" s="261">
        <f t="shared" ca="1" si="7"/>
        <v>9260.5464944704436</v>
      </c>
      <c r="AH28" s="102">
        <f t="shared" si="6"/>
        <v>-4.1944476586000005E-3</v>
      </c>
      <c r="AI28" s="102">
        <f t="shared" si="6"/>
        <v>-4.1944476586000005E-3</v>
      </c>
      <c r="AK28" s="92">
        <v>43402</v>
      </c>
      <c r="AL28" s="115">
        <v>1.0241654394433299</v>
      </c>
      <c r="AN28" s="92">
        <f t="shared" si="2"/>
        <v>43402</v>
      </c>
      <c r="AO28" s="115">
        <v>0.98153241690097504</v>
      </c>
      <c r="AQ28" s="92">
        <f t="shared" si="3"/>
        <v>43402</v>
      </c>
      <c r="AR28" s="115">
        <v>1.00673065409173</v>
      </c>
      <c r="AS28" s="193"/>
      <c r="AT28" s="92">
        <f t="shared" si="0"/>
        <v>43402</v>
      </c>
      <c r="AU28" s="115">
        <v>0.97430951957448997</v>
      </c>
      <c r="AV28" s="193"/>
      <c r="AW28" s="172"/>
    </row>
    <row r="29" spans="2:49">
      <c r="B29" s="156" t="str">
        <v>GEN-EUR-USD-CCS-RESET-7Y</v>
      </c>
      <c r="C29" s="152">
        <v>-0.42442160975999998</v>
      </c>
      <c r="D29" s="87" t="s">
        <v>215</v>
      </c>
      <c r="F29" s="114">
        <f t="shared" si="4"/>
        <v>46265</v>
      </c>
      <c r="G29" s="175">
        <v>1.0438277793319712</v>
      </c>
      <c r="H29" s="137"/>
      <c r="K29" s="137"/>
      <c r="L29" s="58">
        <v>44347</v>
      </c>
      <c r="M29" s="130">
        <v>1.0164709909211567</v>
      </c>
      <c r="N29" s="130">
        <v>0.98716815220854548</v>
      </c>
      <c r="O29" s="115">
        <f t="shared" si="8"/>
        <v>115139235.34760873</v>
      </c>
      <c r="Q29" s="85">
        <f>_xll.qlCalendarAdvance($T$4,$C$3,D29,"following")</f>
        <v>46265</v>
      </c>
      <c r="R29" s="15" t="str">
        <f ca="1">_xll.ohRangeRetrieveError(X29)</f>
        <v/>
      </c>
      <c r="S29" s="16" t="str">
        <f>_xll.qlSchedule(,$C$3,Q29,$T$5,$T$4,$T$6)</f>
        <v>obj_00098#0000</v>
      </c>
      <c r="T29" s="16" t="str">
        <f ca="1">_xll.qlIborLeg(,$T$6,$C$8,S29,,,$T$7,,$T$17,$T$8,AH29*$T$17)</f>
        <v>obj_001db#0000</v>
      </c>
      <c r="U29" s="16" t="str">
        <f ca="1">_xll.qlIborLeg(,$T$6,$C$8,S29,,,$T$7,,$U$17,$T$9)</f>
        <v>obj_0014b#0000</v>
      </c>
      <c r="V29" s="16" t="str">
        <f ca="1">_xll.qlSwap(,T29:U29,$T$18:$U$18)</f>
        <v>obj_0023a#0000</v>
      </c>
      <c r="W29" s="16" t="b">
        <f ca="1">_xll.qlInstrumentSetPricingEngine(V29,$T$13)</f>
        <v>1</v>
      </c>
      <c r="X29" s="98">
        <f ca="1">_xll.qlInstrumentNPV(V29,W29)</f>
        <v>-2268203.6369079524</v>
      </c>
      <c r="Y29" s="16" t="str">
        <f>_xll.qlSchedule(,$C$3,Q29,$Z$5,$Z$4,$Z$6)</f>
        <v>obj_000cc#0000</v>
      </c>
      <c r="Z29" s="16" t="str">
        <f ca="1">_xll.qlIborLeg(,$Z$6,Nominals,Y29,,,$Z$7,,$Z$17,$Z$8)</f>
        <v>obj_00257#0000</v>
      </c>
      <c r="AA29" s="16" t="str">
        <f ca="1">_xll.qlIborLeg(,$Z$6,Nominals,Y29,,,$Z$7,,$AA$17,$Z$9)</f>
        <v>obj_00259#0000</v>
      </c>
      <c r="AB29" s="16" t="str">
        <f ca="1">_xll.qlSwap(,Z29:AA29,$Z$18:$AA$18)</f>
        <v>obj_00283#0000</v>
      </c>
      <c r="AC29" s="16" t="b">
        <f ca="1">_xll.qlInstrumentSetPricingEngine(AB29,$Z$13)</f>
        <v>1</v>
      </c>
      <c r="AD29" s="99">
        <f ca="1">_xll.qlInstrumentNPV(AB29,AC29)</f>
        <v>2543846.7388081644</v>
      </c>
      <c r="AE29" s="16"/>
      <c r="AF29" s="187">
        <f t="shared" ca="1" si="5"/>
        <v>7541.4320176918991</v>
      </c>
      <c r="AG29" s="261">
        <f t="shared" ca="1" si="7"/>
        <v>7541.4320176918991</v>
      </c>
      <c r="AH29" s="102">
        <f t="shared" si="6"/>
        <v>-4.2442160975999996E-3</v>
      </c>
      <c r="AI29" s="102">
        <f t="shared" si="6"/>
        <v>-4.2442160975999996E-3</v>
      </c>
      <c r="AK29" s="92">
        <v>43494</v>
      </c>
      <c r="AL29" s="115">
        <v>1.0266861279714301</v>
      </c>
      <c r="AN29" s="92">
        <f t="shared" si="2"/>
        <v>43494</v>
      </c>
      <c r="AO29" s="115">
        <v>0.97882915078443999</v>
      </c>
      <c r="AQ29" s="92">
        <f t="shared" si="3"/>
        <v>43494</v>
      </c>
      <c r="AR29" s="115">
        <v>1.00707589442617</v>
      </c>
      <c r="AS29" s="193"/>
      <c r="AT29" s="92">
        <f t="shared" si="0"/>
        <v>43494</v>
      </c>
      <c r="AU29" s="115">
        <v>0.97083515976583701</v>
      </c>
      <c r="AV29" s="193"/>
      <c r="AW29" s="172"/>
    </row>
    <row r="30" spans="2:49">
      <c r="B30" s="156" t="str">
        <v>GEN-EUR-USD-CCS-RESET-8Y</v>
      </c>
      <c r="C30" s="152">
        <v>-0.42448601072999997</v>
      </c>
      <c r="D30" s="87" t="s">
        <v>216</v>
      </c>
      <c r="F30" s="114">
        <f t="shared" si="4"/>
        <v>46629</v>
      </c>
      <c r="G30" s="175">
        <v>1.038840048202724</v>
      </c>
      <c r="H30" s="137"/>
      <c r="K30" s="137"/>
      <c r="L30" s="58">
        <v>44438</v>
      </c>
      <c r="M30" s="130">
        <v>1.0189847540068748</v>
      </c>
      <c r="N30" s="130">
        <v>0.98473198932821282</v>
      </c>
      <c r="O30" s="115">
        <f t="shared" si="8"/>
        <v>115709529.52465872</v>
      </c>
      <c r="Q30" s="85">
        <f>_xll.qlCalendarAdvance($T$4,$C$3,D30,"following")</f>
        <v>46629</v>
      </c>
      <c r="R30" s="15" t="str">
        <f ca="1">_xll.ohRangeRetrieveError(X30)</f>
        <v/>
      </c>
      <c r="S30" s="16" t="str">
        <f>_xll.qlSchedule(,$C$3,Q30,$T$5,$T$4,$T$6)</f>
        <v>obj_0005a#0000</v>
      </c>
      <c r="T30" s="16" t="str">
        <f ca="1">_xll.qlIborLeg(,$T$6,$C$8,S30,,,$T$7,,$T$17,$T$8,AH30*$T$17)</f>
        <v>obj_001e4#0000</v>
      </c>
      <c r="U30" s="16" t="str">
        <f ca="1">_xll.qlIborLeg(,$T$6,$C$8,S30,,,$T$7,,$U$17,$T$9)</f>
        <v>obj_0013c#0000</v>
      </c>
      <c r="V30" s="16" t="str">
        <f ca="1">_xll.qlSwap(,T30:U30,$T$18:$U$18)</f>
        <v>obj_00243#0000</v>
      </c>
      <c r="W30" s="16" t="b">
        <f ca="1">_xll.qlInstrumentSetPricingEngine(V30,$T$13)</f>
        <v>1</v>
      </c>
      <c r="X30" s="98">
        <f ca="1">_xll.qlInstrumentNPV(V30,W30)</f>
        <v>-2623950.3189727808</v>
      </c>
      <c r="Y30" s="16" t="str">
        <f>_xll.qlSchedule(,$C$3,Q30,$Z$5,$Z$4,$Z$6)</f>
        <v>obj_00043#0000</v>
      </c>
      <c r="Z30" s="16" t="str">
        <f ca="1">_xll.qlIborLeg(,$Z$6,Nominals,Y30,,,$Z$7,,$Z$17,$Z$8)</f>
        <v>obj_0026b#0000</v>
      </c>
      <c r="AA30" s="16" t="str">
        <f ca="1">_xll.qlIborLeg(,$Z$6,Nominals,Y30,,,$Z$7,,$AA$17,$Z$9)</f>
        <v>obj_00273#0000</v>
      </c>
      <c r="AB30" s="16" t="str">
        <f ca="1">_xll.qlSwap(,Z30:AA30,$Z$18:$AA$18)</f>
        <v>obj_0027e#0000</v>
      </c>
      <c r="AC30" s="16" t="b">
        <f ca="1">_xll.qlInstrumentSetPricingEngine(AB30,$Z$13)</f>
        <v>1</v>
      </c>
      <c r="AD30" s="99">
        <f ca="1">_xll.qlInstrumentNPV(AB30,AC30)</f>
        <v>2930963.9752229024</v>
      </c>
      <c r="AE30" s="16"/>
      <c r="AF30" s="187">
        <f t="shared" ca="1" si="5"/>
        <v>-3137.2714524613693</v>
      </c>
      <c r="AG30" s="261">
        <f t="shared" ca="1" si="7"/>
        <v>-3137.2714524613693</v>
      </c>
      <c r="AH30" s="102">
        <f t="shared" si="6"/>
        <v>-4.2448601073000001E-3</v>
      </c>
      <c r="AI30" s="102">
        <f t="shared" si="6"/>
        <v>-4.2448601073000001E-3</v>
      </c>
      <c r="AK30" s="92">
        <v>43584</v>
      </c>
      <c r="AL30" s="115">
        <v>1.0290160301914699</v>
      </c>
      <c r="AN30" s="92">
        <f t="shared" si="2"/>
        <v>43584</v>
      </c>
      <c r="AO30" s="115">
        <v>0.97607186574875004</v>
      </c>
      <c r="AQ30" s="92">
        <f t="shared" si="3"/>
        <v>43584</v>
      </c>
      <c r="AR30" s="115">
        <v>1.00726779006189</v>
      </c>
      <c r="AS30" s="193"/>
      <c r="AT30" s="92">
        <f t="shared" si="0"/>
        <v>43584</v>
      </c>
      <c r="AU30" s="115">
        <v>0.96732932610718603</v>
      </c>
      <c r="AV30" s="193"/>
      <c r="AW30" s="172"/>
    </row>
    <row r="31" spans="2:49">
      <c r="B31" s="156" t="str">
        <v>GEN-EUR-USD-CCS-RESET-9Y</v>
      </c>
      <c r="C31" s="152">
        <v>-0.42331945124999998</v>
      </c>
      <c r="D31" s="87" t="s">
        <v>217</v>
      </c>
      <c r="F31" s="114">
        <f t="shared" si="4"/>
        <v>46995</v>
      </c>
      <c r="G31" s="175">
        <v>1.0318023628419217</v>
      </c>
      <c r="H31" s="137"/>
      <c r="K31" s="137"/>
      <c r="L31" s="58">
        <v>44530</v>
      </c>
      <c r="M31" s="130">
        <v>1.0225395283750365</v>
      </c>
      <c r="N31" s="130">
        <v>0.98199275930191476</v>
      </c>
      <c r="O31" s="115">
        <f t="shared" si="8"/>
        <v>116437080.59943295</v>
      </c>
      <c r="Q31" s="85">
        <f>_xll.qlCalendarAdvance($T$4,$C$3,D31,"following")</f>
        <v>46995</v>
      </c>
      <c r="R31" s="15" t="str">
        <f ca="1">_xll.ohRangeRetrieveError(X31)</f>
        <v/>
      </c>
      <c r="S31" s="16" t="str">
        <f>_xll.qlSchedule(,$C$3,Q31,$T$5,$T$4,$T$6)</f>
        <v>obj_0009e#0000</v>
      </c>
      <c r="T31" s="16" t="str">
        <f ca="1">_xll.qlIborLeg(,$T$6,$C$8,S31,,,$T$7,,$T$17,$T$8,AH31*$T$17)</f>
        <v>obj_001e0#0000</v>
      </c>
      <c r="U31" s="16" t="str">
        <f ca="1">_xll.qlIborLeg(,$T$6,$C$8,S31,,,$T$7,,$U$17,$T$9)</f>
        <v>obj_0013e#0000</v>
      </c>
      <c r="V31" s="16" t="str">
        <f ca="1">_xll.qlSwap(,T31:U31,$T$18:$U$18)</f>
        <v>obj_00245#0000</v>
      </c>
      <c r="W31" s="16" t="b">
        <f ca="1">_xll.qlInstrumentSetPricingEngine(V31,$T$13)</f>
        <v>1</v>
      </c>
      <c r="X31" s="98">
        <f ca="1">_xll.qlInstrumentNPV(V31,W31)</f>
        <v>-2976823.5122971055</v>
      </c>
      <c r="Y31" s="16" t="str">
        <f>_xll.qlSchedule(,$C$3,Q31,$Z$5,$Z$4,$Z$6)</f>
        <v>obj_000b9#0000</v>
      </c>
      <c r="Z31" s="16" t="str">
        <f ca="1">_xll.qlIborLeg(,$Z$6,Nominals,Y31,,,$Z$7,,$Z$17,$Z$8)</f>
        <v>obj_0026a#0000</v>
      </c>
      <c r="AA31" s="16" t="str">
        <f ca="1">_xll.qlIborLeg(,$Z$6,Nominals,Y31,,,$Z$7,,$AA$17,$Z$9)</f>
        <v>obj_00261#0000</v>
      </c>
      <c r="AB31" s="16" t="str">
        <f ca="1">_xll.qlSwap(,Z31:AA31,$Z$18:$AA$18)</f>
        <v>obj_00288#0000</v>
      </c>
      <c r="AC31" s="16" t="b">
        <f ca="1">_xll.qlInstrumentSetPricingEngine(AB31,$Z$13)</f>
        <v>1</v>
      </c>
      <c r="AD31" s="99">
        <f ca="1">_xll.qlInstrumentNPV(AB31,AC31)</f>
        <v>3327499.895105185</v>
      </c>
      <c r="AE31" s="16"/>
      <c r="AF31" s="187">
        <f t="shared" ca="1" si="5"/>
        <v>-1184.1563454386778</v>
      </c>
      <c r="AG31" s="261">
        <f t="shared" ca="1" si="7"/>
        <v>-1184.1563454386778</v>
      </c>
      <c r="AH31" s="102">
        <f t="shared" si="6"/>
        <v>-4.2331945124999999E-3</v>
      </c>
      <c r="AI31" s="102">
        <f t="shared" si="6"/>
        <v>-4.2331945124999999E-3</v>
      </c>
      <c r="AK31" s="92">
        <v>43675</v>
      </c>
      <c r="AL31" s="115">
        <v>1.0312682287743</v>
      </c>
      <c r="AN31" s="92">
        <f t="shared" si="2"/>
        <v>43675</v>
      </c>
      <c r="AO31" s="115">
        <v>0.97316455235682997</v>
      </c>
      <c r="AQ31" s="92">
        <f t="shared" si="3"/>
        <v>43675</v>
      </c>
      <c r="AR31" s="115">
        <v>1.0073211857683</v>
      </c>
      <c r="AS31" s="193"/>
      <c r="AT31" s="92">
        <f t="shared" si="0"/>
        <v>43675</v>
      </c>
      <c r="AU31" s="115">
        <v>0.96367095977972705</v>
      </c>
      <c r="AV31" s="193"/>
      <c r="AW31" s="172"/>
    </row>
    <row r="32" spans="2:49">
      <c r="B32" s="156" t="str">
        <v>GEN-EUR-USD-CCS-RESET-10Y</v>
      </c>
      <c r="C32" s="152">
        <v>-0.41850628206000001</v>
      </c>
      <c r="D32" s="87" t="s">
        <v>218</v>
      </c>
      <c r="F32" s="114">
        <f t="shared" si="4"/>
        <v>47360</v>
      </c>
      <c r="G32" s="175">
        <v>1.0230782442369899</v>
      </c>
      <c r="H32" s="137"/>
      <c r="K32" s="137"/>
      <c r="L32" s="58">
        <v>44620</v>
      </c>
      <c r="M32" s="130">
        <v>1.0260290242776646</v>
      </c>
      <c r="N32" s="130">
        <v>0.97932045095366482</v>
      </c>
      <c r="O32" s="115">
        <f t="shared" si="8"/>
        <v>117153241.70245147</v>
      </c>
      <c r="P32" s="115"/>
      <c r="Q32" s="85">
        <f>_xll.qlCalendarAdvance($T$4,$C$3,D32,"following")</f>
        <v>47360</v>
      </c>
      <c r="R32" s="15" t="str">
        <f ca="1">_xll.ohRangeRetrieveError(X32)</f>
        <v/>
      </c>
      <c r="S32" s="16" t="str">
        <f>_xll.qlSchedule(,$C$3,Q32,$T$5,$T$4,$T$6)</f>
        <v>obj_00092#0000</v>
      </c>
      <c r="T32" s="16" t="str">
        <f ca="1">_xll.qlIborLeg(,$T$6,$C$8,S32,,,$T$7,,$T$17,$T$8,AH32*$T$17)</f>
        <v>obj_001e1#0000</v>
      </c>
      <c r="U32" s="16" t="str">
        <f ca="1">_xll.qlIborLeg(,$T$6,$C$8,S32,,,$T$7,,$U$17,$T$9)</f>
        <v>obj_0013b#0000</v>
      </c>
      <c r="V32" s="16" t="str">
        <f ca="1">_xll.qlSwap(,T32:U32,$T$18:$U$18)</f>
        <v>obj_00246#0000</v>
      </c>
      <c r="W32" s="16" t="b">
        <f ca="1">_xll.qlInstrumentSetPricingEngine(V32,$T$13)</f>
        <v>1</v>
      </c>
      <c r="X32" s="98">
        <f ca="1">_xll.qlInstrumentNPV(V32,W32)</f>
        <v>-3312119.3178620236</v>
      </c>
      <c r="Y32" s="16" t="str">
        <f>_xll.qlSchedule(,$C$3,Q32,$Z$5,$Z$4,$Z$6)</f>
        <v>obj_000dd#0000</v>
      </c>
      <c r="Z32" s="16" t="str">
        <f ca="1">_xll.qlIborLeg(,$Z$6,Nominals,Y32,,,$Z$7,,$Z$17,$Z$8)</f>
        <v>obj_00255#0000</v>
      </c>
      <c r="AA32" s="16" t="str">
        <f ca="1">_xll.qlIborLeg(,$Z$6,Nominals,Y32,,,$Z$7,,$AA$17,$Z$9)</f>
        <v>obj_00266#0000</v>
      </c>
      <c r="AB32" s="16" t="str">
        <f ca="1">_xll.qlSwap(,Z32:AA32,$Z$18:$AA$18)</f>
        <v>obj_00282#0000</v>
      </c>
      <c r="AC32" s="16" t="b">
        <f ca="1">_xll.qlInstrumentSetPricingEngine(AB32,$Z$13)</f>
        <v>1</v>
      </c>
      <c r="AD32" s="99">
        <f ca="1">_xll.qlInstrumentNPV(AB32,AC32)</f>
        <v>3704160.5388523526</v>
      </c>
      <c r="AE32" s="16"/>
      <c r="AF32" s="187">
        <f t="shared" ca="1" si="5"/>
        <v>548.71761903772131</v>
      </c>
      <c r="AG32" s="261">
        <f t="shared" ca="1" si="7"/>
        <v>548.71761903772131</v>
      </c>
      <c r="AH32" s="102">
        <f t="shared" si="6"/>
        <v>-4.1850628206000001E-3</v>
      </c>
      <c r="AI32" s="102">
        <f t="shared" si="6"/>
        <v>-4.1850628206000001E-3</v>
      </c>
      <c r="AK32" s="92">
        <v>43767</v>
      </c>
      <c r="AL32" s="115">
        <v>1.0334710349205101</v>
      </c>
      <c r="AN32" s="92">
        <f t="shared" si="2"/>
        <v>43767</v>
      </c>
      <c r="AO32" s="115">
        <v>0.97009720706372904</v>
      </c>
      <c r="AQ32" s="92">
        <f t="shared" si="3"/>
        <v>43767</v>
      </c>
      <c r="AR32" s="115">
        <v>1.0072428546418299</v>
      </c>
      <c r="AS32" s="193"/>
      <c r="AT32" s="92">
        <f t="shared" si="0"/>
        <v>43767</v>
      </c>
      <c r="AU32" s="115">
        <v>0.95985172183576695</v>
      </c>
      <c r="AV32" s="193"/>
      <c r="AW32" s="172"/>
    </row>
    <row r="33" spans="2:49">
      <c r="B33" s="156" t="str">
        <v>GEN-EUR-USD-CCS-RESET-12Y</v>
      </c>
      <c r="C33" s="152">
        <v>-0.40039258837000002</v>
      </c>
      <c r="D33" s="87" t="s">
        <v>219</v>
      </c>
      <c r="F33" s="114">
        <f t="shared" si="4"/>
        <v>48092</v>
      </c>
      <c r="G33" s="175">
        <v>1.0033591399019393</v>
      </c>
      <c r="H33" s="137"/>
      <c r="K33" s="137"/>
      <c r="L33" s="58">
        <v>44711</v>
      </c>
      <c r="M33" s="130">
        <v>1.0295693998915374</v>
      </c>
      <c r="N33" s="130">
        <v>0.9766258440517005</v>
      </c>
      <c r="O33" s="115">
        <f t="shared" si="8"/>
        <v>117881838.77896352</v>
      </c>
      <c r="P33" s="115"/>
      <c r="Q33" s="85">
        <f>_xll.qlCalendarAdvance($T$4,$C$3,D33,"following")</f>
        <v>48092</v>
      </c>
      <c r="R33" s="15" t="str">
        <f ca="1">_xll.ohRangeRetrieveError(X33)</f>
        <v/>
      </c>
      <c r="S33" s="16" t="str">
        <f>_xll.qlSchedule(,$C$3,Q33,$T$5,$T$4,$T$6)</f>
        <v>obj_00095#0000</v>
      </c>
      <c r="T33" s="16" t="str">
        <f ca="1">_xll.qlIborLeg(,$T$6,$C$8,S33,,,$T$7,,$T$17,$T$8,AH33*$T$17)</f>
        <v>obj_001e5#0000</v>
      </c>
      <c r="U33" s="16" t="str">
        <f ca="1">_xll.qlIborLeg(,$T$6,$C$8,S33,,,$T$7,,$U$17,$T$9)</f>
        <v>obj_00141#0000</v>
      </c>
      <c r="V33" s="16" t="str">
        <f ca="1">_xll.qlSwap(,T33:U33,$T$18:$U$18)</f>
        <v>obj_0024c#0000</v>
      </c>
      <c r="W33" s="16" t="b">
        <f ca="1">_xll.qlInstrumentSetPricingEngine(V33,$T$13)</f>
        <v>1</v>
      </c>
      <c r="X33" s="98">
        <f ca="1">_xll.qlInstrumentNPV(V33,W33)</f>
        <v>-4020217.333040704</v>
      </c>
      <c r="Y33" s="16" t="str">
        <f>_xll.qlSchedule(,$C$3,Q33,$Z$5,$Z$4,$Z$6)</f>
        <v>obj_00072#0000</v>
      </c>
      <c r="Z33" s="16" t="str">
        <f ca="1">_xll.qlIborLeg(,$Z$6,Nominals,Y33,,,$Z$7,,$Z$17,$Z$8)</f>
        <v>obj_00256#0000</v>
      </c>
      <c r="AA33" s="16" t="str">
        <f ca="1">_xll.qlIborLeg(,$Z$6,Nominals,Y33,,,$Z$7,,$AA$17,$Z$9)</f>
        <v>obj_00274#0000</v>
      </c>
      <c r="AB33" s="16" t="str">
        <f ca="1">_xll.qlSwap(,Z33:AA33,$Z$18:$AA$18)</f>
        <v>obj_0027f#0000</v>
      </c>
      <c r="AC33" s="16" t="b">
        <f ca="1">_xll.qlInstrumentSetPricingEngine(AB33,$Z$13)</f>
        <v>1</v>
      </c>
      <c r="AD33" s="99">
        <f ca="1">_xll.qlInstrumentNPV(AB33,AC33)</f>
        <v>4490097.2870497108</v>
      </c>
      <c r="AE33" s="16"/>
      <c r="AF33" s="187">
        <f t="shared" ca="1" si="5"/>
        <v>-5309.734756404534</v>
      </c>
      <c r="AG33" s="261">
        <f t="shared" ca="1" si="7"/>
        <v>-5309.734756404534</v>
      </c>
      <c r="AH33" s="102">
        <f t="shared" si="6"/>
        <v>-4.0039258837000005E-3</v>
      </c>
      <c r="AI33" s="102">
        <f t="shared" si="6"/>
        <v>-4.0039258837000005E-3</v>
      </c>
      <c r="AK33" s="92">
        <v>43859</v>
      </c>
      <c r="AL33" s="115">
        <v>1.03554908157735</v>
      </c>
      <c r="AN33" s="92">
        <f t="shared" si="2"/>
        <v>43859</v>
      </c>
      <c r="AO33" s="115">
        <v>0.96691750560619105</v>
      </c>
      <c r="AQ33" s="92">
        <f t="shared" si="3"/>
        <v>43859</v>
      </c>
      <c r="AR33" s="115">
        <v>1.0070023595542601</v>
      </c>
      <c r="AS33" s="193"/>
      <c r="AT33" s="92">
        <f t="shared" si="0"/>
        <v>43859</v>
      </c>
      <c r="AU33" s="115">
        <v>0.95591545586395799</v>
      </c>
      <c r="AV33" s="193"/>
      <c r="AW33" s="172"/>
    </row>
    <row r="34" spans="2:49">
      <c r="B34" s="164" t="str">
        <v>GEN-EUR-USD-CCS-RESET-15Y</v>
      </c>
      <c r="C34" s="165">
        <v>-0.37139136212000001</v>
      </c>
      <c r="D34" s="87" t="s">
        <v>220</v>
      </c>
      <c r="F34" s="114">
        <f t="shared" si="4"/>
        <v>49186</v>
      </c>
      <c r="G34" s="175">
        <v>0.97124193898387567</v>
      </c>
      <c r="H34" s="137"/>
      <c r="K34" s="137"/>
      <c r="L34" s="58">
        <v>44803</v>
      </c>
      <c r="M34" s="130">
        <v>1.0331610992752491</v>
      </c>
      <c r="N34" s="130">
        <v>0.97390605390290907</v>
      </c>
      <c r="O34" s="115">
        <f t="shared" si="8"/>
        <v>118623427.44249502</v>
      </c>
      <c r="P34" s="115"/>
      <c r="Q34" s="85">
        <f>_xll.qlCalendarAdvance($T$4,$C$3,D34,"following")</f>
        <v>49186</v>
      </c>
      <c r="R34" s="15" t="str">
        <f ca="1">_xll.ohRangeRetrieveError(X34)</f>
        <v/>
      </c>
      <c r="S34" s="16" t="str">
        <f>_xll.qlSchedule(,$C$3,Q34,$T$5,$T$4,$T$6)</f>
        <v>obj_00097#0000</v>
      </c>
      <c r="T34" s="16" t="str">
        <f ca="1">_xll.qlIborLeg(,$T$6,$C$8,S34,,,$T$7,,$T$17,$T$8,AH34*$T$17)</f>
        <v>obj_001e3#0000</v>
      </c>
      <c r="U34" s="16" t="str">
        <f ca="1">_xll.qlIborLeg(,$T$6,$C$8,S34,,,$T$7,,$U$17,$T$9)</f>
        <v>obj_0013f#0000</v>
      </c>
      <c r="V34" s="16" t="str">
        <f ca="1">_xll.qlSwap(,T34:U34,$T$18:$U$18)</f>
        <v>obj_0024b#0000</v>
      </c>
      <c r="W34" s="16" t="b">
        <f ca="1">_xll.qlInstrumentSetPricingEngine(V34,$T$13)</f>
        <v>1</v>
      </c>
      <c r="X34" s="98">
        <f ca="1">_xll.qlInstrumentNPV(V34,W34)</f>
        <v>-4999756.0657025371</v>
      </c>
      <c r="Y34" s="16" t="str">
        <f>_xll.qlSchedule(,$C$3,Q34,$Z$5,$Z$4,$Z$6)</f>
        <v>obj_000a3#0000</v>
      </c>
      <c r="Z34" s="16" t="str">
        <f ca="1">_xll.qlIborLeg(,$Z$6,Nominals,Y34,,,$Z$7,,$Z$17,$Z$8)</f>
        <v>obj_0025e#0000</v>
      </c>
      <c r="AA34" s="16" t="str">
        <f ca="1">_xll.qlIborLeg(,$Z$6,Nominals,Y34,,,$Z$7,,$AA$17,$Z$9)</f>
        <v>obj_0025c#0000</v>
      </c>
      <c r="AB34" s="16" t="str">
        <f ca="1">_xll.qlSwap(,Z34:AA34,$Z$18:$AA$18)</f>
        <v>obj_0025f#0000</v>
      </c>
      <c r="AC34" s="16" t="b">
        <f ca="1">_xll.qlInstrumentSetPricingEngine(AB34,$Z$13)</f>
        <v>1</v>
      </c>
      <c r="AD34" s="99">
        <f ca="1">_xll.qlInstrumentNPV(AB34,AC34)</f>
        <v>5587963.4679424986</v>
      </c>
      <c r="AE34" s="16"/>
      <c r="AF34" s="187">
        <f t="shared" ca="1" si="5"/>
        <v>-2763.7647260790691</v>
      </c>
      <c r="AG34" s="261">
        <f t="shared" ca="1" si="7"/>
        <v>-2763.7647260790691</v>
      </c>
      <c r="AH34" s="102">
        <f t="shared" si="6"/>
        <v>-3.7139136212E-3</v>
      </c>
      <c r="AI34" s="102">
        <f t="shared" si="6"/>
        <v>-3.7139136212E-3</v>
      </c>
      <c r="AK34" s="92">
        <v>43950</v>
      </c>
      <c r="AL34" s="115">
        <v>1.03743205551094</v>
      </c>
      <c r="AN34" s="92">
        <f t="shared" si="2"/>
        <v>43950</v>
      </c>
      <c r="AO34" s="115">
        <v>0.96367784199273698</v>
      </c>
      <c r="AQ34" s="92">
        <f t="shared" si="3"/>
        <v>43950</v>
      </c>
      <c r="AR34" s="115">
        <v>1.00657639005383</v>
      </c>
      <c r="AS34" s="193"/>
      <c r="AT34" s="92">
        <f t="shared" si="0"/>
        <v>43950</v>
      </c>
      <c r="AU34" s="115">
        <v>0.951911077387535</v>
      </c>
      <c r="AV34" s="193"/>
      <c r="AW34" s="172"/>
    </row>
    <row r="35" spans="2:49">
      <c r="B35" s="167" t="str">
        <v>GEN-EUR-USD-CCS-RESET-20Y</v>
      </c>
      <c r="C35" s="168">
        <v>-0.33156864700999999</v>
      </c>
      <c r="D35" s="61" t="s">
        <v>221</v>
      </c>
      <c r="E35" s="61"/>
      <c r="F35" s="169">
        <f t="shared" si="4"/>
        <v>51012</v>
      </c>
      <c r="G35" s="175">
        <v>0.92373222343539307</v>
      </c>
      <c r="H35" s="137"/>
      <c r="K35" s="137"/>
      <c r="L35" s="170">
        <v>44895</v>
      </c>
      <c r="M35" s="171">
        <v>1.0350280032922936</v>
      </c>
      <c r="N35" s="171">
        <v>0.97091174878922826</v>
      </c>
      <c r="O35" s="61">
        <f t="shared" si="8"/>
        <v>119204275.23147543</v>
      </c>
      <c r="P35" s="115"/>
      <c r="Q35" s="85">
        <f>_xll.qlCalendarAdvance($T$4,$C$3,D35,"following")</f>
        <v>51012</v>
      </c>
      <c r="R35" s="15" t="str">
        <f ca="1">_xll.ohRangeRetrieveError(X35)</f>
        <v/>
      </c>
      <c r="S35" s="16" t="str">
        <f>_xll.qlSchedule(,$C$3,Q35,$T$5,$T$4,$T$6)</f>
        <v>obj_00093#0000</v>
      </c>
      <c r="T35" s="16" t="str">
        <f ca="1">_xll.qlIborLeg(,$T$6,$C$8,S35,,,$T$7,,$T$17,$T$8,AH35*$T$17)</f>
        <v>obj_001d8#0000</v>
      </c>
      <c r="U35" s="16" t="str">
        <f ca="1">_xll.qlIborLeg(,$T$6,$C$8,S35,,,$T$7,,$U$17,$T$9)</f>
        <v>obj_00145#0000</v>
      </c>
      <c r="V35" s="16" t="str">
        <f ca="1">_xll.qlSwap(,T35:U35,$T$18:$U$18)</f>
        <v>obj_0023d#0000</v>
      </c>
      <c r="W35" s="16" t="b">
        <f ca="1">_xll.qlInstrumentSetPricingEngine(V35,$T$13)</f>
        <v>1</v>
      </c>
      <c r="X35" s="98">
        <f ca="1">_xll.qlInstrumentNPV(V35,W35)</f>
        <v>-6559165.9833788844</v>
      </c>
      <c r="Y35" s="16" t="str">
        <f>_xll.qlSchedule(,$C$3,Q35,$Z$5,$Z$4,$Z$6)</f>
        <v>obj_000cb#0000</v>
      </c>
      <c r="Z35" s="16" t="str">
        <f ca="1">_xll.qlIborLeg(,$Z$6,Nominals,Y35,,,$Z$7,,$Z$17,$Z$8)</f>
        <v>obj_00271#0000</v>
      </c>
      <c r="AA35" s="16" t="str">
        <f ca="1">_xll.qlIborLeg(,$Z$6,Nominals,Y35,,,$Z$7,,$AA$17,$Z$9)</f>
        <v>obj_00276#0000</v>
      </c>
      <c r="AB35" s="16" t="str">
        <f ca="1">_xll.qlSwap(,Z35:AA35,$Z$18:$AA$18)</f>
        <v>obj_0027a#0000</v>
      </c>
      <c r="AC35" s="16" t="b">
        <f ca="1">_xll.qlInstrumentSetPricingEngine(AB35,$Z$13)</f>
        <v>1</v>
      </c>
      <c r="AD35" s="99">
        <f ca="1">_xll.qlInstrumentNPV(AB35,AC35)</f>
        <v>7327979.1676657721</v>
      </c>
      <c r="AE35" s="16"/>
      <c r="AF35" s="187">
        <f t="shared" ca="1" si="5"/>
        <v>-6480.2349484972656</v>
      </c>
      <c r="AG35" s="261">
        <f t="shared" ca="1" si="7"/>
        <v>-6480.2349484972656</v>
      </c>
      <c r="AH35" s="102">
        <f t="shared" si="6"/>
        <v>-3.3156864701000001E-3</v>
      </c>
      <c r="AI35" s="102">
        <f t="shared" si="6"/>
        <v>-3.3156864701000001E-3</v>
      </c>
      <c r="AK35" s="92">
        <v>44041</v>
      </c>
      <c r="AL35" s="115">
        <v>1.03917114253183</v>
      </c>
      <c r="AN35" s="92">
        <f t="shared" si="2"/>
        <v>44041</v>
      </c>
      <c r="AO35" s="115">
        <v>0.96034107922855105</v>
      </c>
      <c r="AQ35" s="92">
        <f t="shared" si="3"/>
        <v>44041</v>
      </c>
      <c r="AR35" s="115">
        <v>1.00597607258614</v>
      </c>
      <c r="AS35" s="193"/>
      <c r="AT35" s="92">
        <f t="shared" si="0"/>
        <v>44041</v>
      </c>
      <c r="AU35" s="115">
        <v>0.94779535966077699</v>
      </c>
      <c r="AV35" s="193"/>
      <c r="AW35" s="172"/>
    </row>
    <row r="36" spans="2:49">
      <c r="B36" s="166" t="str">
        <v>GEN-EUR-USD-CCS-RESET-25Y</v>
      </c>
      <c r="C36" s="143">
        <v>-0.29908286568999998</v>
      </c>
      <c r="D36" s="87" t="s">
        <v>222</v>
      </c>
      <c r="F36" s="114">
        <f t="shared" si="4"/>
        <v>52839</v>
      </c>
      <c r="G36" s="175">
        <v>0.88979391568482769</v>
      </c>
      <c r="H36" s="137"/>
      <c r="K36" s="137"/>
      <c r="L36" s="58">
        <v>44985</v>
      </c>
      <c r="M36" s="130">
        <v>1.0368575866524594</v>
      </c>
      <c r="N36" s="130">
        <v>0.9679914455267149</v>
      </c>
      <c r="O36" s="115">
        <f t="shared" si="8"/>
        <v>119775247.88598791</v>
      </c>
      <c r="P36" s="115"/>
      <c r="Q36" s="85">
        <f>_xll.qlCalendarAdvance($T$4,$C$3,D36,"following")</f>
        <v>52839</v>
      </c>
      <c r="R36" s="15" t="str">
        <f ca="1">_xll.ohRangeRetrieveError(X36)</f>
        <v/>
      </c>
      <c r="S36" s="16" t="str">
        <f>_xll.qlSchedule(,$C$3,Q36,$T$5,$T$4,$T$6)</f>
        <v>obj_0009a#0000</v>
      </c>
      <c r="T36" s="16" t="str">
        <f ca="1">_xll.qlIborLeg(,$T$6,$C$8,S36,,,$T$7,,$T$17,$T$8,AH36*$T$17)</f>
        <v>obj_001d6#0000</v>
      </c>
      <c r="U36" s="16" t="str">
        <f ca="1">_xll.qlIborLeg(,$T$6,$C$8,S36,,,$T$7,,$U$17,$T$9)</f>
        <v>obj_00143#0000</v>
      </c>
      <c r="V36" s="16" t="str">
        <f ca="1">_xll.qlSwap(,T36:U36,$T$18:$U$18)</f>
        <v>obj_00249#0000</v>
      </c>
      <c r="W36" s="16" t="b">
        <f ca="1">_xll.qlInstrumentSetPricingEngine(V36,$T$13)</f>
        <v>1</v>
      </c>
      <c r="X36" s="98">
        <f ca="1">_xll.qlInstrumentNPV(V36,W36)</f>
        <v>-8062806.5824919883</v>
      </c>
      <c r="Y36" s="16" t="str">
        <f>_xll.qlSchedule(,$C$3,Q36,$Z$5,$Z$4,$Z$6)</f>
        <v>obj_00034#0000</v>
      </c>
      <c r="Z36" s="16" t="str">
        <f ca="1">_xll.qlIborLeg(,$Z$6,Nominals,Y36,,,$Z$7,,$Z$17,$Z$8)</f>
        <v>obj_00260#0000</v>
      </c>
      <c r="AA36" s="16" t="str">
        <f ca="1">_xll.qlIborLeg(,$Z$6,Nominals,Y36,,,$Z$7,,$AA$17,$Z$9)</f>
        <v>obj_0026f#0000</v>
      </c>
      <c r="AB36" s="16" t="str">
        <f ca="1">_xll.qlSwap(,Z36:AA36,$Z$18:$AA$18)</f>
        <v>obj_00284#0000</v>
      </c>
      <c r="AC36" s="16" t="b">
        <f ca="1">_xll.qlInstrumentSetPricingEngine(AB36,$Z$13)</f>
        <v>1</v>
      </c>
      <c r="AD36" s="99">
        <f ca="1">_xll.qlInstrumentNPV(AB36,AC36)</f>
        <v>9007180.6160096005</v>
      </c>
      <c r="AE36" s="16"/>
      <c r="AF36" s="187">
        <f t="shared" ca="1" si="5"/>
        <v>-8649.7045329418033</v>
      </c>
      <c r="AG36" s="261">
        <f t="shared" ca="1" si="7"/>
        <v>-8649.7045329418033</v>
      </c>
      <c r="AH36" s="102">
        <f t="shared" si="6"/>
        <v>-2.9908286568999997E-3</v>
      </c>
      <c r="AI36" s="102">
        <f t="shared" si="6"/>
        <v>-2.9908286568999997E-3</v>
      </c>
      <c r="AK36" s="92">
        <v>44133</v>
      </c>
      <c r="AL36" s="115">
        <v>1.04081225417562</v>
      </c>
      <c r="AN36" s="92">
        <f t="shared" si="2"/>
        <v>44133</v>
      </c>
      <c r="AO36" s="115">
        <v>0.95686686050287995</v>
      </c>
      <c r="AQ36" s="92">
        <f t="shared" si="3"/>
        <v>44133</v>
      </c>
      <c r="AR36" s="115">
        <v>1.0052042452880401</v>
      </c>
      <c r="AS36" s="193"/>
      <c r="AT36" s="92">
        <f t="shared" si="0"/>
        <v>44133</v>
      </c>
      <c r="AU36" s="115">
        <v>0.94351993888596897</v>
      </c>
      <c r="AV36" s="193"/>
      <c r="AW36" s="172"/>
    </row>
    <row r="37" spans="2:49">
      <c r="B37" s="156" t="str">
        <v>GEN-EUR-USD-CCS-RESET-30Y</v>
      </c>
      <c r="C37" s="152">
        <v>-0.28674021132999999</v>
      </c>
      <c r="D37" s="87" t="s">
        <v>223</v>
      </c>
      <c r="F37" s="114">
        <f t="shared" si="4"/>
        <v>54665</v>
      </c>
      <c r="G37" s="175">
        <v>0.86414503116098751</v>
      </c>
      <c r="H37" s="137"/>
      <c r="K37" s="137"/>
      <c r="L37" s="58">
        <v>45076</v>
      </c>
      <c r="M37" s="130">
        <v>1.0387107869308094</v>
      </c>
      <c r="N37" s="130">
        <v>0.96504762496018859</v>
      </c>
      <c r="O37" s="115">
        <f t="shared" si="8"/>
        <v>120355345.36380486</v>
      </c>
      <c r="P37" s="115"/>
      <c r="Q37" s="85">
        <f>_xll.qlCalendarAdvance($T$4,$C$3,D37,"following")</f>
        <v>54665</v>
      </c>
      <c r="R37" s="15" t="str">
        <f ca="1">_xll.ohRangeRetrieveError(X37)</f>
        <v/>
      </c>
      <c r="S37" s="16" t="str">
        <f>_xll.qlSchedule(,$C$3,Q37,$T$5,$T$4,$T$6)</f>
        <v>obj_0009b#0000</v>
      </c>
      <c r="T37" s="16" t="str">
        <f ca="1">_xll.qlIborLeg(,$T$6,$C$8,S37,,,$T$7,,$T$17,$T$8,AH37*$T$17)</f>
        <v>obj_001d7#0000</v>
      </c>
      <c r="U37" s="16" t="str">
        <f ca="1">_xll.qlIborLeg(,$T$6,$C$8,S37,,,$T$7,,$U$17,$T$9)</f>
        <v>obj_00140#0000</v>
      </c>
      <c r="V37" s="16" t="str">
        <f ca="1">_xll.qlSwap(,T37:U37,$T$18:$U$18)</f>
        <v>obj_0023c#0000</v>
      </c>
      <c r="W37" s="16" t="b">
        <f ca="1">_xll.qlInstrumentSetPricingEngine(V37,$T$13)</f>
        <v>1</v>
      </c>
      <c r="X37" s="98">
        <f ca="1">_xll.qlInstrumentNPV(V37,W37)</f>
        <v>-9592754.5116146058</v>
      </c>
      <c r="Y37" s="16" t="str">
        <f>_xll.qlSchedule(,$C$3,Q37,$Z$5,$Z$4,$Z$6)</f>
        <v>obj_000a2#0000</v>
      </c>
      <c r="Z37" s="16" t="str">
        <f ca="1">_xll.qlIborLeg(,$Z$6,Nominals,Y37,,,$Z$7,,$Z$17,$Z$8)</f>
        <v>obj_00265#0000</v>
      </c>
      <c r="AA37" s="16" t="str">
        <f ca="1">_xll.qlIborLeg(,$Z$6,Nominals,Y37,,,$Z$7,,$AA$17,$Z$9)</f>
        <v>obj_0025a#0000</v>
      </c>
      <c r="AB37" s="16" t="str">
        <f ca="1">_xll.qlSwap(,Z37:AA37,$Z$18:$AA$18)</f>
        <v>obj_00280#0000</v>
      </c>
      <c r="AC37" s="16" t="b">
        <f ca="1">_xll.qlInstrumentSetPricingEngine(AB37,$Z$13)</f>
        <v>1</v>
      </c>
      <c r="AD37" s="99">
        <f ca="1">_xll.qlInstrumentNPV(AB37,AC37)</f>
        <v>10683931.661489069</v>
      </c>
      <c r="AE37" s="16"/>
      <c r="AF37" s="187">
        <f t="shared" ca="1" si="5"/>
        <v>-42686.433398382738</v>
      </c>
      <c r="AG37" s="261">
        <f t="shared" ca="1" si="7"/>
        <v>-42686.433398382738</v>
      </c>
      <c r="AH37" s="102">
        <f t="shared" si="6"/>
        <v>-2.8674021132999998E-3</v>
      </c>
      <c r="AI37" s="102">
        <f t="shared" si="6"/>
        <v>-2.8674021132999998E-3</v>
      </c>
      <c r="AK37" s="92">
        <v>44225</v>
      </c>
      <c r="AL37" s="115">
        <v>1.04226918157531</v>
      </c>
      <c r="AN37" s="92">
        <f t="shared" si="2"/>
        <v>44225</v>
      </c>
      <c r="AO37" s="115">
        <v>0.953291821156248</v>
      </c>
      <c r="AQ37" s="92">
        <f t="shared" si="3"/>
        <v>44225</v>
      </c>
      <c r="AR37" s="115">
        <v>1.0042478215173201</v>
      </c>
      <c r="AS37" s="193"/>
      <c r="AT37" s="92">
        <f t="shared" si="0"/>
        <v>44225</v>
      </c>
      <c r="AU37" s="115">
        <v>0.93913922444883402</v>
      </c>
      <c r="AV37" s="193"/>
      <c r="AW37" s="172"/>
    </row>
    <row r="38" spans="2:49">
      <c r="B38" s="156" t="str">
        <v>GEN-EUR-USD-CCS-RESET-40Y</v>
      </c>
      <c r="C38" s="152">
        <v>-0.32884304423999999</v>
      </c>
      <c r="D38" s="87" t="s">
        <v>224</v>
      </c>
      <c r="F38" s="114">
        <f t="shared" si="4"/>
        <v>58319</v>
      </c>
      <c r="G38" s="175">
        <v>0.83301128783345968</v>
      </c>
      <c r="H38" s="137"/>
      <c r="K38" s="137"/>
      <c r="L38" s="58">
        <v>45168</v>
      </c>
      <c r="M38" s="130">
        <v>1.0405877191362796</v>
      </c>
      <c r="N38" s="130">
        <v>0.96207166089038854</v>
      </c>
      <c r="O38" s="115">
        <f t="shared" si="8"/>
        <v>120945791.75747682</v>
      </c>
      <c r="P38" s="115"/>
      <c r="Q38" s="85">
        <f>_xll.qlCalendarAdvance($T$4,$C$3,D38,"following")</f>
        <v>58319</v>
      </c>
      <c r="R38" s="15" t="str">
        <f ca="1">_xll.ohRangeRetrieveError(X38)</f>
        <v/>
      </c>
      <c r="S38" s="16" t="str">
        <f>_xll.qlSchedule(,$C$3,Q38,$T$5,$T$4,$T$6)</f>
        <v>obj_00099#0000</v>
      </c>
      <c r="T38" s="16" t="str">
        <f ca="1">_xll.qlIborLeg(,$T$6,$C$8,S38,,,$T$7,,$T$17,$T$8,AH38*$T$17)</f>
        <v>obj_001dd#0000</v>
      </c>
      <c r="U38" s="16" t="str">
        <f ca="1">_xll.qlIborLeg(,$T$6,$C$8,S38,,,$T$7,,$U$17,$T$9)</f>
        <v>obj_00144#0000</v>
      </c>
      <c r="V38" s="16" t="str">
        <f ca="1">_xll.qlSwap(,T38:U38,$T$18:$U$18)</f>
        <v>obj_00240#0000</v>
      </c>
      <c r="W38" s="16" t="b">
        <f ca="1">_xll.qlInstrumentSetPricingEngine(V38,$T$13)</f>
        <v>1</v>
      </c>
      <c r="X38" s="98">
        <f ca="1">_xll.qlInstrumentNPV(V38,W38)</f>
        <v>-12399208.465987656</v>
      </c>
      <c r="Y38" s="16" t="str">
        <f>_xll.qlSchedule(,$C$3,Q38,$Z$5,$Z$4,$Z$6)</f>
        <v>obj_000b8#0000</v>
      </c>
      <c r="Z38" s="16" t="str">
        <f ca="1">_xll.qlIborLeg(,$Z$6,Nominals,Y38,,,$Z$7,,$Z$17,$Z$8)</f>
        <v>obj_0024e#0000</v>
      </c>
      <c r="AA38" s="16" t="str">
        <f ca="1">_xll.qlIborLeg(,$Z$6,Nominals,Y38,,,$Z$7,,$AA$17,$Z$9)</f>
        <v>obj_00252#0000</v>
      </c>
      <c r="AB38" s="16" t="str">
        <f ca="1">_xll.qlSwap(,Z38:AA38,$Z$18:$AA$18)</f>
        <v>obj_00286#0000</v>
      </c>
      <c r="AC38" s="16" t="b">
        <f ca="1">_xll.qlInstrumentSetPricingEngine(AB38,$Z$13)</f>
        <v>1</v>
      </c>
      <c r="AD38" s="99">
        <f ca="1">_xll.qlInstrumentNPV(AB38,AC38)</f>
        <v>13853088.613051057</v>
      </c>
      <c r="AE38" s="16"/>
      <c r="AF38" s="187">
        <f t="shared" ca="1" si="5"/>
        <v>-11706.293616341427</v>
      </c>
      <c r="AG38" s="261">
        <f t="shared" ca="1" si="7"/>
        <v>-11706.293616341427</v>
      </c>
      <c r="AH38" s="102">
        <f t="shared" si="6"/>
        <v>-3.2884304424000001E-3</v>
      </c>
      <c r="AI38" s="102">
        <f t="shared" si="6"/>
        <v>-3.2884304424000001E-3</v>
      </c>
      <c r="AK38" s="92">
        <v>44315</v>
      </c>
      <c r="AL38" s="115">
        <v>1.0434522438735201</v>
      </c>
      <c r="AN38" s="92">
        <f t="shared" si="2"/>
        <v>44315</v>
      </c>
      <c r="AO38" s="115">
        <v>0.94969748623461703</v>
      </c>
      <c r="AQ38" s="92">
        <f t="shared" si="3"/>
        <v>44315</v>
      </c>
      <c r="AR38" s="115">
        <v>1.0031157310397101</v>
      </c>
      <c r="AS38" s="193"/>
      <c r="AT38" s="92">
        <f t="shared" si="0"/>
        <v>44315</v>
      </c>
      <c r="AU38" s="115">
        <v>0.93476115713167696</v>
      </c>
      <c r="AV38" s="193"/>
      <c r="AW38" s="172"/>
    </row>
    <row r="39" spans="2:49">
      <c r="B39" s="156" t="str">
        <v>GEN-EUR-USD-CCS-RESET-50Y</v>
      </c>
      <c r="C39" s="191">
        <v>-0.80125000000000002</v>
      </c>
      <c r="D39" s="87" t="s">
        <v>225</v>
      </c>
      <c r="E39" s="105"/>
      <c r="F39" s="114">
        <f>Q39</f>
        <v>61970</v>
      </c>
      <c r="G39" s="175">
        <v>1.0358112818153957</v>
      </c>
      <c r="H39" s="137"/>
      <c r="K39" s="137"/>
      <c r="L39" s="58">
        <v>45260</v>
      </c>
      <c r="M39" s="130">
        <v>1.0416980749117899</v>
      </c>
      <c r="N39" s="130">
        <v>0.95870594156964017</v>
      </c>
      <c r="O39" s="115">
        <f t="shared" si="8"/>
        <v>121499902.82309633</v>
      </c>
      <c r="P39" s="115"/>
      <c r="Q39" s="85">
        <f>_xll.qlCalendarAdvance($T$4,$C$3,D39,"following")</f>
        <v>61970</v>
      </c>
      <c r="R39" s="15" t="str">
        <f ca="1">_xll.ohRangeRetrieveError(X39)</f>
        <v/>
      </c>
      <c r="S39" s="16" t="str">
        <f>_xll.qlSchedule(,$C$3,Q39,$T$5,$T$4,$T$6)</f>
        <v>obj_000a1#0000</v>
      </c>
      <c r="T39" s="16" t="str">
        <f ca="1">_xll.qlIborLeg(,$T$6,$C$8,S39,,,$T$7,,$T$17,$T$8,AH39*$T$17)</f>
        <v>obj_001df#0000</v>
      </c>
      <c r="U39" s="16" t="str">
        <f ca="1">_xll.qlIborLeg(,$T$6,$C$8,S39,,,$T$7,,$U$17,$T$9)</f>
        <v>obj_00148#0000</v>
      </c>
      <c r="V39" s="16" t="str">
        <f ca="1">_xll.qlSwap(,T39:U39,$T$18:$U$18)</f>
        <v>obj_0023e#0000</v>
      </c>
      <c r="W39" s="16" t="b">
        <f ca="1">_xll.qlInstrumentSetPricingEngine(V39,$T$13)</f>
        <v>1</v>
      </c>
      <c r="X39" s="98">
        <f ca="1">_xll.qlInstrumentNPV(V39,W39)</f>
        <v>-15414886.580246275</v>
      </c>
      <c r="Y39" s="16" t="str">
        <f>_xll.qlSchedule(,$C$3,Q39,$Z$5,$Z$4,$Z$6)</f>
        <v>obj_0004b#0000</v>
      </c>
      <c r="Z39" s="16" t="str">
        <f ca="1">_xll.qlIborLeg(,$Z$6,Nominals,Y39,,,$Z$7,,$Z$17,$Z$8)</f>
        <v>obj_00277#0000</v>
      </c>
      <c r="AA39" s="16" t="str">
        <f ca="1">_xll.qlIborLeg(,$Z$6,Nominals,Y39,,,$Z$7,,$AA$17,$Z$9)</f>
        <v>obj_00270#0000</v>
      </c>
      <c r="AB39" s="16" t="str">
        <f ca="1">_xll.qlSwap(,Z39:AA39,$Z$18:$AA$18)</f>
        <v>obj_00281#0000</v>
      </c>
      <c r="AC39" s="16" t="b">
        <f ca="1">_xll.qlInstrumentSetPricingEngine(AB39,$Z$13)</f>
        <v>1</v>
      </c>
      <c r="AD39" s="99">
        <f ca="1">_xll.qlInstrumentNPV(AB39,AC39)</f>
        <v>17224720.060432121</v>
      </c>
      <c r="AE39" s="16"/>
      <c r="AF39" s="187">
        <f ca="1">AD39+X39*C$12</f>
        <v>-12206.113599266857</v>
      </c>
      <c r="AG39" s="261">
        <f t="shared" ca="1" si="7"/>
        <v>-12206.113599266857</v>
      </c>
      <c r="AH39" s="102">
        <f t="shared" si="6"/>
        <v>-8.0125000000000005E-3</v>
      </c>
      <c r="AI39" s="102">
        <f t="shared" si="6"/>
        <v>-8.0125000000000005E-3</v>
      </c>
      <c r="AK39" s="92">
        <v>44406</v>
      </c>
      <c r="AL39" s="115">
        <v>1.0444283899137901</v>
      </c>
      <c r="AN39" s="92">
        <f t="shared" si="2"/>
        <v>44406</v>
      </c>
      <c r="AO39" s="115">
        <v>0.94596242496553595</v>
      </c>
      <c r="AQ39" s="92">
        <f t="shared" si="3"/>
        <v>44406</v>
      </c>
      <c r="AR39" s="115">
        <v>1.0017835946674101</v>
      </c>
      <c r="AS39" s="193"/>
      <c r="AT39" s="92">
        <f t="shared" si="0"/>
        <v>44406</v>
      </c>
      <c r="AU39" s="115">
        <v>0.93023436474907195</v>
      </c>
      <c r="AV39" s="193"/>
      <c r="AW39" s="172"/>
    </row>
    <row r="40" spans="2:49">
      <c r="B40" s="158">
        <v>0</v>
      </c>
      <c r="C40" s="159" t="e">
        <v>#N/A</v>
      </c>
      <c r="F40" s="108"/>
      <c r="G40" s="111"/>
      <c r="H40" s="137"/>
      <c r="K40" s="26"/>
      <c r="L40" s="58">
        <v>45351</v>
      </c>
      <c r="M40" s="130">
        <v>1.0427975271524081</v>
      </c>
      <c r="N40" s="130">
        <v>0.95538838967876671</v>
      </c>
      <c r="O40" s="115">
        <f t="shared" si="8"/>
        <v>122050488.31019287</v>
      </c>
      <c r="P40" s="115"/>
      <c r="Q40" s="85"/>
      <c r="R40" s="15" t="str">
        <f>_xll.ohRangeRetrieveError(X40)</f>
        <v/>
      </c>
      <c r="S40" s="16"/>
      <c r="T40" s="16"/>
      <c r="U40" s="16"/>
      <c r="V40" s="16"/>
      <c r="W40" s="16"/>
      <c r="X40" s="98"/>
      <c r="Y40" s="16"/>
      <c r="Z40" s="16"/>
      <c r="AA40" s="16"/>
      <c r="AB40" s="16"/>
      <c r="AC40" s="16"/>
      <c r="AD40" s="99"/>
      <c r="AE40" s="16"/>
      <c r="AF40" s="99"/>
      <c r="AG40" s="103"/>
      <c r="AH40" s="102"/>
      <c r="AI40" s="102"/>
      <c r="AK40" s="92">
        <v>44498</v>
      </c>
      <c r="AL40" s="115">
        <v>1.0452114541891699</v>
      </c>
      <c r="AN40" s="92">
        <f t="shared" si="2"/>
        <v>44498</v>
      </c>
      <c r="AO40" s="115">
        <v>0.94207885459072804</v>
      </c>
      <c r="AQ40" s="92">
        <f t="shared" si="3"/>
        <v>44498</v>
      </c>
      <c r="AR40" s="115">
        <v>1.00025527409023</v>
      </c>
      <c r="AS40" s="193"/>
      <c r="AT40" s="92">
        <f t="shared" si="0"/>
        <v>44498</v>
      </c>
      <c r="AU40" s="115">
        <v>0.925547550535334</v>
      </c>
      <c r="AV40" s="193"/>
      <c r="AW40" s="172"/>
    </row>
    <row r="41" spans="2:49">
      <c r="B41" s="158">
        <v>0</v>
      </c>
      <c r="C41" s="159" t="e">
        <v>#N/A</v>
      </c>
      <c r="F41" s="108"/>
      <c r="G41" s="111"/>
      <c r="H41" s="137"/>
      <c r="K41" s="26"/>
      <c r="L41" s="58">
        <v>45442</v>
      </c>
      <c r="M41" s="130">
        <v>1.0438981398014582</v>
      </c>
      <c r="N41" s="130">
        <v>0.95208231800312026</v>
      </c>
      <c r="O41" s="115">
        <f t="shared" si="8"/>
        <v>122603568.81474665</v>
      </c>
      <c r="P41" s="115"/>
      <c r="Q41" s="85"/>
      <c r="R41" s="15" t="str">
        <f>_xll.ohRangeRetrieveError(X41)</f>
        <v/>
      </c>
      <c r="S41" s="16"/>
      <c r="T41" s="16"/>
      <c r="U41" s="16"/>
      <c r="V41" s="16"/>
      <c r="W41" s="16"/>
      <c r="X41" s="98"/>
      <c r="Y41" s="16"/>
      <c r="Z41" s="16"/>
      <c r="AA41" s="16"/>
      <c r="AB41" s="16"/>
      <c r="AC41" s="16"/>
      <c r="AD41" s="99"/>
      <c r="AE41" s="16"/>
      <c r="AF41" s="99"/>
      <c r="AG41" s="103"/>
      <c r="AH41" s="102"/>
      <c r="AI41" s="192"/>
      <c r="AK41" s="92">
        <v>44592</v>
      </c>
      <c r="AL41" s="115">
        <v>1.0457732293108799</v>
      </c>
      <c r="AN41" s="92">
        <f t="shared" si="2"/>
        <v>44592</v>
      </c>
      <c r="AO41" s="115">
        <v>0.93802249407289495</v>
      </c>
      <c r="AQ41" s="92">
        <f t="shared" si="3"/>
        <v>44592</v>
      </c>
      <c r="AR41" s="115">
        <v>0.99848739620972204</v>
      </c>
      <c r="AS41" s="193"/>
      <c r="AT41" s="92">
        <f t="shared" si="0"/>
        <v>44592</v>
      </c>
      <c r="AU41" s="115">
        <v>0.92067530409174703</v>
      </c>
      <c r="AV41" s="193"/>
      <c r="AW41" s="172"/>
    </row>
    <row r="42" spans="2:49">
      <c r="B42" s="158">
        <v>0</v>
      </c>
      <c r="C42" s="159" t="e">
        <v>#N/A</v>
      </c>
      <c r="F42" s="108"/>
      <c r="G42" s="111"/>
      <c r="H42" s="137"/>
      <c r="K42" s="26"/>
      <c r="L42" s="58">
        <v>45534</v>
      </c>
      <c r="M42" s="130">
        <v>1.0450120279506814</v>
      </c>
      <c r="N42" s="130">
        <v>0.94874730585865741</v>
      </c>
      <c r="O42" s="115">
        <f t="shared" si="8"/>
        <v>123165825.34027641</v>
      </c>
      <c r="P42" s="115"/>
      <c r="Q42" s="85"/>
      <c r="R42" s="15" t="str">
        <f>_xll.ohRangeRetrieveError(X42)</f>
        <v/>
      </c>
      <c r="S42" s="16"/>
      <c r="T42" s="16"/>
      <c r="U42" s="16"/>
      <c r="V42" s="16"/>
      <c r="W42" s="16"/>
      <c r="X42" s="98"/>
      <c r="Y42" s="16"/>
      <c r="Z42" s="16"/>
      <c r="AA42" s="16"/>
      <c r="AB42" s="16"/>
      <c r="AC42" s="16"/>
      <c r="AD42" s="99"/>
      <c r="AE42" s="16"/>
      <c r="AF42" s="99"/>
      <c r="AG42" s="103"/>
      <c r="AH42" s="102"/>
      <c r="AI42" s="102"/>
      <c r="AK42" s="92">
        <v>44680</v>
      </c>
      <c r="AL42" s="115">
        <v>1.0460570996166301</v>
      </c>
      <c r="AN42" s="92">
        <f t="shared" si="2"/>
        <v>44680</v>
      </c>
      <c r="AO42" s="115">
        <v>0.93416458152982995</v>
      </c>
      <c r="AQ42" s="92">
        <f t="shared" si="3"/>
        <v>44680</v>
      </c>
      <c r="AR42" s="115">
        <v>0.99662767981827105</v>
      </c>
      <c r="AS42" s="193"/>
      <c r="AT42" s="92">
        <f t="shared" si="0"/>
        <v>44680</v>
      </c>
      <c r="AU42" s="115">
        <v>0.91606471064293304</v>
      </c>
      <c r="AV42" s="193"/>
      <c r="AW42" s="172"/>
    </row>
    <row r="43" spans="2:49">
      <c r="B43" s="158">
        <v>0</v>
      </c>
      <c r="C43" s="159" t="e">
        <v>#N/A</v>
      </c>
      <c r="F43" s="108"/>
      <c r="G43" s="111"/>
      <c r="H43" s="137"/>
      <c r="K43" s="26"/>
      <c r="L43" s="58">
        <v>45625</v>
      </c>
      <c r="M43" s="130">
        <v>1.0452623220980299</v>
      </c>
      <c r="N43" s="130">
        <v>0.94527200000310752</v>
      </c>
      <c r="O43" s="115">
        <f t="shared" si="8"/>
        <v>123648254.53056632</v>
      </c>
      <c r="P43" s="115"/>
      <c r="Q43" s="42"/>
      <c r="R43" s="15" t="str">
        <f>_xll.ohRangeRetrieveError(X43)</f>
        <v/>
      </c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7"/>
      <c r="AI43" s="115"/>
      <c r="AK43" s="92">
        <v>44771</v>
      </c>
      <c r="AL43" s="115">
        <v>1.0461072931645401</v>
      </c>
      <c r="AN43" s="92">
        <f t="shared" si="2"/>
        <v>44771</v>
      </c>
      <c r="AO43" s="115">
        <v>0.93010098163678501</v>
      </c>
      <c r="AQ43" s="92">
        <f t="shared" si="3"/>
        <v>44771</v>
      </c>
      <c r="AR43" s="115">
        <v>0.99449366487687296</v>
      </c>
      <c r="AS43" s="193"/>
      <c r="AT43" s="92">
        <f t="shared" si="0"/>
        <v>44771</v>
      </c>
      <c r="AU43" s="115">
        <v>0.91123369377065899</v>
      </c>
      <c r="AV43" s="193"/>
      <c r="AW43" s="172"/>
    </row>
    <row r="44" spans="2:49">
      <c r="B44" s="158">
        <v>0</v>
      </c>
      <c r="C44" s="159" t="e">
        <v>#N/A</v>
      </c>
      <c r="F44" s="108"/>
      <c r="G44" s="111"/>
      <c r="H44" s="26"/>
      <c r="I44" s="26"/>
      <c r="J44" s="26"/>
      <c r="K44" s="26"/>
      <c r="L44" s="58">
        <v>45716</v>
      </c>
      <c r="M44" s="130">
        <v>1.045512676194124</v>
      </c>
      <c r="N44" s="130">
        <v>0.9418094243558176</v>
      </c>
      <c r="O44" s="115">
        <f t="shared" si="8"/>
        <v>124132573.35154718</v>
      </c>
      <c r="P44" s="115"/>
      <c r="Q44" s="42"/>
      <c r="R44" s="15" t="str">
        <f>_xll.ohRangeRetrieveError(X44)</f>
        <v/>
      </c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7"/>
      <c r="AI44" s="115"/>
      <c r="AK44" s="92">
        <v>44865</v>
      </c>
      <c r="AL44" s="115">
        <v>1.0458993546441699</v>
      </c>
      <c r="AN44" s="92">
        <f t="shared" si="2"/>
        <v>44865</v>
      </c>
      <c r="AO44" s="115">
        <v>0.92581118126598305</v>
      </c>
      <c r="AQ44" s="92">
        <f t="shared" si="3"/>
        <v>44865</v>
      </c>
      <c r="AR44" s="115">
        <v>0.99205806987742096</v>
      </c>
      <c r="AS44" s="193"/>
      <c r="AT44" s="92">
        <f t="shared" si="0"/>
        <v>44865</v>
      </c>
      <c r="AU44" s="115">
        <v>0.90616335556690797</v>
      </c>
      <c r="AV44" s="193"/>
      <c r="AW44" s="172"/>
    </row>
    <row r="45" spans="2:49">
      <c r="B45" s="158">
        <v>0</v>
      </c>
      <c r="C45" s="159" t="e">
        <v>#N/A</v>
      </c>
      <c r="F45" s="108"/>
      <c r="G45" s="111"/>
      <c r="H45" s="26"/>
      <c r="I45" s="26"/>
      <c r="J45" s="26"/>
      <c r="K45" s="26"/>
      <c r="L45" s="58">
        <v>45807</v>
      </c>
      <c r="M45" s="130">
        <v>1.0457630902533221</v>
      </c>
      <c r="N45" s="130">
        <v>0.938359532285438</v>
      </c>
      <c r="O45" s="115">
        <f t="shared" si="8"/>
        <v>124618789.20472835</v>
      </c>
      <c r="P45" s="115"/>
      <c r="Q45" s="42"/>
      <c r="R45" s="15" t="str">
        <f>_xll.ohRangeRetrieveError(X45)</f>
        <v/>
      </c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7"/>
      <c r="AI45" s="115"/>
      <c r="AK45" s="92">
        <v>44956</v>
      </c>
      <c r="AL45" s="115">
        <v>1.0454657129200799</v>
      </c>
      <c r="AN45" s="92">
        <f t="shared" si="2"/>
        <v>44956</v>
      </c>
      <c r="AO45" s="115">
        <v>0.92160479258332595</v>
      </c>
      <c r="AQ45" s="92">
        <f t="shared" si="3"/>
        <v>44956</v>
      </c>
      <c r="AR45" s="115">
        <v>0.98951928506659503</v>
      </c>
      <c r="AS45" s="193"/>
      <c r="AT45" s="92">
        <f t="shared" si="0"/>
        <v>44956</v>
      </c>
      <c r="AU45" s="115">
        <v>0.90120652556694103</v>
      </c>
      <c r="AV45" s="193"/>
      <c r="AW45" s="172"/>
    </row>
    <row r="46" spans="2:49">
      <c r="B46" s="158">
        <v>0</v>
      </c>
      <c r="C46" s="159" t="e">
        <v>#N/A</v>
      </c>
      <c r="F46" s="108"/>
      <c r="G46" s="111"/>
      <c r="H46" s="26"/>
      <c r="I46" s="26"/>
      <c r="J46" s="26"/>
      <c r="K46" s="26"/>
      <c r="L46" s="58">
        <v>45898</v>
      </c>
      <c r="M46" s="130">
        <v>1.0460135642899864</v>
      </c>
      <c r="N46" s="130">
        <v>0.93491650612225197</v>
      </c>
      <c r="O46" s="115">
        <f t="shared" si="8"/>
        <v>125107681.801493</v>
      </c>
      <c r="P46" s="115"/>
      <c r="Q46" s="42"/>
      <c r="R46" s="15" t="str">
        <f>_xll.ohRangeRetrieveError(X46)</f>
        <v/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7"/>
      <c r="AI46" s="115"/>
      <c r="AK46" s="92">
        <v>45044</v>
      </c>
      <c r="AL46" s="115">
        <v>1.0448471001361199</v>
      </c>
      <c r="AN46" s="92">
        <f t="shared" si="2"/>
        <v>45044</v>
      </c>
      <c r="AO46" s="115">
        <v>0.91751882644776495</v>
      </c>
      <c r="AQ46" s="92">
        <f t="shared" si="3"/>
        <v>45044</v>
      </c>
      <c r="AR46" s="115">
        <v>0.98693345137154198</v>
      </c>
      <c r="AS46" s="193"/>
      <c r="AT46" s="92">
        <f t="shared" si="0"/>
        <v>45044</v>
      </c>
      <c r="AU46" s="115">
        <v>0.89639376220201705</v>
      </c>
      <c r="AV46" s="193"/>
      <c r="AW46" s="172"/>
    </row>
    <row r="47" spans="2:49">
      <c r="B47" s="158">
        <v>0</v>
      </c>
      <c r="C47" s="159" t="e">
        <v>#N/A</v>
      </c>
      <c r="F47" s="108"/>
      <c r="G47" s="111"/>
      <c r="H47" s="26"/>
      <c r="I47" s="26"/>
      <c r="J47" s="26"/>
      <c r="K47" s="26"/>
      <c r="L47" s="58">
        <v>45989</v>
      </c>
      <c r="M47" s="130">
        <v>1.0454909723095851</v>
      </c>
      <c r="N47" s="130">
        <v>0.93096875541179225</v>
      </c>
      <c r="O47" s="115">
        <f t="shared" si="8"/>
        <v>125575428.65329227</v>
      </c>
      <c r="P47" s="115"/>
      <c r="Q47" s="42"/>
      <c r="R47" s="15" t="str">
        <f>_xll.ohRangeRetrieveError(X47)</f>
        <v/>
      </c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7"/>
      <c r="AI47" s="115"/>
      <c r="AK47" s="92">
        <v>45138</v>
      </c>
      <c r="AL47" s="115">
        <v>1.04395062775407</v>
      </c>
      <c r="AN47" s="92">
        <f t="shared" si="2"/>
        <v>45138</v>
      </c>
      <c r="AO47" s="115">
        <v>0.91312346770784203</v>
      </c>
      <c r="AQ47" s="92">
        <f t="shared" si="3"/>
        <v>45138</v>
      </c>
      <c r="AR47" s="115">
        <v>0.98401176495292497</v>
      </c>
      <c r="AS47" s="193"/>
      <c r="AT47" s="92">
        <f t="shared" si="0"/>
        <v>45138</v>
      </c>
      <c r="AU47" s="115">
        <v>0.89122255043437804</v>
      </c>
      <c r="AV47" s="193"/>
      <c r="AW47" s="172"/>
    </row>
    <row r="48" spans="2:49">
      <c r="B48" s="158">
        <v>0</v>
      </c>
      <c r="C48" s="159" t="e">
        <v>#N/A</v>
      </c>
      <c r="F48" s="108"/>
      <c r="G48" s="111"/>
      <c r="H48" s="26"/>
      <c r="I48" s="26"/>
      <c r="J48" s="26"/>
      <c r="K48" s="26"/>
      <c r="L48" s="58">
        <v>46080</v>
      </c>
      <c r="M48" s="130">
        <v>1.0449423080845819</v>
      </c>
      <c r="N48" s="130">
        <v>0.92703767435639783</v>
      </c>
      <c r="O48" s="115">
        <f t="shared" si="8"/>
        <v>126041747.94852723</v>
      </c>
      <c r="P48" s="115"/>
      <c r="Q48" s="42"/>
      <c r="R48" s="15" t="str">
        <f>_xll.ohRangeRetrieveError(X48)</f>
        <v/>
      </c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7"/>
      <c r="AI48" s="115"/>
      <c r="AK48" s="92">
        <v>45229</v>
      </c>
      <c r="AL48" s="115">
        <v>1.0428271227138699</v>
      </c>
      <c r="AN48" s="92">
        <f t="shared" si="2"/>
        <v>45229</v>
      </c>
      <c r="AO48" s="115">
        <v>0.90883056984742805</v>
      </c>
      <c r="AQ48" s="92">
        <f t="shared" si="3"/>
        <v>45229</v>
      </c>
      <c r="AR48" s="115">
        <v>0.98101241129970096</v>
      </c>
      <c r="AS48" s="193"/>
      <c r="AT48" s="92">
        <f t="shared" si="0"/>
        <v>45229</v>
      </c>
      <c r="AU48" s="115">
        <v>0.88618000214330594</v>
      </c>
      <c r="AV48" s="193"/>
      <c r="AW48" s="172"/>
    </row>
    <row r="49" spans="2:49">
      <c r="B49" s="158">
        <v>0</v>
      </c>
      <c r="C49" s="159" t="e">
        <v>#N/A</v>
      </c>
      <c r="F49" s="108"/>
      <c r="G49" s="111"/>
      <c r="H49" s="26"/>
      <c r="I49" s="26"/>
      <c r="J49" s="26"/>
      <c r="K49" s="26"/>
      <c r="L49" s="58">
        <v>46171</v>
      </c>
      <c r="M49" s="130">
        <v>1.0443939317936111</v>
      </c>
      <c r="N49" s="130">
        <v>0.9231231925672776</v>
      </c>
      <c r="O49" s="115">
        <f t="shared" si="8"/>
        <v>126509798.90167837</v>
      </c>
      <c r="P49" s="115"/>
      <c r="Q49" s="42"/>
      <c r="R49" s="15" t="str">
        <f>_xll.ohRangeRetrieveError(X49)</f>
        <v/>
      </c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7"/>
      <c r="AK49" s="92">
        <v>45320</v>
      </c>
      <c r="AL49" s="115">
        <v>1.0415168407990101</v>
      </c>
      <c r="AN49" s="92">
        <f t="shared" si="2"/>
        <v>45320</v>
      </c>
      <c r="AO49" s="115">
        <v>0.90450453821585497</v>
      </c>
      <c r="AQ49" s="92">
        <f t="shared" si="3"/>
        <v>45320</v>
      </c>
      <c r="AR49" s="115">
        <v>0.97787094206726999</v>
      </c>
      <c r="AS49" s="193"/>
      <c r="AT49" s="92">
        <f t="shared" si="0"/>
        <v>45320</v>
      </c>
      <c r="AU49" s="115">
        <v>0.88110849769086996</v>
      </c>
      <c r="AV49" s="193"/>
      <c r="AW49" s="172"/>
    </row>
    <row r="50" spans="2:49">
      <c r="B50" s="158">
        <v>0</v>
      </c>
      <c r="C50" s="159" t="e">
        <v>#N/A</v>
      </c>
      <c r="F50" s="108"/>
      <c r="G50" s="111"/>
      <c r="H50" s="26"/>
      <c r="I50" s="26"/>
      <c r="J50" s="26"/>
      <c r="K50" s="26"/>
      <c r="L50" s="58">
        <v>46265</v>
      </c>
      <c r="M50" s="130">
        <v>1.0438277793319712</v>
      </c>
      <c r="N50" s="130">
        <v>0.91909533909844876</v>
      </c>
      <c r="O50" s="115">
        <f t="shared" si="8"/>
        <v>126995336.9575281</v>
      </c>
      <c r="P50" s="115"/>
      <c r="Q50" s="42"/>
      <c r="R50" s="15" t="str">
        <f>_xll.ohRangeRetrieveError(X50)</f>
        <v/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7"/>
      <c r="AK50" s="92">
        <v>45411</v>
      </c>
      <c r="AL50" s="115">
        <v>1.0400850410893501</v>
      </c>
      <c r="AN50" s="92">
        <f t="shared" si="2"/>
        <v>45411</v>
      </c>
      <c r="AO50" s="115">
        <v>0.90014927895187202</v>
      </c>
      <c r="AQ50" s="92">
        <f t="shared" si="3"/>
        <v>45411</v>
      </c>
      <c r="AR50" s="115">
        <v>0.97461243189492097</v>
      </c>
      <c r="AS50" s="193"/>
      <c r="AT50" s="92">
        <f t="shared" si="0"/>
        <v>45411</v>
      </c>
      <c r="AU50" s="115">
        <v>0.87601455580490395</v>
      </c>
      <c r="AV50" s="193"/>
      <c r="AW50" s="172"/>
    </row>
    <row r="51" spans="2:49">
      <c r="B51" s="158">
        <v>0</v>
      </c>
      <c r="C51" s="159" t="e">
        <v>#N/A</v>
      </c>
      <c r="F51" s="108"/>
      <c r="G51" s="111"/>
      <c r="H51" s="26"/>
      <c r="I51" s="26"/>
      <c r="J51" s="26"/>
      <c r="K51" s="26"/>
      <c r="L51" s="58">
        <v>46356</v>
      </c>
      <c r="M51" s="130">
        <v>1.0425786059652</v>
      </c>
      <c r="N51" s="130">
        <v>0.9151637248010569</v>
      </c>
      <c r="O51" s="115">
        <f t="shared" si="8"/>
        <v>127388287.53769901</v>
      </c>
      <c r="P51" s="115"/>
      <c r="Q51" s="42"/>
      <c r="R51" s="15" t="str">
        <f>_xll.ohRangeRetrieveError(X51)</f>
        <v/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7"/>
      <c r="AK51" s="92">
        <v>45502</v>
      </c>
      <c r="AL51" s="115">
        <v>1.0385100289654401</v>
      </c>
      <c r="AN51" s="92">
        <f t="shared" si="2"/>
        <v>45502</v>
      </c>
      <c r="AO51" s="115">
        <v>0.89576738763734198</v>
      </c>
      <c r="AQ51" s="92">
        <f t="shared" si="3"/>
        <v>45502</v>
      </c>
      <c r="AR51" s="115">
        <v>0.97121950139909496</v>
      </c>
      <c r="AS51" s="193"/>
      <c r="AT51" s="92">
        <f t="shared" si="0"/>
        <v>45502</v>
      </c>
      <c r="AU51" s="115">
        <v>0.87089619811047403</v>
      </c>
      <c r="AV51" s="193"/>
      <c r="AW51" s="172"/>
    </row>
    <row r="52" spans="2:49">
      <c r="B52" s="158">
        <v>0</v>
      </c>
      <c r="C52" s="159" t="e">
        <v>#N/A</v>
      </c>
      <c r="F52" s="108"/>
      <c r="G52" s="111"/>
      <c r="H52" s="26"/>
      <c r="I52" s="26"/>
      <c r="J52" s="26"/>
      <c r="K52" s="26"/>
      <c r="L52" s="58">
        <v>46444</v>
      </c>
      <c r="M52" s="130">
        <v>1.041372035959953</v>
      </c>
      <c r="N52" s="130">
        <v>0.91137772064846823</v>
      </c>
      <c r="O52" s="115">
        <f t="shared" si="8"/>
        <v>127769440.07166155</v>
      </c>
      <c r="P52" s="92"/>
      <c r="Q52" s="42"/>
      <c r="R52" s="15" t="str">
        <f>_xll.ohRangeRetrieveError(X52)</f>
        <v/>
      </c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7"/>
      <c r="AK52" s="92">
        <v>45594</v>
      </c>
      <c r="AL52" s="115">
        <v>1.03675300476354</v>
      </c>
      <c r="AN52" s="92">
        <f t="shared" si="2"/>
        <v>45594</v>
      </c>
      <c r="AO52" s="115">
        <v>0.89131388619616203</v>
      </c>
      <c r="AQ52" s="92">
        <f t="shared" si="3"/>
        <v>45594</v>
      </c>
      <c r="AR52" s="115">
        <v>0.96763384337214398</v>
      </c>
      <c r="AS52" s="193"/>
      <c r="AT52" s="92">
        <f t="shared" si="0"/>
        <v>45594</v>
      </c>
      <c r="AU52" s="115">
        <v>0.86569495577518496</v>
      </c>
      <c r="AV52" s="193"/>
      <c r="AW52" s="172"/>
    </row>
    <row r="53" spans="2:49">
      <c r="B53" s="158">
        <v>0</v>
      </c>
      <c r="C53" s="159" t="e">
        <v>#N/A</v>
      </c>
      <c r="F53" s="108"/>
      <c r="G53" s="111"/>
      <c r="H53" s="26"/>
      <c r="I53" s="26"/>
      <c r="J53" s="26"/>
      <c r="K53" s="26"/>
      <c r="L53" s="58">
        <v>46538</v>
      </c>
      <c r="M53" s="130">
        <v>1.0400847421885064</v>
      </c>
      <c r="N53" s="130">
        <v>0.9073508790643301</v>
      </c>
      <c r="O53" s="115">
        <f t="shared" si="8"/>
        <v>128177840.0781966</v>
      </c>
      <c r="P53" s="92"/>
      <c r="Q53" s="42"/>
      <c r="R53" s="15" t="str">
        <f>_xll.ohRangeRetrieveError(X53)</f>
        <v/>
      </c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7"/>
      <c r="AK53" s="92">
        <v>45686</v>
      </c>
      <c r="AL53" s="115">
        <v>1.03484875485566</v>
      </c>
      <c r="AN53" s="92">
        <f t="shared" si="2"/>
        <v>45686</v>
      </c>
      <c r="AO53" s="115">
        <v>0.886824188814748</v>
      </c>
      <c r="AQ53" s="92">
        <f t="shared" si="3"/>
        <v>45686</v>
      </c>
      <c r="AR53" s="115">
        <v>0.96394572434231296</v>
      </c>
      <c r="AS53" s="193"/>
      <c r="AT53" s="92">
        <f t="shared" si="0"/>
        <v>45686</v>
      </c>
      <c r="AU53" s="115">
        <v>0.86047230236847105</v>
      </c>
      <c r="AV53" s="193"/>
      <c r="AW53" s="172"/>
    </row>
    <row r="54" spans="2:49">
      <c r="B54" s="158">
        <v>0</v>
      </c>
      <c r="C54" s="159" t="e">
        <v>#N/A</v>
      </c>
      <c r="F54" s="108"/>
      <c r="G54" s="111"/>
      <c r="H54" s="26"/>
      <c r="I54" s="26"/>
      <c r="J54" s="26"/>
      <c r="K54" s="26"/>
      <c r="L54" s="58">
        <v>46629</v>
      </c>
      <c r="M54" s="130">
        <v>1.038840048202724</v>
      </c>
      <c r="N54" s="130">
        <v>0.90346950404573878</v>
      </c>
      <c r="O54" s="115">
        <f t="shared" si="8"/>
        <v>128574449.57450138</v>
      </c>
      <c r="P54" s="92"/>
      <c r="Q54" s="42"/>
      <c r="R54" s="15" t="str">
        <f>_xll.ohRangeRetrieveError(X54)</f>
        <v/>
      </c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7"/>
      <c r="AK54" s="92">
        <v>45776</v>
      </c>
      <c r="AL54" s="115">
        <v>1.0328610017387301</v>
      </c>
      <c r="AN54" s="92">
        <f t="shared" si="2"/>
        <v>45776</v>
      </c>
      <c r="AO54" s="115">
        <v>0.88238524456016398</v>
      </c>
      <c r="AQ54" s="92">
        <f t="shared" si="3"/>
        <v>45776</v>
      </c>
      <c r="AR54" s="115">
        <v>0.96028952132203105</v>
      </c>
      <c r="AS54" s="193"/>
      <c r="AT54" s="92">
        <f t="shared" si="0"/>
        <v>45776</v>
      </c>
      <c r="AU54" s="115">
        <v>0.85534751607941695</v>
      </c>
      <c r="AV54" s="193"/>
      <c r="AW54" s="172"/>
    </row>
    <row r="55" spans="2:49">
      <c r="B55" s="158">
        <v>0</v>
      </c>
      <c r="C55" s="159" t="e">
        <v>#N/A</v>
      </c>
      <c r="F55" s="108"/>
      <c r="G55" s="111"/>
      <c r="H55" s="26"/>
      <c r="I55" s="26"/>
      <c r="J55" s="26"/>
      <c r="K55" s="26"/>
      <c r="L55" s="58">
        <v>46721</v>
      </c>
      <c r="M55" s="130">
        <v>1.0370665087624331</v>
      </c>
      <c r="N55" s="130">
        <v>0.89921306640218279</v>
      </c>
      <c r="O55" s="115">
        <f t="shared" si="8"/>
        <v>128962513.27151954</v>
      </c>
      <c r="P55" s="92"/>
      <c r="Q55" s="42"/>
      <c r="R55" s="15" t="str">
        <f>_xll.ohRangeRetrieveError(X55)</f>
        <v/>
      </c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7"/>
      <c r="AK55" s="92">
        <v>45867</v>
      </c>
      <c r="AL55" s="115">
        <v>1.0307105538678101</v>
      </c>
      <c r="AN55" s="92">
        <f t="shared" si="2"/>
        <v>45867</v>
      </c>
      <c r="AO55" s="115">
        <v>0.87784919610111201</v>
      </c>
      <c r="AQ55" s="92">
        <f t="shared" si="3"/>
        <v>45867</v>
      </c>
      <c r="AR55" s="115">
        <v>0.95652302145822399</v>
      </c>
      <c r="AS55" s="193"/>
      <c r="AT55" s="92">
        <f t="shared" si="0"/>
        <v>45867</v>
      </c>
      <c r="AU55" s="115">
        <v>0.85014749955282998</v>
      </c>
      <c r="AV55" s="193"/>
      <c r="AW55" s="172"/>
    </row>
    <row r="56" spans="2:49">
      <c r="B56" s="158">
        <v>0</v>
      </c>
      <c r="C56" s="159" t="e">
        <v>#N/A</v>
      </c>
      <c r="F56" s="113"/>
      <c r="G56" s="110"/>
      <c r="H56" s="26"/>
      <c r="I56" s="26"/>
      <c r="J56" s="26"/>
      <c r="K56" s="26"/>
      <c r="L56" s="58">
        <v>46812</v>
      </c>
      <c r="M56" s="130">
        <v>1.0353152255957538</v>
      </c>
      <c r="N56" s="130">
        <v>0.89502262194217685</v>
      </c>
      <c r="O56" s="115">
        <f t="shared" si="8"/>
        <v>129347511.09966524</v>
      </c>
      <c r="P56" s="92"/>
      <c r="Q56" s="45"/>
      <c r="R56" s="46" t="str">
        <f>_xll.ohRangeRetrieveError(X56)</f>
        <v/>
      </c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8"/>
      <c r="AK56" s="92">
        <v>45959</v>
      </c>
      <c r="AL56" s="115">
        <v>1.0283760131281201</v>
      </c>
      <c r="AN56" s="92">
        <f t="shared" si="2"/>
        <v>45959</v>
      </c>
      <c r="AO56" s="115">
        <v>0.87321155343367396</v>
      </c>
      <c r="AQ56" s="92">
        <f t="shared" si="3"/>
        <v>45959</v>
      </c>
      <c r="AR56" s="115">
        <v>0.95262437279253798</v>
      </c>
      <c r="AS56" s="193"/>
      <c r="AT56" s="92">
        <f t="shared" si="0"/>
        <v>45959</v>
      </c>
      <c r="AU56" s="115">
        <v>0.84486895183024102</v>
      </c>
      <c r="AV56" s="193"/>
      <c r="AW56" s="172"/>
    </row>
    <row r="57" spans="2:49">
      <c r="B57" s="158">
        <v>0</v>
      </c>
      <c r="C57" s="159" t="e">
        <v>#N/A</v>
      </c>
      <c r="F57" s="25"/>
      <c r="G57" s="26"/>
      <c r="H57" s="26"/>
      <c r="I57" s="26"/>
      <c r="J57" s="26"/>
      <c r="K57" s="26"/>
      <c r="L57" s="58">
        <v>46903</v>
      </c>
      <c r="M57" s="130">
        <v>1.0335668998023038</v>
      </c>
      <c r="N57" s="130">
        <v>0.89085170547328718</v>
      </c>
      <c r="O57" s="115">
        <f t="shared" si="8"/>
        <v>129733658.27985068</v>
      </c>
      <c r="P57" s="92"/>
      <c r="R57" s="87" t="str">
        <f>_xll.ohRangeRetrieveError(X57)</f>
        <v/>
      </c>
      <c r="AK57" s="92">
        <v>46051</v>
      </c>
      <c r="AL57" s="115">
        <v>1.02592991222485</v>
      </c>
      <c r="AN57" s="92">
        <f t="shared" si="2"/>
        <v>46051</v>
      </c>
      <c r="AO57" s="115">
        <v>0.86854681694251001</v>
      </c>
      <c r="AQ57" s="92">
        <f t="shared" si="3"/>
        <v>46051</v>
      </c>
      <c r="AR57" s="115">
        <v>0.94866771559670904</v>
      </c>
      <c r="AS57" s="193"/>
      <c r="AT57" s="92">
        <f t="shared" si="0"/>
        <v>46051</v>
      </c>
      <c r="AU57" s="115">
        <v>0.83957826642498001</v>
      </c>
      <c r="AV57" s="193"/>
      <c r="AW57" s="172"/>
    </row>
    <row r="58" spans="2:49">
      <c r="B58" s="158">
        <v>0</v>
      </c>
      <c r="C58" s="159" t="e">
        <v>#N/A</v>
      </c>
      <c r="F58" s="25"/>
      <c r="G58" s="26"/>
      <c r="H58" s="26"/>
      <c r="I58" s="26"/>
      <c r="J58" s="26"/>
      <c r="K58" s="26"/>
      <c r="L58" s="58">
        <v>46995</v>
      </c>
      <c r="M58" s="130">
        <v>1.0318023628419217</v>
      </c>
      <c r="N58" s="130">
        <v>0.88664982357615274</v>
      </c>
      <c r="O58" s="115">
        <f t="shared" si="8"/>
        <v>130125938.27361682</v>
      </c>
      <c r="P58" s="92"/>
      <c r="R58" s="87" t="str">
        <f>_xll.ohRangeRetrieveError(X58)</f>
        <v/>
      </c>
      <c r="AK58" s="92">
        <v>46141</v>
      </c>
      <c r="AL58" s="115">
        <v>1.02347635419865</v>
      </c>
      <c r="AN58" s="92">
        <f t="shared" si="2"/>
        <v>46141</v>
      </c>
      <c r="AO58" s="115">
        <v>0.86398068887153101</v>
      </c>
      <c r="AQ58" s="92">
        <f t="shared" si="3"/>
        <v>46141</v>
      </c>
      <c r="AR58" s="115">
        <v>0.94477231521955796</v>
      </c>
      <c r="AS58" s="193"/>
      <c r="AT58" s="92">
        <f t="shared" si="0"/>
        <v>46141</v>
      </c>
      <c r="AU58" s="115">
        <v>0.83439962520334998</v>
      </c>
      <c r="AV58" s="193"/>
      <c r="AW58" s="172"/>
    </row>
    <row r="59" spans="2:49">
      <c r="B59" s="158">
        <v>0</v>
      </c>
      <c r="C59" s="159" t="e">
        <v>#N/A</v>
      </c>
      <c r="F59" s="25"/>
      <c r="G59" s="26"/>
      <c r="H59" s="26"/>
      <c r="I59" s="26"/>
      <c r="J59" s="26"/>
      <c r="K59" s="26"/>
      <c r="L59" s="58">
        <v>47087</v>
      </c>
      <c r="M59" s="130">
        <v>1.0295964193191249</v>
      </c>
      <c r="N59" s="130">
        <v>0.88224880346298773</v>
      </c>
      <c r="O59" s="115">
        <f t="shared" si="8"/>
        <v>130495469.25579311</v>
      </c>
      <c r="P59" s="92"/>
      <c r="T59" s="133">
        <v>186488.912237307</v>
      </c>
      <c r="U59" s="133">
        <f>SUM(T59:T78)</f>
        <v>2807133.0263365218</v>
      </c>
      <c r="X59" s="133"/>
      <c r="AK59" s="92">
        <v>46232</v>
      </c>
      <c r="AL59" s="115">
        <v>1.0209129375217201</v>
      </c>
      <c r="AN59" s="92">
        <f t="shared" si="2"/>
        <v>46232</v>
      </c>
      <c r="AO59" s="115">
        <v>0.85935054606128702</v>
      </c>
      <c r="AQ59" s="92">
        <f t="shared" si="3"/>
        <v>46232</v>
      </c>
      <c r="AR59" s="115">
        <v>0.94079425561748098</v>
      </c>
      <c r="AS59" s="193"/>
      <c r="AT59" s="92">
        <f t="shared" si="0"/>
        <v>46232</v>
      </c>
      <c r="AU59" s="115">
        <v>0.82915450947935998</v>
      </c>
      <c r="AV59" s="193"/>
      <c r="AW59" s="172"/>
    </row>
    <row r="60" spans="2:49">
      <c r="B60" s="158">
        <v>0</v>
      </c>
      <c r="C60" s="159" t="e">
        <v>#N/A</v>
      </c>
      <c r="F60" s="25"/>
      <c r="G60" s="26"/>
      <c r="H60" s="26"/>
      <c r="I60" s="26"/>
      <c r="J60" s="26"/>
      <c r="K60" s="26"/>
      <c r="L60" s="58">
        <v>47177</v>
      </c>
      <c r="M60" s="130">
        <v>1.0274429946868138</v>
      </c>
      <c r="N60" s="130">
        <v>0.87796459640920821</v>
      </c>
      <c r="O60" s="115">
        <f t="shared" si="8"/>
        <v>130857982.35573882</v>
      </c>
      <c r="P60" s="92"/>
      <c r="T60" s="133">
        <v>192818.29706976301</v>
      </c>
      <c r="U60" s="227">
        <f>SUM(T79:T80)</f>
        <v>-4362305.817295</v>
      </c>
      <c r="V60" s="198">
        <f>U60+U59</f>
        <v>-1555172.7909584781</v>
      </c>
      <c r="X60" s="133"/>
      <c r="AK60" s="92">
        <v>46324</v>
      </c>
      <c r="AL60" s="115">
        <v>1.01819947396308</v>
      </c>
      <c r="AN60" s="92">
        <f t="shared" si="2"/>
        <v>46324</v>
      </c>
      <c r="AO60" s="115">
        <v>0.854637959637778</v>
      </c>
      <c r="AQ60" s="92">
        <f t="shared" si="3"/>
        <v>46324</v>
      </c>
      <c r="AR60" s="115">
        <v>0.93670655016132498</v>
      </c>
      <c r="AS60" s="193"/>
      <c r="AT60" s="92">
        <f t="shared" si="0"/>
        <v>46324</v>
      </c>
      <c r="AU60" s="115">
        <v>0.82382827182143703</v>
      </c>
      <c r="AV60" s="193"/>
      <c r="AW60" s="172"/>
    </row>
    <row r="61" spans="2:49">
      <c r="B61" s="158">
        <v>0</v>
      </c>
      <c r="C61" s="159">
        <v>0</v>
      </c>
      <c r="F61" s="25"/>
      <c r="G61" s="26"/>
      <c r="H61" s="26"/>
      <c r="I61" s="26"/>
      <c r="J61" s="26"/>
      <c r="K61" s="26"/>
      <c r="L61" s="58">
        <v>47268</v>
      </c>
      <c r="M61" s="130">
        <v>1.0252702223595258</v>
      </c>
      <c r="N61" s="130">
        <v>0.87365393883665232</v>
      </c>
      <c r="O61" s="115">
        <f t="shared" si="8"/>
        <v>131225547.28809801</v>
      </c>
      <c r="P61" s="92"/>
      <c r="T61" s="133">
        <v>190378.633332514</v>
      </c>
      <c r="X61" s="133"/>
      <c r="AK61" s="92">
        <v>46416</v>
      </c>
      <c r="AL61" s="115">
        <v>1.0153636798566199</v>
      </c>
      <c r="AN61" s="92">
        <f t="shared" si="2"/>
        <v>46416</v>
      </c>
      <c r="AO61" s="115">
        <v>0.84989417354589103</v>
      </c>
      <c r="AQ61" s="92">
        <f t="shared" si="3"/>
        <v>46416</v>
      </c>
      <c r="AR61" s="115">
        <v>0.93255318037410595</v>
      </c>
      <c r="AS61" s="193"/>
      <c r="AT61" s="92">
        <f t="shared" si="0"/>
        <v>46416</v>
      </c>
      <c r="AU61" s="115">
        <v>0.81847905025100098</v>
      </c>
      <c r="AV61" s="193"/>
      <c r="AW61" s="172"/>
    </row>
    <row r="62" spans="2:49">
      <c r="B62" s="158">
        <v>0</v>
      </c>
      <c r="C62" s="159">
        <v>0</v>
      </c>
      <c r="F62" s="25"/>
      <c r="G62" s="26"/>
      <c r="H62" s="26"/>
      <c r="I62" s="26"/>
      <c r="J62" s="26"/>
      <c r="K62" s="26"/>
      <c r="L62" s="58">
        <v>47360</v>
      </c>
      <c r="M62" s="130">
        <v>1.0230782442369899</v>
      </c>
      <c r="N62" s="130">
        <v>0.86931407975091735</v>
      </c>
      <c r="O62" s="115">
        <f t="shared" si="8"/>
        <v>131598707.45836669</v>
      </c>
      <c r="P62" s="92"/>
      <c r="T62" s="133">
        <v>185859.89128007501</v>
      </c>
      <c r="X62" s="133"/>
      <c r="AK62" s="92">
        <v>46506</v>
      </c>
      <c r="AL62" s="115">
        <v>1.0124968579981199</v>
      </c>
      <c r="AN62" s="92">
        <f t="shared" si="2"/>
        <v>46506</v>
      </c>
      <c r="AO62" s="115">
        <v>0.84523615200387903</v>
      </c>
      <c r="AQ62" s="92">
        <f t="shared" si="3"/>
        <v>46506</v>
      </c>
      <c r="AR62" s="115">
        <v>0.92844514394357402</v>
      </c>
      <c r="AS62" s="193"/>
      <c r="AT62" s="92">
        <f t="shared" si="0"/>
        <v>46506</v>
      </c>
      <c r="AU62" s="115">
        <v>0.81323659578074303</v>
      </c>
      <c r="AV62" s="193"/>
      <c r="AW62" s="172"/>
    </row>
    <row r="63" spans="2:49">
      <c r="B63" s="158">
        <v>0</v>
      </c>
      <c r="C63" s="159">
        <v>0</v>
      </c>
      <c r="F63" s="25"/>
      <c r="G63" s="26"/>
      <c r="H63" s="26"/>
      <c r="I63" s="26"/>
      <c r="J63" s="26"/>
      <c r="K63" s="26"/>
      <c r="L63" s="58">
        <v>47452</v>
      </c>
      <c r="M63" s="130">
        <v>1.0205787494224685</v>
      </c>
      <c r="N63" s="130">
        <v>0.86484596976296113</v>
      </c>
      <c r="O63" s="115">
        <f t="shared" si="8"/>
        <v>131955422.98901965</v>
      </c>
      <c r="P63" s="92"/>
      <c r="T63" s="133">
        <v>198565.56677211201</v>
      </c>
      <c r="X63" s="133"/>
      <c r="AK63" s="92">
        <v>46597</v>
      </c>
      <c r="AL63" s="115">
        <v>1.00954331367842</v>
      </c>
      <c r="AN63" s="92">
        <f t="shared" si="2"/>
        <v>46597</v>
      </c>
      <c r="AO63" s="115">
        <v>0.84052762278274096</v>
      </c>
      <c r="AQ63" s="92">
        <f t="shared" si="3"/>
        <v>46597</v>
      </c>
      <c r="AR63" s="115">
        <v>0.924273509516639</v>
      </c>
      <c r="AS63" s="193"/>
      <c r="AT63" s="92">
        <f t="shared" si="0"/>
        <v>46597</v>
      </c>
      <c r="AU63" s="115">
        <v>0.80794476919402403</v>
      </c>
      <c r="AV63" s="193"/>
      <c r="AW63" s="172"/>
    </row>
    <row r="64" spans="2:49">
      <c r="B64" s="158">
        <v>0</v>
      </c>
      <c r="C64" s="159">
        <v>0</v>
      </c>
      <c r="L64" s="58">
        <v>47542</v>
      </c>
      <c r="M64" s="130">
        <v>1.0181395004188303</v>
      </c>
      <c r="N64" s="130">
        <v>0.86049721523004885</v>
      </c>
      <c r="O64" s="115">
        <f t="shared" si="8"/>
        <v>132305319.43836324</v>
      </c>
      <c r="P64" s="92"/>
      <c r="T64" s="133">
        <v>191219.70621523101</v>
      </c>
      <c r="X64" s="133"/>
      <c r="AK64" s="92">
        <v>46689</v>
      </c>
      <c r="AL64" s="115">
        <v>1.00654018878595</v>
      </c>
      <c r="AN64" s="92">
        <f t="shared" si="2"/>
        <v>46689</v>
      </c>
      <c r="AO64" s="115">
        <v>0.83578730253577505</v>
      </c>
      <c r="AQ64" s="92">
        <f t="shared" si="3"/>
        <v>46689</v>
      </c>
      <c r="AR64" s="115">
        <v>0.92006501181244305</v>
      </c>
      <c r="AS64" s="193"/>
      <c r="AT64" s="92">
        <f t="shared" si="0"/>
        <v>46689</v>
      </c>
      <c r="AU64" s="115">
        <v>0.80262221604033401</v>
      </c>
      <c r="AV64" s="193"/>
      <c r="AW64" s="172"/>
    </row>
    <row r="65" spans="2:49">
      <c r="B65" s="158">
        <v>0</v>
      </c>
      <c r="C65" s="159">
        <v>0</v>
      </c>
      <c r="L65" s="58">
        <v>47633</v>
      </c>
      <c r="M65" s="130">
        <v>1.0156790760842642</v>
      </c>
      <c r="N65" s="130">
        <v>0.85612237368063993</v>
      </c>
      <c r="O65" s="115">
        <f t="shared" si="8"/>
        <v>132660046.95037763</v>
      </c>
      <c r="P65" s="92"/>
      <c r="T65" s="133">
        <v>188792.97010448901</v>
      </c>
      <c r="X65" s="133"/>
      <c r="AK65" s="92">
        <v>46783</v>
      </c>
      <c r="AL65" s="115">
        <v>1.0034811742713801</v>
      </c>
      <c r="AN65" s="92">
        <f t="shared" si="2"/>
        <v>46783</v>
      </c>
      <c r="AO65" s="115">
        <v>0.83097724768693704</v>
      </c>
      <c r="AQ65" s="92">
        <f t="shared" si="3"/>
        <v>46783</v>
      </c>
      <c r="AR65" s="115">
        <v>0.91579290377310596</v>
      </c>
      <c r="AS65" s="193"/>
      <c r="AT65" s="92">
        <f t="shared" si="0"/>
        <v>46783</v>
      </c>
      <c r="AU65" s="115">
        <v>0.79722475060947795</v>
      </c>
      <c r="AV65" s="193"/>
      <c r="AW65" s="172"/>
    </row>
    <row r="66" spans="2:49">
      <c r="B66" s="158">
        <v>0</v>
      </c>
      <c r="C66" s="159">
        <v>0</v>
      </c>
      <c r="L66" s="58">
        <v>47725</v>
      </c>
      <c r="M66" s="130">
        <v>1.0131976582668185</v>
      </c>
      <c r="N66" s="130">
        <v>0.85172206656741423</v>
      </c>
      <c r="O66" s="115">
        <f t="shared" si="8"/>
        <v>133019639.38071604</v>
      </c>
      <c r="P66" s="92"/>
      <c r="T66" s="133">
        <v>188032.547889587</v>
      </c>
      <c r="X66" s="133"/>
      <c r="AK66" s="92">
        <v>46871</v>
      </c>
      <c r="AL66" s="115">
        <v>1.0006261782797501</v>
      </c>
      <c r="AN66" s="92">
        <f t="shared" si="2"/>
        <v>46871</v>
      </c>
      <c r="AO66" s="115">
        <v>0.82650406496876205</v>
      </c>
      <c r="AQ66" s="92">
        <f t="shared" si="3"/>
        <v>46871</v>
      </c>
      <c r="AR66" s="115">
        <v>0.91181819146986598</v>
      </c>
      <c r="AS66" s="193"/>
      <c r="AT66" s="92">
        <f t="shared" si="0"/>
        <v>46871</v>
      </c>
      <c r="AU66" s="115">
        <v>0.79220844188296102</v>
      </c>
      <c r="AV66" s="193"/>
      <c r="AW66" s="172"/>
    </row>
    <row r="67" spans="2:49">
      <c r="B67" s="158">
        <v>0</v>
      </c>
      <c r="C67" s="159">
        <v>0</v>
      </c>
      <c r="L67" s="58">
        <v>47816</v>
      </c>
      <c r="M67" s="130">
        <v>1.0107491763317795</v>
      </c>
      <c r="N67" s="130">
        <v>0.84739183862545475</v>
      </c>
      <c r="O67" s="115">
        <f t="shared" si="8"/>
        <v>133376282.0760126</v>
      </c>
      <c r="P67" s="92"/>
      <c r="T67" s="133">
        <v>176334.71448640901</v>
      </c>
      <c r="X67" s="133"/>
      <c r="AK67" s="92">
        <v>46965</v>
      </c>
      <c r="AL67" s="115">
        <v>0.99755343980292999</v>
      </c>
      <c r="AN67" s="92">
        <f t="shared" si="2"/>
        <v>46965</v>
      </c>
      <c r="AO67" s="115">
        <v>0.821743406402618</v>
      </c>
      <c r="AQ67" s="92">
        <f t="shared" si="3"/>
        <v>46965</v>
      </c>
      <c r="AR67" s="115">
        <v>0.90757460198713003</v>
      </c>
      <c r="AS67" s="193"/>
      <c r="AT67" s="92">
        <f t="shared" si="0"/>
        <v>46965</v>
      </c>
      <c r="AU67" s="115">
        <v>0.78687490543744598</v>
      </c>
      <c r="AV67" s="193"/>
      <c r="AW67" s="172"/>
    </row>
    <row r="68" spans="2:49">
      <c r="B68" s="158">
        <v>0</v>
      </c>
      <c r="C68" s="159">
        <v>0</v>
      </c>
      <c r="L68" s="58">
        <v>47907</v>
      </c>
      <c r="M68" s="130">
        <v>1.0083066113703314</v>
      </c>
      <c r="N68" s="130">
        <v>0.84308362593326425</v>
      </c>
      <c r="O68" s="115">
        <f t="shared" si="8"/>
        <v>133733880.97606738</v>
      </c>
      <c r="P68" s="92"/>
      <c r="T68" s="133">
        <v>167757.41675758499</v>
      </c>
      <c r="X68" s="133"/>
      <c r="AK68" s="92">
        <v>47056</v>
      </c>
      <c r="AL68" s="115">
        <v>0.99452718612220603</v>
      </c>
      <c r="AN68" s="92">
        <f t="shared" si="2"/>
        <v>47056</v>
      </c>
      <c r="AO68" s="115">
        <v>0.81714457226275405</v>
      </c>
      <c r="AQ68" s="92">
        <f t="shared" si="3"/>
        <v>47056</v>
      </c>
      <c r="AR68" s="115">
        <v>0.90344599300226502</v>
      </c>
      <c r="AS68" s="193"/>
      <c r="AT68" s="92">
        <f t="shared" si="0"/>
        <v>47056</v>
      </c>
      <c r="AU68" s="115">
        <v>0.78172808577730202</v>
      </c>
      <c r="AV68" s="193"/>
      <c r="AW68" s="172"/>
    </row>
    <row r="69" spans="2:49">
      <c r="B69" s="158">
        <v>0</v>
      </c>
      <c r="C69" s="159">
        <v>0</v>
      </c>
      <c r="L69" s="58">
        <v>47998</v>
      </c>
      <c r="M69" s="130">
        <v>1.0058699490835827</v>
      </c>
      <c r="N69" s="130">
        <v>0.83879731656342738</v>
      </c>
      <c r="O69" s="115">
        <f t="shared" si="8"/>
        <v>134092438.64458776</v>
      </c>
      <c r="P69" s="92"/>
      <c r="T69" s="133">
        <v>158725.19851073701</v>
      </c>
      <c r="AK69" s="92">
        <v>47147</v>
      </c>
      <c r="AL69" s="115">
        <v>0.99144007585594196</v>
      </c>
      <c r="AN69" s="92">
        <f t="shared" si="2"/>
        <v>47147</v>
      </c>
      <c r="AO69" s="115">
        <v>0.81255380688999501</v>
      </c>
      <c r="AQ69" s="92">
        <f t="shared" si="3"/>
        <v>47147</v>
      </c>
      <c r="AR69" s="115">
        <v>0.89928927634903799</v>
      </c>
      <c r="AS69" s="193"/>
      <c r="AT69" s="92">
        <f t="shared" si="0"/>
        <v>47147</v>
      </c>
      <c r="AU69" s="115">
        <v>0.77659554334796299</v>
      </c>
      <c r="AV69" s="193"/>
      <c r="AW69" s="172"/>
    </row>
    <row r="70" spans="2:49">
      <c r="B70" s="158">
        <v>0</v>
      </c>
      <c r="C70" s="159">
        <v>0</v>
      </c>
      <c r="L70" s="58">
        <v>48089</v>
      </c>
      <c r="M70" s="130">
        <v>1.0034391752071974</v>
      </c>
      <c r="N70" s="130">
        <v>0.83453103667289941</v>
      </c>
      <c r="O70" s="115">
        <f t="shared" si="8"/>
        <v>134452241.60746011</v>
      </c>
      <c r="P70" s="92"/>
      <c r="T70" s="133">
        <v>144472.727992022</v>
      </c>
      <c r="AK70" s="92">
        <v>47238</v>
      </c>
      <c r="AL70" s="115">
        <v>0.98829577741181396</v>
      </c>
      <c r="AN70" s="92">
        <f t="shared" si="2"/>
        <v>47238</v>
      </c>
      <c r="AO70" s="115">
        <v>0.80797187618215005</v>
      </c>
      <c r="AQ70" s="92">
        <f t="shared" si="3"/>
        <v>47238</v>
      </c>
      <c r="AR70" s="115">
        <v>0.89510790830900999</v>
      </c>
      <c r="AS70" s="193"/>
      <c r="AT70" s="92">
        <f t="shared" si="0"/>
        <v>47238</v>
      </c>
      <c r="AU70" s="115">
        <v>0.77147815107747897</v>
      </c>
      <c r="AV70" s="193"/>
      <c r="AW70" s="172"/>
    </row>
    <row r="71" spans="2:49">
      <c r="B71" s="158">
        <v>0</v>
      </c>
      <c r="C71" s="159">
        <v>0</v>
      </c>
      <c r="L71" s="58">
        <v>48180</v>
      </c>
      <c r="M71" s="130">
        <v>1.0007368527732721</v>
      </c>
      <c r="N71" s="130">
        <v>0.83012865421169069</v>
      </c>
      <c r="O71" s="115">
        <f t="shared" si="8"/>
        <v>134801267.6220319</v>
      </c>
      <c r="P71" s="92"/>
      <c r="T71" s="133">
        <v>131235.77492300601</v>
      </c>
      <c r="AK71" s="92">
        <v>47329</v>
      </c>
      <c r="AL71" s="115">
        <v>0.98510795381632799</v>
      </c>
      <c r="AN71" s="92">
        <f t="shared" si="2"/>
        <v>47329</v>
      </c>
      <c r="AO71" s="115">
        <v>0.80340127807794304</v>
      </c>
      <c r="AQ71" s="92">
        <f t="shared" si="3"/>
        <v>47329</v>
      </c>
      <c r="AR71" s="115">
        <v>0.89091356252276299</v>
      </c>
      <c r="AS71" s="193"/>
      <c r="AT71" s="92">
        <f t="shared" si="0"/>
        <v>47329</v>
      </c>
      <c r="AU71" s="115">
        <v>0.766378789169743</v>
      </c>
      <c r="AV71" s="193"/>
      <c r="AW71" s="172"/>
    </row>
    <row r="72" spans="2:49">
      <c r="B72" s="158">
        <v>0</v>
      </c>
      <c r="C72" s="159">
        <v>0</v>
      </c>
      <c r="L72" s="58">
        <v>48271</v>
      </c>
      <c r="M72" s="130">
        <v>0.99803237708544856</v>
      </c>
      <c r="N72" s="130">
        <v>0.8257494955378345</v>
      </c>
      <c r="O72" s="115">
        <f t="shared" si="8"/>
        <v>135149922.59608537</v>
      </c>
      <c r="P72" s="92"/>
      <c r="T72" s="133">
        <v>123927.427184616</v>
      </c>
      <c r="AK72" s="92">
        <v>47420</v>
      </c>
      <c r="AL72" s="115">
        <v>0.981896778537103</v>
      </c>
      <c r="AN72" s="92">
        <f t="shared" si="2"/>
        <v>47420</v>
      </c>
      <c r="AO72" s="115">
        <v>0.79884561179060998</v>
      </c>
      <c r="AQ72" s="92">
        <f t="shared" si="3"/>
        <v>47420</v>
      </c>
      <c r="AR72" s="115">
        <v>0.88672318019169005</v>
      </c>
      <c r="AS72" s="193"/>
      <c r="AT72" s="92">
        <f t="shared" si="0"/>
        <v>47420</v>
      </c>
      <c r="AU72" s="115">
        <v>0.761301603950437</v>
      </c>
      <c r="AV72" s="193"/>
      <c r="AW72" s="172"/>
    </row>
    <row r="73" spans="2:49">
      <c r="B73" s="158">
        <v>0</v>
      </c>
      <c r="C73" s="159">
        <v>0</v>
      </c>
      <c r="L73" s="58">
        <v>48365</v>
      </c>
      <c r="M73" s="130">
        <v>0.99524641682967752</v>
      </c>
      <c r="N73" s="130">
        <v>0.82125022378740609</v>
      </c>
      <c r="O73" s="115">
        <f t="shared" si="8"/>
        <v>135511018.57441121</v>
      </c>
      <c r="P73" s="92"/>
      <c r="T73" s="133">
        <v>109081.612598733</v>
      </c>
      <c r="AK73" s="92">
        <v>47512</v>
      </c>
      <c r="AL73" s="115">
        <v>0.97865031242828104</v>
      </c>
      <c r="AN73" s="92">
        <f t="shared" si="2"/>
        <v>47512</v>
      </c>
      <c r="AO73" s="115">
        <v>0.79425923507589602</v>
      </c>
      <c r="AQ73" s="92">
        <f t="shared" si="3"/>
        <v>47512</v>
      </c>
      <c r="AR73" s="115">
        <v>0.88251050905450801</v>
      </c>
      <c r="AS73" s="193"/>
      <c r="AT73" s="92">
        <f t="shared" si="0"/>
        <v>47512</v>
      </c>
      <c r="AU73" s="115">
        <v>0.75619596335961403</v>
      </c>
      <c r="AV73" s="193"/>
      <c r="AW73" s="172"/>
    </row>
    <row r="74" spans="2:49">
      <c r="B74" s="158">
        <v>0</v>
      </c>
      <c r="C74" s="159">
        <v>0</v>
      </c>
      <c r="L74" s="58">
        <v>48456</v>
      </c>
      <c r="M74" s="130">
        <v>0.99255677895909233</v>
      </c>
      <c r="N74" s="130">
        <v>0.8169179012941894</v>
      </c>
      <c r="O74" s="115">
        <f t="shared" si="8"/>
        <v>135861509.27452463</v>
      </c>
      <c r="P74" s="92"/>
      <c r="T74" s="133">
        <v>88102.351852591702</v>
      </c>
      <c r="AK74" s="92">
        <v>47602</v>
      </c>
      <c r="AL74" s="115">
        <v>0.97549715709520302</v>
      </c>
      <c r="AN74" s="92">
        <f t="shared" si="2"/>
        <v>47602</v>
      </c>
      <c r="AO74" s="115">
        <v>0.78979533554707204</v>
      </c>
      <c r="AQ74" s="92">
        <f t="shared" si="3"/>
        <v>47602</v>
      </c>
      <c r="AR74" s="115">
        <v>0.87843126539785199</v>
      </c>
      <c r="AS74" s="193"/>
      <c r="AT74" s="92">
        <f t="shared" si="0"/>
        <v>47602</v>
      </c>
      <c r="AU74" s="115">
        <v>0.75123242671555202</v>
      </c>
      <c r="AV74" s="193"/>
      <c r="AW74" s="172"/>
    </row>
    <row r="75" spans="2:49">
      <c r="B75" s="158">
        <v>0</v>
      </c>
      <c r="C75" s="159">
        <v>0</v>
      </c>
      <c r="L75" s="58">
        <v>48548</v>
      </c>
      <c r="M75" s="130">
        <v>0.98984497351214717</v>
      </c>
      <c r="N75" s="130">
        <v>0.81256120271110921</v>
      </c>
      <c r="O75" s="115">
        <f t="shared" si="8"/>
        <v>136216773.04900819</v>
      </c>
      <c r="P75" s="92"/>
      <c r="T75" s="133">
        <v>73047.858688164793</v>
      </c>
      <c r="AK75" s="92">
        <v>47693</v>
      </c>
      <c r="AL75" s="115">
        <v>0.972351157061208</v>
      </c>
      <c r="AN75" s="92">
        <f t="shared" si="2"/>
        <v>47693</v>
      </c>
      <c r="AO75" s="115">
        <v>0.78530803751690104</v>
      </c>
      <c r="AQ75" s="92">
        <f t="shared" si="3"/>
        <v>47693</v>
      </c>
      <c r="AR75" s="115">
        <v>0.87436452401588005</v>
      </c>
      <c r="AS75" s="193"/>
      <c r="AT75" s="92">
        <f t="shared" si="0"/>
        <v>47693</v>
      </c>
      <c r="AU75" s="115">
        <v>0.74624877482394503</v>
      </c>
      <c r="AV75" s="193"/>
      <c r="AW75" s="172"/>
    </row>
    <row r="76" spans="2:49">
      <c r="B76" s="158">
        <v>0</v>
      </c>
      <c r="C76" s="159">
        <v>0</v>
      </c>
      <c r="L76" s="58">
        <v>48638</v>
      </c>
      <c r="M76" s="130">
        <v>0.98719928968715787</v>
      </c>
      <c r="N76" s="130">
        <v>0.80832169835033463</v>
      </c>
      <c r="O76" s="115">
        <f t="shared" si="8"/>
        <v>136565212.5856635</v>
      </c>
      <c r="P76" s="92"/>
      <c r="T76" s="133">
        <v>57758.6741861552</v>
      </c>
      <c r="AK76" s="92">
        <v>47785</v>
      </c>
      <c r="AL76" s="115">
        <v>0.96922655830426196</v>
      </c>
      <c r="AN76" s="92">
        <f t="shared" si="2"/>
        <v>47785</v>
      </c>
      <c r="AO76" s="115">
        <v>0.78080033715286001</v>
      </c>
      <c r="AQ76" s="92">
        <f t="shared" si="3"/>
        <v>47785</v>
      </c>
      <c r="AR76" s="115">
        <v>0.87032244608057896</v>
      </c>
      <c r="AS76" s="193"/>
      <c r="AT76" s="92">
        <f t="shared" si="0"/>
        <v>47785</v>
      </c>
      <c r="AU76" s="115">
        <v>0.74124854849049704</v>
      </c>
      <c r="AV76" s="193"/>
      <c r="AW76" s="172"/>
    </row>
    <row r="77" spans="2:49">
      <c r="B77" s="158">
        <v>0</v>
      </c>
      <c r="C77" s="159">
        <v>0</v>
      </c>
      <c r="L77" s="58">
        <v>48729</v>
      </c>
      <c r="M77" s="130">
        <v>0.984531399051776</v>
      </c>
      <c r="N77" s="130">
        <v>0.80405757741120321</v>
      </c>
      <c r="O77" s="115">
        <f t="shared" si="8"/>
        <v>136918429.89207762</v>
      </c>
      <c r="P77" s="92"/>
      <c r="T77" s="133">
        <v>38706.412290234897</v>
      </c>
      <c r="AK77" s="92">
        <v>47877</v>
      </c>
      <c r="AL77" s="115">
        <v>0.96616098270204398</v>
      </c>
      <c r="AN77" s="92">
        <f t="shared" si="2"/>
        <v>47877</v>
      </c>
      <c r="AO77" s="115">
        <v>0.77632204550158601</v>
      </c>
      <c r="AQ77" s="92">
        <f t="shared" si="3"/>
        <v>47877</v>
      </c>
      <c r="AR77" s="115">
        <v>0.86635189837013304</v>
      </c>
      <c r="AS77" s="193"/>
      <c r="AT77" s="92">
        <f t="shared" si="0"/>
        <v>47877</v>
      </c>
      <c r="AU77" s="115">
        <v>0.73628703022758002</v>
      </c>
      <c r="AV77" s="193"/>
      <c r="AW77" s="172"/>
    </row>
    <row r="78" spans="2:49">
      <c r="B78" s="158">
        <v>0</v>
      </c>
      <c r="C78" s="159">
        <v>0</v>
      </c>
      <c r="L78" s="58">
        <v>48821</v>
      </c>
      <c r="M78" s="130">
        <v>0.98184152007735903</v>
      </c>
      <c r="N78" s="130">
        <v>0.79976946412261862</v>
      </c>
      <c r="O78" s="115">
        <f t="shared" si="8"/>
        <v>137276457.40450233</v>
      </c>
      <c r="P78" s="92"/>
      <c r="T78" s="133">
        <v>15826.331965188299</v>
      </c>
      <c r="AK78" s="92">
        <v>47967</v>
      </c>
      <c r="AL78" s="115">
        <v>0.96320882696646404</v>
      </c>
      <c r="AN78" s="92">
        <f t="shared" si="2"/>
        <v>47967</v>
      </c>
      <c r="AO78" s="115">
        <v>0.77196763659263701</v>
      </c>
      <c r="AQ78" s="92">
        <f t="shared" si="3"/>
        <v>47967</v>
      </c>
      <c r="AR78" s="115">
        <v>0.86252786781150304</v>
      </c>
      <c r="AS78" s="193"/>
      <c r="AT78" s="92">
        <f t="shared" si="0"/>
        <v>47967</v>
      </c>
      <c r="AU78" s="115">
        <v>0.73146851873017005</v>
      </c>
      <c r="AV78" s="193"/>
      <c r="AW78" s="172"/>
    </row>
    <row r="79" spans="2:49">
      <c r="B79" s="158">
        <v>0</v>
      </c>
      <c r="C79" s="159">
        <v>0</v>
      </c>
      <c r="L79" s="58">
        <v>48913</v>
      </c>
      <c r="M79" s="130">
        <v>0.9791589902325929</v>
      </c>
      <c r="N79" s="130">
        <v>0.79550421973806806</v>
      </c>
      <c r="O79" s="115">
        <f t="shared" si="8"/>
        <v>137635421.1217882</v>
      </c>
      <c r="P79" s="92"/>
      <c r="T79" s="227">
        <v>100000000</v>
      </c>
      <c r="AK79" s="92">
        <v>48058</v>
      </c>
      <c r="AL79" s="115">
        <v>0.96024995231616905</v>
      </c>
      <c r="AN79" s="92">
        <f t="shared" si="2"/>
        <v>48058</v>
      </c>
      <c r="AO79" s="115">
        <v>0.76758728538652599</v>
      </c>
      <c r="AQ79" s="92">
        <f t="shared" si="3"/>
        <v>48058</v>
      </c>
      <c r="AR79" s="115">
        <v>0.85870479459867299</v>
      </c>
      <c r="AS79" s="193"/>
      <c r="AT79" s="92">
        <f t="shared" si="0"/>
        <v>48058</v>
      </c>
      <c r="AU79" s="115">
        <v>0.72662696068334198</v>
      </c>
      <c r="AV79" s="193"/>
      <c r="AW79" s="172"/>
    </row>
    <row r="80" spans="2:49">
      <c r="B80" s="158">
        <v>0</v>
      </c>
      <c r="C80" s="159">
        <v>0</v>
      </c>
      <c r="L80" s="58">
        <v>49003</v>
      </c>
      <c r="M80" s="130">
        <v>0.97654186818634003</v>
      </c>
      <c r="N80" s="130">
        <v>0.7913537094782358</v>
      </c>
      <c r="O80" s="115">
        <f t="shared" si="8"/>
        <v>137987489.52929467</v>
      </c>
      <c r="P80" s="92"/>
      <c r="T80" s="133">
        <v>-104362305.817295</v>
      </c>
      <c r="AK80" s="92">
        <v>48150</v>
      </c>
      <c r="AL80" s="115">
        <v>0.95727459512109403</v>
      </c>
      <c r="AN80" s="92">
        <f t="shared" si="2"/>
        <v>48150</v>
      </c>
      <c r="AO80" s="115">
        <v>0.76317767312525198</v>
      </c>
      <c r="AQ80" s="92">
        <f t="shared" si="3"/>
        <v>48150</v>
      </c>
      <c r="AR80" s="115">
        <v>0.85487779455333701</v>
      </c>
      <c r="AS80" s="193"/>
      <c r="AT80" s="92">
        <f t="shared" si="0"/>
        <v>48150</v>
      </c>
      <c r="AU80" s="115">
        <v>0.72175909093380397</v>
      </c>
      <c r="AV80" s="193"/>
      <c r="AW80" s="172"/>
    </row>
    <row r="81" spans="2:49">
      <c r="B81" s="158">
        <v>0</v>
      </c>
      <c r="C81" s="159">
        <v>0</v>
      </c>
      <c r="L81" s="58">
        <v>49094</v>
      </c>
      <c r="M81" s="130">
        <v>0.97390277906582579</v>
      </c>
      <c r="N81" s="130">
        <v>0.78717909938211672</v>
      </c>
      <c r="O81" s="115">
        <f t="shared" si="8"/>
        <v>138344385.46529162</v>
      </c>
      <c r="P81" s="92"/>
      <c r="AK81" s="92">
        <v>48242</v>
      </c>
      <c r="AL81" s="115">
        <v>0.95431082303820203</v>
      </c>
      <c r="AN81" s="92">
        <f t="shared" si="2"/>
        <v>48242</v>
      </c>
      <c r="AO81" s="115">
        <v>0.75878446682926504</v>
      </c>
      <c r="AQ81" s="92">
        <f t="shared" si="3"/>
        <v>48242</v>
      </c>
      <c r="AR81" s="115">
        <v>0.85108732122485997</v>
      </c>
      <c r="AS81" s="193"/>
      <c r="AT81" s="92">
        <f t="shared" si="0"/>
        <v>48242</v>
      </c>
      <c r="AU81" s="115">
        <v>0.71691562275311005</v>
      </c>
      <c r="AV81" s="193"/>
      <c r="AW81" s="172"/>
    </row>
    <row r="82" spans="2:49">
      <c r="B82" s="158">
        <v>0</v>
      </c>
      <c r="C82" s="159">
        <v>0</v>
      </c>
      <c r="L82" s="58">
        <v>49186</v>
      </c>
      <c r="M82" s="130">
        <v>0.97124193898387567</v>
      </c>
      <c r="N82" s="130">
        <v>0.78297942439031987</v>
      </c>
      <c r="O82" s="115">
        <f t="shared" si="8"/>
        <v>138706420.92765534</v>
      </c>
      <c r="P82" s="92"/>
      <c r="AK82" s="92">
        <v>48333</v>
      </c>
      <c r="AL82" s="115">
        <v>0.95138840626028298</v>
      </c>
      <c r="AN82" s="92">
        <f t="shared" si="2"/>
        <v>48333</v>
      </c>
      <c r="AO82" s="115">
        <v>0.754453903827629</v>
      </c>
      <c r="AQ82" s="92">
        <f t="shared" si="3"/>
        <v>48333</v>
      </c>
      <c r="AR82" s="115">
        <v>0.84737295435234405</v>
      </c>
      <c r="AS82" s="193"/>
      <c r="AT82" s="92">
        <f t="shared" ref="AT82:AT145" si="9">AQ82</f>
        <v>48333</v>
      </c>
      <c r="AU82" s="115">
        <v>0.71214749997578997</v>
      </c>
      <c r="AV82" s="193"/>
      <c r="AW82" s="172"/>
    </row>
    <row r="83" spans="2:49">
      <c r="B83" s="158">
        <v>0</v>
      </c>
      <c r="C83" s="159">
        <v>0</v>
      </c>
      <c r="L83" s="58">
        <v>49278</v>
      </c>
      <c r="M83" s="130">
        <v>0.96879081069451423</v>
      </c>
      <c r="N83" s="130">
        <v>0.77873160842559908</v>
      </c>
      <c r="O83" s="115">
        <f t="shared" si="8"/>
        <v>139111071.49082747</v>
      </c>
      <c r="P83" s="92"/>
      <c r="AK83" s="92">
        <v>48424</v>
      </c>
      <c r="AL83" s="115">
        <v>0.94847472969444402</v>
      </c>
      <c r="AN83" s="92">
        <f t="shared" ref="AN83:AN146" si="10">AK83</f>
        <v>48424</v>
      </c>
      <c r="AO83" s="115">
        <v>0.75013799714282203</v>
      </c>
      <c r="AQ83" s="92">
        <f t="shared" ref="AQ83:AQ146" si="11">AN83</f>
        <v>48424</v>
      </c>
      <c r="AR83" s="115">
        <v>0.84369288814440202</v>
      </c>
      <c r="AS83" s="193"/>
      <c r="AT83" s="92">
        <f t="shared" si="9"/>
        <v>48424</v>
      </c>
      <c r="AU83" s="115">
        <v>0.70740174298765601</v>
      </c>
      <c r="AV83" s="193"/>
      <c r="AW83" s="172"/>
    </row>
    <row r="84" spans="2:49">
      <c r="B84" s="158">
        <v>0</v>
      </c>
      <c r="C84" s="159">
        <v>0</v>
      </c>
      <c r="L84" s="58">
        <v>49368</v>
      </c>
      <c r="M84" s="130">
        <v>0.96639895358413852</v>
      </c>
      <c r="N84" s="130">
        <v>0.7745984363640871</v>
      </c>
      <c r="O84" s="115">
        <f t="shared" si="8"/>
        <v>139508067.55693641</v>
      </c>
      <c r="P84" s="92"/>
      <c r="AK84" s="92">
        <v>48516</v>
      </c>
      <c r="AL84" s="115">
        <v>0.94553918118542302</v>
      </c>
      <c r="AN84" s="92">
        <f t="shared" si="10"/>
        <v>48516</v>
      </c>
      <c r="AO84" s="115">
        <v>0.74579032329315897</v>
      </c>
      <c r="AQ84" s="92">
        <f t="shared" si="11"/>
        <v>48516</v>
      </c>
      <c r="AR84" s="115">
        <v>0.84000734409769795</v>
      </c>
      <c r="AS84" s="193"/>
      <c r="AT84" s="92">
        <f t="shared" si="9"/>
        <v>48516</v>
      </c>
      <c r="AU84" s="115">
        <v>0.70262727242233702</v>
      </c>
      <c r="AV84" s="193"/>
      <c r="AW84" s="172"/>
    </row>
    <row r="85" spans="2:49">
      <c r="B85" s="158">
        <v>0</v>
      </c>
      <c r="C85" s="159">
        <v>0</v>
      </c>
      <c r="L85" s="58">
        <v>49459</v>
      </c>
      <c r="M85" s="130">
        <v>0.96398652429397891</v>
      </c>
      <c r="N85" s="130">
        <v>0.77044164379956026</v>
      </c>
      <c r="O85" s="115">
        <f t="shared" si="8"/>
        <v>139910626.60496113</v>
      </c>
      <c r="P85" s="92"/>
      <c r="AK85" s="92">
        <v>48610</v>
      </c>
      <c r="AL85" s="115">
        <v>0.94255307393170196</v>
      </c>
      <c r="AN85" s="92">
        <f t="shared" si="10"/>
        <v>48610</v>
      </c>
      <c r="AO85" s="115">
        <v>0.74136597677800997</v>
      </c>
      <c r="AQ85" s="92">
        <f t="shared" si="11"/>
        <v>48610</v>
      </c>
      <c r="AR85" s="115">
        <v>0.83627852890515397</v>
      </c>
      <c r="AS85" s="193"/>
      <c r="AT85" s="92">
        <f t="shared" si="9"/>
        <v>48610</v>
      </c>
      <c r="AU85" s="115">
        <v>0.69777485789438898</v>
      </c>
      <c r="AV85" s="193"/>
      <c r="AW85" s="172"/>
    </row>
    <row r="86" spans="2:49">
      <c r="B86" s="158">
        <v>0</v>
      </c>
      <c r="C86" s="159">
        <v>0</v>
      </c>
      <c r="L86" s="58">
        <v>49551</v>
      </c>
      <c r="M86" s="130">
        <v>0.96155370653208094</v>
      </c>
      <c r="N86" s="130">
        <v>0.76626184773791306</v>
      </c>
      <c r="O86" s="115">
        <f t="shared" ref="O86:O149" si="12">IF($D$9,M86/N86*$C$9,$C$9)</f>
        <v>140318790.21750936</v>
      </c>
      <c r="P86" s="92"/>
      <c r="AK86" s="92">
        <v>48698</v>
      </c>
      <c r="AL86" s="115">
        <v>0.93977316062361405</v>
      </c>
      <c r="AN86" s="92">
        <f t="shared" si="10"/>
        <v>48698</v>
      </c>
      <c r="AO86" s="115">
        <v>0.73724234697119195</v>
      </c>
      <c r="AQ86" s="92">
        <f t="shared" si="11"/>
        <v>48698</v>
      </c>
      <c r="AR86" s="115">
        <v>0.83282227813728604</v>
      </c>
      <c r="AS86" s="193"/>
      <c r="AT86" s="92">
        <f t="shared" si="9"/>
        <v>48698</v>
      </c>
      <c r="AU86" s="115">
        <v>0.69325774655946004</v>
      </c>
      <c r="AV86" s="193"/>
      <c r="AW86" s="172"/>
    </row>
    <row r="87" spans="2:49">
      <c r="B87" s="158">
        <v>0</v>
      </c>
      <c r="C87" s="159">
        <v>0</v>
      </c>
      <c r="L87" s="58">
        <v>49643</v>
      </c>
      <c r="M87" s="130">
        <v>0.95912702848491282</v>
      </c>
      <c r="N87" s="130">
        <v>0.76210472788446093</v>
      </c>
      <c r="O87" s="115">
        <f t="shared" si="12"/>
        <v>140728144.57259551</v>
      </c>
      <c r="P87" s="92"/>
      <c r="AK87" s="92">
        <v>48789</v>
      </c>
      <c r="AL87" s="115">
        <v>0.93691855123863099</v>
      </c>
      <c r="AN87" s="92">
        <f t="shared" si="10"/>
        <v>48789</v>
      </c>
      <c r="AO87" s="115">
        <v>0.73299914058314097</v>
      </c>
      <c r="AQ87" s="92">
        <f t="shared" si="11"/>
        <v>48789</v>
      </c>
      <c r="AR87" s="115">
        <v>0.829284380776111</v>
      </c>
      <c r="AS87" s="193"/>
      <c r="AT87" s="92">
        <f t="shared" si="9"/>
        <v>48789</v>
      </c>
      <c r="AU87" s="115">
        <v>0.68861494868207496</v>
      </c>
      <c r="AV87" s="193"/>
      <c r="AW87" s="172"/>
    </row>
    <row r="88" spans="2:49">
      <c r="B88" s="158">
        <v>0</v>
      </c>
      <c r="C88" s="159">
        <v>0</v>
      </c>
      <c r="L88" s="58">
        <v>49734</v>
      </c>
      <c r="M88" s="130">
        <v>0.95673275215843379</v>
      </c>
      <c r="N88" s="130">
        <v>0.75801498135575529</v>
      </c>
      <c r="O88" s="115">
        <f t="shared" si="12"/>
        <v>141134224.22735313</v>
      </c>
      <c r="P88" s="92"/>
      <c r="AK88" s="92">
        <v>48883</v>
      </c>
      <c r="AL88" s="115">
        <v>0.93399625514530205</v>
      </c>
      <c r="AN88" s="92">
        <f t="shared" si="10"/>
        <v>48883</v>
      </c>
      <c r="AO88" s="115">
        <v>0.72864125311841998</v>
      </c>
      <c r="AQ88" s="92">
        <f t="shared" si="11"/>
        <v>48883</v>
      </c>
      <c r="AR88" s="115">
        <v>0.82566973209249594</v>
      </c>
      <c r="AS88" s="193"/>
      <c r="AT88" s="92">
        <f t="shared" si="9"/>
        <v>48883</v>
      </c>
      <c r="AU88" s="115">
        <v>0.68385199470133895</v>
      </c>
      <c r="AV88" s="193"/>
      <c r="AW88" s="172"/>
    </row>
    <row r="89" spans="2:49">
      <c r="B89" s="158">
        <v>0</v>
      </c>
      <c r="C89" s="159">
        <v>0</v>
      </c>
      <c r="L89" s="58">
        <v>49825</v>
      </c>
      <c r="M89" s="130">
        <v>0.95434445268273382</v>
      </c>
      <c r="N89" s="130">
        <v>0.75394718197690591</v>
      </c>
      <c r="O89" s="115">
        <f t="shared" si="12"/>
        <v>141541475.64975193</v>
      </c>
      <c r="P89" s="92"/>
      <c r="AK89" s="92">
        <v>48974</v>
      </c>
      <c r="AL89" s="115">
        <v>0.93119788813128401</v>
      </c>
      <c r="AN89" s="92">
        <f t="shared" si="10"/>
        <v>48974</v>
      </c>
      <c r="AO89" s="115">
        <v>0.724449653123865</v>
      </c>
      <c r="AQ89" s="92">
        <f t="shared" si="11"/>
        <v>48974</v>
      </c>
      <c r="AR89" s="115">
        <v>0.82221034446598296</v>
      </c>
      <c r="AS89" s="193"/>
      <c r="AT89" s="92">
        <f t="shared" si="9"/>
        <v>48974</v>
      </c>
      <c r="AU89" s="115">
        <v>0.67927560030801504</v>
      </c>
      <c r="AV89" s="193"/>
      <c r="AW89" s="172"/>
    </row>
    <row r="90" spans="2:49">
      <c r="B90" s="158">
        <v>0</v>
      </c>
      <c r="C90" s="159">
        <v>0</v>
      </c>
      <c r="L90" s="58">
        <v>49916</v>
      </c>
      <c r="M90" s="130">
        <v>0.95196211513775353</v>
      </c>
      <c r="N90" s="130">
        <v>0.7499012119710815</v>
      </c>
      <c r="O90" s="115">
        <f t="shared" si="12"/>
        <v>141949902.22099894</v>
      </c>
      <c r="P90" s="92"/>
      <c r="AK90" s="92">
        <v>49062</v>
      </c>
      <c r="AL90" s="115">
        <v>0.92852511581293595</v>
      </c>
      <c r="AN90" s="92">
        <f t="shared" si="10"/>
        <v>49062</v>
      </c>
      <c r="AO90" s="115">
        <v>0.72042422702556896</v>
      </c>
      <c r="AQ90" s="92">
        <f t="shared" si="11"/>
        <v>49062</v>
      </c>
      <c r="AR90" s="115">
        <v>0.81890350806735501</v>
      </c>
      <c r="AS90" s="193"/>
      <c r="AT90" s="92">
        <f t="shared" si="9"/>
        <v>49062</v>
      </c>
      <c r="AU90" s="115">
        <v>0.67488482835639596</v>
      </c>
      <c r="AV90" s="193"/>
      <c r="AW90" s="172"/>
    </row>
    <row r="91" spans="2:49">
      <c r="L91" s="58">
        <v>50007</v>
      </c>
      <c r="M91" s="130">
        <v>0.94958572464067859</v>
      </c>
      <c r="N91" s="130">
        <v>0.74587695419348654</v>
      </c>
      <c r="O91" s="115">
        <f t="shared" si="12"/>
        <v>142359507.33205792</v>
      </c>
      <c r="P91" s="92"/>
      <c r="AK91" s="92">
        <v>49156</v>
      </c>
      <c r="AL91" s="115">
        <v>0.92571103924641596</v>
      </c>
      <c r="AN91" s="92">
        <f t="shared" si="10"/>
        <v>49156</v>
      </c>
      <c r="AO91" s="115">
        <v>0.71615727346992097</v>
      </c>
      <c r="AQ91" s="92">
        <f t="shared" si="11"/>
        <v>49156</v>
      </c>
      <c r="AR91" s="115">
        <v>0.81541419193070397</v>
      </c>
      <c r="AS91" s="193"/>
      <c r="AT91" s="92">
        <f t="shared" si="9"/>
        <v>49156</v>
      </c>
      <c r="AU91" s="115">
        <v>0.67023483811820805</v>
      </c>
      <c r="AV91" s="193"/>
      <c r="AW91" s="172"/>
    </row>
    <row r="92" spans="2:49">
      <c r="L92" s="58">
        <v>50098</v>
      </c>
      <c r="M92" s="130">
        <v>0.94721526634584652</v>
      </c>
      <c r="N92" s="130">
        <v>0.7418742921279694</v>
      </c>
      <c r="O92" s="115">
        <f t="shared" si="12"/>
        <v>142770294.38367754</v>
      </c>
      <c r="P92" s="92"/>
      <c r="AK92" s="92">
        <v>49247</v>
      </c>
      <c r="AL92" s="115">
        <v>0.92303111725853104</v>
      </c>
      <c r="AN92" s="92">
        <f t="shared" si="10"/>
        <v>49247</v>
      </c>
      <c r="AO92" s="115">
        <v>0.71206105049933999</v>
      </c>
      <c r="AQ92" s="92">
        <f t="shared" si="11"/>
        <v>49247</v>
      </c>
      <c r="AR92" s="115">
        <v>0.81207950117101901</v>
      </c>
      <c r="AS92" s="193"/>
      <c r="AT92" s="92">
        <f t="shared" si="9"/>
        <v>49247</v>
      </c>
      <c r="AU92" s="115">
        <v>0.66577477801502805</v>
      </c>
      <c r="AV92" s="193"/>
      <c r="AW92" s="172"/>
    </row>
    <row r="93" spans="2:49">
      <c r="L93" s="58">
        <v>50189</v>
      </c>
      <c r="M93" s="130">
        <v>0.94485072544465432</v>
      </c>
      <c r="N93" s="130">
        <v>0.73789310988364898</v>
      </c>
      <c r="O93" s="115">
        <f t="shared" si="12"/>
        <v>143182266.78641933</v>
      </c>
      <c r="P93" s="92"/>
      <c r="AK93" s="92">
        <v>49338</v>
      </c>
      <c r="AL93" s="115">
        <v>0.92039804237166201</v>
      </c>
      <c r="AN93" s="92">
        <f t="shared" si="10"/>
        <v>49338</v>
      </c>
      <c r="AO93" s="115">
        <v>0.70800046852465104</v>
      </c>
      <c r="AQ93" s="92">
        <f t="shared" si="11"/>
        <v>49338</v>
      </c>
      <c r="AR93" s="115">
        <v>0.80878807244870399</v>
      </c>
      <c r="AS93" s="193"/>
      <c r="AT93" s="92">
        <f t="shared" si="9"/>
        <v>49338</v>
      </c>
      <c r="AU93" s="115">
        <v>0.66135709104996399</v>
      </c>
      <c r="AV93" s="193"/>
      <c r="AW93" s="172"/>
    </row>
    <row r="94" spans="2:49">
      <c r="L94" s="58">
        <v>50283</v>
      </c>
      <c r="M94" s="130">
        <v>0.94241443019296689</v>
      </c>
      <c r="N94" s="130">
        <v>0.73380311119927522</v>
      </c>
      <c r="O94" s="115">
        <f t="shared" si="12"/>
        <v>143609068.93941996</v>
      </c>
      <c r="P94" s="92"/>
      <c r="AK94" s="92">
        <v>49429</v>
      </c>
      <c r="AL94" s="115">
        <v>0.91781393944376499</v>
      </c>
      <c r="AN94" s="92">
        <f t="shared" si="10"/>
        <v>49429</v>
      </c>
      <c r="AO94" s="115">
        <v>0.70397655168008599</v>
      </c>
      <c r="AQ94" s="92">
        <f t="shared" si="11"/>
        <v>49429</v>
      </c>
      <c r="AR94" s="115">
        <v>0.80554026468165696</v>
      </c>
      <c r="AS94" s="193"/>
      <c r="AT94" s="92">
        <f t="shared" si="9"/>
        <v>49429</v>
      </c>
      <c r="AU94" s="115">
        <v>0.65698267557436596</v>
      </c>
      <c r="AV94" s="193"/>
      <c r="AW94" s="172"/>
    </row>
    <row r="95" spans="2:49">
      <c r="L95" s="58">
        <v>50374</v>
      </c>
      <c r="M95" s="130">
        <v>0.94006187365673033</v>
      </c>
      <c r="N95" s="130">
        <v>0.72986524201020531</v>
      </c>
      <c r="O95" s="115">
        <f t="shared" si="12"/>
        <v>144023461.67736235</v>
      </c>
      <c r="P95" s="92"/>
      <c r="AK95" s="92">
        <v>49520</v>
      </c>
      <c r="AL95" s="115">
        <v>0.91527964055453404</v>
      </c>
      <c r="AN95" s="92">
        <f t="shared" si="10"/>
        <v>49520</v>
      </c>
      <c r="AO95" s="115">
        <v>0.69998959813793704</v>
      </c>
      <c r="AQ95" s="92">
        <f t="shared" si="11"/>
        <v>49520</v>
      </c>
      <c r="AR95" s="115">
        <v>0.80233603407895004</v>
      </c>
      <c r="AS95" s="193"/>
      <c r="AT95" s="92">
        <f t="shared" si="9"/>
        <v>49520</v>
      </c>
      <c r="AU95" s="115">
        <v>0.65265171111256204</v>
      </c>
      <c r="AV95" s="193"/>
      <c r="AW95" s="172"/>
    </row>
    <row r="96" spans="2:49">
      <c r="L96" s="58">
        <v>50462</v>
      </c>
      <c r="M96" s="130">
        <v>0.93779245957083635</v>
      </c>
      <c r="N96" s="130">
        <v>0.72607729247777231</v>
      </c>
      <c r="O96" s="115">
        <f t="shared" si="12"/>
        <v>144425330.35478613</v>
      </c>
      <c r="P96" s="92"/>
      <c r="AK96" s="92">
        <v>49611</v>
      </c>
      <c r="AL96" s="115">
        <v>0.91279445114202995</v>
      </c>
      <c r="AN96" s="92">
        <f t="shared" si="10"/>
        <v>49611</v>
      </c>
      <c r="AO96" s="115">
        <v>0.69603906228219403</v>
      </c>
      <c r="AQ96" s="92">
        <f t="shared" si="11"/>
        <v>49611</v>
      </c>
      <c r="AR96" s="115">
        <v>0.79917486367832502</v>
      </c>
      <c r="AS96" s="193"/>
      <c r="AT96" s="92">
        <f t="shared" si="9"/>
        <v>49611</v>
      </c>
      <c r="AU96" s="115">
        <v>0.64836354571383703</v>
      </c>
      <c r="AV96" s="193"/>
      <c r="AW96" s="172"/>
    </row>
    <row r="97" spans="12:49">
      <c r="L97" s="58">
        <v>50556</v>
      </c>
      <c r="M97" s="130">
        <v>0.93537436404019514</v>
      </c>
      <c r="N97" s="130">
        <v>0.7220527865822558</v>
      </c>
      <c r="O97" s="115">
        <f t="shared" si="12"/>
        <v>144855837.87032363</v>
      </c>
      <c r="P97" s="92"/>
      <c r="AK97" s="92">
        <v>49703</v>
      </c>
      <c r="AL97" s="115">
        <v>0.91032936671098896</v>
      </c>
      <c r="AN97" s="92">
        <f t="shared" si="10"/>
        <v>49703</v>
      </c>
      <c r="AO97" s="115">
        <v>0.69208059760934804</v>
      </c>
      <c r="AQ97" s="92">
        <f t="shared" si="11"/>
        <v>49703</v>
      </c>
      <c r="AR97" s="115">
        <v>0.79602164551329202</v>
      </c>
      <c r="AS97" s="193"/>
      <c r="AT97" s="92">
        <f t="shared" si="9"/>
        <v>49703</v>
      </c>
      <c r="AU97" s="115">
        <v>0.64407013821308701</v>
      </c>
      <c r="AV97" s="193"/>
      <c r="AW97" s="172"/>
    </row>
    <row r="98" spans="12:49">
      <c r="L98" s="58">
        <v>50647</v>
      </c>
      <c r="M98" s="130">
        <v>0.93303938167633182</v>
      </c>
      <c r="N98" s="130">
        <v>0.71817797414582807</v>
      </c>
      <c r="O98" s="115">
        <f t="shared" si="12"/>
        <v>145273828.23615032</v>
      </c>
      <c r="P98" s="92"/>
      <c r="AK98" s="92">
        <v>49794</v>
      </c>
      <c r="AL98" s="115">
        <v>0.90793348584970601</v>
      </c>
      <c r="AN98" s="92">
        <f t="shared" si="10"/>
        <v>49794</v>
      </c>
      <c r="AO98" s="115">
        <v>0.68819765744065498</v>
      </c>
      <c r="AQ98" s="92">
        <f t="shared" si="11"/>
        <v>49794</v>
      </c>
      <c r="AR98" s="115">
        <v>0.79294324015792195</v>
      </c>
      <c r="AS98" s="193"/>
      <c r="AT98" s="92">
        <f t="shared" si="9"/>
        <v>49794</v>
      </c>
      <c r="AU98" s="115">
        <v>0.63986215886077602</v>
      </c>
      <c r="AV98" s="193"/>
      <c r="AW98" s="172"/>
    </row>
    <row r="99" spans="12:49">
      <c r="L99" s="58">
        <v>50739</v>
      </c>
      <c r="M99" s="130">
        <v>0.93068466537782868</v>
      </c>
      <c r="N99" s="130">
        <v>0.71428171867722123</v>
      </c>
      <c r="O99" s="115">
        <f t="shared" si="12"/>
        <v>145697638.00657612</v>
      </c>
      <c r="P99" s="92"/>
      <c r="AK99" s="92">
        <v>49885</v>
      </c>
      <c r="AL99" s="115">
        <v>0.90557442789541098</v>
      </c>
      <c r="AN99" s="92">
        <f t="shared" si="10"/>
        <v>49885</v>
      </c>
      <c r="AO99" s="115">
        <v>0.68434419581315498</v>
      </c>
      <c r="AQ99" s="92">
        <f t="shared" si="11"/>
        <v>49885</v>
      </c>
      <c r="AR99" s="115">
        <v>0.789903961693187</v>
      </c>
      <c r="AS99" s="193"/>
      <c r="AT99" s="92">
        <f t="shared" si="9"/>
        <v>49885</v>
      </c>
      <c r="AU99" s="115">
        <v>0.63568993114584904</v>
      </c>
      <c r="AV99" s="193"/>
      <c r="AW99" s="172"/>
    </row>
    <row r="100" spans="12:49">
      <c r="L100" s="58">
        <v>50829</v>
      </c>
      <c r="M100" s="130">
        <v>0.92838688890242449</v>
      </c>
      <c r="N100" s="130">
        <v>0.71049061887885268</v>
      </c>
      <c r="O100" s="115">
        <f t="shared" si="12"/>
        <v>146113430.85836068</v>
      </c>
      <c r="P100" s="92"/>
      <c r="AK100" s="92">
        <v>49977</v>
      </c>
      <c r="AL100" s="115">
        <v>0.90322530902362197</v>
      </c>
      <c r="AN100" s="92">
        <f t="shared" si="10"/>
        <v>49977</v>
      </c>
      <c r="AO100" s="115">
        <v>0.68047826455165805</v>
      </c>
      <c r="AQ100" s="92">
        <f t="shared" si="11"/>
        <v>49977</v>
      </c>
      <c r="AR100" s="115">
        <v>0.78687359410671598</v>
      </c>
      <c r="AS100" s="193"/>
      <c r="AT100" s="92">
        <f t="shared" si="9"/>
        <v>49977</v>
      </c>
      <c r="AU100" s="115">
        <v>0.63150842435499799</v>
      </c>
      <c r="AV100" s="193"/>
      <c r="AW100" s="172"/>
    </row>
    <row r="101" spans="12:49">
      <c r="L101" s="58">
        <v>50920</v>
      </c>
      <c r="M101" s="130">
        <v>0.92606934942757102</v>
      </c>
      <c r="N101" s="130">
        <v>0.70667785347283851</v>
      </c>
      <c r="O101" s="115">
        <f t="shared" si="12"/>
        <v>146535050.0855495</v>
      </c>
      <c r="P101" s="92"/>
      <c r="AK101" s="92">
        <v>50069</v>
      </c>
      <c r="AL101" s="115">
        <v>0.90091189064881105</v>
      </c>
      <c r="AN101" s="92">
        <f t="shared" si="10"/>
        <v>50069</v>
      </c>
      <c r="AO101" s="115">
        <v>0.67664277172334197</v>
      </c>
      <c r="AQ101" s="92">
        <f t="shared" si="11"/>
        <v>50069</v>
      </c>
      <c r="AR101" s="115">
        <v>0.78388805520479599</v>
      </c>
      <c r="AS101" s="193"/>
      <c r="AT101" s="92">
        <f t="shared" si="9"/>
        <v>50069</v>
      </c>
      <c r="AU101" s="115">
        <v>0.62736431051848196</v>
      </c>
      <c r="AV101" s="193"/>
      <c r="AW101" s="172"/>
    </row>
    <row r="102" spans="12:49">
      <c r="L102" s="58">
        <v>51012</v>
      </c>
      <c r="M102" s="130">
        <v>0.92373222343539307</v>
      </c>
      <c r="N102" s="130">
        <v>0.70284534142841437</v>
      </c>
      <c r="O102" s="115">
        <f t="shared" si="12"/>
        <v>146962256.32601145</v>
      </c>
      <c r="P102" s="92"/>
      <c r="AK102" s="92">
        <v>50159</v>
      </c>
      <c r="AL102" s="115">
        <v>0.89868302093828301</v>
      </c>
      <c r="AN102" s="92">
        <f t="shared" si="10"/>
        <v>50159</v>
      </c>
      <c r="AO102" s="115">
        <v>0.67292017422717199</v>
      </c>
      <c r="AQ102" s="92">
        <f t="shared" si="11"/>
        <v>50159</v>
      </c>
      <c r="AR102" s="115">
        <v>0.78101169931220604</v>
      </c>
      <c r="AS102" s="193"/>
      <c r="AT102" s="92">
        <f t="shared" si="9"/>
        <v>50159</v>
      </c>
      <c r="AU102" s="115">
        <v>0.62334658515828101</v>
      </c>
      <c r="AV102" s="193"/>
      <c r="AW102" s="172"/>
    </row>
    <row r="103" spans="12:49">
      <c r="L103" s="58">
        <v>51104</v>
      </c>
      <c r="M103" s="130">
        <v>0.92199268833855474</v>
      </c>
      <c r="N103" s="130">
        <v>0.69915608285385256</v>
      </c>
      <c r="O103" s="115">
        <f t="shared" si="12"/>
        <v>147459522.89964992</v>
      </c>
      <c r="P103" s="92"/>
      <c r="AK103" s="92">
        <v>50250</v>
      </c>
      <c r="AL103" s="115">
        <v>0.89646359532201503</v>
      </c>
      <c r="AN103" s="92">
        <f t="shared" si="10"/>
        <v>50250</v>
      </c>
      <c r="AO103" s="115">
        <v>0.66918567990548405</v>
      </c>
      <c r="AQ103" s="92">
        <f t="shared" si="11"/>
        <v>50250</v>
      </c>
      <c r="AR103" s="115">
        <v>0.77814769156947805</v>
      </c>
      <c r="AS103" s="193"/>
      <c r="AT103" s="92">
        <f t="shared" si="9"/>
        <v>50250</v>
      </c>
      <c r="AU103" s="115">
        <v>0.61932042362794804</v>
      </c>
      <c r="AV103" s="193"/>
      <c r="AW103" s="172"/>
    </row>
    <row r="104" spans="12:49">
      <c r="L104" s="58">
        <v>51195</v>
      </c>
      <c r="M104" s="130">
        <v>0.92027528385928603</v>
      </c>
      <c r="N104" s="130">
        <v>0.69552597572932651</v>
      </c>
      <c r="O104" s="115">
        <f t="shared" si="12"/>
        <v>147953039.61615422</v>
      </c>
      <c r="P104" s="92"/>
      <c r="AK104" s="92">
        <v>50342</v>
      </c>
      <c r="AL104" s="115">
        <v>0.894254548757904</v>
      </c>
      <c r="AN104" s="92">
        <f t="shared" si="10"/>
        <v>50342</v>
      </c>
      <c r="AO104" s="115">
        <v>0.66543981249505901</v>
      </c>
      <c r="AQ104" s="92">
        <f t="shared" si="11"/>
        <v>50342</v>
      </c>
      <c r="AR104" s="115">
        <v>0.77529631317899295</v>
      </c>
      <c r="AS104" s="193"/>
      <c r="AT104" s="92">
        <f t="shared" si="9"/>
        <v>50342</v>
      </c>
      <c r="AU104" s="115">
        <v>0.61528637490173799</v>
      </c>
      <c r="AV104" s="193"/>
      <c r="AW104" s="172"/>
    </row>
    <row r="105" spans="12:49">
      <c r="L105" s="58">
        <v>51286</v>
      </c>
      <c r="M105" s="130">
        <v>0.91856107840554391</v>
      </c>
      <c r="N105" s="130">
        <v>0.69191471658175252</v>
      </c>
      <c r="O105" s="115">
        <f t="shared" si="12"/>
        <v>148448208.03167859</v>
      </c>
      <c r="P105" s="92"/>
      <c r="AK105" s="92">
        <v>50434</v>
      </c>
      <c r="AL105" s="115">
        <v>0.89208029636974295</v>
      </c>
      <c r="AN105" s="92">
        <f t="shared" si="10"/>
        <v>50434</v>
      </c>
      <c r="AO105" s="115">
        <v>0.661723122372609</v>
      </c>
      <c r="AQ105" s="92">
        <f t="shared" si="11"/>
        <v>50434</v>
      </c>
      <c r="AR105" s="115">
        <v>0.77248727904855496</v>
      </c>
      <c r="AS105" s="193"/>
      <c r="AT105" s="92">
        <f t="shared" si="9"/>
        <v>50434</v>
      </c>
      <c r="AU105" s="115">
        <v>0.61128793849844398</v>
      </c>
      <c r="AV105" s="193"/>
      <c r="AW105" s="172"/>
    </row>
    <row r="106" spans="12:49">
      <c r="L106" s="58">
        <v>51378</v>
      </c>
      <c r="M106" s="130">
        <v>0.91683128139950942</v>
      </c>
      <c r="N106" s="130">
        <v>0.68828283322057526</v>
      </c>
      <c r="O106" s="115">
        <f t="shared" si="12"/>
        <v>148950502.52290452</v>
      </c>
      <c r="P106" s="92"/>
      <c r="AK106" s="92">
        <v>50524</v>
      </c>
      <c r="AL106" s="115">
        <v>0.88998684908188896</v>
      </c>
      <c r="AN106" s="92">
        <f t="shared" si="10"/>
        <v>50524</v>
      </c>
      <c r="AO106" s="115">
        <v>0.65811469444832704</v>
      </c>
      <c r="AQ106" s="92">
        <f t="shared" si="11"/>
        <v>50524</v>
      </c>
      <c r="AR106" s="115">
        <v>0.76977775956763494</v>
      </c>
      <c r="AS106" s="193"/>
      <c r="AT106" s="92">
        <f t="shared" si="9"/>
        <v>50524</v>
      </c>
      <c r="AU106" s="115">
        <v>0.60740976749117503</v>
      </c>
      <c r="AV106" s="193"/>
      <c r="AW106" s="172"/>
    </row>
    <row r="107" spans="12:49">
      <c r="L107" s="58">
        <v>51470</v>
      </c>
      <c r="M107" s="130">
        <v>0.91510474187711155</v>
      </c>
      <c r="N107" s="130">
        <v>0.68467001373596137</v>
      </c>
      <c r="O107" s="115">
        <f t="shared" si="12"/>
        <v>149454496.59514427</v>
      </c>
      <c r="P107" s="92"/>
      <c r="AK107" s="92">
        <v>50615</v>
      </c>
      <c r="AL107" s="115">
        <v>0.88790375948315603</v>
      </c>
      <c r="AN107" s="92">
        <f t="shared" si="10"/>
        <v>50615</v>
      </c>
      <c r="AO107" s="115">
        <v>0.65449292067118103</v>
      </c>
      <c r="AQ107" s="92">
        <f t="shared" si="11"/>
        <v>50615</v>
      </c>
      <c r="AR107" s="115">
        <v>0.76707383446038502</v>
      </c>
      <c r="AS107" s="193"/>
      <c r="AT107" s="92">
        <f t="shared" si="9"/>
        <v>50615</v>
      </c>
      <c r="AU107" s="115">
        <v>0.603520770031724</v>
      </c>
      <c r="AV107" s="193"/>
      <c r="AW107" s="172"/>
    </row>
    <row r="108" spans="12:49">
      <c r="L108" s="58">
        <v>51560</v>
      </c>
      <c r="M108" s="130">
        <v>0.91341888196083809</v>
      </c>
      <c r="N108" s="130">
        <v>0.68115408440985969</v>
      </c>
      <c r="O108" s="115">
        <f t="shared" si="12"/>
        <v>149949184.360176</v>
      </c>
      <c r="P108" s="92"/>
      <c r="AK108" s="92">
        <v>50707</v>
      </c>
      <c r="AL108" s="115">
        <v>0.88583204883991795</v>
      </c>
      <c r="AN108" s="92">
        <f t="shared" si="10"/>
        <v>50707</v>
      </c>
      <c r="AO108" s="115">
        <v>0.65085773860692397</v>
      </c>
      <c r="AQ108" s="92">
        <f t="shared" si="11"/>
        <v>50707</v>
      </c>
      <c r="AR108" s="115">
        <v>0.76437338384674802</v>
      </c>
      <c r="AS108" s="193"/>
      <c r="AT108" s="92">
        <f t="shared" si="9"/>
        <v>50707</v>
      </c>
      <c r="AU108" s="115">
        <v>0.59962063784670305</v>
      </c>
      <c r="AV108" s="193"/>
      <c r="AW108" s="172"/>
    </row>
    <row r="109" spans="12:49">
      <c r="L109" s="58">
        <v>51651</v>
      </c>
      <c r="M109" s="130">
        <v>0.91171744799160015</v>
      </c>
      <c r="N109" s="130">
        <v>0.6776174459462091</v>
      </c>
      <c r="O109" s="115">
        <f t="shared" si="12"/>
        <v>150451033.46190062</v>
      </c>
      <c r="P109" s="92"/>
      <c r="AK109" s="92">
        <v>50801</v>
      </c>
      <c r="AL109" s="115">
        <v>0.88375080175281795</v>
      </c>
      <c r="AN109" s="92">
        <f t="shared" si="10"/>
        <v>50801</v>
      </c>
      <c r="AO109" s="115">
        <v>0.64716991667530599</v>
      </c>
      <c r="AQ109" s="92">
        <f t="shared" si="11"/>
        <v>50801</v>
      </c>
      <c r="AR109" s="115">
        <v>0.76164509407833203</v>
      </c>
      <c r="AS109" s="193"/>
      <c r="AT109" s="92">
        <f t="shared" si="9"/>
        <v>50801</v>
      </c>
      <c r="AU109" s="115">
        <v>0.59566705879760196</v>
      </c>
      <c r="AV109" s="193"/>
      <c r="AW109" s="172"/>
    </row>
    <row r="110" spans="12:49">
      <c r="L110" s="58">
        <v>51743</v>
      </c>
      <c r="M110" s="130">
        <v>0.91000053863308172</v>
      </c>
      <c r="N110" s="130">
        <v>0.6740606094341407</v>
      </c>
      <c r="O110" s="115">
        <f t="shared" si="12"/>
        <v>150960104.78252602</v>
      </c>
      <c r="P110" s="92"/>
      <c r="AK110" s="92">
        <v>50889</v>
      </c>
      <c r="AL110" s="115">
        <v>0.88183484272089396</v>
      </c>
      <c r="AN110" s="92">
        <f t="shared" si="10"/>
        <v>50889</v>
      </c>
      <c r="AO110" s="115">
        <v>0.64374075032626898</v>
      </c>
      <c r="AQ110" s="92">
        <f t="shared" si="11"/>
        <v>50889</v>
      </c>
      <c r="AR110" s="115">
        <v>0.75911600928451395</v>
      </c>
      <c r="AS110" s="193"/>
      <c r="AT110" s="92">
        <f t="shared" si="9"/>
        <v>50889</v>
      </c>
      <c r="AU110" s="115">
        <v>0.59199323302283002</v>
      </c>
      <c r="AV110" s="193"/>
      <c r="AW110" s="172"/>
    </row>
    <row r="111" spans="12:49">
      <c r="L111" s="58">
        <v>51834</v>
      </c>
      <c r="M111" s="130">
        <v>0.9083054720442113</v>
      </c>
      <c r="N111" s="130">
        <v>0.67056080119292316</v>
      </c>
      <c r="O111" s="115">
        <f t="shared" si="12"/>
        <v>151465337.22713467</v>
      </c>
      <c r="P111" s="92"/>
      <c r="AK111" s="92">
        <v>50980</v>
      </c>
      <c r="AL111" s="115">
        <v>0.87988648004321302</v>
      </c>
      <c r="AN111" s="92">
        <f t="shared" si="10"/>
        <v>50980</v>
      </c>
      <c r="AO111" s="115">
        <v>0.640217474299694</v>
      </c>
      <c r="AQ111" s="92">
        <f t="shared" si="11"/>
        <v>50980</v>
      </c>
      <c r="AR111" s="115">
        <v>0.75652312998775795</v>
      </c>
      <c r="AS111" s="193"/>
      <c r="AT111" s="92">
        <f t="shared" si="9"/>
        <v>50980</v>
      </c>
      <c r="AU111" s="115">
        <v>0.58822078383210896</v>
      </c>
      <c r="AV111" s="193"/>
      <c r="AW111" s="172"/>
    </row>
    <row r="112" spans="12:49">
      <c r="L112" s="58">
        <v>51925</v>
      </c>
      <c r="M112" s="130">
        <v>0.90661356287186845</v>
      </c>
      <c r="N112" s="130">
        <v>0.66707916440031712</v>
      </c>
      <c r="O112" s="115">
        <f t="shared" si="12"/>
        <v>151972260.58089748</v>
      </c>
      <c r="P112" s="92"/>
      <c r="AK112" s="92">
        <v>51074</v>
      </c>
      <c r="AL112" s="115">
        <v>0.87790892464510495</v>
      </c>
      <c r="AN112" s="92">
        <f t="shared" si="10"/>
        <v>51074</v>
      </c>
      <c r="AO112" s="115">
        <v>0.63660155297010401</v>
      </c>
      <c r="AQ112" s="92">
        <f t="shared" si="11"/>
        <v>51074</v>
      </c>
      <c r="AR112" s="115">
        <v>0.753865814236512</v>
      </c>
      <c r="AS112" s="193"/>
      <c r="AT112" s="92">
        <f t="shared" si="9"/>
        <v>51074</v>
      </c>
      <c r="AU112" s="115">
        <v>0.58435120659558004</v>
      </c>
      <c r="AV112" s="193"/>
      <c r="AW112" s="172"/>
    </row>
    <row r="113" spans="12:49">
      <c r="L113" s="58">
        <v>52016</v>
      </c>
      <c r="M113" s="130">
        <v>0.90492480523470353</v>
      </c>
      <c r="N113" s="130">
        <v>0.66361560470785474</v>
      </c>
      <c r="O113" s="115">
        <f t="shared" si="12"/>
        <v>152480880.50293985</v>
      </c>
      <c r="P113" s="92"/>
      <c r="AK113" s="92">
        <v>51165</v>
      </c>
      <c r="AL113" s="115">
        <v>0.87602828977773695</v>
      </c>
      <c r="AN113" s="92">
        <f t="shared" si="10"/>
        <v>51165</v>
      </c>
      <c r="AO113" s="115">
        <v>0.63312310868626198</v>
      </c>
      <c r="AQ113" s="92">
        <f t="shared" si="11"/>
        <v>51165</v>
      </c>
      <c r="AR113" s="115">
        <v>0.75131135552659201</v>
      </c>
      <c r="AS113" s="193"/>
      <c r="AT113" s="92">
        <f t="shared" si="9"/>
        <v>51165</v>
      </c>
      <c r="AU113" s="115">
        <v>0.58063053274308996</v>
      </c>
      <c r="AV113" s="193"/>
      <c r="AW113" s="172"/>
    </row>
    <row r="114" spans="12:49">
      <c r="L114" s="58">
        <v>52107</v>
      </c>
      <c r="M114" s="130">
        <v>0.90323919326232216</v>
      </c>
      <c r="N114" s="130">
        <v>0.6601700282569376</v>
      </c>
      <c r="O114" s="115">
        <f t="shared" si="12"/>
        <v>152991202.67132708</v>
      </c>
      <c r="P114" s="92"/>
      <c r="AK114" s="92">
        <v>51256</v>
      </c>
      <c r="AL114" s="115">
        <v>0.874180778719017</v>
      </c>
      <c r="AN114" s="92">
        <f t="shared" si="10"/>
        <v>51256</v>
      </c>
      <c r="AO114" s="115">
        <v>0.62966587339800895</v>
      </c>
      <c r="AQ114" s="92">
        <f t="shared" si="11"/>
        <v>51256</v>
      </c>
      <c r="AR114" s="115">
        <v>0.748773024061271</v>
      </c>
      <c r="AS114" s="193"/>
      <c r="AT114" s="92">
        <f t="shared" si="9"/>
        <v>51256</v>
      </c>
      <c r="AU114" s="115">
        <v>0.57693414693937795</v>
      </c>
      <c r="AV114" s="193"/>
      <c r="AW114" s="172"/>
    </row>
    <row r="115" spans="12:49">
      <c r="L115" s="58">
        <v>52198</v>
      </c>
      <c r="M115" s="130">
        <v>0.90155672109526508</v>
      </c>
      <c r="N115" s="130">
        <v>0.6567423416762932</v>
      </c>
      <c r="O115" s="115">
        <f t="shared" si="12"/>
        <v>153503232.7831279</v>
      </c>
      <c r="P115" s="92"/>
      <c r="AK115" s="92">
        <v>51347</v>
      </c>
      <c r="AL115" s="115">
        <v>0.87236622876618297</v>
      </c>
      <c r="AN115" s="92">
        <f t="shared" si="10"/>
        <v>51347</v>
      </c>
      <c r="AO115" s="115">
        <v>0.626229536850193</v>
      </c>
      <c r="AQ115" s="92">
        <f t="shared" si="11"/>
        <v>51347</v>
      </c>
      <c r="AR115" s="115">
        <v>0.74625000017334897</v>
      </c>
      <c r="AS115" s="193"/>
      <c r="AT115" s="92">
        <f t="shared" si="9"/>
        <v>51347</v>
      </c>
      <c r="AU115" s="115">
        <v>0.57326163597496305</v>
      </c>
      <c r="AV115" s="193"/>
      <c r="AW115" s="172"/>
    </row>
    <row r="116" spans="12:49">
      <c r="L116" s="58">
        <v>52289</v>
      </c>
      <c r="M116" s="130">
        <v>0.89987738288498698</v>
      </c>
      <c r="N116" s="130">
        <v>0.65333245207944424</v>
      </c>
      <c r="O116" s="115">
        <f t="shared" si="12"/>
        <v>154016976.55447781</v>
      </c>
      <c r="P116" s="92"/>
      <c r="AK116" s="92">
        <v>51438</v>
      </c>
      <c r="AL116" s="115">
        <v>0.870584442219828</v>
      </c>
      <c r="AN116" s="92">
        <f t="shared" si="10"/>
        <v>51438</v>
      </c>
      <c r="AO116" s="115">
        <v>0.62281401091109401</v>
      </c>
      <c r="AQ116" s="92">
        <f t="shared" si="11"/>
        <v>51438</v>
      </c>
      <c r="AR116" s="115">
        <v>0.743742388786097</v>
      </c>
      <c r="AS116" s="193"/>
      <c r="AT116" s="92">
        <f t="shared" si="9"/>
        <v>51438</v>
      </c>
      <c r="AU116" s="115">
        <v>0.56961291419570803</v>
      </c>
      <c r="AV116" s="193"/>
      <c r="AW116" s="172"/>
    </row>
    <row r="117" spans="12:49">
      <c r="L117" s="58">
        <v>52380</v>
      </c>
      <c r="M117" s="130">
        <v>0.89820117279383727</v>
      </c>
      <c r="N117" s="130">
        <v>0.64994026706219188</v>
      </c>
      <c r="O117" s="115">
        <f t="shared" si="12"/>
        <v>154532439.72064319</v>
      </c>
      <c r="P117" s="92"/>
      <c r="AK117" s="92">
        <v>51530</v>
      </c>
      <c r="AL117" s="115">
        <v>0.86881613738626795</v>
      </c>
      <c r="AN117" s="92">
        <f t="shared" si="10"/>
        <v>51530</v>
      </c>
      <c r="AO117" s="115">
        <v>0.61938227455464301</v>
      </c>
      <c r="AQ117" s="92">
        <f t="shared" si="11"/>
        <v>51530</v>
      </c>
      <c r="AR117" s="115">
        <v>0.74122408066041201</v>
      </c>
      <c r="AS117" s="193"/>
      <c r="AT117" s="92">
        <f t="shared" si="9"/>
        <v>51530</v>
      </c>
      <c r="AU117" s="115">
        <v>0.56594857053488801</v>
      </c>
      <c r="AV117" s="193"/>
      <c r="AW117" s="172"/>
    </row>
    <row r="118" spans="12:49">
      <c r="L118" s="58">
        <v>52474</v>
      </c>
      <c r="M118" s="130">
        <v>0.89647298135033304</v>
      </c>
      <c r="N118" s="130">
        <v>0.6464547438947521</v>
      </c>
      <c r="O118" s="115">
        <f t="shared" si="12"/>
        <v>155066707.64089048</v>
      </c>
      <c r="P118" s="92"/>
      <c r="AK118" s="92">
        <v>51620</v>
      </c>
      <c r="AL118" s="115">
        <v>0.867118157655274</v>
      </c>
      <c r="AN118" s="92">
        <f t="shared" si="10"/>
        <v>51620</v>
      </c>
      <c r="AO118" s="115">
        <v>0.61604632700921902</v>
      </c>
      <c r="AQ118" s="92">
        <f t="shared" si="11"/>
        <v>51620</v>
      </c>
      <c r="AR118" s="115">
        <v>0.73877925672970002</v>
      </c>
      <c r="AS118" s="193"/>
      <c r="AT118" s="92">
        <f t="shared" si="9"/>
        <v>51620</v>
      </c>
      <c r="AU118" s="115">
        <v>0.56238838605407104</v>
      </c>
      <c r="AV118" s="193"/>
      <c r="AW118" s="172"/>
    </row>
    <row r="119" spans="12:49">
      <c r="L119" s="58">
        <v>52565</v>
      </c>
      <c r="M119" s="130">
        <v>0.89480311267004131</v>
      </c>
      <c r="N119" s="130">
        <v>0.64309826881136711</v>
      </c>
      <c r="O119" s="115">
        <f t="shared" si="12"/>
        <v>155585684.04125592</v>
      </c>
      <c r="P119" s="92"/>
      <c r="AK119" s="92">
        <v>51711</v>
      </c>
      <c r="AL119" s="115">
        <v>0.86543388780029995</v>
      </c>
      <c r="AN119" s="92">
        <f t="shared" si="10"/>
        <v>51711</v>
      </c>
      <c r="AO119" s="115">
        <v>0.61269490684734296</v>
      </c>
      <c r="AQ119" s="92">
        <f t="shared" si="11"/>
        <v>51711</v>
      </c>
      <c r="AR119" s="115">
        <v>0.73632920942122304</v>
      </c>
      <c r="AS119" s="193"/>
      <c r="AT119" s="92">
        <f t="shared" si="9"/>
        <v>51711</v>
      </c>
      <c r="AU119" s="115">
        <v>0.55881351916584399</v>
      </c>
      <c r="AV119" s="193"/>
      <c r="AW119" s="172"/>
    </row>
    <row r="120" spans="12:49">
      <c r="L120" s="58">
        <v>52656</v>
      </c>
      <c r="M120" s="130">
        <v>0.89313635446989503</v>
      </c>
      <c r="N120" s="130">
        <v>0.63975922097264504</v>
      </c>
      <c r="O120" s="115">
        <f t="shared" si="12"/>
        <v>156106397.34897071</v>
      </c>
      <c r="AK120" s="92">
        <v>51803</v>
      </c>
      <c r="AL120" s="115">
        <v>0.86376778926473896</v>
      </c>
      <c r="AN120" s="92">
        <f t="shared" si="10"/>
        <v>51803</v>
      </c>
      <c r="AO120" s="115">
        <v>0.60932756986248704</v>
      </c>
      <c r="AQ120" s="92">
        <f t="shared" si="11"/>
        <v>51803</v>
      </c>
      <c r="AR120" s="115">
        <v>0.73387630038311802</v>
      </c>
      <c r="AS120" s="193"/>
      <c r="AT120" s="92">
        <f t="shared" si="9"/>
        <v>51803</v>
      </c>
      <c r="AU120" s="115">
        <v>0.55522215268125796</v>
      </c>
      <c r="AV120" s="193"/>
      <c r="AW120" s="172"/>
    </row>
    <row r="121" spans="12:49">
      <c r="L121" s="58">
        <v>52747</v>
      </c>
      <c r="M121" s="130">
        <v>0.89147270095597353</v>
      </c>
      <c r="N121" s="130">
        <v>0.63643750989411962</v>
      </c>
      <c r="O121" s="115">
        <f t="shared" si="12"/>
        <v>156628853.37710673</v>
      </c>
      <c r="AK121" s="92">
        <v>51895</v>
      </c>
      <c r="AL121" s="115">
        <v>0.86214133472846299</v>
      </c>
      <c r="AN121" s="92">
        <f t="shared" si="10"/>
        <v>51895</v>
      </c>
      <c r="AO121" s="115">
        <v>0.60598015917137105</v>
      </c>
      <c r="AQ121" s="92">
        <f t="shared" si="11"/>
        <v>51895</v>
      </c>
      <c r="AR121" s="115">
        <v>0.73144831344901895</v>
      </c>
      <c r="AS121" s="193"/>
      <c r="AT121" s="92">
        <f t="shared" si="9"/>
        <v>51895</v>
      </c>
      <c r="AU121" s="115">
        <v>0.55165134175767705</v>
      </c>
      <c r="AV121" s="193"/>
      <c r="AW121" s="172"/>
    </row>
    <row r="122" spans="12:49">
      <c r="L122" s="58">
        <v>52839</v>
      </c>
      <c r="M122" s="130">
        <v>0.88979391568482769</v>
      </c>
      <c r="N122" s="130">
        <v>0.63309772711866219</v>
      </c>
      <c r="O122" s="115">
        <f t="shared" si="12"/>
        <v>157158605.04618216</v>
      </c>
      <c r="AK122" s="92">
        <v>51985</v>
      </c>
      <c r="AL122" s="115">
        <v>0.86058984269094996</v>
      </c>
      <c r="AN122" s="92">
        <f t="shared" si="10"/>
        <v>51985</v>
      </c>
      <c r="AO122" s="115">
        <v>0.60272421266406295</v>
      </c>
      <c r="AQ122" s="92">
        <f t="shared" si="11"/>
        <v>51985</v>
      </c>
      <c r="AR122" s="115">
        <v>0.72909748456802803</v>
      </c>
      <c r="AS122" s="193"/>
      <c r="AT122" s="92">
        <f t="shared" si="9"/>
        <v>51985</v>
      </c>
      <c r="AU122" s="115">
        <v>0.54817687620747202</v>
      </c>
      <c r="AV122" s="193"/>
      <c r="AW122" s="172"/>
    </row>
    <row r="123" spans="12:49">
      <c r="L123" s="58">
        <v>52931</v>
      </c>
      <c r="M123" s="130">
        <v>0.88848361343309101</v>
      </c>
      <c r="N123" s="130">
        <v>0.62985684464023328</v>
      </c>
      <c r="O123" s="115">
        <f t="shared" si="12"/>
        <v>157734632.08268526</v>
      </c>
      <c r="AK123" s="92">
        <v>52076</v>
      </c>
      <c r="AL123" s="115">
        <v>0.85906094911889996</v>
      </c>
      <c r="AN123" s="92">
        <f t="shared" si="10"/>
        <v>52076</v>
      </c>
      <c r="AO123" s="115">
        <v>0.59945070486696705</v>
      </c>
      <c r="AQ123" s="92">
        <f t="shared" si="11"/>
        <v>52076</v>
      </c>
      <c r="AR123" s="115">
        <v>0.72674492562590798</v>
      </c>
      <c r="AS123" s="193"/>
      <c r="AT123" s="92">
        <f t="shared" si="9"/>
        <v>52076</v>
      </c>
      <c r="AU123" s="115">
        <v>0.54468239166139698</v>
      </c>
      <c r="AV123" s="193"/>
      <c r="AW123" s="172"/>
    </row>
    <row r="124" spans="12:49">
      <c r="L124" s="58">
        <v>53021</v>
      </c>
      <c r="M124" s="130">
        <v>0.88720366310795729</v>
      </c>
      <c r="N124" s="130">
        <v>0.62670247001526591</v>
      </c>
      <c r="O124" s="115">
        <f t="shared" si="12"/>
        <v>158300179.67906716</v>
      </c>
      <c r="AK124" s="92">
        <v>52168</v>
      </c>
      <c r="AL124" s="115">
        <v>0.85755491668973904</v>
      </c>
      <c r="AN124" s="92">
        <f t="shared" si="10"/>
        <v>52168</v>
      </c>
      <c r="AO124" s="115">
        <v>0.59616041259160502</v>
      </c>
      <c r="AQ124" s="92">
        <f t="shared" si="11"/>
        <v>52168</v>
      </c>
      <c r="AR124" s="115">
        <v>0.72439099274392105</v>
      </c>
      <c r="AS124" s="193"/>
      <c r="AT124" s="92">
        <f t="shared" si="9"/>
        <v>52168</v>
      </c>
      <c r="AU124" s="115">
        <v>0.541169057279838</v>
      </c>
      <c r="AV124" s="193"/>
      <c r="AW124" s="172"/>
    </row>
    <row r="125" spans="12:49">
      <c r="L125" s="58">
        <v>53112</v>
      </c>
      <c r="M125" s="130">
        <v>0.88591136584562247</v>
      </c>
      <c r="N125" s="130">
        <v>0.62352910811592377</v>
      </c>
      <c r="O125" s="115">
        <f t="shared" si="12"/>
        <v>158874072.82105625</v>
      </c>
      <c r="AK125" s="92">
        <v>52260</v>
      </c>
      <c r="AL125" s="115">
        <v>0.85608679784516495</v>
      </c>
      <c r="AN125" s="92">
        <f t="shared" si="10"/>
        <v>52260</v>
      </c>
      <c r="AO125" s="115">
        <v>0.59288985833395502</v>
      </c>
      <c r="AQ125" s="92">
        <f t="shared" si="11"/>
        <v>52260</v>
      </c>
      <c r="AR125" s="115">
        <v>0.72206094167968804</v>
      </c>
      <c r="AS125" s="193"/>
      <c r="AT125" s="92">
        <f t="shared" si="9"/>
        <v>52260</v>
      </c>
      <c r="AU125" s="115">
        <v>0.53767658788444905</v>
      </c>
      <c r="AV125" s="193"/>
      <c r="AW125" s="172"/>
    </row>
    <row r="126" spans="12:49">
      <c r="L126" s="58">
        <v>53204</v>
      </c>
      <c r="M126" s="130">
        <v>0.8846067810007</v>
      </c>
      <c r="N126" s="130">
        <v>0.62033720823266214</v>
      </c>
      <c r="O126" s="115">
        <f t="shared" si="12"/>
        <v>159456387.49175081</v>
      </c>
      <c r="AK126" s="92">
        <v>52350</v>
      </c>
      <c r="AL126" s="115">
        <v>0.85468470475793901</v>
      </c>
      <c r="AN126" s="92">
        <f t="shared" si="10"/>
        <v>52350</v>
      </c>
      <c r="AO126" s="115">
        <v>0.58971014168950697</v>
      </c>
      <c r="AQ126" s="92">
        <f t="shared" si="11"/>
        <v>52350</v>
      </c>
      <c r="AR126" s="115">
        <v>0.71980374351537701</v>
      </c>
      <c r="AS126" s="193"/>
      <c r="AT126" s="92">
        <f t="shared" si="9"/>
        <v>52350</v>
      </c>
      <c r="AU126" s="115">
        <v>0.53428187193727295</v>
      </c>
      <c r="AV126" s="193"/>
      <c r="AW126" s="172"/>
    </row>
    <row r="127" spans="12:49">
      <c r="L127" s="58">
        <v>53296</v>
      </c>
      <c r="M127" s="130">
        <v>0.88330411727529712</v>
      </c>
      <c r="N127" s="130">
        <v>0.61716164796327289</v>
      </c>
      <c r="O127" s="115">
        <f t="shared" si="12"/>
        <v>160040836.49669942</v>
      </c>
      <c r="AK127" s="92">
        <v>52441</v>
      </c>
      <c r="AL127" s="115">
        <v>0.85329824792181397</v>
      </c>
      <c r="AN127" s="92">
        <f t="shared" si="10"/>
        <v>52441</v>
      </c>
      <c r="AO127" s="115">
        <v>0.58651573386869604</v>
      </c>
      <c r="AQ127" s="92">
        <f t="shared" si="11"/>
        <v>52441</v>
      </c>
      <c r="AR127" s="115">
        <v>0.71754272856610901</v>
      </c>
      <c r="AS127" s="193"/>
      <c r="AT127" s="92">
        <f t="shared" si="9"/>
        <v>52441</v>
      </c>
      <c r="AU127" s="115">
        <v>0.53087336789912498</v>
      </c>
      <c r="AV127" s="193"/>
      <c r="AW127" s="172"/>
    </row>
    <row r="128" spans="12:49">
      <c r="L128" s="58">
        <v>53386</v>
      </c>
      <c r="M128" s="130">
        <v>0.88203162853717643</v>
      </c>
      <c r="N128" s="130">
        <v>0.61407085192222899</v>
      </c>
      <c r="O128" s="115">
        <f t="shared" si="12"/>
        <v>160614652.84386799</v>
      </c>
      <c r="AK128" s="92">
        <v>52533</v>
      </c>
      <c r="AL128" s="115">
        <v>0.85192497572118497</v>
      </c>
      <c r="AN128" s="92">
        <f t="shared" si="10"/>
        <v>52533</v>
      </c>
      <c r="AO128" s="115">
        <v>0.58330822016466899</v>
      </c>
      <c r="AQ128" s="92">
        <f t="shared" si="11"/>
        <v>52533</v>
      </c>
      <c r="AR128" s="115">
        <v>0.71527742290623497</v>
      </c>
      <c r="AS128" s="193"/>
      <c r="AT128" s="92">
        <f t="shared" si="9"/>
        <v>52533</v>
      </c>
      <c r="AU128" s="115">
        <v>0.52745409540130594</v>
      </c>
      <c r="AV128" s="193"/>
      <c r="AW128" s="172"/>
    </row>
    <row r="129" spans="12:49">
      <c r="L129" s="58">
        <v>53477</v>
      </c>
      <c r="M129" s="130">
        <v>0.88074686483944964</v>
      </c>
      <c r="N129" s="130">
        <v>0.61096145130834745</v>
      </c>
      <c r="O129" s="115">
        <f t="shared" si="12"/>
        <v>161196936.75508606</v>
      </c>
      <c r="AK129" s="92">
        <v>52625</v>
      </c>
      <c r="AL129" s="115">
        <v>0.85057659220589099</v>
      </c>
      <c r="AN129" s="92">
        <f t="shared" si="10"/>
        <v>52625</v>
      </c>
      <c r="AO129" s="115">
        <v>0.58012377164776097</v>
      </c>
      <c r="AQ129" s="92">
        <f t="shared" si="11"/>
        <v>52625</v>
      </c>
      <c r="AR129" s="115">
        <v>0.71303155084234804</v>
      </c>
      <c r="AS129" s="193"/>
      <c r="AT129" s="92">
        <f t="shared" si="9"/>
        <v>52625</v>
      </c>
      <c r="AU129" s="115">
        <v>0.52406398020775002</v>
      </c>
      <c r="AV129" s="193"/>
      <c r="AW129" s="172"/>
    </row>
    <row r="130" spans="12:49">
      <c r="L130" s="58">
        <v>53569</v>
      </c>
      <c r="M130" s="130">
        <v>0.87944988519071721</v>
      </c>
      <c r="N130" s="130">
        <v>0.60783388635632618</v>
      </c>
      <c r="O130" s="115">
        <f t="shared" si="12"/>
        <v>161787765.32438469</v>
      </c>
      <c r="AK130" s="92">
        <v>52716</v>
      </c>
      <c r="AL130" s="115">
        <v>0.84926374568151997</v>
      </c>
      <c r="AN130" s="92">
        <f t="shared" si="10"/>
        <v>52716</v>
      </c>
      <c r="AO130" s="115">
        <v>0.57699753715523106</v>
      </c>
      <c r="AQ130" s="92">
        <f t="shared" si="11"/>
        <v>52716</v>
      </c>
      <c r="AR130" s="115">
        <v>0.71082800858158501</v>
      </c>
      <c r="AS130" s="193"/>
      <c r="AT130" s="92">
        <f t="shared" si="9"/>
        <v>52716</v>
      </c>
      <c r="AU130" s="115">
        <v>0.52074162247713396</v>
      </c>
      <c r="AV130" s="193"/>
      <c r="AW130" s="172"/>
    </row>
    <row r="131" spans="12:49">
      <c r="L131" s="58">
        <v>53661</v>
      </c>
      <c r="M131" s="130">
        <v>0.87815481546216312</v>
      </c>
      <c r="N131" s="130">
        <v>0.60472233168205336</v>
      </c>
      <c r="O131" s="115">
        <f t="shared" si="12"/>
        <v>162380759.43358332</v>
      </c>
      <c r="AK131" s="92">
        <v>52807</v>
      </c>
      <c r="AL131" s="115">
        <v>0.84796829244232996</v>
      </c>
      <c r="AN131" s="92">
        <f t="shared" si="10"/>
        <v>52807</v>
      </c>
      <c r="AO131" s="115">
        <v>0.57389559969869197</v>
      </c>
      <c r="AQ131" s="92">
        <f t="shared" si="11"/>
        <v>52807</v>
      </c>
      <c r="AR131" s="115">
        <v>0.70864116518161002</v>
      </c>
      <c r="AS131" s="193"/>
      <c r="AT131" s="92">
        <f t="shared" si="9"/>
        <v>52807</v>
      </c>
      <c r="AU131" s="115">
        <v>0.51745202451822403</v>
      </c>
      <c r="AV131" s="193"/>
      <c r="AW131" s="172"/>
    </row>
    <row r="132" spans="12:49">
      <c r="L132" s="58">
        <v>53751</v>
      </c>
      <c r="M132" s="130">
        <v>0.87688974481305415</v>
      </c>
      <c r="N132" s="130">
        <v>0.60169383275497013</v>
      </c>
      <c r="O132" s="115">
        <f t="shared" si="12"/>
        <v>162962965.4271802</v>
      </c>
      <c r="AK132" s="92">
        <v>52901</v>
      </c>
      <c r="AL132" s="115">
        <v>0.846645222550789</v>
      </c>
      <c r="AN132" s="92">
        <f t="shared" si="10"/>
        <v>52901</v>
      </c>
      <c r="AO132" s="115">
        <v>0.57071764832762695</v>
      </c>
      <c r="AQ132" s="92">
        <f t="shared" si="11"/>
        <v>52901</v>
      </c>
      <c r="AR132" s="115">
        <v>0.70639870322216902</v>
      </c>
      <c r="AS132" s="193"/>
      <c r="AT132" s="92">
        <f t="shared" si="9"/>
        <v>52901</v>
      </c>
      <c r="AU132" s="115">
        <v>0.51409018967290998</v>
      </c>
      <c r="AV132" s="193"/>
      <c r="AW132" s="172"/>
    </row>
    <row r="133" spans="12:49">
      <c r="L133" s="58">
        <v>53842</v>
      </c>
      <c r="M133" s="130">
        <v>0.87561247076233428</v>
      </c>
      <c r="N133" s="130">
        <v>0.59864710424297429</v>
      </c>
      <c r="O133" s="115">
        <f t="shared" si="12"/>
        <v>163553762.78727454</v>
      </c>
      <c r="AK133" s="92">
        <v>52992</v>
      </c>
      <c r="AL133" s="115">
        <v>0.84537647511935399</v>
      </c>
      <c r="AN133" s="92">
        <f t="shared" si="10"/>
        <v>52992</v>
      </c>
      <c r="AO133" s="115">
        <v>0.56766705884630697</v>
      </c>
      <c r="AQ133" s="92">
        <f t="shared" si="11"/>
        <v>52992</v>
      </c>
      <c r="AR133" s="115">
        <v>0.70424290967345105</v>
      </c>
      <c r="AS133" s="193"/>
      <c r="AT133" s="92">
        <f t="shared" si="9"/>
        <v>52992</v>
      </c>
      <c r="AU133" s="115">
        <v>0.51087202977652402</v>
      </c>
      <c r="AV133" s="193"/>
      <c r="AW133" s="172"/>
    </row>
    <row r="134" spans="12:49">
      <c r="L134" s="58">
        <v>53934</v>
      </c>
      <c r="M134" s="130">
        <v>0.87432305197460791</v>
      </c>
      <c r="N134" s="130">
        <v>0.59558257750753141</v>
      </c>
      <c r="O134" s="115">
        <f t="shared" si="12"/>
        <v>164153229.73507291</v>
      </c>
      <c r="AK134" s="92">
        <v>53080</v>
      </c>
      <c r="AL134" s="115">
        <v>0.84415922090894202</v>
      </c>
      <c r="AN134" s="92">
        <f t="shared" si="10"/>
        <v>53080</v>
      </c>
      <c r="AO134" s="115">
        <v>0.56474158053696899</v>
      </c>
      <c r="AQ134" s="92">
        <f t="shared" si="11"/>
        <v>53080</v>
      </c>
      <c r="AR134" s="115">
        <v>0.70217173817925005</v>
      </c>
      <c r="AS134" s="193"/>
      <c r="AT134" s="92">
        <f t="shared" si="9"/>
        <v>53080</v>
      </c>
      <c r="AU134" s="115">
        <v>0.50779473582911505</v>
      </c>
      <c r="AV134" s="193"/>
      <c r="AW134" s="172"/>
    </row>
    <row r="135" spans="12:49">
      <c r="L135" s="58">
        <v>54025</v>
      </c>
      <c r="M135" s="130">
        <v>0.873049516558281</v>
      </c>
      <c r="N135" s="130">
        <v>0.59256679386249766</v>
      </c>
      <c r="O135" s="115">
        <f t="shared" si="12"/>
        <v>164748342.21675992</v>
      </c>
      <c r="AK135" s="92">
        <v>53174</v>
      </c>
      <c r="AL135" s="115">
        <v>0.84286858746545401</v>
      </c>
      <c r="AN135" s="92">
        <f t="shared" si="10"/>
        <v>53174</v>
      </c>
      <c r="AO135" s="115">
        <v>0.56164330417070296</v>
      </c>
      <c r="AQ135" s="92">
        <f t="shared" si="11"/>
        <v>53174</v>
      </c>
      <c r="AR135" s="115">
        <v>0.699973721549907</v>
      </c>
      <c r="AS135" s="193"/>
      <c r="AT135" s="92">
        <f t="shared" si="9"/>
        <v>53174</v>
      </c>
      <c r="AU135" s="115">
        <v>0.504545533276752</v>
      </c>
      <c r="AV135" s="193"/>
      <c r="AW135" s="172"/>
    </row>
    <row r="136" spans="12:49">
      <c r="L136" s="58">
        <v>54116</v>
      </c>
      <c r="M136" s="130">
        <v>0.87177783616848348</v>
      </c>
      <c r="N136" s="130">
        <v>0.58956628089752927</v>
      </c>
      <c r="O136" s="115">
        <f t="shared" si="12"/>
        <v>165345612.1879245</v>
      </c>
      <c r="AK136" s="92">
        <v>53265</v>
      </c>
      <c r="AL136" s="115">
        <v>0.84162879588676298</v>
      </c>
      <c r="AN136" s="92">
        <f t="shared" si="10"/>
        <v>53265</v>
      </c>
      <c r="AO136" s="115">
        <v>0.55866983645733603</v>
      </c>
      <c r="AQ136" s="92">
        <f t="shared" si="11"/>
        <v>53265</v>
      </c>
      <c r="AR136" s="115">
        <v>0.69785997579939396</v>
      </c>
      <c r="AS136" s="193"/>
      <c r="AT136" s="92">
        <f t="shared" si="9"/>
        <v>53265</v>
      </c>
      <c r="AU136" s="115">
        <v>0.50143672942989603</v>
      </c>
      <c r="AV136" s="193"/>
      <c r="AW136" s="172"/>
    </row>
    <row r="137" spans="12:49">
      <c r="L137" s="58">
        <v>54207</v>
      </c>
      <c r="M137" s="130">
        <v>0.87050800810319107</v>
      </c>
      <c r="N137" s="130">
        <v>0.58658096128822335</v>
      </c>
      <c r="O137" s="115">
        <f t="shared" si="12"/>
        <v>165945047.47021547</v>
      </c>
      <c r="AK137" s="92">
        <v>53356</v>
      </c>
      <c r="AL137" s="115">
        <v>0.840399906205618</v>
      </c>
      <c r="AN137" s="92">
        <f t="shared" si="10"/>
        <v>53356</v>
      </c>
      <c r="AO137" s="115">
        <v>0.55572119708498602</v>
      </c>
      <c r="AQ137" s="92">
        <f t="shared" si="11"/>
        <v>53356</v>
      </c>
      <c r="AR137" s="115">
        <v>0.69576046943396896</v>
      </c>
      <c r="AS137" s="193"/>
      <c r="AT137" s="92">
        <f t="shared" si="9"/>
        <v>53356</v>
      </c>
      <c r="AU137" s="115">
        <v>0.49836260015568401</v>
      </c>
      <c r="AV137" s="193"/>
      <c r="AW137" s="172"/>
    </row>
    <row r="138" spans="12:49">
      <c r="L138" s="58">
        <v>54301</v>
      </c>
      <c r="M138" s="130">
        <v>0.86919825963968034</v>
      </c>
      <c r="N138" s="130">
        <v>0.58351309581733668</v>
      </c>
      <c r="O138" s="115">
        <f t="shared" si="12"/>
        <v>166566526.25211117</v>
      </c>
      <c r="AK138" s="92">
        <v>53447</v>
      </c>
      <c r="AL138" s="115">
        <v>0.839184689201251</v>
      </c>
      <c r="AN138" s="92">
        <f t="shared" si="10"/>
        <v>53447</v>
      </c>
      <c r="AO138" s="115">
        <v>0.55279630599742902</v>
      </c>
      <c r="AQ138" s="92">
        <f t="shared" si="11"/>
        <v>53447</v>
      </c>
      <c r="AR138" s="115">
        <v>0.69367595833512696</v>
      </c>
      <c r="AS138" s="193"/>
      <c r="AT138" s="92">
        <f t="shared" si="9"/>
        <v>53447</v>
      </c>
      <c r="AU138" s="115">
        <v>0.495320805780472</v>
      </c>
      <c r="AV138" s="193"/>
      <c r="AW138" s="172"/>
    </row>
    <row r="139" spans="12:49">
      <c r="L139" s="58">
        <v>54392</v>
      </c>
      <c r="M139" s="130">
        <v>0.86793218897511204</v>
      </c>
      <c r="N139" s="130">
        <v>0.58055842703170257</v>
      </c>
      <c r="O139" s="115">
        <f t="shared" si="12"/>
        <v>167170387.77200854</v>
      </c>
      <c r="AK139" s="92">
        <v>53538</v>
      </c>
      <c r="AL139" s="115">
        <v>0.83798622785552601</v>
      </c>
      <c r="AN139" s="92">
        <f t="shared" si="10"/>
        <v>53538</v>
      </c>
      <c r="AO139" s="115">
        <v>0.54989406401625296</v>
      </c>
      <c r="AQ139" s="92">
        <f t="shared" si="11"/>
        <v>53538</v>
      </c>
      <c r="AR139" s="115">
        <v>0.69160721837044603</v>
      </c>
      <c r="AS139" s="193"/>
      <c r="AT139" s="92">
        <f t="shared" si="9"/>
        <v>53538</v>
      </c>
      <c r="AU139" s="115">
        <v>0.49230887405586599</v>
      </c>
      <c r="AV139" s="193"/>
      <c r="AW139" s="172"/>
    </row>
    <row r="140" spans="12:49">
      <c r="L140" s="58">
        <v>54480</v>
      </c>
      <c r="M140" s="130">
        <v>0.86670961089310605</v>
      </c>
      <c r="N140" s="130">
        <v>0.57771539521144766</v>
      </c>
      <c r="O140" s="115">
        <f t="shared" si="12"/>
        <v>167756423.82629499</v>
      </c>
      <c r="AK140" s="92">
        <v>53629</v>
      </c>
      <c r="AL140" s="115">
        <v>0.83680392652035596</v>
      </c>
      <c r="AN140" s="92">
        <f t="shared" si="10"/>
        <v>53629</v>
      </c>
      <c r="AO140" s="115">
        <v>0.54701471144753999</v>
      </c>
      <c r="AQ140" s="92">
        <f t="shared" si="11"/>
        <v>53629</v>
      </c>
      <c r="AR140" s="115">
        <v>0.68955366562563702</v>
      </c>
      <c r="AS140" s="193"/>
      <c r="AT140" s="92">
        <f t="shared" si="9"/>
        <v>53629</v>
      </c>
      <c r="AU140" s="115">
        <v>0.48932702856424698</v>
      </c>
      <c r="AV140" s="193"/>
      <c r="AW140" s="172"/>
    </row>
    <row r="141" spans="12:49">
      <c r="L141" s="58">
        <v>54574</v>
      </c>
      <c r="M141" s="130">
        <v>0.86540557741999569</v>
      </c>
      <c r="N141" s="130">
        <v>0.57469389736215415</v>
      </c>
      <c r="O141" s="115">
        <f t="shared" si="12"/>
        <v>168384686.37178293</v>
      </c>
      <c r="AK141" s="92">
        <v>53721</v>
      </c>
      <c r="AL141" s="115">
        <v>0.83562362306126803</v>
      </c>
      <c r="AN141" s="92">
        <f t="shared" si="10"/>
        <v>53721</v>
      </c>
      <c r="AO141" s="115">
        <v>0.54412747902358705</v>
      </c>
      <c r="AQ141" s="92">
        <f t="shared" si="11"/>
        <v>53721</v>
      </c>
      <c r="AR141" s="115">
        <v>0.68749213973608103</v>
      </c>
      <c r="AS141" s="193"/>
      <c r="AT141" s="92">
        <f t="shared" si="9"/>
        <v>53721</v>
      </c>
      <c r="AU141" s="115">
        <v>0.48634378754475599</v>
      </c>
      <c r="AV141" s="193"/>
      <c r="AW141" s="172"/>
    </row>
    <row r="142" spans="12:49">
      <c r="L142" s="58">
        <v>54665</v>
      </c>
      <c r="M142" s="130">
        <v>0.86414503116098751</v>
      </c>
      <c r="N142" s="130">
        <v>0.57178388534699642</v>
      </c>
      <c r="O142" s="115">
        <f t="shared" si="12"/>
        <v>168995139.35371041</v>
      </c>
      <c r="AK142" s="92">
        <v>53811</v>
      </c>
      <c r="AL142" s="115">
        <v>0.83448243855521598</v>
      </c>
      <c r="AN142" s="92">
        <f t="shared" si="10"/>
        <v>53811</v>
      </c>
      <c r="AO142" s="115">
        <v>0.54132646412398699</v>
      </c>
      <c r="AQ142" s="92">
        <f t="shared" si="11"/>
        <v>53811</v>
      </c>
      <c r="AR142" s="115">
        <v>0.68548895936892096</v>
      </c>
      <c r="AS142" s="193"/>
      <c r="AT142" s="92">
        <f t="shared" si="9"/>
        <v>53811</v>
      </c>
      <c r="AU142" s="115">
        <v>0.48345645156715</v>
      </c>
      <c r="AV142" s="193"/>
      <c r="AW142" s="172"/>
    </row>
    <row r="143" spans="12:49">
      <c r="L143" s="58">
        <v>54757</v>
      </c>
      <c r="M143" s="130">
        <v>0.86334704834768394</v>
      </c>
      <c r="N143" s="130">
        <v>0.56903770074967841</v>
      </c>
      <c r="O143" s="115">
        <f t="shared" si="12"/>
        <v>169653903.10528135</v>
      </c>
      <c r="AK143" s="92">
        <v>53902</v>
      </c>
      <c r="AL143" s="115">
        <v>0.83334123303465901</v>
      </c>
      <c r="AN143" s="92">
        <f t="shared" si="10"/>
        <v>53902</v>
      </c>
      <c r="AO143" s="115">
        <v>0.53851811023387597</v>
      </c>
      <c r="AQ143" s="92">
        <f t="shared" si="11"/>
        <v>53902</v>
      </c>
      <c r="AR143" s="115">
        <v>0.68347659585820097</v>
      </c>
      <c r="AS143" s="193"/>
      <c r="AT143" s="92">
        <f t="shared" si="9"/>
        <v>53902</v>
      </c>
      <c r="AU143" s="115">
        <v>0.48056857442482098</v>
      </c>
      <c r="AV143" s="193"/>
      <c r="AW143" s="172"/>
    </row>
    <row r="144" spans="12:49">
      <c r="L144" s="58">
        <v>54847</v>
      </c>
      <c r="M144" s="130">
        <v>0.86256712602306529</v>
      </c>
      <c r="N144" s="130">
        <v>0.56636397876325417</v>
      </c>
      <c r="O144" s="115">
        <f t="shared" si="12"/>
        <v>170300830.6469596</v>
      </c>
      <c r="AK144" s="92">
        <v>53994</v>
      </c>
      <c r="AL144" s="115">
        <v>0.83219977425446701</v>
      </c>
      <c r="AN144" s="92">
        <f t="shared" si="10"/>
        <v>53994</v>
      </c>
      <c r="AO144" s="115">
        <v>0.53570328526403299</v>
      </c>
      <c r="AQ144" s="92">
        <f t="shared" si="11"/>
        <v>53994</v>
      </c>
      <c r="AR144" s="115">
        <v>0.68145507530767302</v>
      </c>
      <c r="AS144" s="193"/>
      <c r="AT144" s="92">
        <f t="shared" si="9"/>
        <v>53994</v>
      </c>
      <c r="AU144" s="115">
        <v>0.47768132096052202</v>
      </c>
      <c r="AV144" s="193"/>
      <c r="AW144" s="172"/>
    </row>
    <row r="145" spans="12:49">
      <c r="L145" s="58">
        <v>54938</v>
      </c>
      <c r="M145" s="130">
        <v>0.86177925423746538</v>
      </c>
      <c r="N145" s="130">
        <v>0.56367332163498607</v>
      </c>
      <c r="O145" s="115">
        <f t="shared" si="12"/>
        <v>170957454.45131293</v>
      </c>
      <c r="AK145" s="92">
        <v>54086</v>
      </c>
      <c r="AL145" s="115">
        <v>0.831070239831322</v>
      </c>
      <c r="AN145" s="92">
        <f t="shared" si="10"/>
        <v>54086</v>
      </c>
      <c r="AO145" s="115">
        <v>0.53291294683816104</v>
      </c>
      <c r="AQ145" s="92">
        <f t="shared" si="11"/>
        <v>54086</v>
      </c>
      <c r="AR145" s="115">
        <v>0.67944629640633003</v>
      </c>
      <c r="AS145" s="193"/>
      <c r="AT145" s="92">
        <f t="shared" si="9"/>
        <v>54086</v>
      </c>
      <c r="AU145" s="115">
        <v>0.47482653584395801</v>
      </c>
      <c r="AV145" s="193"/>
      <c r="AW145" s="172"/>
    </row>
    <row r="146" spans="12:49">
      <c r="L146" s="58">
        <v>55030</v>
      </c>
      <c r="M146" s="130">
        <v>0.86098345606824012</v>
      </c>
      <c r="N146" s="130">
        <v>0.56096609075027226</v>
      </c>
      <c r="O146" s="115">
        <f t="shared" si="12"/>
        <v>171623867.54747689</v>
      </c>
      <c r="AK146" s="92">
        <v>54177</v>
      </c>
      <c r="AL146" s="115">
        <v>0.82996450082820505</v>
      </c>
      <c r="AN146" s="92">
        <f t="shared" si="10"/>
        <v>54177</v>
      </c>
      <c r="AO146" s="115">
        <v>0.53017688559741405</v>
      </c>
      <c r="AQ146" s="92">
        <f t="shared" si="11"/>
        <v>54177</v>
      </c>
      <c r="AR146" s="115">
        <v>0.67747172037099201</v>
      </c>
      <c r="AS146" s="193"/>
      <c r="AT146" s="92">
        <f t="shared" ref="AT146:AT209" si="13">AQ146</f>
        <v>54177</v>
      </c>
      <c r="AU146" s="115">
        <v>0.47203448791272601</v>
      </c>
      <c r="AV146" s="193"/>
      <c r="AW146" s="172"/>
    </row>
    <row r="147" spans="12:49">
      <c r="L147" s="58">
        <v>55122</v>
      </c>
      <c r="M147" s="130">
        <v>0.86018839276786085</v>
      </c>
      <c r="N147" s="130">
        <v>0.55827186225325676</v>
      </c>
      <c r="O147" s="115">
        <f t="shared" si="12"/>
        <v>172292878.40351135</v>
      </c>
      <c r="AK147" s="92">
        <v>54268</v>
      </c>
      <c r="AL147" s="115">
        <v>0.82887019838781495</v>
      </c>
      <c r="AN147" s="92">
        <f t="shared" ref="AN147:AN210" si="14">AK147</f>
        <v>54268</v>
      </c>
      <c r="AO147" s="115">
        <v>0.52746440659097404</v>
      </c>
      <c r="AQ147" s="92">
        <f t="shared" ref="AQ147:AQ210" si="15">AN147</f>
        <v>54268</v>
      </c>
      <c r="AR147" s="115">
        <v>0.67550938462182397</v>
      </c>
      <c r="AS147" s="193"/>
      <c r="AT147" s="92">
        <f t="shared" si="13"/>
        <v>54268</v>
      </c>
      <c r="AU147" s="115">
        <v>0.46927359194752</v>
      </c>
      <c r="AV147" s="193"/>
      <c r="AW147" s="172"/>
    </row>
    <row r="148" spans="12:49">
      <c r="L148" s="58">
        <v>55212</v>
      </c>
      <c r="M148" s="130">
        <v>0.85941132387976837</v>
      </c>
      <c r="N148" s="130">
        <v>0.55564872541971833</v>
      </c>
      <c r="O148" s="115">
        <f t="shared" si="12"/>
        <v>172949868.93679184</v>
      </c>
      <c r="AK148" s="92">
        <v>54360</v>
      </c>
      <c r="AL148" s="115">
        <v>0.82777565714465795</v>
      </c>
      <c r="AN148" s="92">
        <f t="shared" si="14"/>
        <v>54360</v>
      </c>
      <c r="AO148" s="115">
        <v>0.52474576836344999</v>
      </c>
      <c r="AQ148" s="92">
        <f t="shared" si="15"/>
        <v>54360</v>
      </c>
      <c r="AR148" s="115">
        <v>0.67353796263644194</v>
      </c>
      <c r="AS148" s="193"/>
      <c r="AT148" s="92">
        <f t="shared" si="13"/>
        <v>54360</v>
      </c>
      <c r="AU148" s="115">
        <v>0.46651349986827201</v>
      </c>
      <c r="AV148" s="193"/>
      <c r="AW148" s="172"/>
    </row>
    <row r="149" spans="12:49">
      <c r="L149" s="58">
        <v>55303</v>
      </c>
      <c r="M149" s="130">
        <v>0.85862633461472204</v>
      </c>
      <c r="N149" s="130">
        <v>0.55300897384666037</v>
      </c>
      <c r="O149" s="115">
        <f t="shared" si="12"/>
        <v>173616706.55861828</v>
      </c>
      <c r="AK149" s="92">
        <v>54452</v>
      </c>
      <c r="AL149" s="115">
        <v>0.82669329381285594</v>
      </c>
      <c r="AN149" s="92">
        <f t="shared" si="14"/>
        <v>54452</v>
      </c>
      <c r="AO149" s="115">
        <v>0.52205050348225801</v>
      </c>
      <c r="AQ149" s="92">
        <f t="shared" si="15"/>
        <v>54452</v>
      </c>
      <c r="AR149" s="115">
        <v>0.67157921008738697</v>
      </c>
      <c r="AS149" s="193"/>
      <c r="AT149" s="92">
        <f t="shared" si="13"/>
        <v>54452</v>
      </c>
      <c r="AU149" s="115">
        <v>0.46378407141537098</v>
      </c>
      <c r="AV149" s="193"/>
      <c r="AW149" s="172"/>
    </row>
    <row r="150" spans="12:49">
      <c r="L150" s="58">
        <v>55395</v>
      </c>
      <c r="M150" s="130">
        <v>0.85783344796564664</v>
      </c>
      <c r="N150" s="130">
        <v>0.55035296208229467</v>
      </c>
      <c r="O150" s="115">
        <f t="shared" ref="O150:O213" si="16">IF($D$9,M150/N150*$C$9,$C$9)</f>
        <v>174293485.74519926</v>
      </c>
      <c r="AK150" s="92">
        <v>54542</v>
      </c>
      <c r="AL150" s="115">
        <v>0.82564670213380797</v>
      </c>
      <c r="AN150" s="92">
        <f t="shared" si="14"/>
        <v>54542</v>
      </c>
      <c r="AO150" s="115">
        <v>0.51943599334873902</v>
      </c>
      <c r="AQ150" s="92">
        <f t="shared" si="15"/>
        <v>54542</v>
      </c>
      <c r="AR150" s="115">
        <v>0.66967549295897399</v>
      </c>
      <c r="AS150" s="193"/>
      <c r="AT150" s="92">
        <f t="shared" si="13"/>
        <v>54542</v>
      </c>
      <c r="AU150" s="115">
        <v>0.46114292088313902</v>
      </c>
      <c r="AV150" s="193"/>
      <c r="AW150" s="172"/>
    </row>
    <row r="151" spans="12:49">
      <c r="L151" s="58">
        <v>55487</v>
      </c>
      <c r="M151" s="130">
        <v>0.85704129349681424</v>
      </c>
      <c r="N151" s="130">
        <v>0.54770970670855934</v>
      </c>
      <c r="O151" s="115">
        <f t="shared" si="16"/>
        <v>174972903.09994087</v>
      </c>
      <c r="AK151" s="92">
        <v>54633</v>
      </c>
      <c r="AL151" s="115">
        <v>0.82460137893691299</v>
      </c>
      <c r="AN151" s="92">
        <f t="shared" si="14"/>
        <v>54633</v>
      </c>
      <c r="AO151" s="115">
        <v>0.51681420633053099</v>
      </c>
      <c r="AQ151" s="92">
        <f t="shared" si="15"/>
        <v>54633</v>
      </c>
      <c r="AR151" s="115">
        <v>0.66776340833397596</v>
      </c>
      <c r="AS151" s="193"/>
      <c r="AT151" s="92">
        <f t="shared" si="13"/>
        <v>54633</v>
      </c>
      <c r="AU151" s="115">
        <v>0.45850070997347703</v>
      </c>
      <c r="AV151" s="193"/>
      <c r="AW151" s="172"/>
    </row>
    <row r="152" spans="12:49">
      <c r="L152" s="58">
        <v>55578</v>
      </c>
      <c r="M152" s="130">
        <v>0.85625846902568759</v>
      </c>
      <c r="N152" s="130">
        <v>0.54510767147709016</v>
      </c>
      <c r="O152" s="115">
        <f t="shared" si="16"/>
        <v>175647540.87390688</v>
      </c>
      <c r="AK152" s="92">
        <v>54725</v>
      </c>
      <c r="AL152" s="115">
        <v>0.82355846741483596</v>
      </c>
      <c r="AN152" s="92">
        <f t="shared" si="14"/>
        <v>54725</v>
      </c>
      <c r="AO152" s="115">
        <v>0.51418529197533702</v>
      </c>
      <c r="AQ152" s="92">
        <f t="shared" si="15"/>
        <v>54725</v>
      </c>
      <c r="AR152" s="115">
        <v>0.66584370731956299</v>
      </c>
      <c r="AS152" s="193"/>
      <c r="AT152" s="92">
        <f t="shared" si="13"/>
        <v>54725</v>
      </c>
      <c r="AU152" s="115">
        <v>0.455857465074961</v>
      </c>
      <c r="AV152" s="193"/>
      <c r="AW152" s="172"/>
    </row>
    <row r="153" spans="12:49">
      <c r="L153" s="58">
        <v>55669</v>
      </c>
      <c r="M153" s="130">
        <v>0.85547635958913071</v>
      </c>
      <c r="N153" s="130">
        <v>0.54251799788037547</v>
      </c>
      <c r="O153" s="115">
        <f t="shared" si="16"/>
        <v>176324779.8285014</v>
      </c>
      <c r="AK153" s="92">
        <v>54819</v>
      </c>
      <c r="AL153" s="115">
        <v>0.82250817760515305</v>
      </c>
      <c r="AN153" s="92">
        <f t="shared" si="14"/>
        <v>54819</v>
      </c>
      <c r="AO153" s="115">
        <v>0.51152109958922198</v>
      </c>
      <c r="AQ153" s="92">
        <f t="shared" si="15"/>
        <v>54819</v>
      </c>
      <c r="AR153" s="115">
        <v>0.66389658357027004</v>
      </c>
      <c r="AS153" s="193"/>
      <c r="AT153" s="92">
        <f t="shared" si="13"/>
        <v>54819</v>
      </c>
      <c r="AU153" s="115">
        <v>0.453184811620296</v>
      </c>
      <c r="AV153" s="193"/>
      <c r="AW153" s="172"/>
    </row>
    <row r="154" spans="12:49">
      <c r="L154" s="58">
        <v>55761</v>
      </c>
      <c r="M154" s="130">
        <v>0.85468638174105771</v>
      </c>
      <c r="N154" s="130">
        <v>0.53991237255981794</v>
      </c>
      <c r="O154" s="115">
        <f t="shared" si="16"/>
        <v>177012115.41637078</v>
      </c>
      <c r="AK154" s="92">
        <v>54907</v>
      </c>
      <c r="AL154" s="115">
        <v>0.82153979743918004</v>
      </c>
      <c r="AN154" s="92">
        <f t="shared" si="14"/>
        <v>54907</v>
      </c>
      <c r="AO154" s="115">
        <v>0.50904638187880402</v>
      </c>
      <c r="AQ154" s="92">
        <f t="shared" si="15"/>
        <v>54907</v>
      </c>
      <c r="AR154" s="115">
        <v>0.66208725453567696</v>
      </c>
      <c r="AS154" s="193"/>
      <c r="AT154" s="92">
        <f t="shared" si="13"/>
        <v>54907</v>
      </c>
      <c r="AU154" s="115">
        <v>0.45070747495583002</v>
      </c>
      <c r="AV154" s="193"/>
      <c r="AW154" s="172"/>
    </row>
    <row r="155" spans="12:49">
      <c r="L155" s="58">
        <v>55852</v>
      </c>
      <c r="M155" s="130">
        <v>0.85390570825444456</v>
      </c>
      <c r="N155" s="130">
        <v>0.53734738056113818</v>
      </c>
      <c r="O155" s="115">
        <f t="shared" si="16"/>
        <v>177694615.72009671</v>
      </c>
      <c r="AK155" s="92">
        <v>54998</v>
      </c>
      <c r="AL155" s="115">
        <v>0.82055446690777001</v>
      </c>
      <c r="AN155" s="92">
        <f t="shared" si="14"/>
        <v>54998</v>
      </c>
      <c r="AO155" s="115">
        <v>0.506506401928421</v>
      </c>
      <c r="AQ155" s="92">
        <f t="shared" si="15"/>
        <v>54998</v>
      </c>
      <c r="AR155" s="115">
        <v>0.66023042443236402</v>
      </c>
      <c r="AS155" s="193"/>
      <c r="AT155" s="92">
        <f t="shared" si="13"/>
        <v>54998</v>
      </c>
      <c r="AU155" s="115">
        <v>0.44816980309275001</v>
      </c>
      <c r="AV155" s="193"/>
      <c r="AW155" s="172"/>
    </row>
    <row r="156" spans="12:49">
      <c r="L156" s="58">
        <v>55943</v>
      </c>
      <c r="M156" s="130">
        <v>0.85312574783768447</v>
      </c>
      <c r="N156" s="130">
        <v>0.53479457421384846</v>
      </c>
      <c r="O156" s="115">
        <f t="shared" si="16"/>
        <v>178379747.51977131</v>
      </c>
      <c r="AK156" s="92">
        <v>55092</v>
      </c>
      <c r="AL156" s="115">
        <v>0.81955486091101803</v>
      </c>
      <c r="AN156" s="92">
        <f t="shared" si="14"/>
        <v>55092</v>
      </c>
      <c r="AO156" s="115">
        <v>0.50390237204311705</v>
      </c>
      <c r="AQ156" s="92">
        <f t="shared" si="15"/>
        <v>55092</v>
      </c>
      <c r="AR156" s="115">
        <v>0.65832801583310196</v>
      </c>
      <c r="AS156" s="193"/>
      <c r="AT156" s="92">
        <f t="shared" si="13"/>
        <v>55092</v>
      </c>
      <c r="AU156" s="115">
        <v>0.44557310390597898</v>
      </c>
      <c r="AV156" s="193"/>
      <c r="AW156" s="172"/>
    </row>
    <row r="157" spans="12:49">
      <c r="L157" s="58">
        <v>56034</v>
      </c>
      <c r="M157" s="130">
        <v>0.85234649983945709</v>
      </c>
      <c r="N157" s="130">
        <v>0.5322538956268914</v>
      </c>
      <c r="O157" s="115">
        <f t="shared" si="16"/>
        <v>179067520.96157458</v>
      </c>
      <c r="AK157" s="92">
        <v>55183</v>
      </c>
      <c r="AL157" s="115">
        <v>0.81860586151807202</v>
      </c>
      <c r="AN157" s="92">
        <f t="shared" si="14"/>
        <v>55183</v>
      </c>
      <c r="AO157" s="115">
        <v>0.50139980422229902</v>
      </c>
      <c r="AQ157" s="92">
        <f t="shared" si="15"/>
        <v>55183</v>
      </c>
      <c r="AR157" s="115">
        <v>0.65650196289422302</v>
      </c>
      <c r="AS157" s="193"/>
      <c r="AT157" s="92">
        <f t="shared" si="13"/>
        <v>55183</v>
      </c>
      <c r="AU157" s="115">
        <v>0.44308201864632102</v>
      </c>
      <c r="AV157" s="193"/>
      <c r="AW157" s="172"/>
    </row>
    <row r="158" spans="12:49">
      <c r="L158" s="58">
        <v>56125</v>
      </c>
      <c r="M158" s="130">
        <v>0.85156796360903686</v>
      </c>
      <c r="N158" s="130">
        <v>0.5297252871842355</v>
      </c>
      <c r="O158" s="115">
        <f t="shared" si="16"/>
        <v>179757946.23080683</v>
      </c>
      <c r="AK158" s="92">
        <v>55271</v>
      </c>
      <c r="AL158" s="115">
        <v>0.81770666979566897</v>
      </c>
      <c r="AN158" s="92">
        <f t="shared" si="14"/>
        <v>55271</v>
      </c>
      <c r="AO158" s="115">
        <v>0.49899626062236102</v>
      </c>
      <c r="AQ158" s="92">
        <f t="shared" si="15"/>
        <v>55271</v>
      </c>
      <c r="AR158" s="115">
        <v>0.65475121926276203</v>
      </c>
      <c r="AS158" s="193"/>
      <c r="AT158" s="92">
        <f t="shared" si="13"/>
        <v>55271</v>
      </c>
      <c r="AU158" s="115">
        <v>0.44069331137732498</v>
      </c>
      <c r="AV158" s="193"/>
      <c r="AW158" s="172"/>
    </row>
    <row r="159" spans="12:49">
      <c r="L159" s="58">
        <v>56216</v>
      </c>
      <c r="M159" s="130">
        <v>0.85079013849629259</v>
      </c>
      <c r="N159" s="130">
        <v>0.52720869154356897</v>
      </c>
      <c r="O159" s="115">
        <f t="shared" si="16"/>
        <v>180451033.55203956</v>
      </c>
      <c r="AK159" s="92">
        <v>55365</v>
      </c>
      <c r="AL159" s="115">
        <v>0.81676740596845598</v>
      </c>
      <c r="AN159" s="92">
        <f t="shared" si="14"/>
        <v>55365</v>
      </c>
      <c r="AO159" s="115">
        <v>0.49644608067047802</v>
      </c>
      <c r="AQ159" s="92">
        <f t="shared" si="15"/>
        <v>55365</v>
      </c>
      <c r="AR159" s="115">
        <v>0.65289803558876003</v>
      </c>
      <c r="AS159" s="193"/>
      <c r="AT159" s="92">
        <f t="shared" si="13"/>
        <v>55365</v>
      </c>
      <c r="AU159" s="115">
        <v>0.43816263538580102</v>
      </c>
      <c r="AV159" s="193"/>
      <c r="AW159" s="172"/>
    </row>
    <row r="160" spans="12:49">
      <c r="L160" s="58">
        <v>56307</v>
      </c>
      <c r="M160" s="130">
        <v>0.85001302385168698</v>
      </c>
      <c r="N160" s="130">
        <v>0.52470405163499967</v>
      </c>
      <c r="O160" s="115">
        <f t="shared" si="16"/>
        <v>181146793.1892668</v>
      </c>
      <c r="AK160" s="92">
        <v>55456</v>
      </c>
      <c r="AL160" s="115">
        <v>0.81588011480718103</v>
      </c>
      <c r="AN160" s="92">
        <f t="shared" si="14"/>
        <v>55456</v>
      </c>
      <c r="AO160" s="115">
        <v>0.49399357670490002</v>
      </c>
      <c r="AQ160" s="92">
        <f t="shared" si="15"/>
        <v>55456</v>
      </c>
      <c r="AR160" s="115">
        <v>0.65112115917704605</v>
      </c>
      <c r="AS160" s="193"/>
      <c r="AT160" s="92">
        <f t="shared" si="13"/>
        <v>55456</v>
      </c>
      <c r="AU160" s="115">
        <v>0.43573222901149999</v>
      </c>
      <c r="AV160" s="193"/>
      <c r="AW160" s="172"/>
    </row>
    <row r="161" spans="12:49">
      <c r="L161" s="58">
        <v>56398</v>
      </c>
      <c r="M161" s="130">
        <v>0.8492366190262759</v>
      </c>
      <c r="N161" s="130">
        <v>0.52221131065976001</v>
      </c>
      <c r="O161" s="115">
        <f t="shared" si="16"/>
        <v>181845235.4460572</v>
      </c>
      <c r="AK161" s="92">
        <v>55547</v>
      </c>
      <c r="AL161" s="115">
        <v>0.81501553819235795</v>
      </c>
      <c r="AN161" s="92">
        <f t="shared" si="14"/>
        <v>55547</v>
      </c>
      <c r="AO161" s="115">
        <v>0.49155643908566599</v>
      </c>
      <c r="AQ161" s="92">
        <f t="shared" si="15"/>
        <v>55547</v>
      </c>
      <c r="AR161" s="115">
        <v>0.64936165611867203</v>
      </c>
      <c r="AS161" s="193"/>
      <c r="AT161" s="92">
        <f t="shared" si="13"/>
        <v>55547</v>
      </c>
      <c r="AU161" s="115">
        <v>0.43331998664233801</v>
      </c>
      <c r="AV161" s="193"/>
      <c r="AW161" s="172"/>
    </row>
    <row r="162" spans="12:49">
      <c r="L162" s="58">
        <v>56492</v>
      </c>
      <c r="M162" s="130">
        <v>0.84843536305501754</v>
      </c>
      <c r="N162" s="130">
        <v>0.51964882521382638</v>
      </c>
      <c r="O162" s="115">
        <f t="shared" si="16"/>
        <v>182569530.98618841</v>
      </c>
      <c r="AK162" s="92">
        <v>55638</v>
      </c>
      <c r="AL162" s="115">
        <v>0.81417470799368696</v>
      </c>
      <c r="AN162" s="92">
        <f t="shared" si="14"/>
        <v>55638</v>
      </c>
      <c r="AO162" s="115">
        <v>0.48913404325028897</v>
      </c>
      <c r="AQ162" s="92">
        <f t="shared" si="15"/>
        <v>55638</v>
      </c>
      <c r="AR162" s="115">
        <v>0.64761998931091902</v>
      </c>
      <c r="AS162" s="193"/>
      <c r="AT162" s="92">
        <f t="shared" si="13"/>
        <v>55638</v>
      </c>
      <c r="AU162" s="115">
        <v>0.430924938241389</v>
      </c>
      <c r="AV162" s="193"/>
      <c r="AW162" s="172"/>
    </row>
    <row r="163" spans="12:49">
      <c r="L163" s="58">
        <v>56583</v>
      </c>
      <c r="M163" s="130">
        <v>0.84766039927041525</v>
      </c>
      <c r="N163" s="130">
        <v>0.51718010038635598</v>
      </c>
      <c r="O163" s="115">
        <f t="shared" si="16"/>
        <v>183273458.85042572</v>
      </c>
      <c r="AK163" s="92">
        <v>55729</v>
      </c>
      <c r="AL163" s="115">
        <v>0.81335861095774398</v>
      </c>
      <c r="AN163" s="92">
        <f t="shared" si="14"/>
        <v>55729</v>
      </c>
      <c r="AO163" s="115">
        <v>0.48672579572902602</v>
      </c>
      <c r="AQ163" s="92">
        <f t="shared" si="15"/>
        <v>55729</v>
      </c>
      <c r="AR163" s="115">
        <v>0.64589659429146895</v>
      </c>
      <c r="AS163" s="193"/>
      <c r="AT163" s="92">
        <f t="shared" si="13"/>
        <v>55729</v>
      </c>
      <c r="AU163" s="115">
        <v>0.42854616500798798</v>
      </c>
      <c r="AV163" s="193"/>
      <c r="AW163" s="172"/>
    </row>
    <row r="164" spans="12:49">
      <c r="L164" s="58">
        <v>56671</v>
      </c>
      <c r="M164" s="130">
        <v>0.84691165698465765</v>
      </c>
      <c r="N164" s="130">
        <v>0.51480391738621922</v>
      </c>
      <c r="O164" s="115">
        <f t="shared" si="16"/>
        <v>183956761.56632039</v>
      </c>
      <c r="AK164" s="92">
        <v>55821</v>
      </c>
      <c r="AL164" s="115">
        <v>0.81255963472182502</v>
      </c>
      <c r="AN164" s="92">
        <f t="shared" si="14"/>
        <v>55821</v>
      </c>
      <c r="AO164" s="115">
        <v>0.48430489876932598</v>
      </c>
      <c r="AQ164" s="92">
        <f t="shared" si="15"/>
        <v>55821</v>
      </c>
      <c r="AR164" s="115">
        <v>0.64417324413745802</v>
      </c>
      <c r="AS164" s="193"/>
      <c r="AT164" s="92">
        <f t="shared" si="13"/>
        <v>55821</v>
      </c>
      <c r="AU164" s="115">
        <v>0.42615692033153502</v>
      </c>
      <c r="AV164" s="193"/>
      <c r="AW164" s="172"/>
    </row>
    <row r="165" spans="12:49">
      <c r="L165" s="58">
        <v>56765</v>
      </c>
      <c r="M165" s="130">
        <v>0.8461125946184288</v>
      </c>
      <c r="N165" s="130">
        <v>0.51227777994169466</v>
      </c>
      <c r="O165" s="115">
        <f t="shared" si="16"/>
        <v>184689467.38427949</v>
      </c>
      <c r="AK165" s="92">
        <v>55913</v>
      </c>
      <c r="AL165" s="115">
        <v>0.81178777008902403</v>
      </c>
      <c r="AN165" s="92">
        <f t="shared" si="14"/>
        <v>55913</v>
      </c>
      <c r="AO165" s="115">
        <v>0.48189736378516201</v>
      </c>
      <c r="AQ165" s="92">
        <f t="shared" si="15"/>
        <v>55913</v>
      </c>
      <c r="AR165" s="115">
        <v>0.64246935117511195</v>
      </c>
      <c r="AS165" s="193"/>
      <c r="AT165" s="92">
        <f t="shared" si="13"/>
        <v>55913</v>
      </c>
      <c r="AU165" s="115">
        <v>0.42378261867682998</v>
      </c>
      <c r="AV165" s="193"/>
      <c r="AW165" s="172"/>
    </row>
    <row r="166" spans="12:49">
      <c r="L166" s="58">
        <v>56856</v>
      </c>
      <c r="M166" s="130">
        <v>0.84533975245852155</v>
      </c>
      <c r="N166" s="130">
        <v>0.50984407315253166</v>
      </c>
      <c r="O166" s="115">
        <f t="shared" si="16"/>
        <v>185401569.02369696</v>
      </c>
      <c r="AK166" s="92">
        <v>56003</v>
      </c>
      <c r="AL166" s="115">
        <v>0.81105968192876698</v>
      </c>
      <c r="AN166" s="92">
        <f t="shared" si="14"/>
        <v>56003</v>
      </c>
      <c r="AO166" s="115">
        <v>0.47955463486380701</v>
      </c>
      <c r="AQ166" s="92">
        <f t="shared" si="15"/>
        <v>56003</v>
      </c>
      <c r="AR166" s="115">
        <v>0.64082163570918704</v>
      </c>
      <c r="AS166" s="193"/>
      <c r="AT166" s="92">
        <f t="shared" si="13"/>
        <v>56003</v>
      </c>
      <c r="AU166" s="115">
        <v>0.42147368699142801</v>
      </c>
      <c r="AV166" s="193"/>
      <c r="AW166" s="172"/>
    </row>
    <row r="167" spans="12:49">
      <c r="L167" s="58">
        <v>56948</v>
      </c>
      <c r="M167" s="130">
        <v>0.84455913512052927</v>
      </c>
      <c r="N167" s="130">
        <v>0.50739537535497892</v>
      </c>
      <c r="O167" s="115">
        <f t="shared" si="16"/>
        <v>186124287.047566</v>
      </c>
      <c r="AK167" s="92">
        <v>56094</v>
      </c>
      <c r="AL167" s="115">
        <v>0.81035131566402197</v>
      </c>
      <c r="AN167" s="92">
        <f t="shared" si="14"/>
        <v>56094</v>
      </c>
      <c r="AO167" s="115">
        <v>0.47719800512623201</v>
      </c>
      <c r="AQ167" s="92">
        <f t="shared" si="15"/>
        <v>56094</v>
      </c>
      <c r="AR167" s="115">
        <v>0.63917510992283399</v>
      </c>
      <c r="AS167" s="193"/>
      <c r="AT167" s="92">
        <f t="shared" si="13"/>
        <v>56094</v>
      </c>
      <c r="AU167" s="115">
        <v>0.41915231207154002</v>
      </c>
      <c r="AV167" s="193"/>
      <c r="AW167" s="172"/>
    </row>
    <row r="168" spans="12:49">
      <c r="L168" s="58">
        <v>57039</v>
      </c>
      <c r="M168" s="130">
        <v>0.84378771189588109</v>
      </c>
      <c r="N168" s="130">
        <v>0.50498486367920048</v>
      </c>
      <c r="O168" s="115">
        <f t="shared" si="16"/>
        <v>186841920.87812009</v>
      </c>
      <c r="AK168" s="92">
        <v>56186</v>
      </c>
      <c r="AL168" s="115">
        <v>0.809664157621936</v>
      </c>
      <c r="AN168" s="92">
        <f t="shared" si="14"/>
        <v>56186</v>
      </c>
      <c r="AO168" s="115">
        <v>0.47482751991849198</v>
      </c>
      <c r="AQ168" s="92">
        <f t="shared" si="15"/>
        <v>56186</v>
      </c>
      <c r="AR168" s="115">
        <v>0.63753061816835999</v>
      </c>
      <c r="AS168" s="193"/>
      <c r="AT168" s="92">
        <f t="shared" si="13"/>
        <v>56186</v>
      </c>
      <c r="AU168" s="115">
        <v>0.41681839504892099</v>
      </c>
      <c r="AV168" s="193"/>
      <c r="AW168" s="172"/>
    </row>
    <row r="169" spans="12:49">
      <c r="L169" s="58">
        <v>57130</v>
      </c>
      <c r="M169" s="130">
        <v>0.84301699329186497</v>
      </c>
      <c r="N169" s="130">
        <v>0.50258580375647566</v>
      </c>
      <c r="O169" s="115">
        <f t="shared" si="16"/>
        <v>187562321.66790837</v>
      </c>
      <c r="AK169" s="92">
        <v>56278</v>
      </c>
      <c r="AL169" s="115">
        <v>0.80900659136846997</v>
      </c>
      <c r="AN169" s="92">
        <f t="shared" si="14"/>
        <v>56278</v>
      </c>
      <c r="AO169" s="115">
        <v>0.472468847232</v>
      </c>
      <c r="AQ169" s="92">
        <f t="shared" si="15"/>
        <v>56278</v>
      </c>
      <c r="AR169" s="115">
        <v>0.63590649454174697</v>
      </c>
      <c r="AS169" s="193"/>
      <c r="AT169" s="92">
        <f t="shared" si="13"/>
        <v>56278</v>
      </c>
      <c r="AU169" s="115">
        <v>0.41449707844490202</v>
      </c>
      <c r="AV169" s="193"/>
      <c r="AW169" s="172"/>
    </row>
    <row r="170" spans="12:49">
      <c r="L170" s="58">
        <v>57222</v>
      </c>
      <c r="M170" s="130">
        <v>0.84223852087379647</v>
      </c>
      <c r="N170" s="130">
        <v>0.50017196624115434</v>
      </c>
      <c r="O170" s="115">
        <f t="shared" si="16"/>
        <v>188293462.57023159</v>
      </c>
      <c r="AK170" s="92">
        <v>56368</v>
      </c>
      <c r="AL170" s="115">
        <v>0.80839223951577799</v>
      </c>
      <c r="AN170" s="92">
        <f t="shared" si="14"/>
        <v>56368</v>
      </c>
      <c r="AO170" s="115">
        <v>0.470172664894558</v>
      </c>
      <c r="AQ170" s="92">
        <f t="shared" si="15"/>
        <v>56368</v>
      </c>
      <c r="AR170" s="115">
        <v>0.63433743843530099</v>
      </c>
      <c r="AS170" s="193"/>
      <c r="AT170" s="92">
        <f t="shared" si="13"/>
        <v>56368</v>
      </c>
      <c r="AU170" s="115">
        <v>0.41223810490482499</v>
      </c>
      <c r="AV170" s="193"/>
      <c r="AW170" s="172"/>
    </row>
    <row r="171" spans="12:49">
      <c r="L171" s="58">
        <v>57314</v>
      </c>
      <c r="M171" s="130">
        <v>0.84146076732534814</v>
      </c>
      <c r="N171" s="130">
        <v>0.4977697219931056</v>
      </c>
      <c r="O171" s="115">
        <f t="shared" si="16"/>
        <v>189027453.54934159</v>
      </c>
      <c r="AK171" s="92">
        <v>56459</v>
      </c>
      <c r="AL171" s="115">
        <v>0.80780027475693295</v>
      </c>
      <c r="AN171" s="92">
        <f t="shared" si="14"/>
        <v>56459</v>
      </c>
      <c r="AO171" s="115">
        <v>0.46786210478712698</v>
      </c>
      <c r="AQ171" s="92">
        <f t="shared" si="15"/>
        <v>56459</v>
      </c>
      <c r="AR171" s="115">
        <v>0.63277078996464597</v>
      </c>
      <c r="AS171" s="193"/>
      <c r="AT171" s="92">
        <f t="shared" si="13"/>
        <v>56459</v>
      </c>
      <c r="AU171" s="115">
        <v>0.40996578062462202</v>
      </c>
      <c r="AV171" s="193"/>
      <c r="AW171" s="172"/>
    </row>
    <row r="172" spans="12:49">
      <c r="L172" s="58">
        <v>57404</v>
      </c>
      <c r="M172" s="130">
        <v>0.84070061642313132</v>
      </c>
      <c r="N172" s="130">
        <v>0.49543086492244787</v>
      </c>
      <c r="O172" s="115">
        <f t="shared" si="16"/>
        <v>189748256.68794361</v>
      </c>
      <c r="AK172" s="92">
        <v>56551</v>
      </c>
      <c r="AL172" s="115">
        <v>0.80723163123767305</v>
      </c>
      <c r="AN172" s="92">
        <f t="shared" si="14"/>
        <v>56551</v>
      </c>
      <c r="AO172" s="115">
        <v>0.465537471320567</v>
      </c>
      <c r="AQ172" s="92">
        <f t="shared" si="15"/>
        <v>56551</v>
      </c>
      <c r="AR172" s="115">
        <v>0.63120708886047106</v>
      </c>
      <c r="AS172" s="193"/>
      <c r="AT172" s="92">
        <f t="shared" si="13"/>
        <v>56551</v>
      </c>
      <c r="AU172" s="115">
        <v>0.40768042040402402</v>
      </c>
      <c r="AV172" s="193"/>
      <c r="AW172" s="172"/>
    </row>
    <row r="173" spans="12:49">
      <c r="L173" s="58">
        <v>57495</v>
      </c>
      <c r="M173" s="130">
        <v>0.83993271758275911</v>
      </c>
      <c r="N173" s="130">
        <v>0.4930771937176186</v>
      </c>
      <c r="O173" s="115">
        <f t="shared" si="16"/>
        <v>190479863.3495349</v>
      </c>
      <c r="AK173" s="92">
        <v>56643</v>
      </c>
      <c r="AL173" s="115">
        <v>0.80669275592080203</v>
      </c>
      <c r="AN173" s="92">
        <f t="shared" si="14"/>
        <v>56643</v>
      </c>
      <c r="AO173" s="115">
        <v>0.46322423740333502</v>
      </c>
      <c r="AQ173" s="92">
        <f t="shared" si="15"/>
        <v>56643</v>
      </c>
      <c r="AR173" s="115">
        <v>0.62966344544569197</v>
      </c>
      <c r="AS173" s="193"/>
      <c r="AT173" s="92">
        <f t="shared" si="13"/>
        <v>56643</v>
      </c>
      <c r="AU173" s="115">
        <v>0.40540711927112699</v>
      </c>
      <c r="AV173" s="193"/>
      <c r="AW173" s="172"/>
    </row>
    <row r="174" spans="12:49">
      <c r="L174" s="58">
        <v>57587</v>
      </c>
      <c r="M174" s="130">
        <v>0.83915709329656507</v>
      </c>
      <c r="N174" s="130">
        <v>0.49070902450303089</v>
      </c>
      <c r="O174" s="115">
        <f t="shared" si="16"/>
        <v>191222377.18667093</v>
      </c>
      <c r="AK174" s="92">
        <v>56733</v>
      </c>
      <c r="AL174" s="115">
        <v>0.80619399341708797</v>
      </c>
      <c r="AN174" s="92">
        <f t="shared" si="14"/>
        <v>56733</v>
      </c>
      <c r="AO174" s="115">
        <v>0.46097242827654999</v>
      </c>
      <c r="AQ174" s="92">
        <f t="shared" si="15"/>
        <v>56733</v>
      </c>
      <c r="AR174" s="115">
        <v>0.62817246092518597</v>
      </c>
      <c r="AS174" s="193"/>
      <c r="AT174" s="92">
        <f t="shared" si="13"/>
        <v>56733</v>
      </c>
      <c r="AU174" s="115">
        <v>0.403195099813346</v>
      </c>
      <c r="AV174" s="193"/>
      <c r="AW174" s="172"/>
    </row>
    <row r="175" spans="12:49">
      <c r="L175" s="58">
        <v>57679</v>
      </c>
      <c r="M175" s="130">
        <v>0.83838218524992292</v>
      </c>
      <c r="N175" s="130">
        <v>0.48835222921832749</v>
      </c>
      <c r="O175" s="115">
        <f t="shared" si="16"/>
        <v>191967785.43368652</v>
      </c>
      <c r="AK175" s="92">
        <v>56824</v>
      </c>
      <c r="AL175" s="115">
        <v>0.805717630706003</v>
      </c>
      <c r="AN175" s="92">
        <f t="shared" si="14"/>
        <v>56824</v>
      </c>
      <c r="AO175" s="115">
        <v>0.45870699608561399</v>
      </c>
      <c r="AQ175" s="92">
        <f t="shared" si="15"/>
        <v>56824</v>
      </c>
      <c r="AR175" s="115">
        <v>0.62668370476137703</v>
      </c>
      <c r="AS175" s="193"/>
      <c r="AT175" s="92">
        <f t="shared" si="13"/>
        <v>56824</v>
      </c>
      <c r="AU175" s="115">
        <v>0.40097076668037401</v>
      </c>
      <c r="AV175" s="193"/>
      <c r="AW175" s="172"/>
    </row>
    <row r="176" spans="12:49">
      <c r="L176" s="58">
        <v>57769</v>
      </c>
      <c r="M176" s="130">
        <v>0.83762481544818401</v>
      </c>
      <c r="N176" s="130">
        <v>0.4860576218651414</v>
      </c>
      <c r="O176" s="115">
        <f t="shared" si="16"/>
        <v>192699800.70264831</v>
      </c>
      <c r="AK176" s="92">
        <v>56916</v>
      </c>
      <c r="AL176" s="115">
        <v>0.80526374044289695</v>
      </c>
      <c r="AN176" s="92">
        <f t="shared" si="14"/>
        <v>56916</v>
      </c>
      <c r="AO176" s="115">
        <v>0.456428618458674</v>
      </c>
      <c r="AQ176" s="92">
        <f t="shared" si="15"/>
        <v>56916</v>
      </c>
      <c r="AR176" s="115">
        <v>0.62519726448077595</v>
      </c>
      <c r="AS176" s="193"/>
      <c r="AT176" s="92">
        <f t="shared" si="13"/>
        <v>56916</v>
      </c>
      <c r="AU176" s="115">
        <v>0.39873502188030102</v>
      </c>
      <c r="AV176" s="193"/>
      <c r="AW176" s="172"/>
    </row>
    <row r="177" spans="12:49">
      <c r="L177" s="58">
        <v>57860</v>
      </c>
      <c r="M177" s="130">
        <v>0.83685972605502257</v>
      </c>
      <c r="N177" s="130">
        <v>0.48374848065196552</v>
      </c>
      <c r="O177" s="115">
        <f t="shared" si="16"/>
        <v>193442787.54396212</v>
      </c>
      <c r="AK177" s="92">
        <v>57010</v>
      </c>
      <c r="AL177" s="115">
        <v>0.80482760319705404</v>
      </c>
      <c r="AN177" s="92">
        <f t="shared" si="14"/>
        <v>57010</v>
      </c>
      <c r="AO177" s="115">
        <v>0.45411354347039001</v>
      </c>
      <c r="AQ177" s="92">
        <f t="shared" si="15"/>
        <v>57010</v>
      </c>
      <c r="AR177" s="115">
        <v>0.62369721374619402</v>
      </c>
      <c r="AS177" s="193"/>
      <c r="AT177" s="92">
        <f t="shared" si="13"/>
        <v>57010</v>
      </c>
      <c r="AU177" s="115">
        <v>0.39646489583714201</v>
      </c>
      <c r="AV177" s="193"/>
      <c r="AW177" s="172"/>
    </row>
    <row r="178" spans="12:49">
      <c r="L178" s="58">
        <v>57952</v>
      </c>
      <c r="M178" s="130">
        <v>0.83608693948048129</v>
      </c>
      <c r="N178" s="130">
        <v>0.48142511572233621</v>
      </c>
      <c r="O178" s="115">
        <f t="shared" si="16"/>
        <v>194196851.22250429</v>
      </c>
      <c r="AK178" s="92">
        <v>57098</v>
      </c>
      <c r="AL178" s="115">
        <v>0.80444331822072201</v>
      </c>
      <c r="AN178" s="92">
        <f t="shared" si="14"/>
        <v>57098</v>
      </c>
      <c r="AO178" s="115">
        <v>0.45195847814864898</v>
      </c>
      <c r="AQ178" s="92">
        <f t="shared" si="15"/>
        <v>57098</v>
      </c>
      <c r="AR178" s="115">
        <v>0.622309297577198</v>
      </c>
      <c r="AS178" s="193"/>
      <c r="AT178" s="92">
        <f t="shared" si="13"/>
        <v>57098</v>
      </c>
      <c r="AU178" s="115">
        <v>0.39435347875917598</v>
      </c>
      <c r="AV178" s="193"/>
      <c r="AW178" s="172"/>
    </row>
    <row r="179" spans="12:49">
      <c r="L179" s="58">
        <v>58043</v>
      </c>
      <c r="M179" s="130">
        <v>0.83532325478852876</v>
      </c>
      <c r="N179" s="130">
        <v>0.47913798241598748</v>
      </c>
      <c r="O179" s="115">
        <f t="shared" si="16"/>
        <v>194945610.19660172</v>
      </c>
      <c r="AK179" s="92">
        <v>57192</v>
      </c>
      <c r="AL179" s="115">
        <v>0.80405710584716805</v>
      </c>
      <c r="AN179" s="92">
        <f t="shared" si="14"/>
        <v>57192</v>
      </c>
      <c r="AO179" s="115">
        <v>0.44967004069743399</v>
      </c>
      <c r="AQ179" s="92">
        <f t="shared" si="15"/>
        <v>57192</v>
      </c>
      <c r="AR179" s="115">
        <v>0.62084348098576303</v>
      </c>
      <c r="AS179" s="193"/>
      <c r="AT179" s="92">
        <f t="shared" si="13"/>
        <v>57192</v>
      </c>
      <c r="AU179" s="115">
        <v>0.39211363986095099</v>
      </c>
      <c r="AV179" s="193"/>
      <c r="AW179" s="172"/>
    </row>
    <row r="180" spans="12:49">
      <c r="L180" s="58">
        <v>58134</v>
      </c>
      <c r="M180" s="130">
        <v>0.83456026764880575</v>
      </c>
      <c r="N180" s="130">
        <v>0.47686171472215083</v>
      </c>
      <c r="O180" s="115">
        <f t="shared" si="16"/>
        <v>195697256.13821566</v>
      </c>
      <c r="AK180" s="92">
        <v>57283</v>
      </c>
      <c r="AL180" s="115">
        <v>0.80370677788870104</v>
      </c>
      <c r="AN180" s="92">
        <f t="shared" si="14"/>
        <v>57283</v>
      </c>
      <c r="AO180" s="115">
        <v>0.44746801124350899</v>
      </c>
      <c r="AQ180" s="92">
        <f t="shared" si="15"/>
        <v>57283</v>
      </c>
      <c r="AR180" s="115">
        <v>0.61944068018618403</v>
      </c>
      <c r="AS180" s="193"/>
      <c r="AT180" s="92">
        <f t="shared" si="13"/>
        <v>57283</v>
      </c>
      <c r="AU180" s="115">
        <v>0.38996063373638501</v>
      </c>
      <c r="AV180" s="193"/>
      <c r="AW180" s="172"/>
    </row>
    <row r="181" spans="12:49">
      <c r="L181" s="58">
        <v>58225</v>
      </c>
      <c r="M181" s="130">
        <v>0.83379797742416562</v>
      </c>
      <c r="N181" s="130">
        <v>0.47459626102095132</v>
      </c>
      <c r="O181" s="115">
        <f t="shared" si="16"/>
        <v>196451800.17854014</v>
      </c>
      <c r="AK181" s="92">
        <v>57374</v>
      </c>
      <c r="AL181" s="115">
        <v>0.80337959587077301</v>
      </c>
      <c r="AN181" s="92">
        <f t="shared" si="14"/>
        <v>57374</v>
      </c>
      <c r="AO181" s="115">
        <v>0.44527904977159199</v>
      </c>
      <c r="AQ181" s="92">
        <f t="shared" si="15"/>
        <v>57374</v>
      </c>
      <c r="AR181" s="115">
        <v>0.61805375579559296</v>
      </c>
      <c r="AS181" s="193"/>
      <c r="AT181" s="92">
        <f t="shared" si="13"/>
        <v>57374</v>
      </c>
      <c r="AU181" s="115">
        <v>0.38782260808795199</v>
      </c>
      <c r="AV181" s="193"/>
      <c r="AW181" s="172"/>
    </row>
    <row r="182" spans="12:49">
      <c r="L182" s="58">
        <v>58316</v>
      </c>
      <c r="M182" s="130">
        <v>0.83303638347804387</v>
      </c>
      <c r="N182" s="130">
        <v>0.47234396174164761</v>
      </c>
      <c r="O182" s="115">
        <f t="shared" si="16"/>
        <v>197208254.88495204</v>
      </c>
      <c r="AK182" s="92">
        <v>57465</v>
      </c>
      <c r="AL182" s="115">
        <v>0.80307553164576995</v>
      </c>
      <c r="AN182" s="92">
        <f t="shared" si="14"/>
        <v>57465</v>
      </c>
      <c r="AO182" s="115">
        <v>0.44310306994693299</v>
      </c>
      <c r="AQ182" s="92">
        <f t="shared" si="15"/>
        <v>57465</v>
      </c>
      <c r="AR182" s="115">
        <v>0.61668261530100799</v>
      </c>
      <c r="AS182" s="193"/>
      <c r="AT182" s="92">
        <f t="shared" si="13"/>
        <v>57465</v>
      </c>
      <c r="AU182" s="115">
        <v>0.38569944604941703</v>
      </c>
      <c r="AV182" s="193"/>
      <c r="AW182" s="172"/>
    </row>
    <row r="183" spans="12:49">
      <c r="L183" s="58">
        <v>58407</v>
      </c>
      <c r="M183" s="130">
        <v>0.83739766566865415</v>
      </c>
      <c r="N183" s="130">
        <v>0.47031664138130996</v>
      </c>
      <c r="O183" s="115">
        <f t="shared" si="16"/>
        <v>199095245.06735861</v>
      </c>
      <c r="AK183" s="92">
        <v>57556</v>
      </c>
      <c r="AL183" s="115">
        <v>0.80279455906177399</v>
      </c>
      <c r="AN183" s="92">
        <f t="shared" si="14"/>
        <v>57556</v>
      </c>
      <c r="AO183" s="115">
        <v>0.44093998605623402</v>
      </c>
      <c r="AQ183" s="92">
        <f t="shared" si="15"/>
        <v>57556</v>
      </c>
      <c r="AR183" s="115">
        <v>0.61532716736807502</v>
      </c>
      <c r="AS183" s="193"/>
      <c r="AT183" s="92">
        <f t="shared" si="13"/>
        <v>57556</v>
      </c>
      <c r="AU183" s="115">
        <v>0.38359103175701398</v>
      </c>
      <c r="AV183" s="193"/>
      <c r="AW183" s="172"/>
    </row>
    <row r="184" spans="12:49">
      <c r="L184" s="58">
        <v>58498</v>
      </c>
      <c r="M184" s="130">
        <v>0.8419578723958443</v>
      </c>
      <c r="N184" s="130">
        <v>0.46829802236612827</v>
      </c>
      <c r="O184" s="115">
        <f t="shared" si="16"/>
        <v>201042337.98727435</v>
      </c>
      <c r="AK184" s="92">
        <v>57647</v>
      </c>
      <c r="AL184" s="115">
        <v>0.80253665395876905</v>
      </c>
      <c r="AN184" s="92">
        <f t="shared" si="14"/>
        <v>57647</v>
      </c>
      <c r="AO184" s="115">
        <v>0.43878971300284703</v>
      </c>
      <c r="AQ184" s="92">
        <f t="shared" si="15"/>
        <v>57647</v>
      </c>
      <c r="AR184" s="115">
        <v>0.61398732183098603</v>
      </c>
      <c r="AS184" s="193"/>
      <c r="AT184" s="92">
        <f t="shared" si="13"/>
        <v>57647</v>
      </c>
      <c r="AU184" s="115">
        <v>0.381497250340191</v>
      </c>
      <c r="AV184" s="193"/>
      <c r="AW184" s="172"/>
    </row>
    <row r="185" spans="12:49">
      <c r="L185" s="58">
        <v>58592</v>
      </c>
      <c r="M185" s="130">
        <v>0.84669449215491788</v>
      </c>
      <c r="N185" s="130">
        <v>0.46622195218804036</v>
      </c>
      <c r="O185" s="115">
        <f t="shared" si="16"/>
        <v>203073616.90806207</v>
      </c>
      <c r="AK185" s="92">
        <v>57739</v>
      </c>
      <c r="AL185" s="115">
        <v>0.80229934122539504</v>
      </c>
      <c r="AN185" s="92">
        <f t="shared" si="14"/>
        <v>57739</v>
      </c>
      <c r="AO185" s="115">
        <v>0.436628747158394</v>
      </c>
      <c r="AQ185" s="92">
        <f t="shared" si="15"/>
        <v>57739</v>
      </c>
      <c r="AR185" s="115">
        <v>0.61264852242880896</v>
      </c>
      <c r="AS185" s="193"/>
      <c r="AT185" s="92">
        <f t="shared" si="13"/>
        <v>57739</v>
      </c>
      <c r="AU185" s="115">
        <v>0.37939521910475599</v>
      </c>
      <c r="AV185" s="193"/>
      <c r="AW185" s="172"/>
    </row>
    <row r="186" spans="12:49">
      <c r="L186" s="58">
        <v>58683</v>
      </c>
      <c r="M186" s="130">
        <v>0.85130532650196211</v>
      </c>
      <c r="N186" s="130">
        <v>0.46422090775291708</v>
      </c>
      <c r="O186" s="115">
        <f t="shared" si="16"/>
        <v>205059617.13408253</v>
      </c>
      <c r="AK186" s="92">
        <v>57829</v>
      </c>
      <c r="AL186" s="115">
        <v>0.80208995949481598</v>
      </c>
      <c r="AN186" s="92">
        <f t="shared" si="14"/>
        <v>57829</v>
      </c>
      <c r="AO186" s="115">
        <v>0.434527262076284</v>
      </c>
      <c r="AQ186" s="92">
        <f t="shared" si="15"/>
        <v>57829</v>
      </c>
      <c r="AR186" s="115">
        <v>0.611354083063957</v>
      </c>
      <c r="AS186" s="193"/>
      <c r="AT186" s="92">
        <f t="shared" si="13"/>
        <v>57829</v>
      </c>
      <c r="AU186" s="115">
        <v>0.37735313156225098</v>
      </c>
      <c r="AV186" s="193"/>
      <c r="AW186" s="172"/>
    </row>
    <row r="187" spans="12:49">
      <c r="L187" s="58">
        <v>58775</v>
      </c>
      <c r="M187" s="130">
        <v>0.85599235443719202</v>
      </c>
      <c r="N187" s="130">
        <v>0.4622066043372367</v>
      </c>
      <c r="O187" s="115">
        <f t="shared" si="16"/>
        <v>207087186.06566992</v>
      </c>
      <c r="AK187" s="92">
        <v>57920</v>
      </c>
      <c r="AL187" s="115">
        <v>0.80190113174372701</v>
      </c>
      <c r="AN187" s="92">
        <f t="shared" si="14"/>
        <v>57920</v>
      </c>
      <c r="AO187" s="115">
        <v>0.43241491705055402</v>
      </c>
      <c r="AQ187" s="92">
        <f t="shared" si="15"/>
        <v>57920</v>
      </c>
      <c r="AR187" s="115">
        <v>0.61006051525594196</v>
      </c>
      <c r="AS187" s="193"/>
      <c r="AT187" s="92">
        <f t="shared" si="13"/>
        <v>57920</v>
      </c>
      <c r="AU187" s="115">
        <v>0.37530256934409001</v>
      </c>
      <c r="AV187" s="193"/>
      <c r="AW187" s="172"/>
    </row>
    <row r="188" spans="12:49">
      <c r="L188" s="58">
        <v>58865</v>
      </c>
      <c r="M188" s="130">
        <v>0.86060245943365821</v>
      </c>
      <c r="N188" s="130">
        <v>0.46024454772347706</v>
      </c>
      <c r="O188" s="115">
        <f t="shared" si="16"/>
        <v>209090075.02613562</v>
      </c>
      <c r="AK188" s="92">
        <v>58012</v>
      </c>
      <c r="AL188" s="115">
        <v>0.80173359995840099</v>
      </c>
      <c r="AN188" s="92">
        <f t="shared" si="14"/>
        <v>58012</v>
      </c>
      <c r="AO188" s="115">
        <v>0.43029204206912403</v>
      </c>
      <c r="AQ188" s="92">
        <f t="shared" si="15"/>
        <v>58012</v>
      </c>
      <c r="AR188" s="115">
        <v>0.60876823766960797</v>
      </c>
      <c r="AS188" s="193"/>
      <c r="AT188" s="92">
        <f t="shared" si="13"/>
        <v>58012</v>
      </c>
      <c r="AU188" s="115">
        <v>0.37324389085262499</v>
      </c>
      <c r="AV188" s="193"/>
      <c r="AW188" s="172"/>
    </row>
    <row r="189" spans="12:49">
      <c r="L189" s="58">
        <v>58956</v>
      </c>
      <c r="M189" s="130">
        <v>0.86528903223633269</v>
      </c>
      <c r="N189" s="130">
        <v>0.45826915856237971</v>
      </c>
      <c r="O189" s="115">
        <f t="shared" si="16"/>
        <v>211134914.44241756</v>
      </c>
      <c r="AK189" s="92">
        <v>58104</v>
      </c>
      <c r="AL189" s="115">
        <v>0.80158955222806705</v>
      </c>
      <c r="AN189" s="92">
        <f t="shared" si="14"/>
        <v>58104</v>
      </c>
      <c r="AO189" s="115">
        <v>0.42818183451122699</v>
      </c>
      <c r="AQ189" s="92">
        <f t="shared" si="15"/>
        <v>58104</v>
      </c>
      <c r="AR189" s="115">
        <v>0.60749146310420499</v>
      </c>
      <c r="AS189" s="193"/>
      <c r="AT189" s="92">
        <f t="shared" si="13"/>
        <v>58104</v>
      </c>
      <c r="AU189" s="115">
        <v>0.37119959523423202</v>
      </c>
      <c r="AV189" s="193"/>
      <c r="AW189" s="172"/>
    </row>
    <row r="190" spans="12:49">
      <c r="L190" s="58">
        <v>59048</v>
      </c>
      <c r="M190" s="130">
        <v>0.87005305019779011</v>
      </c>
      <c r="N190" s="130">
        <v>0.45628068041334191</v>
      </c>
      <c r="O190" s="115">
        <f t="shared" si="16"/>
        <v>213222554.1195018</v>
      </c>
      <c r="AK190" s="92">
        <v>58194</v>
      </c>
      <c r="AL190" s="115">
        <v>0.80147134763060901</v>
      </c>
      <c r="AN190" s="92">
        <f t="shared" si="14"/>
        <v>58194</v>
      </c>
      <c r="AO190" s="115">
        <v>0.42612967749088099</v>
      </c>
      <c r="AQ190" s="92">
        <f t="shared" si="15"/>
        <v>58194</v>
      </c>
      <c r="AR190" s="115">
        <v>0.60625736292536403</v>
      </c>
      <c r="AS190" s="193"/>
      <c r="AT190" s="92">
        <f t="shared" si="13"/>
        <v>58194</v>
      </c>
      <c r="AU190" s="115">
        <v>0.36921354980318699</v>
      </c>
      <c r="AV190" s="193"/>
      <c r="AW190" s="172"/>
    </row>
    <row r="191" spans="12:49">
      <c r="L191" s="58">
        <v>59140</v>
      </c>
      <c r="M191" s="130">
        <v>0.87484329739166766</v>
      </c>
      <c r="N191" s="130">
        <v>0.45430083048044151</v>
      </c>
      <c r="O191" s="115">
        <f t="shared" si="16"/>
        <v>215330835.76114625</v>
      </c>
      <c r="AK191" s="92">
        <v>58285</v>
      </c>
      <c r="AL191" s="115">
        <v>0.80137465727107704</v>
      </c>
      <c r="AN191" s="92">
        <f t="shared" si="14"/>
        <v>58285</v>
      </c>
      <c r="AO191" s="115">
        <v>0.42406688237465401</v>
      </c>
      <c r="AQ191" s="92">
        <f t="shared" si="15"/>
        <v>58285</v>
      </c>
      <c r="AR191" s="115">
        <v>0.60502447002944604</v>
      </c>
      <c r="AS191" s="193"/>
      <c r="AT191" s="92">
        <f t="shared" si="13"/>
        <v>58285</v>
      </c>
      <c r="AU191" s="115">
        <v>0.367219215332871</v>
      </c>
      <c r="AV191" s="193"/>
      <c r="AW191" s="172"/>
    </row>
    <row r="192" spans="12:49">
      <c r="L192" s="58">
        <v>59230</v>
      </c>
      <c r="M192" s="130">
        <v>0.87955492762472276</v>
      </c>
      <c r="N192" s="130">
        <v>0.4523723336984477</v>
      </c>
      <c r="O192" s="115">
        <f t="shared" si="16"/>
        <v>217413454.98055598</v>
      </c>
      <c r="AK192" s="92">
        <v>58377</v>
      </c>
      <c r="AL192" s="115">
        <v>0.80130022943620005</v>
      </c>
      <c r="AN192" s="92">
        <f t="shared" si="14"/>
        <v>58377</v>
      </c>
      <c r="AO192" s="115">
        <v>0.42199377072688798</v>
      </c>
      <c r="AQ192" s="92">
        <f t="shared" si="15"/>
        <v>58377</v>
      </c>
      <c r="AR192" s="115">
        <v>0.60379319649610197</v>
      </c>
      <c r="AS192" s="193"/>
      <c r="AT192" s="92">
        <f t="shared" si="13"/>
        <v>58377</v>
      </c>
      <c r="AU192" s="115">
        <v>0.36521693955082701</v>
      </c>
      <c r="AV192" s="193"/>
      <c r="AW192" s="172"/>
    </row>
    <row r="193" spans="12:49">
      <c r="L193" s="58">
        <v>59321</v>
      </c>
      <c r="M193" s="130">
        <v>0.88434470966296719</v>
      </c>
      <c r="N193" s="130">
        <v>0.45043073241454695</v>
      </c>
      <c r="O193" s="115">
        <f t="shared" si="16"/>
        <v>219539694.60392746</v>
      </c>
      <c r="AK193" s="92">
        <v>58469</v>
      </c>
      <c r="AL193" s="115">
        <v>0.80124924761335503</v>
      </c>
      <c r="AN193" s="92">
        <f t="shared" si="14"/>
        <v>58469</v>
      </c>
      <c r="AO193" s="115">
        <v>0.41993299601623202</v>
      </c>
      <c r="AQ193" s="92">
        <f t="shared" si="15"/>
        <v>58469</v>
      </c>
      <c r="AR193" s="115">
        <v>0.60257709105277901</v>
      </c>
      <c r="AS193" s="193"/>
      <c r="AT193" s="92">
        <f t="shared" si="13"/>
        <v>58469</v>
      </c>
      <c r="AU193" s="115">
        <v>0.36322860512224098</v>
      </c>
      <c r="AV193" s="193"/>
      <c r="AW193" s="172"/>
    </row>
    <row r="194" spans="12:49">
      <c r="L194" s="58">
        <v>59413</v>
      </c>
      <c r="M194" s="130">
        <v>0.88921364238255296</v>
      </c>
      <c r="N194" s="130">
        <v>0.44847626602219531</v>
      </c>
      <c r="O194" s="115">
        <f t="shared" si="16"/>
        <v>221710438.26496753</v>
      </c>
      <c r="AK194" s="92">
        <v>58560</v>
      </c>
      <c r="AL194" s="115">
        <v>0.80122188067459399</v>
      </c>
      <c r="AN194" s="92">
        <f t="shared" si="14"/>
        <v>58560</v>
      </c>
      <c r="AO194" s="115">
        <v>0.41790667736161702</v>
      </c>
      <c r="AQ194" s="92">
        <f t="shared" si="15"/>
        <v>58560</v>
      </c>
      <c r="AR194" s="115">
        <v>0.60138904583135999</v>
      </c>
      <c r="AS194" s="193"/>
      <c r="AT194" s="92">
        <f t="shared" si="13"/>
        <v>58560</v>
      </c>
      <c r="AU194" s="115">
        <v>0.36127549113565399</v>
      </c>
      <c r="AV194" s="193"/>
      <c r="AW194" s="172"/>
    </row>
    <row r="195" spans="12:49">
      <c r="L195" s="58">
        <v>59505</v>
      </c>
      <c r="M195" s="130">
        <v>0.89410938196327439</v>
      </c>
      <c r="N195" s="130">
        <v>0.44653028026538638</v>
      </c>
      <c r="O195" s="115">
        <f t="shared" si="16"/>
        <v>223902645.59821707</v>
      </c>
      <c r="AK195" s="92">
        <v>58651</v>
      </c>
      <c r="AL195" s="115">
        <v>0.80121744609080303</v>
      </c>
      <c r="AN195" s="92">
        <f t="shared" si="14"/>
        <v>58651</v>
      </c>
      <c r="AO195" s="115">
        <v>0.41589227026680797</v>
      </c>
      <c r="AQ195" s="92">
        <f t="shared" si="15"/>
        <v>58651</v>
      </c>
      <c r="AR195" s="115">
        <v>0.60021568299885497</v>
      </c>
      <c r="AS195" s="193"/>
      <c r="AT195" s="92">
        <f t="shared" si="13"/>
        <v>58651</v>
      </c>
      <c r="AU195" s="115">
        <v>0.35933580601272302</v>
      </c>
      <c r="AV195" s="193"/>
      <c r="AW195" s="172"/>
    </row>
    <row r="196" spans="12:49">
      <c r="L196" s="58">
        <v>59595</v>
      </c>
      <c r="M196" s="130">
        <v>0.89892477325480791</v>
      </c>
      <c r="N196" s="130">
        <v>0.4446347692938481</v>
      </c>
      <c r="O196" s="115">
        <f t="shared" si="16"/>
        <v>226068168.94907048</v>
      </c>
      <c r="AK196" s="92">
        <v>58743</v>
      </c>
      <c r="AL196" s="115">
        <v>0.80123627413780696</v>
      </c>
      <c r="AN196" s="92">
        <f t="shared" si="14"/>
        <v>58743</v>
      </c>
      <c r="AO196" s="115">
        <v>0.413867755835573</v>
      </c>
      <c r="AQ196" s="92">
        <f t="shared" si="15"/>
        <v>58743</v>
      </c>
      <c r="AR196" s="115">
        <v>0.59904427295988705</v>
      </c>
      <c r="AS196" s="193"/>
      <c r="AT196" s="92">
        <f t="shared" si="13"/>
        <v>58743</v>
      </c>
      <c r="AU196" s="115">
        <v>0.35738835098820498</v>
      </c>
      <c r="AV196" s="193"/>
      <c r="AW196" s="172"/>
    </row>
    <row r="197" spans="12:49">
      <c r="L197" s="58">
        <v>59686</v>
      </c>
      <c r="M197" s="130">
        <v>0.90382003743608696</v>
      </c>
      <c r="N197" s="130">
        <v>0.44272637796524994</v>
      </c>
      <c r="O197" s="115">
        <f t="shared" si="16"/>
        <v>228279049.12870577</v>
      </c>
      <c r="AK197" s="92">
        <v>58837</v>
      </c>
      <c r="AL197" s="115">
        <v>0.80127972181282303</v>
      </c>
      <c r="AN197" s="92">
        <f t="shared" si="14"/>
        <v>58837</v>
      </c>
      <c r="AO197" s="115">
        <v>0.411811639226144</v>
      </c>
      <c r="AQ197" s="92">
        <f t="shared" si="15"/>
        <v>58837</v>
      </c>
      <c r="AR197" s="115">
        <v>0.597862734641878</v>
      </c>
      <c r="AS197" s="193"/>
      <c r="AT197" s="92">
        <f t="shared" si="13"/>
        <v>58837</v>
      </c>
      <c r="AU197" s="115">
        <v>0.35541251662266499</v>
      </c>
      <c r="AV197" s="193"/>
      <c r="AW197" s="172"/>
    </row>
    <row r="198" spans="12:49">
      <c r="L198" s="58">
        <v>59778</v>
      </c>
      <c r="M198" s="130">
        <v>0.90879619538084022</v>
      </c>
      <c r="N198" s="130">
        <v>0.44080534157836265</v>
      </c>
      <c r="O198" s="115">
        <f t="shared" si="16"/>
        <v>230536204.94619194</v>
      </c>
      <c r="AK198" s="92">
        <v>58925</v>
      </c>
      <c r="AL198" s="115">
        <v>0.80134257728029501</v>
      </c>
      <c r="AN198" s="92">
        <f t="shared" si="14"/>
        <v>58925</v>
      </c>
      <c r="AO198" s="115">
        <v>0.40989805656205303</v>
      </c>
      <c r="AQ198" s="92">
        <f t="shared" si="15"/>
        <v>58925</v>
      </c>
      <c r="AR198" s="115">
        <v>0.59677059053285897</v>
      </c>
      <c r="AS198" s="193"/>
      <c r="AT198" s="92">
        <f t="shared" si="13"/>
        <v>58925</v>
      </c>
      <c r="AU198" s="115">
        <v>0.35357548530002503</v>
      </c>
      <c r="AV198" s="193"/>
      <c r="AW198" s="172"/>
    </row>
    <row r="199" spans="12:49">
      <c r="L199" s="58">
        <v>59870</v>
      </c>
      <c r="M199" s="130">
        <v>0.91379975053617246</v>
      </c>
      <c r="N199" s="130">
        <v>0.43889264077070311</v>
      </c>
      <c r="O199" s="115">
        <f t="shared" si="16"/>
        <v>232815678.85376945</v>
      </c>
      <c r="AK199" s="92">
        <v>59016</v>
      </c>
      <c r="AL199" s="115">
        <v>0.80143014015565095</v>
      </c>
      <c r="AN199" s="92">
        <f t="shared" si="14"/>
        <v>59016</v>
      </c>
      <c r="AO199" s="115">
        <v>0.40793064796155099</v>
      </c>
      <c r="AQ199" s="92">
        <f t="shared" si="15"/>
        <v>59016</v>
      </c>
      <c r="AR199" s="115">
        <v>0.59565535685976501</v>
      </c>
      <c r="AS199" s="193"/>
      <c r="AT199" s="92">
        <f t="shared" si="13"/>
        <v>59016</v>
      </c>
      <c r="AU199" s="115">
        <v>0.35168863078958901</v>
      </c>
      <c r="AV199" s="193"/>
      <c r="AW199" s="172"/>
    </row>
    <row r="200" spans="12:49">
      <c r="L200" s="58">
        <v>59961</v>
      </c>
      <c r="M200" s="130">
        <v>0.91877601920820462</v>
      </c>
      <c r="N200" s="130">
        <v>0.43700889490179018</v>
      </c>
      <c r="O200" s="115">
        <f t="shared" si="16"/>
        <v>235092547.69505286</v>
      </c>
      <c r="AK200" s="92">
        <v>59110</v>
      </c>
      <c r="AL200" s="115">
        <v>0.80154468743526697</v>
      </c>
      <c r="AN200" s="92">
        <f t="shared" si="14"/>
        <v>59110</v>
      </c>
      <c r="AO200" s="115">
        <v>0.40591048117408401</v>
      </c>
      <c r="AQ200" s="92">
        <f t="shared" si="15"/>
        <v>59110</v>
      </c>
      <c r="AR200" s="115">
        <v>0.59451837948038</v>
      </c>
      <c r="AS200" s="193"/>
      <c r="AT200" s="92">
        <f t="shared" si="13"/>
        <v>59110</v>
      </c>
      <c r="AU200" s="115">
        <v>0.34975313541215702</v>
      </c>
      <c r="AV200" s="193"/>
      <c r="AW200" s="172"/>
    </row>
    <row r="201" spans="12:49">
      <c r="L201" s="58">
        <v>60052</v>
      </c>
      <c r="M201" s="130">
        <v>0.92377938708865903</v>
      </c>
      <c r="N201" s="130">
        <v>0.43513323415021343</v>
      </c>
      <c r="O201" s="115">
        <f t="shared" si="16"/>
        <v>237391683.64371461</v>
      </c>
      <c r="AK201" s="92">
        <v>59201</v>
      </c>
      <c r="AL201" s="115">
        <v>0.80167891737778996</v>
      </c>
      <c r="AN201" s="92">
        <f t="shared" si="14"/>
        <v>59201</v>
      </c>
      <c r="AO201" s="115">
        <v>0.40396642565688401</v>
      </c>
      <c r="AQ201" s="92">
        <f t="shared" si="15"/>
        <v>59201</v>
      </c>
      <c r="AR201" s="115">
        <v>0.59343215778189395</v>
      </c>
      <c r="AS201" s="193"/>
      <c r="AT201" s="92">
        <f t="shared" si="13"/>
        <v>59201</v>
      </c>
      <c r="AU201" s="115">
        <v>0.34789243941486098</v>
      </c>
      <c r="AV201" s="193"/>
      <c r="AW201" s="172"/>
    </row>
    <row r="202" spans="12:49">
      <c r="L202" s="58">
        <v>60143</v>
      </c>
      <c r="M202" s="130">
        <v>0.9288100017513804</v>
      </c>
      <c r="N202" s="130">
        <v>0.43326562381430572</v>
      </c>
      <c r="O202" s="115">
        <f t="shared" si="16"/>
        <v>239713304.46551368</v>
      </c>
      <c r="AK202" s="92">
        <v>59289</v>
      </c>
      <c r="AL202" s="115">
        <v>0.80183057015190295</v>
      </c>
      <c r="AN202" s="92">
        <f t="shared" si="14"/>
        <v>59289</v>
      </c>
      <c r="AO202" s="115">
        <v>0.40209727799204598</v>
      </c>
      <c r="AQ202" s="92">
        <f t="shared" si="15"/>
        <v>59289</v>
      </c>
      <c r="AR202" s="115">
        <v>0.59239521676181195</v>
      </c>
      <c r="AS202" s="193"/>
      <c r="AT202" s="92">
        <f t="shared" si="13"/>
        <v>59289</v>
      </c>
      <c r="AU202" s="115">
        <v>0.346105181572743</v>
      </c>
      <c r="AV202" s="193"/>
      <c r="AW202" s="172"/>
    </row>
    <row r="203" spans="12:49">
      <c r="L203" s="58">
        <v>60234</v>
      </c>
      <c r="M203" s="130">
        <v>0.93386801157385357</v>
      </c>
      <c r="N203" s="130">
        <v>0.43140602934134076</v>
      </c>
      <c r="O203" s="115">
        <f t="shared" si="16"/>
        <v>242057630.05589375</v>
      </c>
      <c r="AK203" s="92">
        <v>59383</v>
      </c>
      <c r="AL203" s="115">
        <v>0.80201630558432901</v>
      </c>
      <c r="AN203" s="92">
        <f t="shared" si="14"/>
        <v>59383</v>
      </c>
      <c r="AO203" s="115">
        <v>0.40011236117031901</v>
      </c>
      <c r="AQ203" s="92">
        <f t="shared" si="15"/>
        <v>59383</v>
      </c>
      <c r="AR203" s="115">
        <v>0.59130213411312305</v>
      </c>
      <c r="AS203" s="193"/>
      <c r="AT203" s="92">
        <f t="shared" si="13"/>
        <v>59383</v>
      </c>
      <c r="AU203" s="115">
        <v>0.34420910228952001</v>
      </c>
      <c r="AV203" s="193"/>
      <c r="AW203" s="172"/>
    </row>
    <row r="204" spans="12:49">
      <c r="L204" s="58">
        <v>60325</v>
      </c>
      <c r="M204" s="130">
        <v>0.93895356574158118</v>
      </c>
      <c r="N204" s="130">
        <v>0.42955441632689412</v>
      </c>
      <c r="O204" s="115">
        <f t="shared" si="16"/>
        <v>244424882.46081159</v>
      </c>
      <c r="AK204" s="92">
        <v>59474</v>
      </c>
      <c r="AL204" s="115">
        <v>0.80221949283319804</v>
      </c>
      <c r="AN204" s="92">
        <f t="shared" si="14"/>
        <v>59474</v>
      </c>
      <c r="AO204" s="115">
        <v>0.39820220433018799</v>
      </c>
      <c r="AQ204" s="92">
        <f t="shared" si="15"/>
        <v>59474</v>
      </c>
      <c r="AR204" s="115">
        <v>0.59025819387856104</v>
      </c>
      <c r="AS204" s="193"/>
      <c r="AT204" s="92">
        <f t="shared" si="13"/>
        <v>59474</v>
      </c>
      <c r="AU204" s="115">
        <v>0.34238626683065698</v>
      </c>
      <c r="AV204" s="193"/>
      <c r="AW204" s="172"/>
    </row>
    <row r="205" spans="12:49">
      <c r="L205" s="58">
        <v>60416</v>
      </c>
      <c r="M205" s="130">
        <v>0.94406681425248429</v>
      </c>
      <c r="N205" s="130">
        <v>0.42771075051420659</v>
      </c>
      <c r="O205" s="115">
        <f t="shared" si="16"/>
        <v>246815285.89776796</v>
      </c>
      <c r="AK205" s="92">
        <v>59565</v>
      </c>
      <c r="AL205" s="115">
        <v>0.80244569813233901</v>
      </c>
      <c r="AN205" s="92">
        <f t="shared" si="14"/>
        <v>59565</v>
      </c>
      <c r="AO205" s="115">
        <v>0.39630320005479203</v>
      </c>
      <c r="AQ205" s="92">
        <f t="shared" si="15"/>
        <v>59565</v>
      </c>
      <c r="AR205" s="115">
        <v>0.58922821084955801</v>
      </c>
      <c r="AS205" s="193"/>
      <c r="AT205" s="92">
        <f t="shared" si="13"/>
        <v>59565</v>
      </c>
      <c r="AU205" s="115">
        <v>0.34057585858873701</v>
      </c>
      <c r="AV205" s="193"/>
      <c r="AW205" s="172"/>
    </row>
    <row r="206" spans="12:49">
      <c r="L206" s="58">
        <v>60510</v>
      </c>
      <c r="M206" s="130">
        <v>0.94937787039066079</v>
      </c>
      <c r="N206" s="130">
        <v>0.42581461281645672</v>
      </c>
      <c r="O206" s="115">
        <f t="shared" si="16"/>
        <v>249309042.64866719</v>
      </c>
      <c r="AK206" s="92">
        <v>59656</v>
      </c>
      <c r="AL206" s="115">
        <v>0.80269494092278604</v>
      </c>
      <c r="AN206" s="92">
        <f t="shared" si="14"/>
        <v>59656</v>
      </c>
      <c r="AO206" s="115">
        <v>0.39441527571747498</v>
      </c>
      <c r="AQ206" s="92">
        <f t="shared" si="15"/>
        <v>59656</v>
      </c>
      <c r="AR206" s="115">
        <v>0.58821211835577003</v>
      </c>
      <c r="AS206" s="193"/>
      <c r="AT206" s="92">
        <f t="shared" si="13"/>
        <v>59656</v>
      </c>
      <c r="AU206" s="115">
        <v>0.33877778243956702</v>
      </c>
      <c r="AV206" s="193"/>
      <c r="AW206" s="172"/>
    </row>
    <row r="207" spans="12:49">
      <c r="L207" s="58">
        <v>60601</v>
      </c>
      <c r="M207" s="130">
        <v>0.95454788641613419</v>
      </c>
      <c r="N207" s="130">
        <v>0.42398699839939286</v>
      </c>
      <c r="O207" s="115">
        <f t="shared" si="16"/>
        <v>251747211.73526675</v>
      </c>
      <c r="AK207" s="92">
        <v>59747</v>
      </c>
      <c r="AL207" s="115">
        <v>0.80296724262969199</v>
      </c>
      <c r="AN207" s="92">
        <f t="shared" si="14"/>
        <v>59747</v>
      </c>
      <c r="AO207" s="115">
        <v>0.392538359207868</v>
      </c>
      <c r="AQ207" s="92">
        <f t="shared" si="15"/>
        <v>59747</v>
      </c>
      <c r="AR207" s="115">
        <v>0.58720985069852105</v>
      </c>
      <c r="AS207" s="193"/>
      <c r="AT207" s="92">
        <f t="shared" si="13"/>
        <v>59747</v>
      </c>
      <c r="AU207" s="115">
        <v>0.33699194406209199</v>
      </c>
      <c r="AV207" s="193"/>
      <c r="AW207" s="172"/>
    </row>
    <row r="208" spans="12:49">
      <c r="L208" s="58">
        <v>60689</v>
      </c>
      <c r="M208" s="130">
        <v>0.95957423810279296</v>
      </c>
      <c r="N208" s="130">
        <v>0.42222709592079483</v>
      </c>
      <c r="O208" s="115">
        <f t="shared" si="16"/>
        <v>254127677.59647179</v>
      </c>
      <c r="AK208" s="92">
        <v>59838</v>
      </c>
      <c r="AL208" s="115">
        <v>0.80326262666548598</v>
      </c>
      <c r="AN208" s="92">
        <f t="shared" si="14"/>
        <v>59838</v>
      </c>
      <c r="AO208" s="115">
        <v>0.390672378927995</v>
      </c>
      <c r="AQ208" s="92">
        <f t="shared" si="15"/>
        <v>59838</v>
      </c>
      <c r="AR208" s="115">
        <v>0.58622134314373897</v>
      </c>
      <c r="AS208" s="193"/>
      <c r="AT208" s="92">
        <f t="shared" si="13"/>
        <v>59838</v>
      </c>
      <c r="AU208" s="115">
        <v>0.33521824993108701</v>
      </c>
      <c r="AV208" s="193"/>
      <c r="AW208" s="172"/>
    </row>
    <row r="209" spans="12:49">
      <c r="L209" s="58">
        <v>60783</v>
      </c>
      <c r="M209" s="130">
        <v>0.96497253467499822</v>
      </c>
      <c r="N209" s="130">
        <v>0.42035526849390792</v>
      </c>
      <c r="O209" s="115">
        <f t="shared" si="16"/>
        <v>256695316.83036849</v>
      </c>
      <c r="AK209" s="92">
        <v>59930</v>
      </c>
      <c r="AL209" s="115">
        <v>0.803584746803651</v>
      </c>
      <c r="AN209" s="92">
        <f t="shared" si="14"/>
        <v>59930</v>
      </c>
      <c r="AO209" s="115">
        <v>0.38879693799899501</v>
      </c>
      <c r="AQ209" s="92">
        <f t="shared" si="15"/>
        <v>59930</v>
      </c>
      <c r="AR209" s="115">
        <v>0.58523589555037403</v>
      </c>
      <c r="AS209" s="193"/>
      <c r="AT209" s="92">
        <f t="shared" si="13"/>
        <v>59930</v>
      </c>
      <c r="AU209" s="115">
        <v>0.33343731520143299</v>
      </c>
      <c r="AV209" s="193"/>
      <c r="AW209" s="172"/>
    </row>
    <row r="210" spans="12:49">
      <c r="L210" s="58">
        <v>60874</v>
      </c>
      <c r="M210" s="130">
        <v>0.97022747438236523</v>
      </c>
      <c r="N210" s="130">
        <v>0.41855108581472078</v>
      </c>
      <c r="O210" s="115">
        <f t="shared" si="16"/>
        <v>259205721.5053111</v>
      </c>
      <c r="AK210" s="92">
        <v>60021</v>
      </c>
      <c r="AL210" s="115">
        <v>0.80392662809223203</v>
      </c>
      <c r="AN210" s="92">
        <f t="shared" si="14"/>
        <v>60021</v>
      </c>
      <c r="AO210" s="115">
        <v>0.38695273564590599</v>
      </c>
      <c r="AQ210" s="92">
        <f t="shared" si="15"/>
        <v>60021</v>
      </c>
      <c r="AR210" s="115">
        <v>0.58427486729517797</v>
      </c>
      <c r="AS210" s="193"/>
      <c r="AT210" s="92">
        <f t="shared" ref="AT210:AT218" si="17">AQ210</f>
        <v>60021</v>
      </c>
      <c r="AU210" s="115">
        <v>0.33168776305068898</v>
      </c>
      <c r="AV210" s="193"/>
      <c r="AW210" s="172"/>
    </row>
    <row r="211" spans="12:49">
      <c r="L211" s="58">
        <v>60966</v>
      </c>
      <c r="M211" s="130">
        <v>0.97556925145621887</v>
      </c>
      <c r="N211" s="130">
        <v>0.41673494856688692</v>
      </c>
      <c r="O211" s="115">
        <f t="shared" si="16"/>
        <v>261768671.12532443</v>
      </c>
      <c r="AK211" s="92">
        <v>60112</v>
      </c>
      <c r="AL211" s="115">
        <v>0.80429167423943004</v>
      </c>
      <c r="AN211" s="92">
        <f t="shared" ref="AN211:AN218" si="18">AK211</f>
        <v>60112</v>
      </c>
      <c r="AO211" s="115">
        <v>0.38511925699657701</v>
      </c>
      <c r="AQ211" s="92">
        <f t="shared" ref="AQ211:AQ218" si="19">AN211</f>
        <v>60112</v>
      </c>
      <c r="AR211" s="115">
        <v>0.58332740998391397</v>
      </c>
      <c r="AS211" s="193"/>
      <c r="AT211" s="92">
        <f t="shared" si="17"/>
        <v>60112</v>
      </c>
      <c r="AU211" s="115">
        <v>0.32995007827603401</v>
      </c>
      <c r="AV211" s="193"/>
      <c r="AW211" s="172"/>
    </row>
    <row r="212" spans="12:49">
      <c r="L212" s="58">
        <v>61056</v>
      </c>
      <c r="M212" s="130">
        <v>0.9808233599271925</v>
      </c>
      <c r="N212" s="130">
        <v>0.41496591810659539</v>
      </c>
      <c r="O212" s="115">
        <f t="shared" si="16"/>
        <v>264300424.01430538</v>
      </c>
      <c r="AK212" s="92">
        <v>60204</v>
      </c>
      <c r="AL212" s="115">
        <v>0.80468431204059299</v>
      </c>
      <c r="AN212" s="92">
        <f t="shared" si="18"/>
        <v>60204</v>
      </c>
      <c r="AO212" s="115">
        <v>0.38327646035517499</v>
      </c>
      <c r="AQ212" s="92">
        <f t="shared" si="19"/>
        <v>60204</v>
      </c>
      <c r="AR212" s="115">
        <v>0.58238327434772996</v>
      </c>
      <c r="AS212" s="193"/>
      <c r="AT212" s="92">
        <f t="shared" si="17"/>
        <v>60204</v>
      </c>
      <c r="AU212" s="115">
        <v>0.32820526953770501</v>
      </c>
      <c r="AV212" s="193"/>
      <c r="AW212" s="172"/>
    </row>
    <row r="213" spans="12:49">
      <c r="L213" s="58">
        <v>61147</v>
      </c>
      <c r="M213" s="130">
        <v>0.98616461828925595</v>
      </c>
      <c r="N213" s="130">
        <v>0.41318486674834004</v>
      </c>
      <c r="O213" s="115">
        <f t="shared" si="16"/>
        <v>266885204.39996883</v>
      </c>
      <c r="AK213" s="92">
        <v>60296</v>
      </c>
      <c r="AL213" s="115">
        <v>0.80510069328567901</v>
      </c>
      <c r="AN213" s="92">
        <f t="shared" si="18"/>
        <v>60296</v>
      </c>
      <c r="AO213" s="115">
        <v>0.38144448189115199</v>
      </c>
      <c r="AQ213" s="92">
        <f t="shared" si="19"/>
        <v>60296</v>
      </c>
      <c r="AR213" s="115">
        <v>0.58145288528015004</v>
      </c>
      <c r="AS213" s="193"/>
      <c r="AT213" s="92">
        <f t="shared" si="17"/>
        <v>60296</v>
      </c>
      <c r="AU213" s="115">
        <v>0.326472405399924</v>
      </c>
      <c r="AV213" s="193"/>
      <c r="AW213" s="172"/>
    </row>
    <row r="214" spans="12:49">
      <c r="L214" s="58">
        <v>61239</v>
      </c>
      <c r="M214" s="130">
        <v>0.99159414042516214</v>
      </c>
      <c r="N214" s="130">
        <v>0.41139201409026532</v>
      </c>
      <c r="O214" s="115">
        <f t="shared" ref="O214:O277" si="20">IF($D$9,M214/N214*$C$9,$C$9)</f>
        <v>269524086.47877389</v>
      </c>
      <c r="AK214" s="92">
        <v>60386</v>
      </c>
      <c r="AL214" s="115">
        <v>0.80553103277555105</v>
      </c>
      <c r="AN214" s="92">
        <f t="shared" si="18"/>
        <v>60386</v>
      </c>
      <c r="AO214" s="115">
        <v>0.37966272892427899</v>
      </c>
      <c r="AQ214" s="92">
        <f t="shared" si="19"/>
        <v>60386</v>
      </c>
      <c r="AR214" s="115">
        <v>0.58055596498750595</v>
      </c>
      <c r="AS214" s="193"/>
      <c r="AT214" s="92">
        <f t="shared" si="17"/>
        <v>60386</v>
      </c>
      <c r="AU214" s="115">
        <v>0.32478868191829802</v>
      </c>
      <c r="AV214" s="193"/>
      <c r="AW214" s="172"/>
    </row>
    <row r="215" spans="12:49">
      <c r="L215" s="58">
        <v>61331</v>
      </c>
      <c r="M215" s="130">
        <v>0.99705355585685018</v>
      </c>
      <c r="N215" s="130">
        <v>0.40960694080871746</v>
      </c>
      <c r="O215" s="115">
        <f t="shared" si="20"/>
        <v>272189061.04420245</v>
      </c>
      <c r="AK215" s="92">
        <v>60477</v>
      </c>
      <c r="AL215" s="115">
        <v>0.80598932893674802</v>
      </c>
      <c r="AN215" s="92">
        <f t="shared" si="18"/>
        <v>60477</v>
      </c>
      <c r="AO215" s="115">
        <v>0.37787156862493798</v>
      </c>
      <c r="AQ215" s="92">
        <f t="shared" si="19"/>
        <v>60477</v>
      </c>
      <c r="AR215" s="115">
        <v>0.57966233758263397</v>
      </c>
      <c r="AS215" s="193"/>
      <c r="AT215" s="92">
        <f t="shared" si="17"/>
        <v>60477</v>
      </c>
      <c r="AU215" s="115">
        <v>0.32309769616470901</v>
      </c>
      <c r="AV215" s="193"/>
      <c r="AW215" s="172"/>
    </row>
    <row r="216" spans="12:49">
      <c r="L216" s="58">
        <v>61422</v>
      </c>
      <c r="M216" s="130">
        <v>1.0024831988080956</v>
      </c>
      <c r="N216" s="130">
        <v>0.4078488904088029</v>
      </c>
      <c r="O216" s="115">
        <f t="shared" si="20"/>
        <v>274850989.97906154</v>
      </c>
      <c r="AK216" s="92">
        <v>60569</v>
      </c>
      <c r="AL216" s="115">
        <v>0.80647639016980599</v>
      </c>
      <c r="AN216" s="92">
        <f t="shared" si="18"/>
        <v>60569</v>
      </c>
      <c r="AO216" s="115">
        <v>0.37607127666796503</v>
      </c>
      <c r="AQ216" s="92">
        <f t="shared" si="19"/>
        <v>60569</v>
      </c>
      <c r="AR216" s="115">
        <v>0.57877238439866696</v>
      </c>
      <c r="AS216" s="193"/>
      <c r="AT216" s="92">
        <f t="shared" si="17"/>
        <v>60569</v>
      </c>
      <c r="AU216" s="115">
        <v>0.321399738718054</v>
      </c>
      <c r="AV216" s="193"/>
      <c r="AW216" s="172"/>
    </row>
    <row r="217" spans="12:49">
      <c r="L217" s="58">
        <v>61513</v>
      </c>
      <c r="M217" s="130">
        <v>1.0079424099028023</v>
      </c>
      <c r="N217" s="130">
        <v>0.40609838563592904</v>
      </c>
      <c r="O217" s="115">
        <f t="shared" si="20"/>
        <v>277538951.7957238</v>
      </c>
      <c r="AK217" s="92">
        <v>60661</v>
      </c>
      <c r="AL217" s="115">
        <v>0.80698735269254895</v>
      </c>
      <c r="AN217" s="92">
        <f t="shared" si="18"/>
        <v>60661</v>
      </c>
      <c r="AO217" s="115">
        <v>0.37428152466087899</v>
      </c>
      <c r="AQ217" s="92">
        <f t="shared" si="19"/>
        <v>60661</v>
      </c>
      <c r="AR217" s="115">
        <v>0.57789594126407795</v>
      </c>
      <c r="AS217" s="193"/>
      <c r="AT217" s="92">
        <f t="shared" si="17"/>
        <v>60661</v>
      </c>
      <c r="AU217" s="115">
        <v>0.31971336606318901</v>
      </c>
      <c r="AV217" s="193"/>
      <c r="AW217" s="172"/>
    </row>
    <row r="218" spans="12:49">
      <c r="L218" s="58">
        <v>61605</v>
      </c>
      <c r="M218" s="130">
        <v>1.0134918339287617</v>
      </c>
      <c r="N218" s="130">
        <v>0.40433628196582871</v>
      </c>
      <c r="O218" s="115">
        <f t="shared" si="20"/>
        <v>280283174.98228312</v>
      </c>
      <c r="AK218" s="92">
        <v>60751</v>
      </c>
      <c r="AL218" s="115">
        <v>0.80751037814476401</v>
      </c>
      <c r="AN218" s="92">
        <f t="shared" si="18"/>
        <v>60751</v>
      </c>
      <c r="AO218" s="115">
        <v>0.37254081287535401</v>
      </c>
      <c r="AQ218" s="92">
        <f t="shared" si="19"/>
        <v>60751</v>
      </c>
      <c r="AR218" s="115">
        <v>0.57705156892235299</v>
      </c>
      <c r="AS218" s="193"/>
      <c r="AT218" s="92">
        <f t="shared" si="17"/>
        <v>60751</v>
      </c>
      <c r="AU218" s="115">
        <v>0.318074778151062</v>
      </c>
      <c r="AV218" s="193"/>
      <c r="AW218" s="172"/>
    </row>
    <row r="219" spans="12:49">
      <c r="L219" s="58">
        <v>61697</v>
      </c>
      <c r="M219" s="130">
        <v>1.0190718113938042</v>
      </c>
      <c r="N219" s="130">
        <v>0.40258182424915734</v>
      </c>
      <c r="O219" s="115">
        <f t="shared" si="20"/>
        <v>283054532.2372281</v>
      </c>
    </row>
    <row r="220" spans="12:49">
      <c r="L220" s="58">
        <v>61787</v>
      </c>
      <c r="M220" s="130">
        <v>1.0245602109397947</v>
      </c>
      <c r="N220" s="130">
        <v>0.40087287348247558</v>
      </c>
      <c r="O220" s="115">
        <f t="shared" si="20"/>
        <v>285792155.98207891</v>
      </c>
    </row>
    <row r="221" spans="12:49">
      <c r="L221" s="58">
        <v>61878</v>
      </c>
      <c r="M221" s="130">
        <v>1.0301396465626638</v>
      </c>
      <c r="N221" s="130">
        <v>0.39915231007075869</v>
      </c>
      <c r="O221" s="115">
        <f t="shared" si="20"/>
        <v>288587119.18319356</v>
      </c>
    </row>
    <row r="222" spans="12:49">
      <c r="L222" s="58">
        <v>61970</v>
      </c>
      <c r="M222" s="130">
        <v>1.0358112818153957</v>
      </c>
      <c r="N222" s="130">
        <v>0.39741839139625318</v>
      </c>
      <c r="O222" s="115">
        <f t="shared" si="20"/>
        <v>291442016.87715232</v>
      </c>
    </row>
    <row r="223" spans="12:49">
      <c r="L223" s="58" t="e">
        <v>#N/A</v>
      </c>
      <c r="M223" s="130" t="e">
        <v>#N/A</v>
      </c>
      <c r="N223" s="130" t="e">
        <v>#N/A</v>
      </c>
      <c r="O223" s="115" t="e">
        <f t="shared" si="20"/>
        <v>#N/A</v>
      </c>
    </row>
    <row r="224" spans="12:49">
      <c r="L224" s="58" t="e">
        <v>#N/A</v>
      </c>
      <c r="M224" s="130" t="e">
        <v>#N/A</v>
      </c>
      <c r="N224" s="130" t="e">
        <v>#N/A</v>
      </c>
      <c r="O224" s="115" t="e">
        <f t="shared" si="20"/>
        <v>#N/A</v>
      </c>
    </row>
    <row r="225" spans="12:15">
      <c r="L225" s="58" t="e">
        <v>#N/A</v>
      </c>
      <c r="M225" s="130" t="e">
        <v>#N/A</v>
      </c>
      <c r="N225" s="130" t="e">
        <v>#N/A</v>
      </c>
      <c r="O225" s="115" t="e">
        <f t="shared" si="20"/>
        <v>#N/A</v>
      </c>
    </row>
    <row r="226" spans="12:15">
      <c r="L226" s="58" t="e">
        <v>#N/A</v>
      </c>
      <c r="M226" s="130" t="e">
        <v>#N/A</v>
      </c>
      <c r="N226" s="130" t="e">
        <v>#N/A</v>
      </c>
      <c r="O226" s="115" t="e">
        <f t="shared" si="20"/>
        <v>#N/A</v>
      </c>
    </row>
    <row r="227" spans="12:15">
      <c r="L227" s="58" t="e">
        <v>#N/A</v>
      </c>
      <c r="M227" s="130" t="e">
        <v>#N/A</v>
      </c>
      <c r="N227" s="130" t="e">
        <v>#N/A</v>
      </c>
      <c r="O227" s="115" t="e">
        <f t="shared" si="20"/>
        <v>#N/A</v>
      </c>
    </row>
    <row r="228" spans="12:15">
      <c r="L228" s="58" t="e">
        <v>#N/A</v>
      </c>
      <c r="M228" s="130" t="e">
        <v>#N/A</v>
      </c>
      <c r="N228" s="130" t="e">
        <v>#N/A</v>
      </c>
      <c r="O228" s="115" t="e">
        <f t="shared" si="20"/>
        <v>#N/A</v>
      </c>
    </row>
    <row r="229" spans="12:15">
      <c r="L229" s="58" t="e">
        <v>#N/A</v>
      </c>
      <c r="M229" s="130" t="e">
        <v>#N/A</v>
      </c>
      <c r="N229" s="130" t="e">
        <v>#N/A</v>
      </c>
      <c r="O229" s="115" t="e">
        <f t="shared" si="20"/>
        <v>#N/A</v>
      </c>
    </row>
    <row r="230" spans="12:15">
      <c r="L230" s="58" t="e">
        <v>#N/A</v>
      </c>
      <c r="M230" s="130" t="e">
        <v>#N/A</v>
      </c>
      <c r="N230" s="130" t="e">
        <v>#N/A</v>
      </c>
      <c r="O230" s="115" t="e">
        <f t="shared" si="20"/>
        <v>#N/A</v>
      </c>
    </row>
    <row r="231" spans="12:15">
      <c r="L231" s="58" t="e">
        <v>#N/A</v>
      </c>
      <c r="M231" s="130" t="e">
        <v>#N/A</v>
      </c>
      <c r="N231" s="130" t="e">
        <v>#N/A</v>
      </c>
      <c r="O231" s="115" t="e">
        <f t="shared" si="20"/>
        <v>#N/A</v>
      </c>
    </row>
    <row r="232" spans="12:15">
      <c r="L232" s="58" t="e">
        <v>#N/A</v>
      </c>
      <c r="M232" s="130" t="e">
        <v>#N/A</v>
      </c>
      <c r="N232" s="130" t="e">
        <v>#N/A</v>
      </c>
      <c r="O232" s="115" t="e">
        <f t="shared" si="20"/>
        <v>#N/A</v>
      </c>
    </row>
    <row r="233" spans="12:15">
      <c r="L233" s="58" t="e">
        <v>#N/A</v>
      </c>
      <c r="M233" s="130" t="e">
        <v>#N/A</v>
      </c>
      <c r="N233" s="130" t="e">
        <v>#N/A</v>
      </c>
      <c r="O233" s="115" t="e">
        <f t="shared" si="20"/>
        <v>#N/A</v>
      </c>
    </row>
    <row r="234" spans="12:15">
      <c r="L234" s="58" t="e">
        <v>#N/A</v>
      </c>
      <c r="M234" s="130" t="e">
        <v>#N/A</v>
      </c>
      <c r="N234" s="130" t="e">
        <v>#N/A</v>
      </c>
      <c r="O234" s="115" t="e">
        <f t="shared" si="20"/>
        <v>#N/A</v>
      </c>
    </row>
    <row r="235" spans="12:15">
      <c r="L235" s="58" t="e">
        <v>#N/A</v>
      </c>
      <c r="M235" s="130" t="e">
        <v>#N/A</v>
      </c>
      <c r="N235" s="130" t="e">
        <v>#N/A</v>
      </c>
      <c r="O235" s="115" t="e">
        <f t="shared" si="20"/>
        <v>#N/A</v>
      </c>
    </row>
    <row r="236" spans="12:15">
      <c r="L236" s="58" t="e">
        <v>#N/A</v>
      </c>
      <c r="M236" s="130" t="e">
        <v>#N/A</v>
      </c>
      <c r="N236" s="130" t="e">
        <v>#N/A</v>
      </c>
      <c r="O236" s="115" t="e">
        <f t="shared" si="20"/>
        <v>#N/A</v>
      </c>
    </row>
    <row r="237" spans="12:15">
      <c r="L237" s="58" t="e">
        <v>#N/A</v>
      </c>
      <c r="M237" s="130" t="e">
        <v>#N/A</v>
      </c>
      <c r="N237" s="130" t="e">
        <v>#N/A</v>
      </c>
      <c r="O237" s="115" t="e">
        <f t="shared" si="20"/>
        <v>#N/A</v>
      </c>
    </row>
    <row r="238" spans="12:15">
      <c r="L238" s="58" t="e">
        <v>#N/A</v>
      </c>
      <c r="M238" s="130" t="e">
        <v>#N/A</v>
      </c>
      <c r="N238" s="130" t="e">
        <v>#N/A</v>
      </c>
      <c r="O238" s="115" t="e">
        <f t="shared" si="20"/>
        <v>#N/A</v>
      </c>
    </row>
    <row r="239" spans="12:15">
      <c r="L239" s="58" t="e">
        <v>#N/A</v>
      </c>
      <c r="M239" s="130" t="e">
        <v>#N/A</v>
      </c>
      <c r="N239" s="130" t="e">
        <v>#N/A</v>
      </c>
      <c r="O239" s="115" t="e">
        <f t="shared" si="20"/>
        <v>#N/A</v>
      </c>
    </row>
    <row r="240" spans="12:15">
      <c r="L240" s="58" t="e">
        <v>#N/A</v>
      </c>
      <c r="M240" s="130" t="e">
        <v>#N/A</v>
      </c>
      <c r="N240" s="130" t="e">
        <v>#N/A</v>
      </c>
      <c r="O240" s="115" t="e">
        <f t="shared" si="20"/>
        <v>#N/A</v>
      </c>
    </row>
    <row r="241" spans="12:15">
      <c r="L241" s="58" t="e">
        <v>#N/A</v>
      </c>
      <c r="M241" s="130" t="e">
        <v>#N/A</v>
      </c>
      <c r="N241" s="130" t="e">
        <v>#N/A</v>
      </c>
      <c r="O241" s="115" t="e">
        <f t="shared" si="20"/>
        <v>#N/A</v>
      </c>
    </row>
    <row r="242" spans="12:15">
      <c r="L242" s="58" t="e">
        <v>#N/A</v>
      </c>
      <c r="M242" s="130" t="e">
        <v>#N/A</v>
      </c>
      <c r="N242" s="130" t="e">
        <v>#N/A</v>
      </c>
      <c r="O242" s="115" t="e">
        <f t="shared" si="20"/>
        <v>#N/A</v>
      </c>
    </row>
    <row r="243" spans="12:15">
      <c r="L243" s="58" t="e">
        <v>#N/A</v>
      </c>
      <c r="M243" s="130" t="e">
        <v>#N/A</v>
      </c>
      <c r="N243" s="130" t="e">
        <v>#N/A</v>
      </c>
      <c r="O243" s="115" t="e">
        <f t="shared" si="20"/>
        <v>#N/A</v>
      </c>
    </row>
    <row r="244" spans="12:15">
      <c r="L244" s="58" t="e">
        <v>#N/A</v>
      </c>
      <c r="M244" s="130" t="e">
        <v>#N/A</v>
      </c>
      <c r="N244" s="130" t="e">
        <v>#N/A</v>
      </c>
      <c r="O244" s="115" t="e">
        <f t="shared" si="20"/>
        <v>#N/A</v>
      </c>
    </row>
    <row r="245" spans="12:15">
      <c r="L245" s="58" t="e">
        <v>#N/A</v>
      </c>
      <c r="M245" s="130" t="e">
        <v>#N/A</v>
      </c>
      <c r="N245" s="130" t="e">
        <v>#N/A</v>
      </c>
      <c r="O245" s="115" t="e">
        <f t="shared" si="20"/>
        <v>#N/A</v>
      </c>
    </row>
    <row r="246" spans="12:15">
      <c r="L246" s="58" t="e">
        <v>#N/A</v>
      </c>
      <c r="M246" s="130" t="e">
        <v>#N/A</v>
      </c>
      <c r="N246" s="130" t="e">
        <v>#N/A</v>
      </c>
      <c r="O246" s="115" t="e">
        <f t="shared" si="20"/>
        <v>#N/A</v>
      </c>
    </row>
    <row r="247" spans="12:15">
      <c r="L247" s="58" t="e">
        <v>#N/A</v>
      </c>
      <c r="M247" s="130" t="e">
        <v>#N/A</v>
      </c>
      <c r="N247" s="130" t="e">
        <v>#N/A</v>
      </c>
      <c r="O247" s="115" t="e">
        <f t="shared" si="20"/>
        <v>#N/A</v>
      </c>
    </row>
    <row r="248" spans="12:15">
      <c r="L248" s="58" t="e">
        <v>#N/A</v>
      </c>
      <c r="M248" s="130" t="e">
        <v>#N/A</v>
      </c>
      <c r="N248" s="130" t="e">
        <v>#N/A</v>
      </c>
      <c r="O248" s="115" t="e">
        <f t="shared" si="20"/>
        <v>#N/A</v>
      </c>
    </row>
    <row r="249" spans="12:15">
      <c r="L249" s="58" t="e">
        <v>#N/A</v>
      </c>
      <c r="M249" s="130" t="e">
        <v>#N/A</v>
      </c>
      <c r="N249" s="130" t="e">
        <v>#N/A</v>
      </c>
      <c r="O249" s="115" t="e">
        <f t="shared" si="20"/>
        <v>#N/A</v>
      </c>
    </row>
    <row r="250" spans="12:15">
      <c r="L250" s="58" t="e">
        <v>#N/A</v>
      </c>
      <c r="M250" s="130" t="e">
        <v>#N/A</v>
      </c>
      <c r="N250" s="130" t="e">
        <v>#N/A</v>
      </c>
      <c r="O250" s="115" t="e">
        <f t="shared" si="20"/>
        <v>#N/A</v>
      </c>
    </row>
    <row r="251" spans="12:15">
      <c r="L251" s="58" t="e">
        <v>#N/A</v>
      </c>
      <c r="M251" s="130" t="e">
        <v>#N/A</v>
      </c>
      <c r="N251" s="130" t="e">
        <v>#N/A</v>
      </c>
      <c r="O251" s="115" t="e">
        <f t="shared" si="20"/>
        <v>#N/A</v>
      </c>
    </row>
    <row r="252" spans="12:15">
      <c r="L252" s="58" t="e">
        <v>#N/A</v>
      </c>
      <c r="M252" s="130" t="e">
        <v>#N/A</v>
      </c>
      <c r="N252" s="130" t="e">
        <v>#N/A</v>
      </c>
      <c r="O252" s="115" t="e">
        <f t="shared" si="20"/>
        <v>#N/A</v>
      </c>
    </row>
    <row r="253" spans="12:15">
      <c r="L253" s="58" t="e">
        <v>#N/A</v>
      </c>
      <c r="M253" s="130" t="e">
        <v>#N/A</v>
      </c>
      <c r="N253" s="130" t="e">
        <v>#N/A</v>
      </c>
      <c r="O253" s="115" t="e">
        <f t="shared" si="20"/>
        <v>#N/A</v>
      </c>
    </row>
    <row r="254" spans="12:15">
      <c r="L254" s="58" t="e">
        <v>#N/A</v>
      </c>
      <c r="M254" s="130" t="e">
        <v>#N/A</v>
      </c>
      <c r="N254" s="130" t="e">
        <v>#N/A</v>
      </c>
      <c r="O254" s="115" t="e">
        <f t="shared" si="20"/>
        <v>#N/A</v>
      </c>
    </row>
    <row r="255" spans="12:15">
      <c r="L255" s="58" t="e">
        <v>#N/A</v>
      </c>
      <c r="M255" s="130" t="e">
        <v>#N/A</v>
      </c>
      <c r="N255" s="130" t="e">
        <v>#N/A</v>
      </c>
      <c r="O255" s="115" t="e">
        <f t="shared" si="20"/>
        <v>#N/A</v>
      </c>
    </row>
    <row r="256" spans="12:15">
      <c r="L256" s="58" t="e">
        <v>#N/A</v>
      </c>
      <c r="M256" s="130" t="e">
        <v>#N/A</v>
      </c>
      <c r="N256" s="130" t="e">
        <v>#N/A</v>
      </c>
      <c r="O256" s="115" t="e">
        <f t="shared" si="20"/>
        <v>#N/A</v>
      </c>
    </row>
    <row r="257" spans="12:15">
      <c r="L257" s="58" t="e">
        <v>#N/A</v>
      </c>
      <c r="M257" s="130" t="e">
        <v>#N/A</v>
      </c>
      <c r="N257" s="130" t="e">
        <v>#N/A</v>
      </c>
      <c r="O257" s="115" t="e">
        <f t="shared" si="20"/>
        <v>#N/A</v>
      </c>
    </row>
    <row r="258" spans="12:15">
      <c r="L258" s="58" t="e">
        <v>#N/A</v>
      </c>
      <c r="M258" s="130" t="e">
        <v>#N/A</v>
      </c>
      <c r="N258" s="130" t="e">
        <v>#N/A</v>
      </c>
      <c r="O258" s="115" t="e">
        <f t="shared" si="20"/>
        <v>#N/A</v>
      </c>
    </row>
    <row r="259" spans="12:15">
      <c r="L259" s="58" t="e">
        <v>#N/A</v>
      </c>
      <c r="M259" s="130" t="e">
        <v>#N/A</v>
      </c>
      <c r="N259" s="130" t="e">
        <v>#N/A</v>
      </c>
      <c r="O259" s="115" t="e">
        <f t="shared" si="20"/>
        <v>#N/A</v>
      </c>
    </row>
    <row r="260" spans="12:15">
      <c r="L260" s="58" t="e">
        <v>#N/A</v>
      </c>
      <c r="M260" s="130" t="e">
        <v>#N/A</v>
      </c>
      <c r="N260" s="130" t="e">
        <v>#N/A</v>
      </c>
      <c r="O260" s="115" t="e">
        <f t="shared" si="20"/>
        <v>#N/A</v>
      </c>
    </row>
    <row r="261" spans="12:15">
      <c r="L261" s="58" t="e">
        <v>#N/A</v>
      </c>
      <c r="M261" s="130" t="e">
        <v>#N/A</v>
      </c>
      <c r="N261" s="130" t="e">
        <v>#N/A</v>
      </c>
      <c r="O261" s="115" t="e">
        <f t="shared" si="20"/>
        <v>#N/A</v>
      </c>
    </row>
    <row r="262" spans="12:15">
      <c r="L262" s="58" t="e">
        <v>#N/A</v>
      </c>
      <c r="M262" s="130" t="e">
        <v>#N/A</v>
      </c>
      <c r="N262" s="130" t="e">
        <v>#N/A</v>
      </c>
      <c r="O262" s="115" t="e">
        <f t="shared" si="20"/>
        <v>#N/A</v>
      </c>
    </row>
    <row r="263" spans="12:15">
      <c r="L263" s="58" t="e">
        <v>#N/A</v>
      </c>
      <c r="M263" s="130" t="e">
        <v>#N/A</v>
      </c>
      <c r="N263" s="130" t="e">
        <v>#N/A</v>
      </c>
      <c r="O263" s="115" t="e">
        <f t="shared" si="20"/>
        <v>#N/A</v>
      </c>
    </row>
    <row r="264" spans="12:15">
      <c r="L264" s="58" t="e">
        <v>#N/A</v>
      </c>
      <c r="M264" s="130" t="e">
        <v>#N/A</v>
      </c>
      <c r="N264" s="130" t="e">
        <v>#N/A</v>
      </c>
      <c r="O264" s="115" t="e">
        <f t="shared" si="20"/>
        <v>#N/A</v>
      </c>
    </row>
    <row r="265" spans="12:15">
      <c r="L265" s="58" t="e">
        <v>#N/A</v>
      </c>
      <c r="M265" s="130" t="e">
        <v>#N/A</v>
      </c>
      <c r="N265" s="130" t="e">
        <v>#N/A</v>
      </c>
      <c r="O265" s="115" t="e">
        <f t="shared" si="20"/>
        <v>#N/A</v>
      </c>
    </row>
    <row r="266" spans="12:15">
      <c r="L266" s="58" t="e">
        <v>#N/A</v>
      </c>
      <c r="M266" s="130" t="e">
        <v>#N/A</v>
      </c>
      <c r="N266" s="130" t="e">
        <v>#N/A</v>
      </c>
      <c r="O266" s="115" t="e">
        <f t="shared" si="20"/>
        <v>#N/A</v>
      </c>
    </row>
    <row r="267" spans="12:15">
      <c r="L267" s="58" t="e">
        <v>#N/A</v>
      </c>
      <c r="M267" s="130" t="e">
        <v>#N/A</v>
      </c>
      <c r="N267" s="130" t="e">
        <v>#N/A</v>
      </c>
      <c r="O267" s="115" t="e">
        <f t="shared" si="20"/>
        <v>#N/A</v>
      </c>
    </row>
    <row r="268" spans="12:15">
      <c r="L268" s="58" t="e">
        <v>#N/A</v>
      </c>
      <c r="M268" s="130" t="e">
        <v>#N/A</v>
      </c>
      <c r="N268" s="130" t="e">
        <v>#N/A</v>
      </c>
      <c r="O268" s="115" t="e">
        <f t="shared" si="20"/>
        <v>#N/A</v>
      </c>
    </row>
    <row r="269" spans="12:15">
      <c r="L269" s="58" t="e">
        <v>#N/A</v>
      </c>
      <c r="M269" s="130" t="e">
        <v>#N/A</v>
      </c>
      <c r="N269" s="130" t="e">
        <v>#N/A</v>
      </c>
      <c r="O269" s="115" t="e">
        <f t="shared" si="20"/>
        <v>#N/A</v>
      </c>
    </row>
    <row r="270" spans="12:15">
      <c r="L270" s="58" t="e">
        <v>#N/A</v>
      </c>
      <c r="M270" s="130" t="e">
        <v>#N/A</v>
      </c>
      <c r="N270" s="130" t="e">
        <v>#N/A</v>
      </c>
      <c r="O270" s="115" t="e">
        <f t="shared" si="20"/>
        <v>#N/A</v>
      </c>
    </row>
    <row r="271" spans="12:15">
      <c r="L271" s="58" t="e">
        <v>#N/A</v>
      </c>
      <c r="M271" s="130" t="e">
        <v>#N/A</v>
      </c>
      <c r="N271" s="130" t="e">
        <v>#N/A</v>
      </c>
      <c r="O271" s="115" t="e">
        <f t="shared" si="20"/>
        <v>#N/A</v>
      </c>
    </row>
    <row r="272" spans="12:15">
      <c r="L272" s="58" t="e">
        <v>#N/A</v>
      </c>
      <c r="M272" s="130" t="e">
        <v>#N/A</v>
      </c>
      <c r="N272" s="130" t="e">
        <v>#N/A</v>
      </c>
      <c r="O272" s="115" t="e">
        <f t="shared" si="20"/>
        <v>#N/A</v>
      </c>
    </row>
    <row r="273" spans="12:15">
      <c r="L273" s="58" t="e">
        <v>#N/A</v>
      </c>
      <c r="M273" s="130" t="e">
        <v>#N/A</v>
      </c>
      <c r="N273" s="130" t="e">
        <v>#N/A</v>
      </c>
      <c r="O273" s="115" t="e">
        <f t="shared" si="20"/>
        <v>#N/A</v>
      </c>
    </row>
    <row r="274" spans="12:15">
      <c r="L274" s="58" t="e">
        <v>#N/A</v>
      </c>
      <c r="M274" s="130" t="e">
        <v>#N/A</v>
      </c>
      <c r="N274" s="130" t="e">
        <v>#N/A</v>
      </c>
      <c r="O274" s="115" t="e">
        <f t="shared" si="20"/>
        <v>#N/A</v>
      </c>
    </row>
    <row r="275" spans="12:15">
      <c r="L275" s="58" t="e">
        <v>#N/A</v>
      </c>
      <c r="M275" s="130" t="e">
        <v>#N/A</v>
      </c>
      <c r="N275" s="130" t="e">
        <v>#N/A</v>
      </c>
      <c r="O275" s="115" t="e">
        <f t="shared" si="20"/>
        <v>#N/A</v>
      </c>
    </row>
    <row r="276" spans="12:15">
      <c r="L276" s="58" t="e">
        <v>#N/A</v>
      </c>
      <c r="M276" s="130" t="e">
        <v>#N/A</v>
      </c>
      <c r="N276" s="130" t="e">
        <v>#N/A</v>
      </c>
      <c r="O276" s="115" t="e">
        <f t="shared" si="20"/>
        <v>#N/A</v>
      </c>
    </row>
    <row r="277" spans="12:15">
      <c r="L277" s="58" t="e">
        <v>#N/A</v>
      </c>
      <c r="M277" s="130" t="e">
        <v>#N/A</v>
      </c>
      <c r="N277" s="130" t="e">
        <v>#N/A</v>
      </c>
      <c r="O277" s="115" t="e">
        <f t="shared" si="20"/>
        <v>#N/A</v>
      </c>
    </row>
    <row r="278" spans="12:15">
      <c r="L278" s="58" t="e">
        <v>#N/A</v>
      </c>
      <c r="M278" s="130" t="e">
        <v>#N/A</v>
      </c>
      <c r="N278" s="130" t="e">
        <v>#N/A</v>
      </c>
      <c r="O278" s="115" t="e">
        <f t="shared" ref="O278:O341" si="21">IF($D$9,M278/N278*$C$9,$C$9)</f>
        <v>#N/A</v>
      </c>
    </row>
    <row r="279" spans="12:15">
      <c r="L279" s="58" t="e">
        <v>#N/A</v>
      </c>
      <c r="M279" s="130" t="e">
        <v>#N/A</v>
      </c>
      <c r="N279" s="130" t="e">
        <v>#N/A</v>
      </c>
      <c r="O279" s="115" t="e">
        <f t="shared" si="21"/>
        <v>#N/A</v>
      </c>
    </row>
    <row r="280" spans="12:15">
      <c r="L280" s="58" t="e">
        <v>#N/A</v>
      </c>
      <c r="M280" s="130" t="e">
        <v>#N/A</v>
      </c>
      <c r="N280" s="130" t="e">
        <v>#N/A</v>
      </c>
      <c r="O280" s="115" t="e">
        <f t="shared" si="21"/>
        <v>#N/A</v>
      </c>
    </row>
    <row r="281" spans="12:15">
      <c r="L281" s="58" t="e">
        <v>#N/A</v>
      </c>
      <c r="M281" s="130" t="e">
        <v>#N/A</v>
      </c>
      <c r="N281" s="130" t="e">
        <v>#N/A</v>
      </c>
      <c r="O281" s="115" t="e">
        <f t="shared" si="21"/>
        <v>#N/A</v>
      </c>
    </row>
    <row r="282" spans="12:15">
      <c r="L282" s="58" t="e">
        <v>#N/A</v>
      </c>
      <c r="M282" s="130" t="e">
        <v>#N/A</v>
      </c>
      <c r="N282" s="130" t="e">
        <v>#N/A</v>
      </c>
      <c r="O282" s="115" t="e">
        <f t="shared" si="21"/>
        <v>#N/A</v>
      </c>
    </row>
    <row r="283" spans="12:15">
      <c r="L283" s="58" t="e">
        <v>#N/A</v>
      </c>
      <c r="M283" s="130" t="e">
        <v>#N/A</v>
      </c>
      <c r="N283" s="130" t="e">
        <v>#N/A</v>
      </c>
      <c r="O283" s="115" t="e">
        <f t="shared" si="21"/>
        <v>#N/A</v>
      </c>
    </row>
    <row r="284" spans="12:15">
      <c r="L284" s="58" t="e">
        <v>#N/A</v>
      </c>
      <c r="M284" s="130" t="e">
        <v>#N/A</v>
      </c>
      <c r="N284" s="130" t="e">
        <v>#N/A</v>
      </c>
      <c r="O284" s="115" t="e">
        <f t="shared" si="21"/>
        <v>#N/A</v>
      </c>
    </row>
    <row r="285" spans="12:15">
      <c r="L285" s="58" t="e">
        <v>#N/A</v>
      </c>
      <c r="M285" s="130" t="e">
        <v>#N/A</v>
      </c>
      <c r="N285" s="130" t="e">
        <v>#N/A</v>
      </c>
      <c r="O285" s="115" t="e">
        <f t="shared" si="21"/>
        <v>#N/A</v>
      </c>
    </row>
    <row r="286" spans="12:15">
      <c r="L286" s="58" t="e">
        <v>#N/A</v>
      </c>
      <c r="M286" s="130" t="e">
        <v>#N/A</v>
      </c>
      <c r="N286" s="130" t="e">
        <v>#N/A</v>
      </c>
      <c r="O286" s="115" t="e">
        <f t="shared" si="21"/>
        <v>#N/A</v>
      </c>
    </row>
    <row r="287" spans="12:15">
      <c r="L287" s="58" t="e">
        <v>#N/A</v>
      </c>
      <c r="M287" s="130" t="e">
        <v>#N/A</v>
      </c>
      <c r="N287" s="130" t="e">
        <v>#N/A</v>
      </c>
      <c r="O287" s="115" t="e">
        <f t="shared" si="21"/>
        <v>#N/A</v>
      </c>
    </row>
    <row r="288" spans="12:15">
      <c r="L288" s="58" t="e">
        <v>#N/A</v>
      </c>
      <c r="M288" s="130" t="e">
        <v>#N/A</v>
      </c>
      <c r="N288" s="130" t="e">
        <v>#N/A</v>
      </c>
      <c r="O288" s="115" t="e">
        <f t="shared" si="21"/>
        <v>#N/A</v>
      </c>
    </row>
    <row r="289" spans="12:15">
      <c r="L289" s="58" t="e">
        <v>#N/A</v>
      </c>
      <c r="M289" s="130" t="e">
        <v>#N/A</v>
      </c>
      <c r="N289" s="130" t="e">
        <v>#N/A</v>
      </c>
      <c r="O289" s="115" t="e">
        <f t="shared" si="21"/>
        <v>#N/A</v>
      </c>
    </row>
    <row r="290" spans="12:15">
      <c r="L290" s="58" t="e">
        <v>#N/A</v>
      </c>
      <c r="M290" s="130" t="e">
        <v>#N/A</v>
      </c>
      <c r="N290" s="130" t="e">
        <v>#N/A</v>
      </c>
      <c r="O290" s="115" t="e">
        <f t="shared" si="21"/>
        <v>#N/A</v>
      </c>
    </row>
    <row r="291" spans="12:15">
      <c r="L291" s="58" t="e">
        <v>#N/A</v>
      </c>
      <c r="M291" s="130" t="e">
        <v>#N/A</v>
      </c>
      <c r="N291" s="130" t="e">
        <v>#N/A</v>
      </c>
      <c r="O291" s="115" t="e">
        <f t="shared" si="21"/>
        <v>#N/A</v>
      </c>
    </row>
    <row r="292" spans="12:15">
      <c r="L292" s="58" t="e">
        <v>#N/A</v>
      </c>
      <c r="M292" s="130" t="e">
        <v>#N/A</v>
      </c>
      <c r="N292" s="130" t="e">
        <v>#N/A</v>
      </c>
      <c r="O292" s="115" t="e">
        <f t="shared" si="21"/>
        <v>#N/A</v>
      </c>
    </row>
    <row r="293" spans="12:15">
      <c r="L293" s="58" t="e">
        <v>#N/A</v>
      </c>
      <c r="M293" s="130" t="e">
        <v>#N/A</v>
      </c>
      <c r="N293" s="130" t="e">
        <v>#N/A</v>
      </c>
      <c r="O293" s="115" t="e">
        <f t="shared" si="21"/>
        <v>#N/A</v>
      </c>
    </row>
    <row r="294" spans="12:15">
      <c r="L294" s="58" t="e">
        <v>#N/A</v>
      </c>
      <c r="M294" s="130" t="e">
        <v>#N/A</v>
      </c>
      <c r="N294" s="130" t="e">
        <v>#N/A</v>
      </c>
      <c r="O294" s="115" t="e">
        <f t="shared" si="21"/>
        <v>#N/A</v>
      </c>
    </row>
    <row r="295" spans="12:15">
      <c r="L295" s="58" t="e">
        <v>#N/A</v>
      </c>
      <c r="M295" s="130" t="e">
        <v>#N/A</v>
      </c>
      <c r="N295" s="130" t="e">
        <v>#N/A</v>
      </c>
      <c r="O295" s="115" t="e">
        <f t="shared" si="21"/>
        <v>#N/A</v>
      </c>
    </row>
    <row r="296" spans="12:15">
      <c r="L296" s="58" t="e">
        <v>#N/A</v>
      </c>
      <c r="M296" s="130" t="e">
        <v>#N/A</v>
      </c>
      <c r="N296" s="130" t="e">
        <v>#N/A</v>
      </c>
      <c r="O296" s="115" t="e">
        <f t="shared" si="21"/>
        <v>#N/A</v>
      </c>
    </row>
    <row r="297" spans="12:15">
      <c r="L297" s="58" t="e">
        <v>#N/A</v>
      </c>
      <c r="M297" s="130" t="e">
        <v>#N/A</v>
      </c>
      <c r="N297" s="130" t="e">
        <v>#N/A</v>
      </c>
      <c r="O297" s="115" t="e">
        <f t="shared" si="21"/>
        <v>#N/A</v>
      </c>
    </row>
    <row r="298" spans="12:15">
      <c r="L298" s="58" t="e">
        <v>#N/A</v>
      </c>
      <c r="M298" s="130" t="e">
        <v>#N/A</v>
      </c>
      <c r="N298" s="130" t="e">
        <v>#N/A</v>
      </c>
      <c r="O298" s="115" t="e">
        <f t="shared" si="21"/>
        <v>#N/A</v>
      </c>
    </row>
    <row r="299" spans="12:15">
      <c r="L299" s="58" t="e">
        <v>#N/A</v>
      </c>
      <c r="M299" s="130" t="e">
        <v>#N/A</v>
      </c>
      <c r="N299" s="130" t="e">
        <v>#N/A</v>
      </c>
      <c r="O299" s="115" t="e">
        <f t="shared" si="21"/>
        <v>#N/A</v>
      </c>
    </row>
    <row r="300" spans="12:15">
      <c r="L300" s="58" t="e">
        <v>#N/A</v>
      </c>
      <c r="M300" s="130" t="e">
        <v>#N/A</v>
      </c>
      <c r="N300" s="130" t="e">
        <v>#N/A</v>
      </c>
      <c r="O300" s="115" t="e">
        <f t="shared" si="21"/>
        <v>#N/A</v>
      </c>
    </row>
    <row r="301" spans="12:15">
      <c r="L301" s="58" t="e">
        <v>#N/A</v>
      </c>
      <c r="M301" s="130" t="e">
        <v>#N/A</v>
      </c>
      <c r="N301" s="130" t="e">
        <v>#N/A</v>
      </c>
      <c r="O301" s="115" t="e">
        <f t="shared" si="21"/>
        <v>#N/A</v>
      </c>
    </row>
    <row r="302" spans="12:15">
      <c r="L302" s="58" t="e">
        <v>#N/A</v>
      </c>
      <c r="M302" s="130" t="e">
        <v>#N/A</v>
      </c>
      <c r="N302" s="130" t="e">
        <v>#N/A</v>
      </c>
      <c r="O302" s="115" t="e">
        <f t="shared" si="21"/>
        <v>#N/A</v>
      </c>
    </row>
    <row r="303" spans="12:15">
      <c r="L303" s="58" t="e">
        <v>#N/A</v>
      </c>
      <c r="M303" s="130" t="e">
        <v>#N/A</v>
      </c>
      <c r="N303" s="130" t="e">
        <v>#N/A</v>
      </c>
      <c r="O303" s="115" t="e">
        <f t="shared" si="21"/>
        <v>#N/A</v>
      </c>
    </row>
    <row r="304" spans="12:15">
      <c r="L304" s="58" t="e">
        <v>#N/A</v>
      </c>
      <c r="M304" s="130" t="e">
        <v>#N/A</v>
      </c>
      <c r="N304" s="130" t="e">
        <v>#N/A</v>
      </c>
      <c r="O304" s="115" t="e">
        <f t="shared" si="21"/>
        <v>#N/A</v>
      </c>
    </row>
    <row r="305" spans="12:15">
      <c r="L305" s="58" t="e">
        <v>#N/A</v>
      </c>
      <c r="M305" s="130" t="e">
        <v>#N/A</v>
      </c>
      <c r="N305" s="130" t="e">
        <v>#N/A</v>
      </c>
      <c r="O305" s="115" t="e">
        <f t="shared" si="21"/>
        <v>#N/A</v>
      </c>
    </row>
    <row r="306" spans="12:15">
      <c r="L306" s="58" t="e">
        <v>#N/A</v>
      </c>
      <c r="M306" s="130" t="e">
        <v>#N/A</v>
      </c>
      <c r="N306" s="130" t="e">
        <v>#N/A</v>
      </c>
      <c r="O306" s="115" t="e">
        <f t="shared" si="21"/>
        <v>#N/A</v>
      </c>
    </row>
    <row r="307" spans="12:15">
      <c r="L307" s="58" t="e">
        <v>#N/A</v>
      </c>
      <c r="M307" s="130" t="e">
        <v>#N/A</v>
      </c>
      <c r="N307" s="130" t="e">
        <v>#N/A</v>
      </c>
      <c r="O307" s="115" t="e">
        <f t="shared" si="21"/>
        <v>#N/A</v>
      </c>
    </row>
    <row r="308" spans="12:15">
      <c r="L308" s="58" t="e">
        <v>#N/A</v>
      </c>
      <c r="M308" s="130" t="e">
        <v>#N/A</v>
      </c>
      <c r="N308" s="130" t="e">
        <v>#N/A</v>
      </c>
      <c r="O308" s="115" t="e">
        <f t="shared" si="21"/>
        <v>#N/A</v>
      </c>
    </row>
    <row r="309" spans="12:15">
      <c r="L309" s="58" t="e">
        <v>#N/A</v>
      </c>
      <c r="M309" s="130" t="e">
        <v>#N/A</v>
      </c>
      <c r="N309" s="130" t="e">
        <v>#N/A</v>
      </c>
      <c r="O309" s="115" t="e">
        <f t="shared" si="21"/>
        <v>#N/A</v>
      </c>
    </row>
    <row r="310" spans="12:15">
      <c r="L310" s="58" t="e">
        <v>#N/A</v>
      </c>
      <c r="M310" s="130" t="e">
        <v>#N/A</v>
      </c>
      <c r="N310" s="130" t="e">
        <v>#N/A</v>
      </c>
      <c r="O310" s="115" t="e">
        <f t="shared" si="21"/>
        <v>#N/A</v>
      </c>
    </row>
    <row r="311" spans="12:15">
      <c r="L311" s="58" t="e">
        <v>#N/A</v>
      </c>
      <c r="M311" s="130" t="e">
        <v>#N/A</v>
      </c>
      <c r="N311" s="130" t="e">
        <v>#N/A</v>
      </c>
      <c r="O311" s="115" t="e">
        <f t="shared" si="21"/>
        <v>#N/A</v>
      </c>
    </row>
    <row r="312" spans="12:15">
      <c r="L312" s="58" t="e">
        <v>#N/A</v>
      </c>
      <c r="M312" s="130" t="e">
        <v>#N/A</v>
      </c>
      <c r="N312" s="130" t="e">
        <v>#N/A</v>
      </c>
      <c r="O312" s="115" t="e">
        <f t="shared" si="21"/>
        <v>#N/A</v>
      </c>
    </row>
    <row r="313" spans="12:15">
      <c r="L313" s="58" t="e">
        <v>#N/A</v>
      </c>
      <c r="M313" s="130" t="e">
        <v>#N/A</v>
      </c>
      <c r="N313" s="130" t="e">
        <v>#N/A</v>
      </c>
      <c r="O313" s="115" t="e">
        <f t="shared" si="21"/>
        <v>#N/A</v>
      </c>
    </row>
    <row r="314" spans="12:15">
      <c r="L314" s="58" t="e">
        <v>#N/A</v>
      </c>
      <c r="M314" s="130" t="e">
        <v>#N/A</v>
      </c>
      <c r="N314" s="130" t="e">
        <v>#N/A</v>
      </c>
      <c r="O314" s="115" t="e">
        <f t="shared" si="21"/>
        <v>#N/A</v>
      </c>
    </row>
    <row r="315" spans="12:15">
      <c r="L315" s="58" t="e">
        <v>#N/A</v>
      </c>
      <c r="M315" s="130" t="e">
        <v>#N/A</v>
      </c>
      <c r="N315" s="130" t="e">
        <v>#N/A</v>
      </c>
      <c r="O315" s="115" t="e">
        <f t="shared" si="21"/>
        <v>#N/A</v>
      </c>
    </row>
    <row r="316" spans="12:15">
      <c r="L316" s="58" t="e">
        <v>#N/A</v>
      </c>
      <c r="M316" s="130" t="e">
        <v>#N/A</v>
      </c>
      <c r="N316" s="130" t="e">
        <v>#N/A</v>
      </c>
      <c r="O316" s="115" t="e">
        <f t="shared" si="21"/>
        <v>#N/A</v>
      </c>
    </row>
    <row r="317" spans="12:15">
      <c r="L317" s="58" t="e">
        <v>#N/A</v>
      </c>
      <c r="M317" s="130" t="e">
        <v>#N/A</v>
      </c>
      <c r="N317" s="130" t="e">
        <v>#N/A</v>
      </c>
      <c r="O317" s="115" t="e">
        <f t="shared" si="21"/>
        <v>#N/A</v>
      </c>
    </row>
    <row r="318" spans="12:15">
      <c r="L318" s="58" t="e">
        <v>#N/A</v>
      </c>
      <c r="M318" s="130" t="e">
        <v>#N/A</v>
      </c>
      <c r="N318" s="130" t="e">
        <v>#N/A</v>
      </c>
      <c r="O318" s="115" t="e">
        <f t="shared" si="21"/>
        <v>#N/A</v>
      </c>
    </row>
    <row r="319" spans="12:15">
      <c r="L319" s="58" t="e">
        <v>#N/A</v>
      </c>
      <c r="M319" s="130" t="e">
        <v>#N/A</v>
      </c>
      <c r="N319" s="130" t="e">
        <v>#N/A</v>
      </c>
      <c r="O319" s="115" t="e">
        <f t="shared" si="21"/>
        <v>#N/A</v>
      </c>
    </row>
    <row r="320" spans="12:15">
      <c r="L320" s="58" t="e">
        <v>#N/A</v>
      </c>
      <c r="M320" s="130" t="e">
        <v>#N/A</v>
      </c>
      <c r="N320" s="130" t="e">
        <v>#N/A</v>
      </c>
      <c r="O320" s="115" t="e">
        <f t="shared" si="21"/>
        <v>#N/A</v>
      </c>
    </row>
    <row r="321" spans="12:15">
      <c r="L321" s="58" t="e">
        <v>#N/A</v>
      </c>
      <c r="M321" s="130" t="e">
        <v>#N/A</v>
      </c>
      <c r="N321" s="130" t="e">
        <v>#N/A</v>
      </c>
      <c r="O321" s="115" t="e">
        <f t="shared" si="21"/>
        <v>#N/A</v>
      </c>
    </row>
    <row r="322" spans="12:15">
      <c r="L322" s="58" t="e">
        <v>#N/A</v>
      </c>
      <c r="M322" s="130" t="e">
        <v>#N/A</v>
      </c>
      <c r="N322" s="130" t="e">
        <v>#N/A</v>
      </c>
      <c r="O322" s="115" t="e">
        <f t="shared" si="21"/>
        <v>#N/A</v>
      </c>
    </row>
    <row r="323" spans="12:15">
      <c r="L323" s="58" t="e">
        <v>#N/A</v>
      </c>
      <c r="M323" s="130" t="e">
        <v>#N/A</v>
      </c>
      <c r="N323" s="130" t="e">
        <v>#N/A</v>
      </c>
      <c r="O323" s="115" t="e">
        <f t="shared" si="21"/>
        <v>#N/A</v>
      </c>
    </row>
    <row r="324" spans="12:15">
      <c r="L324" s="58" t="e">
        <v>#N/A</v>
      </c>
      <c r="M324" s="130" t="e">
        <v>#N/A</v>
      </c>
      <c r="N324" s="130" t="e">
        <v>#N/A</v>
      </c>
      <c r="O324" s="115" t="e">
        <f t="shared" si="21"/>
        <v>#N/A</v>
      </c>
    </row>
    <row r="325" spans="12:15">
      <c r="L325" s="58" t="e">
        <v>#N/A</v>
      </c>
      <c r="M325" s="130" t="e">
        <v>#N/A</v>
      </c>
      <c r="N325" s="130" t="e">
        <v>#N/A</v>
      </c>
      <c r="O325" s="115" t="e">
        <f t="shared" si="21"/>
        <v>#N/A</v>
      </c>
    </row>
    <row r="326" spans="12:15">
      <c r="L326" s="58" t="e">
        <v>#N/A</v>
      </c>
      <c r="M326" s="130" t="e">
        <v>#N/A</v>
      </c>
      <c r="N326" s="130" t="e">
        <v>#N/A</v>
      </c>
      <c r="O326" s="115" t="e">
        <f t="shared" si="21"/>
        <v>#N/A</v>
      </c>
    </row>
    <row r="327" spans="12:15">
      <c r="L327" s="58" t="e">
        <v>#N/A</v>
      </c>
      <c r="M327" s="130" t="e">
        <v>#N/A</v>
      </c>
      <c r="N327" s="130" t="e">
        <v>#N/A</v>
      </c>
      <c r="O327" s="115" t="e">
        <f t="shared" si="21"/>
        <v>#N/A</v>
      </c>
    </row>
    <row r="328" spans="12:15">
      <c r="L328" s="58" t="e">
        <v>#N/A</v>
      </c>
      <c r="M328" s="130" t="e">
        <v>#N/A</v>
      </c>
      <c r="N328" s="130" t="e">
        <v>#N/A</v>
      </c>
      <c r="O328" s="115" t="e">
        <f t="shared" si="21"/>
        <v>#N/A</v>
      </c>
    </row>
    <row r="329" spans="12:15">
      <c r="L329" s="58" t="e">
        <v>#N/A</v>
      </c>
      <c r="M329" s="130" t="e">
        <v>#N/A</v>
      </c>
      <c r="N329" s="130" t="e">
        <v>#N/A</v>
      </c>
      <c r="O329" s="115" t="e">
        <f t="shared" si="21"/>
        <v>#N/A</v>
      </c>
    </row>
    <row r="330" spans="12:15">
      <c r="L330" s="58" t="e">
        <v>#N/A</v>
      </c>
      <c r="M330" s="130" t="e">
        <v>#N/A</v>
      </c>
      <c r="N330" s="130" t="e">
        <v>#N/A</v>
      </c>
      <c r="O330" s="115" t="e">
        <f t="shared" si="21"/>
        <v>#N/A</v>
      </c>
    </row>
    <row r="331" spans="12:15">
      <c r="L331" s="58" t="e">
        <v>#N/A</v>
      </c>
      <c r="M331" s="130" t="e">
        <v>#N/A</v>
      </c>
      <c r="N331" s="130" t="e">
        <v>#N/A</v>
      </c>
      <c r="O331" s="115" t="e">
        <f t="shared" si="21"/>
        <v>#N/A</v>
      </c>
    </row>
    <row r="332" spans="12:15">
      <c r="L332" s="58" t="e">
        <v>#N/A</v>
      </c>
      <c r="M332" s="130" t="e">
        <v>#N/A</v>
      </c>
      <c r="N332" s="130" t="e">
        <v>#N/A</v>
      </c>
      <c r="O332" s="115" t="e">
        <f t="shared" si="21"/>
        <v>#N/A</v>
      </c>
    </row>
    <row r="333" spans="12:15">
      <c r="L333" s="58" t="e">
        <v>#N/A</v>
      </c>
      <c r="M333" s="130" t="e">
        <v>#N/A</v>
      </c>
      <c r="N333" s="130" t="e">
        <v>#N/A</v>
      </c>
      <c r="O333" s="115" t="e">
        <f t="shared" si="21"/>
        <v>#N/A</v>
      </c>
    </row>
    <row r="334" spans="12:15">
      <c r="L334" s="58" t="e">
        <v>#N/A</v>
      </c>
      <c r="M334" s="130" t="e">
        <v>#N/A</v>
      </c>
      <c r="N334" s="130" t="e">
        <v>#N/A</v>
      </c>
      <c r="O334" s="115" t="e">
        <f t="shared" si="21"/>
        <v>#N/A</v>
      </c>
    </row>
    <row r="335" spans="12:15">
      <c r="L335" s="58" t="e">
        <v>#N/A</v>
      </c>
      <c r="M335" s="130" t="e">
        <v>#N/A</v>
      </c>
      <c r="N335" s="130" t="e">
        <v>#N/A</v>
      </c>
      <c r="O335" s="115" t="e">
        <f t="shared" si="21"/>
        <v>#N/A</v>
      </c>
    </row>
    <row r="336" spans="12:15">
      <c r="L336" s="58" t="e">
        <v>#N/A</v>
      </c>
      <c r="M336" s="130" t="e">
        <v>#N/A</v>
      </c>
      <c r="N336" s="130" t="e">
        <v>#N/A</v>
      </c>
      <c r="O336" s="115" t="e">
        <f t="shared" si="21"/>
        <v>#N/A</v>
      </c>
    </row>
    <row r="337" spans="12:15">
      <c r="L337" s="58" t="e">
        <v>#N/A</v>
      </c>
      <c r="M337" s="130" t="e">
        <v>#N/A</v>
      </c>
      <c r="N337" s="130" t="e">
        <v>#N/A</v>
      </c>
      <c r="O337" s="115" t="e">
        <f t="shared" si="21"/>
        <v>#N/A</v>
      </c>
    </row>
    <row r="338" spans="12:15">
      <c r="L338" s="58" t="e">
        <v>#N/A</v>
      </c>
      <c r="M338" s="130" t="e">
        <v>#N/A</v>
      </c>
      <c r="N338" s="130" t="e">
        <v>#N/A</v>
      </c>
      <c r="O338" s="115" t="e">
        <f t="shared" si="21"/>
        <v>#N/A</v>
      </c>
    </row>
    <row r="339" spans="12:15">
      <c r="L339" s="58" t="e">
        <v>#N/A</v>
      </c>
      <c r="M339" s="130" t="e">
        <v>#N/A</v>
      </c>
      <c r="N339" s="130" t="e">
        <v>#N/A</v>
      </c>
      <c r="O339" s="115" t="e">
        <f t="shared" si="21"/>
        <v>#N/A</v>
      </c>
    </row>
    <row r="340" spans="12:15">
      <c r="L340" s="58" t="e">
        <v>#N/A</v>
      </c>
      <c r="M340" s="130" t="e">
        <v>#N/A</v>
      </c>
      <c r="N340" s="130" t="e">
        <v>#N/A</v>
      </c>
      <c r="O340" s="115" t="e">
        <f t="shared" si="21"/>
        <v>#N/A</v>
      </c>
    </row>
    <row r="341" spans="12:15">
      <c r="L341" s="58" t="e">
        <v>#N/A</v>
      </c>
      <c r="M341" s="130" t="e">
        <v>#N/A</v>
      </c>
      <c r="N341" s="130" t="e">
        <v>#N/A</v>
      </c>
      <c r="O341" s="115" t="e">
        <f t="shared" si="21"/>
        <v>#N/A</v>
      </c>
    </row>
    <row r="342" spans="12:15">
      <c r="L342" s="58" t="e">
        <v>#N/A</v>
      </c>
      <c r="M342" s="130" t="e">
        <v>#N/A</v>
      </c>
      <c r="N342" s="130" t="e">
        <v>#N/A</v>
      </c>
      <c r="O342" s="115" t="e">
        <f>IF($D$9,M342/N342*$C$9,$C$9)</f>
        <v>#N/A</v>
      </c>
    </row>
    <row r="343" spans="12:15">
      <c r="L343" s="58" t="e">
        <v>#N/A</v>
      </c>
      <c r="M343" s="130" t="e">
        <v>#N/A</v>
      </c>
      <c r="N343" s="130" t="e">
        <v>#N/A</v>
      </c>
      <c r="O343" s="115" t="e">
        <f>IF($D$9,M343/N343*$C$9,$C$9)</f>
        <v>#N/A</v>
      </c>
    </row>
    <row r="344" spans="12:15">
      <c r="L344" s="129" t="e">
        <v>#N/A</v>
      </c>
      <c r="M344" s="130" t="e">
        <v>#N/A</v>
      </c>
      <c r="N344" s="130" t="e">
        <v>#N/A</v>
      </c>
      <c r="O344" s="115" t="e">
        <f>IF($D$9,M344/N344*$C$9,$C$9)</f>
        <v>#N/A</v>
      </c>
    </row>
  </sheetData>
  <dataValidations count="4">
    <dataValidation type="list" allowBlank="1" showInputMessage="1" showErrorMessage="1" sqref="T7 Z7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T4 Z4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T6 Z6">
      <formula1>"Following,Modified Following,Preceding,Modified Preceding,Unadjusted"</formula1>
    </dataValidation>
    <dataValidation type="list" allowBlank="1" showInputMessage="1" showErrorMessage="1" sqref="D8:E9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15" r:id="rId4" name="Button 47">
              <controlPr defaultSize="0" print="0" autoFill="0" autoPict="0" macro="[0]!Calibration">
                <anchor moveWithCells="1" sizeWithCells="1">
                  <from>
                    <xdr:col>30</xdr:col>
                    <xdr:colOff>638175</xdr:colOff>
                    <xdr:row>9</xdr:row>
                    <xdr:rowOff>57150</xdr:rowOff>
                  </from>
                  <to>
                    <xdr:col>32</xdr:col>
                    <xdr:colOff>733425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5" name="Button 90">
              <controlPr defaultSize="0" print="0" autoFill="0" autoPict="0" macro="[0]!calibrationNewtonRaphson">
                <anchor moveWithCells="1" sizeWithCells="1">
                  <from>
                    <xdr:col>30</xdr:col>
                    <xdr:colOff>619125</xdr:colOff>
                    <xdr:row>3</xdr:row>
                    <xdr:rowOff>161925</xdr:rowOff>
                  </from>
                  <to>
                    <xdr:col>32</xdr:col>
                    <xdr:colOff>695325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6" name="Button 92">
              <controlPr defaultSize="0" print="0" autoFill="0" autoPict="0" macro="[0]!calibrationNewtonRaphson2">
                <anchor moveWithCells="1" sizeWithCells="1">
                  <from>
                    <xdr:col>30</xdr:col>
                    <xdr:colOff>590550</xdr:colOff>
                    <xdr:row>6</xdr:row>
                    <xdr:rowOff>76200</xdr:rowOff>
                  </from>
                  <to>
                    <xdr:col>32</xdr:col>
                    <xdr:colOff>714375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BD461"/>
  <sheetViews>
    <sheetView tabSelected="1" zoomScale="85" zoomScaleNormal="85" workbookViewId="0">
      <selection activeCell="A24" sqref="A24:P30"/>
    </sheetView>
  </sheetViews>
  <sheetFormatPr defaultRowHeight="15" outlineLevelCol="1"/>
  <cols>
    <col min="1" max="1" width="9.140625" style="115"/>
    <col min="2" max="2" width="32.28515625" style="115" customWidth="1"/>
    <col min="3" max="3" width="13.85546875" style="115" customWidth="1"/>
    <col min="4" max="4" width="26" style="115" bestFit="1" customWidth="1"/>
    <col min="5" max="5" width="9.7109375" style="115" customWidth="1"/>
    <col min="6" max="6" width="9.140625" style="115"/>
    <col min="7" max="7" width="16.7109375" style="115" customWidth="1"/>
    <col min="8" max="8" width="25" style="115" bestFit="1" customWidth="1"/>
    <col min="9" max="9" width="15.85546875" style="115" customWidth="1"/>
    <col min="10" max="10" width="4" style="115" customWidth="1"/>
    <col min="11" max="11" width="13.7109375" style="115" customWidth="1"/>
    <col min="12" max="12" width="20.7109375" style="115" bestFit="1" customWidth="1"/>
    <col min="13" max="13" width="15.5703125" style="115" bestFit="1" customWidth="1"/>
    <col min="14" max="14" width="4.5703125" style="115" hidden="1" customWidth="1"/>
    <col min="15" max="15" width="4.140625" style="115" customWidth="1"/>
    <col min="16" max="16" width="10" style="115" bestFit="1" customWidth="1"/>
    <col min="17" max="17" width="17.42578125" style="115" customWidth="1" outlineLevel="1"/>
    <col min="18" max="18" width="25" style="115" customWidth="1" outlineLevel="1"/>
    <col min="19" max="19" width="18.85546875" style="115" customWidth="1" outlineLevel="1"/>
    <col min="20" max="20" width="17" style="115" customWidth="1" outlineLevel="1"/>
    <col min="21" max="21" width="15.5703125" style="115" customWidth="1" outlineLevel="1"/>
    <col min="22" max="22" width="18.28515625" style="115" customWidth="1" outlineLevel="1"/>
    <col min="23" max="23" width="15.42578125" style="115" customWidth="1" outlineLevel="1"/>
    <col min="24" max="24" width="15.140625" style="115" customWidth="1"/>
    <col min="25" max="25" width="13.140625" style="115" bestFit="1" customWidth="1"/>
    <col min="26" max="27" width="13.85546875" style="115" bestFit="1" customWidth="1"/>
    <col min="28" max="28" width="1.5703125" style="115" customWidth="1"/>
    <col min="29" max="29" width="10" style="115" bestFit="1" customWidth="1"/>
    <col min="30" max="30" width="18" style="115" customWidth="1" outlineLevel="1"/>
    <col min="31" max="31" width="24.28515625" style="115" customWidth="1" outlineLevel="1"/>
    <col min="32" max="32" width="17" style="115" customWidth="1" outlineLevel="1"/>
    <col min="33" max="33" width="16.5703125" style="115" customWidth="1" outlineLevel="1"/>
    <col min="34" max="34" width="23" style="115" customWidth="1" outlineLevel="1"/>
    <col min="35" max="35" width="15.7109375" style="115" bestFit="1" customWidth="1" outlineLevel="1"/>
    <col min="36" max="36" width="22.28515625" style="115" bestFit="1" customWidth="1" outlineLevel="1"/>
    <col min="37" max="37" width="9.140625" style="115" customWidth="1" outlineLevel="1"/>
    <col min="38" max="38" width="18" style="115" bestFit="1" customWidth="1"/>
    <col min="39" max="39" width="12.42578125" style="115" bestFit="1" customWidth="1"/>
    <col min="40" max="40" width="15.7109375" style="115" bestFit="1" customWidth="1"/>
    <col min="41" max="46" width="19.7109375" style="115" hidden="1" customWidth="1"/>
    <col min="47" max="47" width="19.7109375" style="115" customWidth="1"/>
    <col min="48" max="48" width="16.28515625" style="115" bestFit="1" customWidth="1"/>
    <col min="49" max="49" width="13.85546875" style="115" bestFit="1" customWidth="1"/>
    <col min="50" max="16384" width="9.140625" style="115"/>
  </cols>
  <sheetData>
    <row r="1" spans="2:39">
      <c r="R1" s="115" t="s">
        <v>741</v>
      </c>
      <c r="S1" s="115" t="s">
        <v>741</v>
      </c>
      <c r="AE1" s="115" t="s">
        <v>333</v>
      </c>
    </row>
    <row r="2" spans="2:39">
      <c r="B2" s="116" t="s">
        <v>327</v>
      </c>
      <c r="C2" s="104">
        <f>_xll.qlSettingsEvaluationDate()</f>
        <v>43705</v>
      </c>
      <c r="Q2" s="148" t="s">
        <v>739</v>
      </c>
      <c r="R2" s="338">
        <f>C3</f>
        <v>43707</v>
      </c>
      <c r="S2" s="317">
        <f>C3</f>
        <v>43707</v>
      </c>
      <c r="AD2" s="162" t="s">
        <v>739</v>
      </c>
      <c r="AE2" s="324">
        <f ca="1">Input!C13+2</f>
        <v>43707</v>
      </c>
    </row>
    <row r="3" spans="2:39">
      <c r="B3" s="116" t="s">
        <v>366</v>
      </c>
      <c r="C3" s="104">
        <f>_xll.qlCalendarAdvance(R5,C2,"2d",R7)</f>
        <v>43707</v>
      </c>
      <c r="E3" s="115">
        <f>_xll.qlSettingsEvaluationDate()</f>
        <v>43705</v>
      </c>
      <c r="Q3" s="290" t="s">
        <v>740</v>
      </c>
      <c r="R3" s="339"/>
      <c r="S3" s="313"/>
      <c r="AD3" s="316" t="s">
        <v>740</v>
      </c>
      <c r="AE3" s="325"/>
    </row>
    <row r="4" spans="2:39">
      <c r="B4" s="115" t="s">
        <v>360</v>
      </c>
      <c r="C4" s="115" t="s">
        <v>818</v>
      </c>
      <c r="Q4" s="290" t="s">
        <v>245</v>
      </c>
      <c r="R4" s="340" t="s">
        <v>747</v>
      </c>
      <c r="S4" s="314" t="s">
        <v>748</v>
      </c>
      <c r="AD4" s="316" t="s">
        <v>245</v>
      </c>
      <c r="AE4" s="326" t="s">
        <v>747</v>
      </c>
    </row>
    <row r="5" spans="2:39">
      <c r="Q5" s="290" t="s">
        <v>269</v>
      </c>
      <c r="R5" s="340" t="s">
        <v>750</v>
      </c>
      <c r="S5" s="314" t="s">
        <v>750</v>
      </c>
      <c r="T5" s="115" t="str">
        <f>_xll.qlIborIndex("TIIE","TIIE","28D",0,"MXN",$R$5,"Following",,"Actual/360")</f>
        <v>TIIE#0000</v>
      </c>
      <c r="AD5" s="316" t="s">
        <v>269</v>
      </c>
      <c r="AE5" s="326" t="s">
        <v>330</v>
      </c>
    </row>
    <row r="6" spans="2:39">
      <c r="G6" s="116" t="s">
        <v>805</v>
      </c>
      <c r="H6" s="127">
        <v>1E-4</v>
      </c>
      <c r="Q6" s="319" t="s">
        <v>791</v>
      </c>
      <c r="R6" s="340" t="s">
        <v>253</v>
      </c>
      <c r="S6" s="314" t="s">
        <v>253</v>
      </c>
      <c r="AD6" s="319" t="s">
        <v>287</v>
      </c>
      <c r="AE6" s="326" t="s">
        <v>253</v>
      </c>
    </row>
    <row r="7" spans="2:39">
      <c r="Q7" s="290" t="s">
        <v>752</v>
      </c>
      <c r="R7" s="340" t="s">
        <v>252</v>
      </c>
      <c r="S7" s="314" t="s">
        <v>252</v>
      </c>
      <c r="AD7" s="316" t="s">
        <v>752</v>
      </c>
      <c r="AE7" s="326" t="s">
        <v>252</v>
      </c>
    </row>
    <row r="8" spans="2:39">
      <c r="B8" s="131" t="s">
        <v>765</v>
      </c>
      <c r="C8" s="329">
        <f>C9/C12</f>
        <v>6513554.7073459867</v>
      </c>
      <c r="Q8" s="290" t="s">
        <v>753</v>
      </c>
      <c r="R8" s="340" t="s">
        <v>252</v>
      </c>
      <c r="S8" s="314" t="s">
        <v>252</v>
      </c>
      <c r="AD8" s="316" t="s">
        <v>753</v>
      </c>
      <c r="AE8" s="326" t="s">
        <v>252</v>
      </c>
    </row>
    <row r="9" spans="2:39">
      <c r="B9" s="107" t="s">
        <v>346</v>
      </c>
      <c r="C9" s="330">
        <v>100000000</v>
      </c>
      <c r="Q9" s="290" t="s">
        <v>756</v>
      </c>
      <c r="R9" s="340" t="s">
        <v>757</v>
      </c>
      <c r="S9" s="314" t="s">
        <v>757</v>
      </c>
      <c r="AD9" s="316"/>
      <c r="AE9" s="326" t="s">
        <v>763</v>
      </c>
    </row>
    <row r="10" spans="2:39">
      <c r="G10" s="116" t="s">
        <v>766</v>
      </c>
      <c r="H10" s="286">
        <f ca="1">AW38</f>
        <v>3.0377509261871672E-8</v>
      </c>
      <c r="I10" s="342"/>
      <c r="Q10" s="290" t="s">
        <v>759</v>
      </c>
      <c r="R10" s="340"/>
      <c r="S10" s="314"/>
      <c r="AD10" s="316" t="s">
        <v>759</v>
      </c>
      <c r="AE10" s="326"/>
    </row>
    <row r="11" spans="2:39">
      <c r="B11" s="10"/>
      <c r="C11" s="11"/>
      <c r="Q11" s="290" t="s">
        <v>760</v>
      </c>
      <c r="R11" s="339"/>
      <c r="S11" s="313"/>
      <c r="AD11" s="316" t="s">
        <v>760</v>
      </c>
      <c r="AE11" s="325"/>
    </row>
    <row r="12" spans="2:39">
      <c r="B12" s="115" t="s">
        <v>764</v>
      </c>
      <c r="C12" s="173">
        <f>D12</f>
        <v>15.352600000000001</v>
      </c>
      <c r="D12" s="115">
        <f>'RISK INPUT'!BA6</f>
        <v>15.352600000000001</v>
      </c>
      <c r="Q12" s="290" t="s">
        <v>761</v>
      </c>
      <c r="R12" s="339"/>
      <c r="S12" s="313"/>
      <c r="V12" s="115" t="str">
        <f ca="1">_xll.ohRangeRetrieveError(V13)</f>
        <v/>
      </c>
      <c r="AD12" s="316" t="s">
        <v>761</v>
      </c>
      <c r="AE12" s="325"/>
    </row>
    <row r="13" spans="2:39">
      <c r="G13" s="118" t="s">
        <v>270</v>
      </c>
      <c r="H13" s="119" t="s">
        <v>280</v>
      </c>
      <c r="I13" s="134"/>
      <c r="J13" s="287"/>
      <c r="K13" s="118" t="s">
        <v>270</v>
      </c>
      <c r="L13" s="119" t="s">
        <v>280</v>
      </c>
      <c r="M13" s="134"/>
      <c r="N13" s="134"/>
      <c r="O13" s="279"/>
      <c r="Q13" s="290" t="s">
        <v>247</v>
      </c>
      <c r="R13" s="340"/>
      <c r="S13" s="314"/>
      <c r="V13" s="115" t="str">
        <f ca="1">_xll.qlVanillaSwap(,"RECEIVER",$C$8,S22,Q22,$R$6,R22,$S$18,,$R$6,$S$7)</f>
        <v>obj_00102#0258</v>
      </c>
      <c r="W13" s="343">
        <f ca="1">_xll.qlInstrumentNPV(_xll.qlVanillaSwap(,"RECEIVER",$C$8,S22,Q22,$R$6,R22,$S$18,,$R$6,$S$7),_xll.qlInstrumentSetPricingEngine(_xll.qlVanillaSwap(,"RECEIVER",$C$8,S22,Q22,$R$6,R22,$S$18,,$R$6,$S$7),$R$16))/$C$12</f>
        <v>0</v>
      </c>
      <c r="X13" s="115" t="str">
        <f ca="1">_xll.qlVanillaSwap(,"RECEIVER",$C$8,S22,Q22,$R$6,R22,$R$18,,$R$6,$S$7)</f>
        <v>obj_00166#0258</v>
      </c>
      <c r="Y13" s="115">
        <f ca="1">_xll.qlInstrumentNPV(_xll.qlVanillaSwap(,"RECEIVER",$C$8,S22,Q22,$R$6,R22,$R$18,,$R$6,$S$7),_xll.qlInstrumentSetPricingEngine(_xll.qlVanillaSwap(,"RECEIVER",$C$8,S22,Q22,$R$6,R22,$R$18,,$R$6,$S$7),$S$16))/$C$12</f>
        <v>0</v>
      </c>
      <c r="AD13" s="316" t="s">
        <v>247</v>
      </c>
      <c r="AE13" s="326"/>
      <c r="AM13" s="115" t="str">
        <f ca="1">_xll.ohRangeRetrieveError(AM14)</f>
        <v/>
      </c>
    </row>
    <row r="14" spans="2:39">
      <c r="G14" s="120" t="s">
        <v>269</v>
      </c>
      <c r="H14" s="121" t="s">
        <v>251</v>
      </c>
      <c r="I14" s="134"/>
      <c r="J14" s="287"/>
      <c r="K14" s="120" t="s">
        <v>269</v>
      </c>
      <c r="L14" s="121" t="s">
        <v>251</v>
      </c>
      <c r="M14" s="134"/>
      <c r="N14" s="134"/>
      <c r="O14" s="279"/>
      <c r="Q14" s="290" t="s">
        <v>248</v>
      </c>
      <c r="R14" s="341"/>
      <c r="S14" s="315"/>
      <c r="V14" s="115" t="str">
        <f ca="1">_xll.qlVanillaSwap(,"RECEIVER",$C$8,S23,Q23,$R$6,R23,$S$18,,$R$6,$S$7)</f>
        <v>obj_00111#0258</v>
      </c>
      <c r="W14" s="343">
        <f ca="1">_xll.qlInstrumentNPV(_xll.qlVanillaSwap(,"RECEIVER",$C$8,S23,Q23,$R$6,R23,$S$18,,$R$6,$S$7),_xll.qlInstrumentSetPricingEngine(_xll.qlVanillaSwap(,"RECEIVER",$C$8,S23,Q23,$R$6,R23,$S$18,,$R$6,$S$7),$R$16))/$C$12</f>
        <v>0</v>
      </c>
      <c r="X14" s="115" t="str">
        <f ca="1">_xll.qlVanillaSwap(,"RECEIVER",$C$8,S23,Q23,$R$6,R23,$R$18,,$R$6,$S$7)</f>
        <v>obj_0017b#0258</v>
      </c>
      <c r="Y14" s="115">
        <f ca="1">_xll.qlInstrumentNPV(_xll.qlVanillaSwap(,"RECEIVER",$C$8,S23,Q23,$R$6,R23,$R$18,,$R$6,$S$7),_xll.qlInstrumentSetPricingEngine(_xll.qlVanillaSwap(,"RECEIVER",$C$8,S23,Q23,$R$6,R23,$R$18,,$R$6,$S$7),$S$16))/$C$12</f>
        <v>0</v>
      </c>
      <c r="AD14" s="163" t="s">
        <v>248</v>
      </c>
      <c r="AE14" s="327"/>
      <c r="AM14" s="115">
        <f ca="1">_xll.qlInstrumentNPV(AI24,AK24)</f>
        <v>-8455.1868670774238</v>
      </c>
    </row>
    <row r="15" spans="2:39">
      <c r="G15" s="120" t="s">
        <v>271</v>
      </c>
      <c r="H15" s="121" t="s">
        <v>854</v>
      </c>
      <c r="I15" s="134"/>
      <c r="J15" s="287"/>
      <c r="K15" s="120" t="s">
        <v>271</v>
      </c>
      <c r="L15" s="121" t="s">
        <v>854</v>
      </c>
      <c r="M15" s="134"/>
      <c r="N15" s="134"/>
      <c r="O15" s="279"/>
      <c r="Q15" s="321" t="s">
        <v>295</v>
      </c>
      <c r="R15" s="142" t="str">
        <f ca="1">L17</f>
        <v>MXN_BASIS-COL#0245</v>
      </c>
      <c r="S15" s="140" t="str">
        <f ca="1">M17</f>
        <v>obj_000f6#0246</v>
      </c>
      <c r="V15" s="115" t="str">
        <f ca="1">_xll.qlVanillaSwap(,"RECEIVER",$C$8,S24,Q24,$R$6,R24,$S$18,,$R$6,$S$7)</f>
        <v>obj_0010c#0258</v>
      </c>
      <c r="W15" s="343">
        <f ca="1">_xll.qlInstrumentNPV(_xll.qlVanillaSwap(,"RECEIVER",$C$8,S24,Q24,$R$6,R24,$S$18,,$R$6,$S$7),_xll.qlInstrumentSetPricingEngine(_xll.qlVanillaSwap(,"RECEIVER",$C$8,S24,Q24,$R$6,R24,$S$18,,$R$6,$S$7),$R$16))/$C$12</f>
        <v>6.1136128879125483E-11</v>
      </c>
      <c r="X15" s="115" t="str">
        <f ca="1">_xll.qlVanillaSwap(,"RECEIVER",$C$8,S24,Q24,$R$6,R24,$R$18,,$R$6,$S$7)</f>
        <v>obj_00160#0258</v>
      </c>
      <c r="Y15" s="115">
        <f ca="1">_xll.qlInstrumentNPV(_xll.qlVanillaSwap(,"RECEIVER",$C$8,S24,Q24,$R$6,R24,$R$18,,$R$6,$S$7),_xll.qlInstrumentSetPricingEngine(_xll.qlVanillaSwap(,"RECEIVER",$C$8,S24,Q24,$R$6,R24,$R$18,,$R$6,$S$7),$S$16))/$C$12</f>
        <v>6.1136128879125483E-11</v>
      </c>
      <c r="AD15" s="321" t="s">
        <v>295</v>
      </c>
      <c r="AE15" s="278" t="str">
        <f>'USD OIS'!R4</f>
        <v>USD_OIS_COL00_QL#0000</v>
      </c>
    </row>
    <row r="16" spans="2:39">
      <c r="G16" s="122" t="s">
        <v>273</v>
      </c>
      <c r="H16" s="123" t="s">
        <v>274</v>
      </c>
      <c r="I16" s="134"/>
      <c r="J16" s="287"/>
      <c r="K16" s="122" t="s">
        <v>273</v>
      </c>
      <c r="L16" s="123" t="s">
        <v>274</v>
      </c>
      <c r="M16" s="134"/>
      <c r="N16" s="134"/>
      <c r="O16" s="279"/>
      <c r="Q16" s="318" t="s">
        <v>342</v>
      </c>
      <c r="R16" s="136" t="str">
        <f ca="1">_xll.qlDiscountingSwapEngine("PricingEngine_MXN1",$R$15)</f>
        <v>PricingEngine_MXN1#0245</v>
      </c>
      <c r="S16" s="90" t="str">
        <f ca="1">_xll.qlDiscountingSwapEngine(,$S$15)</f>
        <v>obj_00120#0246</v>
      </c>
      <c r="W16" s="115" t="str">
        <f ca="1">_xll.ohRangeRetrieveError(W14)</f>
        <v/>
      </c>
      <c r="AD16" s="318" t="s">
        <v>342</v>
      </c>
      <c r="AE16" s="115" t="str">
        <f>_xll.qlDiscountingSwapEngine("Pricing Engine_USD",$AE$15)</f>
        <v>Pricing Engine_USD#0000</v>
      </c>
      <c r="AI16" s="115" t="str">
        <f>_xll.ohRangeRetrieveError(AE16)</f>
        <v/>
      </c>
    </row>
    <row r="17" spans="1:49" ht="15.75" thickBot="1">
      <c r="G17" s="124" t="s">
        <v>328</v>
      </c>
      <c r="H17" s="125" t="str">
        <f ca="1">_xll.qlInterpolatedYieldCurve(H20,G21:G37,H21:H37,H14,H13,,,H15,H16)</f>
        <v>MXN_BO_SWAP_COL#0258</v>
      </c>
      <c r="I17" s="135" t="str">
        <f t="array" aca="1" ref="I17" ca="1">_xll.qlInterpolatedYieldCurve(,G21:G37,H21:H37+(O21:O37*$H$6),H14,H13,,,H15,H16)</f>
        <v>obj_000fa#0258</v>
      </c>
      <c r="J17" s="287"/>
      <c r="K17" s="124" t="s">
        <v>328</v>
      </c>
      <c r="L17" s="125" t="str">
        <f ca="1">_xll.qlInterpolatedYieldCurve(L20,K23:K37,L23:L37,L14,L13,,,L15,L16)</f>
        <v>MXN_BASIS-COL#0245</v>
      </c>
      <c r="M17" s="135" t="str">
        <f t="array" aca="1" ref="M17" ca="1">_xll.qlInterpolatedYieldCurve(,K23:K37,L23:L37+(O23:O37*$H$6),L14,L13,,,L15,L16)</f>
        <v>obj_000f6#0246</v>
      </c>
      <c r="N17" s="135"/>
      <c r="O17" s="279"/>
      <c r="Q17" s="318" t="s">
        <v>789</v>
      </c>
      <c r="R17" s="136" t="str">
        <f ca="1">H17</f>
        <v>MXN_BO_SWAP_COL#0258</v>
      </c>
      <c r="S17" s="90" t="str">
        <f ca="1">I17</f>
        <v>obj_000fa#0258</v>
      </c>
      <c r="U17" s="115" t="str">
        <f ca="1">_xll.ohRangeRetrieveError(R18)</f>
        <v/>
      </c>
      <c r="AD17" s="318" t="s">
        <v>789</v>
      </c>
      <c r="AE17" s="278" t="str">
        <f ca="1">'USD 1m'!R4</f>
        <v>USD_SWAP_1M_QL#0000</v>
      </c>
    </row>
    <row r="18" spans="1:49" ht="18" thickBot="1">
      <c r="B18" s="176" t="s">
        <v>199</v>
      </c>
      <c r="H18" s="115" t="str">
        <f ca="1">_xll.qlPiecewiseYieldCurve(H20&amp;"2",,R5,I22:I37,$R$6)</f>
        <v>MXN_BO_SWAP_COL2#0258</v>
      </c>
      <c r="L18" s="115" t="str">
        <f ca="1">_xll.qlPiecewiseYieldCurve(L20&amp;"2",,R5,M23:M37,$R$6)</f>
        <v>MXN_BASIS-COL2#0245</v>
      </c>
      <c r="O18" s="279"/>
      <c r="Q18" s="318" t="s">
        <v>790</v>
      </c>
      <c r="R18" s="136" t="str">
        <f ca="1">_xll.qlIborIndex("TIIE_FORWARD","TIIE","28D",,"MXN",$R$5,$R$7,,$R$6,$R$17)</f>
        <v>TIIE_FORWARD#0258</v>
      </c>
      <c r="S18" s="115" t="str">
        <f ca="1">_xll.qlIborIndex("TIIE_FORWARD2","TIIE","28D",,"MXN",$R$5,$R$7,,$R$6,$S$17)</f>
        <v>TIIE_FORWARD2#0258</v>
      </c>
      <c r="X18" s="375">
        <f ca="1">_xll.qlInstrumentNPV(V22,W22)</f>
        <v>0</v>
      </c>
      <c r="Y18" s="115">
        <f ca="1">((1+Q22*(P22-C2)/360)*_xll.qlYieldTSDiscount(L17,P22)-1)*C8</f>
        <v>-1030.2323326603871</v>
      </c>
      <c r="AD18" s="318" t="s">
        <v>790</v>
      </c>
      <c r="AE18" s="115" t="str">
        <f ca="1">AF18</f>
        <v>LIBOR_FORWARD2#0258</v>
      </c>
      <c r="AF18" s="115" t="str">
        <f ca="1">_xll.qlIborIndex("LIBOR_FORWARD"&amp;2,"Libor","1M",,"USD",$R$5,$AE$7,,$AE$6,AE17)</f>
        <v>LIBOR_FORWARD2#0258</v>
      </c>
      <c r="AM18" s="128"/>
      <c r="AN18" s="260"/>
      <c r="AO18" s="260"/>
      <c r="AP18" s="260"/>
      <c r="AQ18" s="260"/>
      <c r="AR18" s="260"/>
      <c r="AS18" s="260"/>
      <c r="AT18" s="260"/>
      <c r="AU18" s="260"/>
      <c r="AV18" s="260"/>
      <c r="AW18" s="115">
        <f ca="1">SQRT(AN24*AN24+Y24*Y24+Y22*Y22+Y23*Y23)</f>
        <v>1.1973200079520801E-9</v>
      </c>
    </row>
    <row r="19" spans="1:49">
      <c r="I19" s="115" t="str">
        <f>_xll.qlDepositRateHelper2(,H22,F22,0,$R$5,"Following",,$R$6)</f>
        <v>obj_00013#0259</v>
      </c>
      <c r="M19" s="136" t="str">
        <f>_xll.qlDepositRateHelper2(,L23,F23,0,$R$5,"Following",,$R$6)</f>
        <v>obj_0000e#0246</v>
      </c>
      <c r="Q19" s="163"/>
      <c r="R19" s="320"/>
      <c r="AD19" s="163"/>
      <c r="AF19" s="115" t="str">
        <f ca="1">_xll.qlLibor("LIBOR_FORWARD"&amp;1,"USD","1M",$AE$17)</f>
        <v>LIBOR_FORWARD1#0258</v>
      </c>
      <c r="AL19" s="306"/>
    </row>
    <row r="20" spans="1:49">
      <c r="G20" s="289" t="s">
        <v>767</v>
      </c>
      <c r="H20" s="140" t="s">
        <v>301</v>
      </c>
      <c r="I20" s="136"/>
      <c r="K20" s="289" t="s">
        <v>767</v>
      </c>
      <c r="L20" s="140" t="s">
        <v>768</v>
      </c>
      <c r="M20" s="136"/>
      <c r="N20" s="136"/>
      <c r="Q20" s="115" t="str">
        <f ca="1">_xll.ohRangeRetrieveError(T22)</f>
        <v/>
      </c>
      <c r="R20" s="115" t="str">
        <f>_xll.ohRangeRetrieveError(R22)</f>
        <v/>
      </c>
      <c r="X20" s="115">
        <f ca="1">_xll.qlYieldTSDiscount(L17,P22)</f>
        <v>0.99932343351975772</v>
      </c>
      <c r="AK20" s="303"/>
    </row>
    <row r="21" spans="1:49" ht="15.75" thickBot="1">
      <c r="G21" s="335">
        <f>C2</f>
        <v>43705</v>
      </c>
      <c r="H21" s="492">
        <f>H22</f>
        <v>3.7862857898359456E-2</v>
      </c>
      <c r="I21" s="136"/>
      <c r="K21" s="331"/>
      <c r="L21" s="332"/>
      <c r="M21" s="136"/>
      <c r="N21" s="136"/>
      <c r="P21" s="179"/>
      <c r="Q21" s="319" t="s">
        <v>250</v>
      </c>
      <c r="R21" s="115" t="s">
        <v>769</v>
      </c>
      <c r="S21" s="115" t="s">
        <v>770</v>
      </c>
      <c r="T21" s="115" t="s">
        <v>334</v>
      </c>
      <c r="U21" s="115" t="s">
        <v>771</v>
      </c>
      <c r="V21" s="115" t="s">
        <v>772</v>
      </c>
      <c r="X21" s="115" t="s">
        <v>773</v>
      </c>
      <c r="Y21" s="115" t="s">
        <v>774</v>
      </c>
      <c r="Z21" s="115" t="s">
        <v>795</v>
      </c>
      <c r="AA21" s="115" t="s">
        <v>796</v>
      </c>
      <c r="AK21" s="303">
        <v>0</v>
      </c>
      <c r="AL21" s="115" t="s">
        <v>782</v>
      </c>
      <c r="AM21" s="115" t="s">
        <v>339</v>
      </c>
      <c r="AN21" s="115" t="s">
        <v>794</v>
      </c>
      <c r="AU21" s="115" t="s">
        <v>797</v>
      </c>
      <c r="AV21" s="115" t="s">
        <v>798</v>
      </c>
      <c r="AW21" s="115" t="s">
        <v>783</v>
      </c>
    </row>
    <row r="22" spans="1:49">
      <c r="A22" s="115">
        <v>1</v>
      </c>
      <c r="B22" s="291" t="str">
        <f>'RISK INPUT'!O6</f>
        <v>DEPO-MXN-FIX-O/N-</v>
      </c>
      <c r="C22" s="292">
        <f>'RISK INPUT'!P6</f>
        <v>3.7349999999999999</v>
      </c>
      <c r="F22" s="115" t="str">
        <f t="shared" ref="F22:F37" si="0">A22&amp;"D"</f>
        <v>1D</v>
      </c>
      <c r="G22" s="335">
        <f t="shared" ref="G22:G37" si="1">P22</f>
        <v>43710</v>
      </c>
      <c r="H22" s="492">
        <v>3.7862857898359456E-2</v>
      </c>
      <c r="I22" s="136" t="str">
        <f>_xll.qlSwapRateHelper2(,H22,,F22,$R$5,"Annual","Unadjusted",$R$6,$T$5,0,"0d")</f>
        <v>obj_00003#0259</v>
      </c>
      <c r="K22" s="331"/>
      <c r="L22" s="332"/>
      <c r="M22" s="136"/>
      <c r="N22" s="136"/>
      <c r="O22" s="348"/>
      <c r="P22" s="288">
        <f>_xll.qlCalendarAdvance($R$5,$C$3+A22,"0D",$R$7)</f>
        <v>43710</v>
      </c>
      <c r="Q22" s="353">
        <f t="shared" ref="Q22:Q37" si="2">C22/100</f>
        <v>3.7350000000000001E-2</v>
      </c>
      <c r="R22" s="354" t="str">
        <f>_xll.qlSchedule(,$R$2,P22,$R$4,$R$5,$R$7,$R$8,$R$9,$R$10,$R$11,$R$12,$R$13,$R$14)</f>
        <v>obj_00083#0000</v>
      </c>
      <c r="S22" s="354" t="str">
        <f>_xll.qlSchedule(,$S$2,P22,$S$4,$S$5,$S$7,$S$8,$S$9,$S$10,$S$11,$S$12,$S$13,$S$14)</f>
        <v>obj_000e5#0000</v>
      </c>
      <c r="T22" s="354" t="str">
        <f ca="1">_xll.qlIborLeg(,$R$7,$C$8,R22,,,$R$6,,,$R$18)</f>
        <v>obj_00164#0258</v>
      </c>
      <c r="U22" s="354" t="str">
        <f>_xll.qlFixedRateLeg(,"Following",$C$8,S22,Q22,$S$6)</f>
        <v>obj_000f9#0000</v>
      </c>
      <c r="V22" s="354" t="str">
        <f ca="1">_xll.qlSwap(,T22:U22,$T$38:$U$38)</f>
        <v>obj_00186#0258</v>
      </c>
      <c r="W22" s="354" t="b">
        <f ca="1">_xll.qlInstrumentSetPricingEngine(V22,$R$16)</f>
        <v>1</v>
      </c>
      <c r="X22" s="355">
        <f ca="1">_xll.qlInstrumentNPV(V22,W22)</f>
        <v>0</v>
      </c>
      <c r="Y22" s="374">
        <f ca="1">X22/$C$12</f>
        <v>0</v>
      </c>
      <c r="Z22" s="346">
        <f ca="1">(_xll.qlInstrumentNPV(_xll.qlVanillaSwap(,"RECEIVER",$C$8,S22,Q22,$R$6,R22,$S$18,,$R$6,$S$7),_xll.qlInstrumentSetPricingEngine(_xll.qlVanillaSwap(,"RECEIVER",$C$8,S22,Q22,$R$6,R22,$S$18,,$R$6,$S$7),$R$16))/$C$12-Y22)/$H$6</f>
        <v>0</v>
      </c>
      <c r="AA22" s="346">
        <f ca="1">(_xll.qlInstrumentNPV(_xll.qlVanillaSwap(,"RECEIVER",$C$8,S22,Q22,$R$6,R22,$R$18,,$R$6,$S$7),_xll.qlInstrumentSetPricingEngine(_xll.qlVanillaSwap(,"RECEIVER",$C$8,S22,Q22,$R$6,R22,$R$18,,$R$6,$S$7),$S$16))/$C$12-Y22)/$H$6</f>
        <v>0</v>
      </c>
      <c r="AK22" s="303">
        <v>0</v>
      </c>
    </row>
    <row r="23" spans="1:49">
      <c r="A23" s="115">
        <v>28</v>
      </c>
      <c r="B23" s="293" t="str">
        <f>'RISK INPUT'!O7</f>
        <v>SWAP-MXN-MXNTIIE28D-28D-</v>
      </c>
      <c r="C23" s="294">
        <f>'RISK INPUT'!P7</f>
        <v>4.0999999999999996</v>
      </c>
      <c r="F23" s="115" t="str">
        <f t="shared" si="0"/>
        <v>28D</v>
      </c>
      <c r="G23" s="335">
        <f t="shared" si="1"/>
        <v>43735</v>
      </c>
      <c r="H23" s="492">
        <v>4.126060838215017E-2</v>
      </c>
      <c r="I23" s="136" t="str">
        <f>_xll.qlSwapRateHelper2(,H23,,F23,$R$5,"Annual","Unadjusted",$R$6,$T$5,0,"0d")</f>
        <v>obj_00002#0253</v>
      </c>
      <c r="K23" s="114">
        <f>C2</f>
        <v>43705</v>
      </c>
      <c r="L23" s="491">
        <f>L24</f>
        <v>4.0710550656916845E-2</v>
      </c>
      <c r="M23" s="136" t="str">
        <f>_xll.qlSwapRateHelper2(,L23,,F23,$R$5,"Annual","Unadjusted",$R$6,$T$5,0,"0d")</f>
        <v>obj_0001b#0246</v>
      </c>
      <c r="N23" s="328"/>
      <c r="O23" s="349"/>
      <c r="P23" s="288">
        <f>_xll.qlCalendarAdvance($R$5,$C$3+A23,"0D",$R$7)</f>
        <v>43735</v>
      </c>
      <c r="Q23" s="353">
        <f t="shared" si="2"/>
        <v>4.0999999999999995E-2</v>
      </c>
      <c r="R23" s="354" t="str">
        <f>_xll.qlSchedule(,$R$2,P23,$R$4,$R$5,$R$7,$R$8,$R$9,$R$10,$R$11,$R$12,$R$13,$R$14)</f>
        <v>obj_000ba#0000</v>
      </c>
      <c r="S23" s="354" t="str">
        <f>_xll.qlSchedule(,$S$2,P23,$S$4,$S$5,$S$7,$S$8,$S$9,$S$10,$S$11,$S$12,$S$13,$S$14)</f>
        <v>obj_000da#0000</v>
      </c>
      <c r="T23" s="354" t="str">
        <f ca="1">_xll.qlIborLeg(,$R$7,$C$8,R23,,,$R$6,,,$R$18)</f>
        <v>obj_00171#0258</v>
      </c>
      <c r="U23" s="354" t="str">
        <f>_xll.qlFixedRateLeg(,"Following",$C$8,S23,Q23,$S$6)</f>
        <v>obj_000ff#0000</v>
      </c>
      <c r="V23" s="354" t="str">
        <f ca="1">_xll.qlSwap(,T23:U23,$T$38:$U$38)</f>
        <v>obj_0018b#0258</v>
      </c>
      <c r="W23" s="354" t="b">
        <f ca="1">_xll.qlInstrumentSetPricingEngine(V23,$R$16)</f>
        <v>1</v>
      </c>
      <c r="X23" s="355">
        <f ca="1">_xll.qlInstrumentNPV(V23,W23)</f>
        <v>0</v>
      </c>
      <c r="Y23" s="374">
        <f t="shared" ref="Y23:Y24" ca="1" si="3">X23/$C$12</f>
        <v>0</v>
      </c>
      <c r="Z23" s="346">
        <f ca="1">(_xll.qlInstrumentNPV(_xll.qlVanillaSwap(,"RECEIVER",$C$8,S23,Q23,$R$6,R23,$S$18,,$R$6,$S$7),_xll.qlInstrumentSetPricingEngine(_xll.qlVanillaSwap(,"RECEIVER",$C$8,S23,Q23,$R$6,R23,$S$18,,$R$6,$S$7),$R$16))/$C$12-Y23)/$H$6</f>
        <v>0</v>
      </c>
      <c r="AA23" s="346">
        <f ca="1">(_xll.qlInstrumentNPV(_xll.qlVanillaSwap(,"RECEIVER",$C$8,S23,Q23,$R$6,R23,$R$18,,$R$6,$S$7),_xll.qlInstrumentSetPricingEngine(_xll.qlVanillaSwap(,"RECEIVER",$C$8,S23,Q23,$R$6,R23,$R$18,,$R$6,$S$7),$S$16))/$C$12-Y23)/$H$6</f>
        <v>0</v>
      </c>
      <c r="AD23" s="179" t="s">
        <v>250</v>
      </c>
      <c r="AE23" s="115" t="s">
        <v>775</v>
      </c>
      <c r="AF23" s="115" t="s">
        <v>776</v>
      </c>
      <c r="AG23" s="115" t="s">
        <v>777</v>
      </c>
      <c r="AH23" s="115" t="s">
        <v>778</v>
      </c>
      <c r="AI23" s="115" t="s">
        <v>779</v>
      </c>
      <c r="AJ23" s="115" t="s">
        <v>780</v>
      </c>
      <c r="AK23" s="303" t="s">
        <v>781</v>
      </c>
    </row>
    <row r="24" spans="1:49" ht="15.75" thickBot="1">
      <c r="A24" s="115">
        <v>84</v>
      </c>
      <c r="B24" s="293" t="str">
        <f>'RISK INPUT'!O8</f>
        <v>SWAP-MXN-MXNTIIE28D-84D-</v>
      </c>
      <c r="C24" s="294">
        <f>'RISK INPUT'!P8</f>
        <v>4.2149999999999999</v>
      </c>
      <c r="D24" s="307" t="str">
        <f>'RISK INPUT'!O22</f>
        <v>CCS-USD/MXN-28D-84D-</v>
      </c>
      <c r="E24" s="143">
        <f>'RISK INPUT'!P22</f>
        <v>0.03</v>
      </c>
      <c r="F24" s="115" t="str">
        <f t="shared" si="0"/>
        <v>84D</v>
      </c>
      <c r="G24" s="335">
        <f t="shared" si="1"/>
        <v>43791</v>
      </c>
      <c r="H24" s="492">
        <v>4.2556045428426684E-2</v>
      </c>
      <c r="I24" s="136" t="str">
        <f>_xll.qlSwapRateHelper2(,H24,,F24,$R$5,"Annual","Unadjusted",$R$6,$T$5,0,"0d")</f>
        <v>obj_00001#0246</v>
      </c>
      <c r="K24" s="114">
        <f t="shared" ref="K24:K37" si="4">P24</f>
        <v>43791</v>
      </c>
      <c r="L24" s="491">
        <v>4.0710550656916845E-2</v>
      </c>
      <c r="M24" s="136" t="str">
        <f>_xll.qlSwapRateHelper2(,L24,,F24,$R$5,"Annual","Unadjusted",$R$6,$T$5,0,"0d")</f>
        <v>obj_0001a#0246</v>
      </c>
      <c r="N24" s="351"/>
      <c r="O24" s="349">
        <f t="shared" ref="O24:O35" si="5">IF(ROW(O24)=23+$Y$41,1,0)</f>
        <v>0</v>
      </c>
      <c r="P24" s="288">
        <f>_xll.qlCalendarAdvance($R$5,$C$3+A24,"0D",$R$7)</f>
        <v>43791</v>
      </c>
      <c r="Q24" s="353">
        <f t="shared" si="2"/>
        <v>4.215E-2</v>
      </c>
      <c r="R24" s="354" t="str">
        <f>_xll.qlSchedule(,$R$2,P24,$R$4,$R$5,$R$7,$R$8,$R$9,$R$10,$R$11,$R$12,$R$13,$R$14)</f>
        <v>obj_000eb#0000</v>
      </c>
      <c r="S24" s="354" t="str">
        <f>_xll.qlSchedule(,$S$2,P24,$S$4,$S$5,$S$7,$S$8,$S$9,$S$10,$S$11,$S$12,$S$13,$S$14)</f>
        <v>obj_000d6#0000</v>
      </c>
      <c r="T24" s="354" t="str">
        <f ca="1">_xll.qlIborLeg(,$R$7,$C$8,R24,,,$R$6,,,$R$18)</f>
        <v>obj_00183#0258</v>
      </c>
      <c r="U24" s="354" t="str">
        <f>_xll.qlFixedRateLeg(,"Following",$C$8,S24,Q24,$S$6)</f>
        <v>obj_000fc#0000</v>
      </c>
      <c r="V24" s="354" t="str">
        <f ca="1">_xll.qlSwap(,T24:U24,$T$38:$U$38)</f>
        <v>obj_00192#0258</v>
      </c>
      <c r="W24" s="354" t="b">
        <f ca="1">_xll.qlInstrumentSetPricingEngine(V24,$R$16)</f>
        <v>1</v>
      </c>
      <c r="X24" s="355">
        <f ca="1">_xll.qlInstrumentNPV(V24,W24)</f>
        <v>9.3859853222966194E-10</v>
      </c>
      <c r="Y24" s="356">
        <f t="shared" ca="1" si="3"/>
        <v>6.1136128879125483E-11</v>
      </c>
      <c r="Z24" s="365">
        <f ca="1">(_xll.qlInstrumentNPV(_xll.qlVanillaSwap(,"RECEIVER",$C$8,S24,Q24,$R$6,R24,$S$18,,$R$6,$S$7),_xll.qlInstrumentSetPricingEngine(_xll.qlVanillaSwap(,"RECEIVER",$C$8,S24,Q24,$R$6,R24,$S$18,,$R$6,$S$7),$R$16))/$C$12-Y24)/$H$6</f>
        <v>0</v>
      </c>
      <c r="AA24" s="365">
        <f ca="1">(_xll.qlInstrumentNPV(_xll.qlVanillaSwap(,"RECEIVER",$C$8,S24,Q24,$R$6,R24,$R$18,,$R$6,$S$7),_xll.qlInstrumentSetPricingEngine(_xll.qlVanillaSwap(,"RECEIVER",$C$8,S24,Q24,$R$6,R24,$R$18,,$R$6,$S$7),$S$16))/$C$12-Y24)/$H$6</f>
        <v>0</v>
      </c>
      <c r="AB24" s="61"/>
      <c r="AC24" s="366">
        <f t="shared" ref="AC24:AC37" si="6">P24</f>
        <v>43791</v>
      </c>
      <c r="AD24" s="363">
        <f t="shared" ref="AD24:AD37" si="7">E24/100</f>
        <v>2.9999999999999997E-4</v>
      </c>
      <c r="AE24" s="364" t="str">
        <f ca="1">_xll.qlSchedule(,$AE$2,AC24,$AE$4,$AE$5,$AE$7,$AE$8,$AE$9,$AE$10,AE11,AE12)</f>
        <v>obj_000d2#0258</v>
      </c>
      <c r="AF24" s="364" t="str">
        <f ca="1">_xll.qlIborLeg(,"Following",$C$9,R24,,,"Actual/360",,,$R$18,0)</f>
        <v>obj_00179#0258</v>
      </c>
      <c r="AG24" s="364" t="str">
        <f ca="1">_xll.qlIborLeg(,"Following",$C$8,AE24,,,"Actual/360",,,$AE$18,AD24)</f>
        <v>obj_00229#0258</v>
      </c>
      <c r="AH24" s="364" t="str">
        <f ca="1">_xll.qlSwap(,AF24,$AF$38)</f>
        <v>obj_00194#0258</v>
      </c>
      <c r="AI24" s="364" t="str">
        <f ca="1">_xll.qlSwap(,AG24,$AG$38)</f>
        <v>obj_0022a#0258</v>
      </c>
      <c r="AJ24" s="364" t="b">
        <f ca="1">_xll.qlInstrumentSetPricingEngine(AH24,$R$16)</f>
        <v>1</v>
      </c>
      <c r="AK24" s="367" t="b">
        <f ca="1">_xll.qlInstrumentSetPricingEngine(AI24,$AE$16)</f>
        <v>1</v>
      </c>
      <c r="AL24" s="368" t="e">
        <f ca="1">_xll.qlInstrumentNPV(AH24,AJ24)+IF($AF$38,1,-1)*$C$9*(1-_xll.qlYieldTSDiscount($L$17,AC24))</f>
        <v>#NUM!</v>
      </c>
      <c r="AM24" s="368">
        <f ca="1">_xll.qlInstrumentNPV(AI24,AK24)+IF($AG$38,1,-1)*$C$8*(1-_xll.qlYieldTSDiscount($AE$15,AC24))</f>
        <v>-1448.4372850029613</v>
      </c>
      <c r="AN24" s="369">
        <f t="shared" ref="AN24:AN25" ca="1" si="8">AM24+AL24/$C$12</f>
        <v>-1.1957581591559574E-9</v>
      </c>
      <c r="AO24" s="61" t="str">
        <f ca="1">_xll.qlIborLeg(,"Following",$C$9,R24,,,"Actual/360",,,$S$18,0)</f>
        <v>obj_00109#0258</v>
      </c>
      <c r="AP24" s="370" t="str">
        <f ca="1">_xll.qlSwap(,AO24,$AF$38)</f>
        <v>obj_00114#0258</v>
      </c>
      <c r="AQ24" s="61" t="b">
        <f ca="1">_xll.qlInstrumentSetPricingEngine(AP24,$R$16)</f>
        <v>1</v>
      </c>
      <c r="AR24" s="61" t="str">
        <f ca="1">_xll.qlIborLeg(,"Following",$C$9,R24,,,"Actual/360",,,$R$18,0)</f>
        <v>obj_0015b#0258</v>
      </c>
      <c r="AS24" s="61" t="str">
        <f ca="1">_xll.qlSwap(,AR24,$AF$38)</f>
        <v>obj_0018f#0258</v>
      </c>
      <c r="AT24" s="61" t="b">
        <f ca="1">_xll.qlInstrumentSetPricingEngine(AS24,$S$16)</f>
        <v>1</v>
      </c>
      <c r="AU24" s="371">
        <f ca="1">((_xll.qlInstrumentNPV(AP24,AQ24)+IF($AF$38,1,-1)*$C$9*(1-_xll.qlYieldTSDiscount($L$17,AC24)))/$C$12+AM24-AN24)/$H$6</f>
        <v>0</v>
      </c>
      <c r="AV24" s="371">
        <f ca="1">((_xll.qlInstrumentNPV(AS24,AT24)+IF($AF$38,1,-1)*$C$9*(1-_xll.qlYieldTSDiscount($M$17,AC24)))/$C$12+AM24-AN24)/$H$6</f>
        <v>0</v>
      </c>
      <c r="AW24" s="372">
        <f t="shared" ref="AW24:AW37" ca="1" si="9">SQRT(AN24*AN24+Y24*Y24)</f>
        <v>1.1973200079520801E-9</v>
      </c>
    </row>
    <row r="25" spans="1:49" ht="15.75" thickBot="1">
      <c r="A25" s="297">
        <v>168</v>
      </c>
      <c r="B25" s="298" t="str">
        <f>'RISK INPUT'!O9</f>
        <v>SWAP-MXN-MXNTIIE28D-168D-</v>
      </c>
      <c r="C25" s="294">
        <f>'RISK INPUT'!P9</f>
        <v>4.4349999999999996</v>
      </c>
      <c r="D25" s="298" t="str">
        <f>'RISK INPUT'!O23</f>
        <v>CCS-USD/MXN-28D-168D-</v>
      </c>
      <c r="E25" s="254">
        <f>'RISK INPUT'!P23</f>
        <v>0.15</v>
      </c>
      <c r="F25" s="115" t="str">
        <f t="shared" si="0"/>
        <v>168D</v>
      </c>
      <c r="G25" s="335">
        <f t="shared" si="1"/>
        <v>43875</v>
      </c>
      <c r="H25" s="492">
        <v>4.4818989305172911E-2</v>
      </c>
      <c r="I25" s="136" t="str">
        <f>_xll.qlSwapRateHelper2(,H25,,F25,$R$5,"Annual","Unadjusted",$R$6,$T$5,0,"0d")</f>
        <v>obj_00004#0240</v>
      </c>
      <c r="K25" s="114">
        <f t="shared" si="4"/>
        <v>43875</v>
      </c>
      <c r="L25" s="491">
        <v>4.2060900711715532E-2</v>
      </c>
      <c r="M25" s="136" t="str">
        <f>_xll.qlSwapRateHelper2(,L25,,F25,$R$5,"Annual","Unadjusted",$R$6,$T$5,0,"0d")</f>
        <v>obj_00019#0240</v>
      </c>
      <c r="N25" s="296"/>
      <c r="O25" s="349">
        <f t="shared" si="5"/>
        <v>0</v>
      </c>
      <c r="P25" s="288">
        <f>_xll.qlCalendarAdvance($R$5,$C$3+A25,"0D",$R$7)</f>
        <v>43875</v>
      </c>
      <c r="Q25" s="353">
        <f t="shared" si="2"/>
        <v>4.4349999999999994E-2</v>
      </c>
      <c r="R25" s="354" t="str">
        <f>_xll.qlSchedule(,$R$2,P25,$R$4,$R$5,$R$7,$R$8,$R$9,$R$10,$R$11,$R$12,$R$13,$R$14)</f>
        <v>obj_000e4#0000</v>
      </c>
      <c r="S25" s="354" t="str">
        <f>_xll.qlSchedule(,$S$2,P25,$S$4,$S$5,$S$7,$S$8,$S$9,$S$10,$S$11,$S$12,$S$13,$S$14)</f>
        <v>obj_000a5#0000</v>
      </c>
      <c r="T25" s="354" t="str">
        <f ca="1">_xll.qlIborLeg(,$R$7,$C$8,R25,,,$R$6,,,$R$18)</f>
        <v>obj_0016d#0258</v>
      </c>
      <c r="U25" s="354" t="str">
        <f>_xll.qlFixedRateLeg(,"Following",$C$8,S25,Q25,$S$6)</f>
        <v>obj_000f3#0000</v>
      </c>
      <c r="V25" s="354" t="str">
        <f ca="1">_xll.qlSwap(,T25:U25,$T$38:$U$38)</f>
        <v>obj_001af#0258</v>
      </c>
      <c r="W25" s="354" t="b">
        <f ca="1">_xll.qlInstrumentSetPricingEngine(V25,$R$16)</f>
        <v>1</v>
      </c>
      <c r="X25" s="355">
        <f ca="1">_xll.qlInstrumentNPV(V25,W25)</f>
        <v>-1.4551915228366852E-10</v>
      </c>
      <c r="Y25" s="356">
        <f t="shared" ref="Y25:Y37" ca="1" si="10">X25/$C$12</f>
        <v>-9.4784695936628654E-12</v>
      </c>
      <c r="Z25" s="357">
        <f ca="1">(_xll.qlInstrumentNPV(_xll.qlVanillaSwap(,"RECEIVER",$C$8,S25,Q25,$R$6,R25,$S$18,,$R$6,$S$7),_xll.qlInstrumentSetPricingEngine(_xll.qlVanillaSwap(,"RECEIVER",$C$8,S25,Q25,$R$6,R25,$S$18,,$R$6,$S$7),$R$16))/$C$12-Y25)/$H$6</f>
        <v>0</v>
      </c>
      <c r="AA25" s="357">
        <f ca="1">(_xll.qlInstrumentNPV(_xll.qlVanillaSwap(,"RECEIVER",$C$8,S25,Q25,$R$6,R25,$R$18,,$R$6,$S$7),_xll.qlInstrumentSetPricingEngine(_xll.qlVanillaSwap(,"RECEIVER",$C$8,S25,Q25,$R$6,R25,$R$18,,$R$6,$S$7),$S$16))/$C$12-Y25)/$H$6</f>
        <v>0</v>
      </c>
      <c r="AB25" s="136"/>
      <c r="AC25" s="300">
        <f t="shared" si="6"/>
        <v>43875</v>
      </c>
      <c r="AD25" s="353">
        <f t="shared" si="7"/>
        <v>1.5E-3</v>
      </c>
      <c r="AE25" s="354" t="str">
        <f ca="1">_xll.qlSchedule(,$AE$2,AC25,$AE$4,$AE$5,$AE$7,$AE$8,$AE$9,$AE$10,AE12,AE13)</f>
        <v>obj_000e6#0258</v>
      </c>
      <c r="AF25" s="354" t="str">
        <f ca="1">_xll.qlIborLeg(,"Following",$C$9,R25,,,"Actual/360",,,$R$18,0)</f>
        <v>obj_00157#0258</v>
      </c>
      <c r="AG25" s="354" t="str">
        <f ca="1">_xll.qlIborLeg(,"Following",$C$8,AE25,,,"Actual/360",,,$AE$18,AD25)</f>
        <v>obj_0021d#0258</v>
      </c>
      <c r="AH25" s="354" t="str">
        <f ca="1">_xll.qlSwap(,AF25,$AF$38)</f>
        <v>obj_00190#0258</v>
      </c>
      <c r="AI25" s="354" t="str">
        <f ca="1">_xll.qlSwap(,AG25,$AG$38)</f>
        <v>obj_0021e#0258</v>
      </c>
      <c r="AJ25" s="354" t="b">
        <f ca="1">_xll.qlInstrumentSetPricingEngine(AH25,$R$16)</f>
        <v>1</v>
      </c>
      <c r="AK25" s="358" t="b">
        <f ca="1">_xll.qlInstrumentSetPricingEngine(AI25,$AE$16)</f>
        <v>1</v>
      </c>
      <c r="AL25" s="359">
        <f ca="1">_xll.qlInstrumentNPV(AH25,AJ25)+IF($AF$38,1,-1)*$C$9*(1-_xll.qlYieldTSDiscount($L$17,AC25))</f>
        <v>106106.2202210282</v>
      </c>
      <c r="AM25" s="359">
        <f ca="1">_xll.qlInstrumentNPV(AI25,AK25)+IF($AG$38,1,-1)*$C$8*(1-_xll.qlYieldTSDiscount($AE$15,AC25))</f>
        <v>-6911.2867019928999</v>
      </c>
      <c r="AN25" s="360">
        <f t="shared" ca="1" si="8"/>
        <v>7.8125594882294536E-10</v>
      </c>
      <c r="AO25" s="136" t="str">
        <f ca="1">_xll.qlIborLeg(,"Following",$C$9,R25,,,"Actual/360",,,$S$18,0)</f>
        <v>obj_00108#0258</v>
      </c>
      <c r="AP25" s="361" t="str">
        <f ca="1">_xll.qlSwap(,AO25,$AF$38)</f>
        <v>obj_0011f#0258</v>
      </c>
      <c r="AQ25" s="136" t="b">
        <f ca="1">_xll.qlInstrumentSetPricingEngine(AP25,$R$16)</f>
        <v>1</v>
      </c>
      <c r="AR25" s="136" t="str">
        <f ca="1">_xll.qlIborLeg(,"Following",$C$9,R25,,,"Actual/360",,,$R$18,0)</f>
        <v>obj_00173#0258</v>
      </c>
      <c r="AS25" s="136" t="str">
        <f ca="1">_xll.qlSwap(,AR25,$AF$38)</f>
        <v>obj_001a5#0258</v>
      </c>
      <c r="AT25" s="136" t="b">
        <f ca="1">_xll.qlInstrumentSetPricingEngine(AS25,$S$16)</f>
        <v>1</v>
      </c>
      <c r="AU25" s="362">
        <f ca="1">((_xll.qlInstrumentNPV(AP25,AQ25)+IF($AF$38,1,-1)*$C$9*(1-_xll.qlYieldTSDiscount($L$17,AC25)))/$C$12+AM25-AN25)/$H$6</f>
        <v>0</v>
      </c>
      <c r="AV25" s="362">
        <f ca="1">((_xll.qlInstrumentNPV(AS25,AT25)+IF($AF$38,1,-1)*$C$9*(1-_xll.qlYieldTSDiscount($M$17,AC25)))/$C$12+AM25-AN25)/$H$6</f>
        <v>0</v>
      </c>
      <c r="AW25" s="309">
        <f t="shared" ca="1" si="9"/>
        <v>7.8131344475637857E-10</v>
      </c>
    </row>
    <row r="26" spans="1:49">
      <c r="A26" s="115">
        <v>252</v>
      </c>
      <c r="B26" s="299" t="str">
        <f>'RISK INPUT'!O10</f>
        <v>SWAP-MXN-MXNTIIE28D-252D-</v>
      </c>
      <c r="C26" s="294">
        <f>'RISK INPUT'!P10</f>
        <v>4.6050000000000004</v>
      </c>
      <c r="D26" s="299" t="str">
        <f>'RISK INPUT'!O24</f>
        <v>CCS-USD/MXN-28D-252D-</v>
      </c>
      <c r="E26" s="254">
        <f>'RISK INPUT'!P24</f>
        <v>0.34</v>
      </c>
      <c r="F26" s="115" t="str">
        <f t="shared" si="0"/>
        <v>252D</v>
      </c>
      <c r="G26" s="335">
        <f t="shared" si="1"/>
        <v>43959</v>
      </c>
      <c r="H26" s="492">
        <v>4.6563057016856646E-2</v>
      </c>
      <c r="I26" s="136" t="str">
        <f>_xll.qlSwapRateHelper2(,H26,,F26,$R$5,"Annual","Unadjusted",$R$6,$T$5,0,"0d")</f>
        <v>obj_00016#0235</v>
      </c>
      <c r="K26" s="114">
        <f t="shared" si="4"/>
        <v>43959</v>
      </c>
      <c r="L26" s="491">
        <v>4.1915895104230515E-2</v>
      </c>
      <c r="M26" s="136" t="str">
        <f>_xll.qlSwapRateHelper2(,L26,,F26,$R$5,"Annual","Unadjusted",$R$6,$T$5,0,"0d")</f>
        <v>obj_00018#0235</v>
      </c>
      <c r="N26" s="296"/>
      <c r="O26" s="349">
        <f t="shared" si="5"/>
        <v>0</v>
      </c>
      <c r="P26" s="288">
        <f>_xll.qlCalendarAdvance($R$5,$C$3+A26,"0D",$R$7)</f>
        <v>43959</v>
      </c>
      <c r="Q26" s="312">
        <f t="shared" si="2"/>
        <v>4.6050000000000008E-2</v>
      </c>
      <c r="R26" s="323" t="str">
        <f>_xll.qlSchedule(,$R$2,P26,$R$4,$R$5,$R$7,$R$8,$R$9,$R$10,$R$11,$R$12,$R$13,$R$14)</f>
        <v>obj_000c3#0000</v>
      </c>
      <c r="S26" s="323" t="str">
        <f>_xll.qlSchedule(,$S$2,P26,$S$4,$S$5,$S$7,$S$8,$S$9,$S$10,$S$11,$S$12,$S$13,$S$14)</f>
        <v>obj_000a4#0000</v>
      </c>
      <c r="T26" s="354" t="str">
        <f ca="1">_xll.qlIborLeg(,$R$7,$C$8,R26,,,$R$6,,,$R$18)</f>
        <v>obj_0016f#0258</v>
      </c>
      <c r="U26" s="323" t="str">
        <f>_xll.qlFixedRateLeg(,"Following",$C$8,S26,Q26,$S$6)</f>
        <v>obj_000ae#0000</v>
      </c>
      <c r="V26" s="323" t="str">
        <f ca="1">_xll.qlSwap(,T26:U26,$T$38:$U$38)</f>
        <v>obj_00196#0258</v>
      </c>
      <c r="W26" s="323" t="b">
        <f ca="1">_xll.qlInstrumentSetPricingEngine(V26,$R$16)</f>
        <v>1</v>
      </c>
      <c r="X26" s="295">
        <f ca="1">_xll.qlInstrumentNPV(V26,W26)</f>
        <v>-1.076841726899147E-9</v>
      </c>
      <c r="Y26" s="344">
        <f t="shared" ca="1" si="10"/>
        <v>-7.0140674993105202E-11</v>
      </c>
      <c r="Z26" s="346">
        <f ca="1">(_xll.qlInstrumentNPV(_xll.qlVanillaSwap(,"RECEIVER",$C$8,S26,Q26,$R$6,R26,$S$18,,$R$6,$S$7),_xll.qlInstrumentSetPricingEngine(_xll.qlVanillaSwap(,"RECEIVER",$C$8,S26,Q26,$R$6,R26,$S$18,,$R$6,$S$7),$R$16))/$C$12-Y26)/$H$6</f>
        <v>0</v>
      </c>
      <c r="AA26" s="346">
        <f ca="1">(_xll.qlInstrumentNPV(_xll.qlVanillaSwap(,"RECEIVER",$C$8,S26,Q26,$R$6,R26,$R$18,,$R$6,$S$7),_xll.qlInstrumentSetPricingEngine(_xll.qlVanillaSwap(,"RECEIVER",$C$8,S26,Q26,$R$6,R26,$R$18,,$R$6,$S$7),$S$16))/$C$12-Y26)/$H$6</f>
        <v>0</v>
      </c>
      <c r="AC26" s="300">
        <f t="shared" si="6"/>
        <v>43959</v>
      </c>
      <c r="AD26" s="312">
        <f t="shared" si="7"/>
        <v>3.4000000000000002E-3</v>
      </c>
      <c r="AE26" s="323" t="str">
        <f ca="1">_xll.qlSchedule(,$AE$2,AC26,$AE$4,$AE$5,$AE$7,$AE$8,$AE$9,$AE$10,AE13,AE14)</f>
        <v>obj_000b0#0258</v>
      </c>
      <c r="AF26" s="323" t="str">
        <f ca="1">_xll.qlIborLeg(,"Following",$C$9,R26,,,"Actual/360",,,$R$18,0)</f>
        <v>obj_00175#0258</v>
      </c>
      <c r="AG26" s="323" t="str">
        <f ca="1">_xll.qlIborLeg(,"Following",$C$8,AE26,,,"Actual/360",,,$AE$18,AD26)</f>
        <v>obj_00223#0258</v>
      </c>
      <c r="AH26" s="323" t="str">
        <f ca="1">_xll.qlSwap(,AF26,$AF$38)</f>
        <v>obj_0018a#0258</v>
      </c>
      <c r="AI26" s="323" t="str">
        <f ca="1">_xll.qlSwap(,AG26,$AG$38)</f>
        <v>obj_00224#0258</v>
      </c>
      <c r="AJ26" s="323" t="b">
        <f ca="1">_xll.qlInstrumentSetPricingEngine(AH26,$R$16)</f>
        <v>1</v>
      </c>
      <c r="AK26" s="336" t="b">
        <f ca="1">_xll.qlInstrumentSetPricingEngine(AI26,$AE$16)</f>
        <v>1</v>
      </c>
      <c r="AL26" s="308">
        <f ca="1">_xll.qlInstrumentNPV(AH26,AJ26)+IF($AF$38,1,-1)*$C$9*(1-_xll.qlYieldTSDiscount($L$17,AC26))</f>
        <v>296648.33251643693</v>
      </c>
      <c r="AM26" s="308">
        <f ca="1">_xll.qlInstrumentNPV(AI26,AK26)+IF($AG$38,1,-1)*$C$8*(1-_xll.qlYieldTSDiscount($AE$15,AC26))</f>
        <v>-19322.351426886904</v>
      </c>
      <c r="AN26" s="345">
        <f t="shared" ref="AN26:AN37" ca="1" si="11">AM26+AL26/$C$12</f>
        <v>8.4764906205236912E-10</v>
      </c>
      <c r="AO26" s="115" t="str">
        <f ca="1">_xll.qlIborLeg(,"Following",$C$9,R26,,,"Actual/360",,,$S$18,0)</f>
        <v>obj_00104#0258</v>
      </c>
      <c r="AP26" s="179" t="str">
        <f ca="1">_xll.qlSwap(,AO26,$AF$38)</f>
        <v>obj_00117#0258</v>
      </c>
      <c r="AQ26" s="115" t="b">
        <f ca="1">_xll.qlInstrumentSetPricingEngine(AP26,$R$16)</f>
        <v>1</v>
      </c>
      <c r="AR26" s="115" t="str">
        <f ca="1">_xll.qlIborLeg(,"Following",$C$9,R26,,,"Actual/360",,,$R$18,0)</f>
        <v>obj_0017d#0258</v>
      </c>
      <c r="AS26" s="115" t="str">
        <f ca="1">_xll.qlSwap(,AR26,$AF$38)</f>
        <v>obj_001a3#0258</v>
      </c>
      <c r="AT26" s="115" t="b">
        <f ca="1">_xll.qlInstrumentSetPricingEngine(AS26,$S$16)</f>
        <v>1</v>
      </c>
      <c r="AU26" s="347">
        <f ca="1">((_xll.qlInstrumentNPV(AP26,AQ26)+IF($AF$38,1,-1)*$C$9*(1-_xll.qlYieldTSDiscount($L$17,AC26)))/$C$12+AM26-AN26)/$H$6</f>
        <v>0</v>
      </c>
      <c r="AV26" s="347">
        <f ca="1">((_xll.qlInstrumentNPV(AS26,AT26)+IF($AF$38,1,-1)*$C$9*(1-_xll.qlYieldTSDiscount($M$17,AC26)))/$C$12+AM26-AN26)/$H$6</f>
        <v>0</v>
      </c>
      <c r="AW26" s="309">
        <f t="shared" ca="1" si="9"/>
        <v>8.5054608733845196E-10</v>
      </c>
    </row>
    <row r="27" spans="1:49">
      <c r="A27" s="115">
        <v>364</v>
      </c>
      <c r="B27" s="291" t="str">
        <f>'RISK INPUT'!O11</f>
        <v>SWAP-MXN-MXNTIIE28D-364D-</v>
      </c>
      <c r="C27" s="294">
        <f>'RISK INPUT'!P11</f>
        <v>4.7383499999999996</v>
      </c>
      <c r="D27" s="291" t="str">
        <f>'RISK INPUT'!O25</f>
        <v>CCS-USD/MXN-28D-364D-</v>
      </c>
      <c r="E27" s="254">
        <f>'RISK INPUT'!P25</f>
        <v>0.53</v>
      </c>
      <c r="F27" s="115" t="str">
        <f t="shared" si="0"/>
        <v>364D</v>
      </c>
      <c r="G27" s="335">
        <f t="shared" si="1"/>
        <v>44071</v>
      </c>
      <c r="H27" s="492">
        <v>4.793592632961937E-2</v>
      </c>
      <c r="I27" s="136" t="str">
        <f>_xll.qlSwapRateHelper2(,H27,,F27,$R$5,"Annual","Unadjusted",$R$6,$T$5,0,"0d")</f>
        <v>obj_00015#0230</v>
      </c>
      <c r="K27" s="114">
        <f t="shared" si="4"/>
        <v>44071</v>
      </c>
      <c r="L27" s="491">
        <v>4.1281155447422009E-2</v>
      </c>
      <c r="M27" s="136" t="str">
        <f>_xll.qlSwapRateHelper2(,L27,,F27,$R$5,"Annual","Unadjusted",$R$6,$T$5,0,"0d")</f>
        <v>obj_00021#0230</v>
      </c>
      <c r="N27" s="296"/>
      <c r="O27" s="349">
        <f t="shared" si="5"/>
        <v>0</v>
      </c>
      <c r="P27" s="288">
        <f>_xll.qlCalendarAdvance($R$5,$C$3+A27,"0D",$R$7)</f>
        <v>44071</v>
      </c>
      <c r="Q27" s="312">
        <f t="shared" si="2"/>
        <v>4.7383499999999995E-2</v>
      </c>
      <c r="R27" s="323" t="str">
        <f>_xll.qlSchedule(,$R$2,P27,$R$4,$R$5,$R$7,$R$8,$R$9,$R$10,$R$11,$R$12,$R$13,$R$14)</f>
        <v>obj_000ec#0000</v>
      </c>
      <c r="S27" s="323" t="str">
        <f>_xll.qlSchedule(,$S$2,P27,$S$4,$S$5,$S$7,$S$8,$S$9,$S$10,$S$11,$S$12,$S$13,$S$14)</f>
        <v>obj_000ac#0000</v>
      </c>
      <c r="T27" s="354" t="str">
        <f ca="1">_xll.qlIborLeg(,$R$7,$C$8,R27,,,$R$6,,,$R$18)</f>
        <v>obj_0016a#0258</v>
      </c>
      <c r="U27" s="323" t="str">
        <f>_xll.qlFixedRateLeg(,"Following",$C$8,S27,Q27,$S$6)</f>
        <v>obj_000f5#0000</v>
      </c>
      <c r="V27" s="323" t="str">
        <f ca="1">_xll.qlSwap(,T27:U27,$T$38:$U$38)</f>
        <v>obj_001a7#0258</v>
      </c>
      <c r="W27" s="323" t="b">
        <f ca="1">_xll.qlInstrumentSetPricingEngine(V27,$R$16)</f>
        <v>1</v>
      </c>
      <c r="X27" s="295">
        <f ca="1">_xll.qlInstrumentNPV(V27,W27)</f>
        <v>4.0745362639427185E-10</v>
      </c>
      <c r="Y27" s="344">
        <f t="shared" ca="1" si="10"/>
        <v>2.6539714862256023E-11</v>
      </c>
      <c r="Z27" s="346">
        <f ca="1">(_xll.qlInstrumentNPV(_xll.qlVanillaSwap(,"RECEIVER",$C$8,S27,Q27,$R$6,R27,$S$18,,$R$6,$S$7),_xll.qlInstrumentSetPricingEngine(_xll.qlVanillaSwap(,"RECEIVER",$C$8,S27,Q27,$R$6,R27,$S$18,,$R$6,$S$7),$R$16))/$C$12-Y27)/$H$6</f>
        <v>0</v>
      </c>
      <c r="AA27" s="346">
        <f ca="1">(_xll.qlInstrumentNPV(_xll.qlVanillaSwap(,"RECEIVER",$C$8,S27,Q27,$R$6,R27,$R$18,,$R$6,$S$7),_xll.qlInstrumentSetPricingEngine(_xll.qlVanillaSwap(,"RECEIVER",$C$8,S27,Q27,$R$6,R27,$R$18,,$R$6,$S$7),$S$16))/$C$12-Y27)/$H$6</f>
        <v>0</v>
      </c>
      <c r="AC27" s="288">
        <f t="shared" si="6"/>
        <v>44071</v>
      </c>
      <c r="AD27" s="312">
        <f t="shared" si="7"/>
        <v>5.3E-3</v>
      </c>
      <c r="AE27" s="323" t="str">
        <f ca="1">_xll.qlSchedule(,$AE$2,AC27,$AE$4,$AE$5,$AE$7,$AE$8,$AE$9,$AE$10,AE14,Input!O51)</f>
        <v>obj_000de#0258</v>
      </c>
      <c r="AF27" s="323" t="str">
        <f ca="1">_xll.qlIborLeg(,"Following",$C$9,R27,,,"Actual/360",,,$R$18,0)</f>
        <v>obj_00168#0258</v>
      </c>
      <c r="AG27" s="323" t="str">
        <f ca="1">_xll.qlIborLeg(,"Following",$C$8,AE27,,,"Actual/360",,,$AE$18,AD27)</f>
        <v>obj_00221#0258</v>
      </c>
      <c r="AH27" s="323" t="str">
        <f ca="1">_xll.qlSwap(,AF27,$AF$38)</f>
        <v>obj_0018d#0258</v>
      </c>
      <c r="AI27" s="323" t="str">
        <f ca="1">_xll.qlSwap(,AG27,$AG$38)</f>
        <v>obj_00222#0258</v>
      </c>
      <c r="AJ27" s="323" t="b">
        <f ca="1">_xll.qlInstrumentSetPricingEngine(AH27,$R$16)</f>
        <v>1</v>
      </c>
      <c r="AK27" s="336" t="b">
        <f ca="1">_xll.qlInstrumentSetPricingEngine(AI27,$AE$16)</f>
        <v>1</v>
      </c>
      <c r="AL27" s="308">
        <f ca="1">_xll.qlInstrumentNPV(AH27,AJ27)+IF($AF$38,1,-1)*$C$9*(1-_xll.qlYieldTSDiscount($L$17,AC27))</f>
        <v>629162.56858403981</v>
      </c>
      <c r="AM27" s="308">
        <f ca="1">_xll.qlInstrumentNPV(AI27,AK27)+IF($AG$38,1,-1)*$C$8*(1-_xll.qlYieldTSDiscount($AE$15,AC27))</f>
        <v>-40980.848102865224</v>
      </c>
      <c r="AN27" s="345">
        <f t="shared" ca="1" si="11"/>
        <v>-5.7480065152049065E-10</v>
      </c>
      <c r="AO27" s="115" t="str">
        <f ca="1">_xll.qlIborLeg(,"Following",$C$9,R27,,,"Actual/360",,,$S$18,0)</f>
        <v>obj_0010e#0258</v>
      </c>
      <c r="AP27" s="179" t="str">
        <f ca="1">_xll.qlSwap(,AO27,$AF$38)</f>
        <v>obj_00112#0258</v>
      </c>
      <c r="AQ27" s="115" t="b">
        <f ca="1">_xll.qlInstrumentSetPricingEngine(AP27,$R$16)</f>
        <v>1</v>
      </c>
      <c r="AR27" s="115" t="str">
        <f ca="1">_xll.qlIborLeg(,"Following",$C$9,R27,,,"Actual/360",,,$R$18,0)</f>
        <v>obj_0017f#0258</v>
      </c>
      <c r="AS27" s="115" t="str">
        <f ca="1">_xll.qlSwap(,AR27,$AF$38)</f>
        <v>obj_00193#0258</v>
      </c>
      <c r="AT27" s="115" t="b">
        <f ca="1">_xll.qlInstrumentSetPricingEngine(AS27,$S$16)</f>
        <v>1</v>
      </c>
      <c r="AU27" s="347">
        <f ca="1">((_xll.qlInstrumentNPV(AP27,AQ27)+IF($AF$38,1,-1)*$C$9*(1-_xll.qlYieldTSDiscount($L$17,AC27)))/$C$12+AM27-AN27)/$H$6</f>
        <v>0</v>
      </c>
      <c r="AV27" s="347">
        <f ca="1">((_xll.qlInstrumentNPV(AS27,AT27)+IF($AF$38,1,-1)*$C$9*(1-_xll.qlYieldTSDiscount($M$17,AC27)))/$C$12+AM27-AN27)/$H$6</f>
        <v>0</v>
      </c>
      <c r="AW27" s="309">
        <f t="shared" ca="1" si="9"/>
        <v>5.7541302162303413E-10</v>
      </c>
    </row>
    <row r="28" spans="1:49">
      <c r="A28" s="115">
        <v>728</v>
      </c>
      <c r="B28" s="291" t="str">
        <f>'RISK INPUT'!O12</f>
        <v>SWAP-MXN-MXNTIIE28D-728D-</v>
      </c>
      <c r="C28" s="294">
        <f>'RISK INPUT'!P12</f>
        <v>5.01</v>
      </c>
      <c r="D28" s="291" t="str">
        <f>'RISK INPUT'!O26</f>
        <v>CCS-USD/MXN-28D-728D-</v>
      </c>
      <c r="E28" s="254">
        <f>'RISK INPUT'!P26</f>
        <v>0.69</v>
      </c>
      <c r="F28" s="115" t="str">
        <f t="shared" si="0"/>
        <v>728D</v>
      </c>
      <c r="G28" s="335">
        <f t="shared" si="1"/>
        <v>44435</v>
      </c>
      <c r="H28" s="492">
        <v>5.0749310421499168E-2</v>
      </c>
      <c r="I28" s="136" t="str">
        <f>_xll.qlSwapRateHelper2(,H28,,F28,$R$5,"Annual","Unadjusted",$R$6,$T$5,0,"0d")</f>
        <v>obj_00014#0225</v>
      </c>
      <c r="K28" s="114">
        <f t="shared" si="4"/>
        <v>44435</v>
      </c>
      <c r="L28" s="491">
        <v>4.2201003017161426E-2</v>
      </c>
      <c r="M28" s="136" t="str">
        <f>_xll.qlSwapRateHelper2(,L28,,F28,$R$5,"Annual","Unadjusted",$R$6,$T$5,0,"0d")</f>
        <v>obj_00012#0225</v>
      </c>
      <c r="N28" s="296"/>
      <c r="O28" s="349">
        <f t="shared" si="5"/>
        <v>0</v>
      </c>
      <c r="P28" s="288">
        <f>_xll.qlCalendarAdvance($R$5,$C$3+A28,"0D",$R$7)</f>
        <v>44435</v>
      </c>
      <c r="Q28" s="312">
        <f t="shared" si="2"/>
        <v>5.0099999999999999E-2</v>
      </c>
      <c r="R28" s="323" t="str">
        <f>_xll.qlSchedule(,$R$2,P28,$R$4,$R$5,$R$7,$R$8,$R$9,$R$10,$R$11,$R$12,$R$13,$R$14)</f>
        <v>obj_000be#0000</v>
      </c>
      <c r="S28" s="323" t="str">
        <f>_xll.qlSchedule(,$S$2,P28,$S$4,$S$5,$S$7,$S$8,$S$9,$S$10,$S$11,$S$12,$S$13,$S$14)</f>
        <v>obj_000d3#0000</v>
      </c>
      <c r="T28" s="354" t="str">
        <f ca="1">_xll.qlIborLeg(,$R$7,$C$8,R28,,,$R$6,,,$R$18)</f>
        <v>obj_0014f#0258</v>
      </c>
      <c r="U28" s="323" t="str">
        <f>_xll.qlFixedRateLeg(,"Following",$C$8,S28,Q28,$S$6)</f>
        <v>obj_000f2#0000</v>
      </c>
      <c r="V28" s="323" t="str">
        <f ca="1">_xll.qlSwap(,T28:U28,$T$38:$U$38)</f>
        <v>obj_001ac#0258</v>
      </c>
      <c r="W28" s="323" t="b">
        <f ca="1">_xll.qlInstrumentSetPricingEngine(V28,$R$16)</f>
        <v>1</v>
      </c>
      <c r="X28" s="295">
        <f ca="1">_xll.qlInstrumentNPV(V28,W28)</f>
        <v>-2.7939677238464355E-9</v>
      </c>
      <c r="Y28" s="344">
        <f t="shared" ca="1" si="10"/>
        <v>-1.8198661619832702E-10</v>
      </c>
      <c r="Z28" s="346">
        <f ca="1">(_xll.qlInstrumentNPV(_xll.qlVanillaSwap(,"RECEIVER",$C$8,S28,Q28,$R$6,R28,$S$18,,$R$6,$S$7),_xll.qlInstrumentSetPricingEngine(_xll.qlVanillaSwap(,"RECEIVER",$C$8,S28,Q28,$R$6,R28,$S$18,,$R$6,$S$7),$R$16))/$C$12-Y28)/$H$6</f>
        <v>0</v>
      </c>
      <c r="AA28" s="346">
        <f ca="1">(_xll.qlInstrumentNPV(_xll.qlVanillaSwap(,"RECEIVER",$C$8,S28,Q28,$R$6,R28,$R$18,,$R$6,$S$7),_xll.qlInstrumentSetPricingEngine(_xll.qlVanillaSwap(,"RECEIVER",$C$8,S28,Q28,$R$6,R28,$R$18,,$R$6,$S$7),$S$16))/$C$12-Y28)/$H$6</f>
        <v>0</v>
      </c>
      <c r="AC28" s="288">
        <f t="shared" si="6"/>
        <v>44435</v>
      </c>
      <c r="AD28" s="312">
        <f t="shared" si="7"/>
        <v>6.8999999999999999E-3</v>
      </c>
      <c r="AE28" s="323" t="str">
        <f ca="1">_xll.qlSchedule(,$AE$2,AC28,$AE$4,$AE$5,$AE$7,$AE$8,$AE$9,$AE$10,Input!O51,Input!O52)</f>
        <v>obj_000df#0258</v>
      </c>
      <c r="AF28" s="323" t="str">
        <f ca="1">_xll.qlIborLeg(,"Following",$C$9,R28,,,"Actual/360",,,$R$18,0)</f>
        <v>obj_0015c#0258</v>
      </c>
      <c r="AG28" s="323" t="str">
        <f ca="1">_xll.qlIborLeg(,"Following",$C$8,AE28,,,"Actual/360",,,$AE$18,AD28)</f>
        <v>obj_00233#0258</v>
      </c>
      <c r="AH28" s="323" t="str">
        <f ca="1">_xll.qlSwap(,AF28,$AF$38)</f>
        <v>obj_001b0#0258</v>
      </c>
      <c r="AI28" s="323" t="str">
        <f ca="1">_xll.qlSwap(,AG28,$AG$38)</f>
        <v>obj_00234#0258</v>
      </c>
      <c r="AJ28" s="323" t="b">
        <f ca="1">_xll.qlInstrumentSetPricingEngine(AH28,$R$16)</f>
        <v>1</v>
      </c>
      <c r="AK28" s="336" t="b">
        <f ca="1">_xll.qlInstrumentSetPricingEngine(AI28,$AE$16)</f>
        <v>1</v>
      </c>
      <c r="AL28" s="308">
        <f ca="1">_xll.qlInstrumentNPV(AH28,AJ28)+IF($AF$38,1,-1)*$C$9*(1-_xll.qlYieldTSDiscount($L$17,AC28))</f>
        <v>1608890.1461796807</v>
      </c>
      <c r="AM28" s="308">
        <f ca="1">_xll.qlInstrumentNPV(AI28,AK28)+IF($AG$38,1,-1)*$C$8*(1-_xll.qlYieldTSDiscount($AE$15,AC28))</f>
        <v>-104795.93985250927</v>
      </c>
      <c r="AN28" s="345">
        <f t="shared" ca="1" si="11"/>
        <v>3.0559021979570389E-9</v>
      </c>
      <c r="AO28" s="115" t="str">
        <f ca="1">_xll.qlIborLeg(,"Following",$C$9,R28,,,"Actual/360",,,$S$18,0)</f>
        <v>obj_00110#0258</v>
      </c>
      <c r="AP28" s="179" t="str">
        <f ca="1">_xll.qlSwap(,AO28,$AF$38)</f>
        <v>obj_00116#0258</v>
      </c>
      <c r="AQ28" s="115" t="b">
        <f ca="1">_xll.qlInstrumentSetPricingEngine(AP28,$R$16)</f>
        <v>1</v>
      </c>
      <c r="AR28" s="115" t="str">
        <f ca="1">_xll.qlIborLeg(,"Following",$C$9,R28,,,"Actual/360",,,$R$18,0)</f>
        <v>obj_00165#0258</v>
      </c>
      <c r="AS28" s="115" t="str">
        <f ca="1">_xll.qlSwap(,AR28,$AF$38)</f>
        <v>obj_001a8#0258</v>
      </c>
      <c r="AT28" s="115" t="b">
        <f ca="1">_xll.qlInstrumentSetPricingEngine(AS28,$S$16)</f>
        <v>1</v>
      </c>
      <c r="AU28" s="347">
        <f ca="1">((_xll.qlInstrumentNPV(AP28,AQ28)+IF($AF$38,1,-1)*$C$9*(1-_xll.qlYieldTSDiscount($L$17,AC28)))/$C$12+AM28-AN28)/$H$6</f>
        <v>0</v>
      </c>
      <c r="AV28" s="347">
        <f ca="1">((_xll.qlInstrumentNPV(AS28,AT28)+IF($AF$38,1,-1)*$C$9*(1-_xll.qlYieldTSDiscount($M$17,AC28)))/$C$12+AM28-AN28)/$H$6</f>
        <v>0</v>
      </c>
      <c r="AW28" s="309">
        <f t="shared" ca="1" si="9"/>
        <v>3.0613162809409253E-9</v>
      </c>
    </row>
    <row r="29" spans="1:49">
      <c r="A29" s="115">
        <v>1092</v>
      </c>
      <c r="B29" s="291" t="str">
        <f>'RISK INPUT'!O13</f>
        <v>SWAP-MXN-MXNTIIE28D-1092D-</v>
      </c>
      <c r="C29" s="294">
        <f>'RISK INPUT'!P13</f>
        <v>5.24</v>
      </c>
      <c r="D29" s="291" t="str">
        <f>'RISK INPUT'!O27</f>
        <v>CCS-USD/MXN-28D-1092D-</v>
      </c>
      <c r="E29" s="254">
        <f>'RISK INPUT'!P27</f>
        <v>0.76</v>
      </c>
      <c r="F29" s="115" t="str">
        <f t="shared" si="0"/>
        <v>1092D</v>
      </c>
      <c r="G29" s="335">
        <f t="shared" si="1"/>
        <v>44799</v>
      </c>
      <c r="H29" s="492">
        <v>5.3161391376299168E-2</v>
      </c>
      <c r="I29" s="136" t="str">
        <f>_xll.qlSwapRateHelper2(,H29,,F29,$R$5,"Annual","Unadjusted",$R$6,$T$5,0,"0d")</f>
        <v>obj_00017#0220</v>
      </c>
      <c r="K29" s="114">
        <f t="shared" si="4"/>
        <v>44799</v>
      </c>
      <c r="L29" s="491">
        <v>4.3565167977076213E-2</v>
      </c>
      <c r="M29" s="136" t="str">
        <f>_xll.qlSwapRateHelper2(,L29,,F29,$R$5,"Annual","Unadjusted",$R$6,$T$5,0,"0d")</f>
        <v>obj_00011#0220</v>
      </c>
      <c r="N29" s="296"/>
      <c r="O29" s="349">
        <f t="shared" si="5"/>
        <v>0</v>
      </c>
      <c r="P29" s="288">
        <f>_xll.qlCalendarAdvance($R$5,$C$3+A29,"0D",$R$7)</f>
        <v>44799</v>
      </c>
      <c r="Q29" s="312">
        <f t="shared" si="2"/>
        <v>5.2400000000000002E-2</v>
      </c>
      <c r="R29" s="323" t="str">
        <f>_xll.qlSchedule(,$R$2,P29,$R$4,$R$5,$R$7,$R$8,$R$9,$R$10,$R$11,$R$12,$R$13,$R$14)</f>
        <v>obj_000ed#0000</v>
      </c>
      <c r="S29" s="323" t="str">
        <f>_xll.qlSchedule(,$S$2,P29,$S$4,$S$5,$S$7,$S$8,$S$9,$S$10,$S$11,$S$12,$S$13,$S$14)</f>
        <v>obj_000bd#0000</v>
      </c>
      <c r="T29" s="354" t="str">
        <f ca="1">_xll.qlIborLeg(,$R$7,$C$8,R29,,,$R$6,,,$R$18)</f>
        <v>obj_00167#0258</v>
      </c>
      <c r="U29" s="323" t="str">
        <f>_xll.qlFixedRateLeg(,"Following",$C$8,S29,Q29,$S$6)</f>
        <v>obj_000f7#0000</v>
      </c>
      <c r="V29" s="323" t="str">
        <f ca="1">_xll.qlSwap(,T29:U29,$T$38:$U$38)</f>
        <v>obj_00198#0258</v>
      </c>
      <c r="W29" s="323" t="b">
        <f ca="1">_xll.qlInstrumentSetPricingEngine(V29,$R$16)</f>
        <v>1</v>
      </c>
      <c r="X29" s="295">
        <f ca="1">_xll.qlInstrumentNPV(V29,W29)</f>
        <v>-5.8207660913467407E-10</v>
      </c>
      <c r="Y29" s="344">
        <f t="shared" ca="1" si="10"/>
        <v>-3.7913878374651462E-11</v>
      </c>
      <c r="Z29" s="346">
        <f ca="1">(_xll.qlInstrumentNPV(_xll.qlVanillaSwap(,"RECEIVER",$C$8,S29,Q29,$R$6,R29,$S$18,,$R$6,$S$7),_xll.qlInstrumentSetPricingEngine(_xll.qlVanillaSwap(,"RECEIVER",$C$8,S29,Q29,$R$6,R29,$S$18,,$R$6,$S$7),$R$16))/$C$12-Y29)/$H$6</f>
        <v>0</v>
      </c>
      <c r="AA29" s="346">
        <f ca="1">(_xll.qlInstrumentNPV(_xll.qlVanillaSwap(,"RECEIVER",$C$8,S29,Q29,$R$6,R29,$R$18,,$R$6,$S$7),_xll.qlInstrumentSetPricingEngine(_xll.qlVanillaSwap(,"RECEIVER",$C$8,S29,Q29,$R$6,R29,$R$18,,$R$6,$S$7),$S$16))/$C$12-Y29)/$H$6</f>
        <v>0</v>
      </c>
      <c r="AC29" s="288">
        <f t="shared" si="6"/>
        <v>44799</v>
      </c>
      <c r="AD29" s="312">
        <f t="shared" si="7"/>
        <v>7.6E-3</v>
      </c>
      <c r="AE29" s="323" t="str">
        <f ca="1">_xll.qlSchedule(,$AE$2,AC29,$AE$4,$AE$5,$AE$7,$AE$8,$AE$9,$AE$10,Input!O52,Input!O53)</f>
        <v>obj_000cf#0258</v>
      </c>
      <c r="AF29" s="323" t="str">
        <f ca="1">_xll.qlIborLeg(,"Following",$C$9,R29,,,"Actual/360",,,$R$18,0)</f>
        <v>obj_0015a#0258</v>
      </c>
      <c r="AG29" s="323" t="str">
        <f ca="1">_xll.qlIborLeg(,"Following",$C$8,AE29,,,"Actual/360",,,$AE$18,AD29)</f>
        <v>obj_00225#0258</v>
      </c>
      <c r="AH29" s="323" t="str">
        <f ca="1">_xll.qlSwap(,AF29,$AF$38)</f>
        <v>obj_0019a#0258</v>
      </c>
      <c r="AI29" s="323" t="str">
        <f ca="1">_xll.qlSwap(,AG29,$AG$38)</f>
        <v>obj_00226#0258</v>
      </c>
      <c r="AJ29" s="323" t="b">
        <f ca="1">_xll.qlInstrumentSetPricingEngine(AH29,$R$16)</f>
        <v>1</v>
      </c>
      <c r="AK29" s="336" t="b">
        <f ca="1">_xll.qlInstrumentSetPricingEngine(AI29,$AE$16)</f>
        <v>1</v>
      </c>
      <c r="AL29" s="308">
        <f ca="1">_xll.qlInstrumentNPV(AH29,AJ29)+IF($AF$38,1,-1)*$C$9*(1-_xll.qlYieldTSDiscount($L$17,AC29))</f>
        <v>2658472.4499383774</v>
      </c>
      <c r="AM29" s="308">
        <f ca="1">_xll.qlInstrumentNPV(AI29,AK29)+IF($AG$38,1,-1)*$C$8*(1-_xll.qlYieldTSDiscount($AE$15,AC29))</f>
        <v>-173161.05740645688</v>
      </c>
      <c r="AN29" s="345">
        <f t="shared" ca="1" si="11"/>
        <v>4.6566128730773926E-10</v>
      </c>
      <c r="AO29" s="115" t="str">
        <f ca="1">_xll.qlIborLeg(,"Following",$C$9,R29,,,"Actual/360",,,$S$18,0)</f>
        <v>obj_0010f#0258</v>
      </c>
      <c r="AP29" s="179" t="str">
        <f ca="1">_xll.qlSwap(,AO29,$AF$38)</f>
        <v>obj_0011a#0258</v>
      </c>
      <c r="AQ29" s="115" t="b">
        <f ca="1">_xll.qlInstrumentSetPricingEngine(AP29,$R$16)</f>
        <v>1</v>
      </c>
      <c r="AR29" s="115" t="str">
        <f ca="1">_xll.qlIborLeg(,"Following",$C$9,R29,,,"Actual/360",,,$R$18,0)</f>
        <v>obj_00151#0258</v>
      </c>
      <c r="AS29" s="115" t="str">
        <f ca="1">_xll.qlSwap(,AR29,$AF$38)</f>
        <v>obj_00191#0258</v>
      </c>
      <c r="AT29" s="115" t="b">
        <f ca="1">_xll.qlInstrumentSetPricingEngine(AS29,$S$16)</f>
        <v>1</v>
      </c>
      <c r="AU29" s="347">
        <f ca="1">((_xll.qlInstrumentNPV(AP29,AQ29)+IF($AF$38,1,-1)*$C$9*(1-_xll.qlYieldTSDiscount($L$17,AC29)))/$C$12+AM29-AN29)/$H$6</f>
        <v>0</v>
      </c>
      <c r="AV29" s="347">
        <f ca="1">((_xll.qlInstrumentNPV(AS29,AT29)+IF($AF$38,1,-1)*$C$9*(1-_xll.qlYieldTSDiscount($M$17,AC29)))/$C$12+AM29-AN29)/$H$6</f>
        <v>0</v>
      </c>
      <c r="AW29" s="309">
        <f t="shared" ca="1" si="9"/>
        <v>4.6720220105486309E-10</v>
      </c>
    </row>
    <row r="30" spans="1:49">
      <c r="A30" s="115">
        <v>1456</v>
      </c>
      <c r="B30" s="291" t="str">
        <f>'RISK INPUT'!O14</f>
        <v>SWAP-MXN-MXNTIIE28D-1456D-</v>
      </c>
      <c r="C30" s="294">
        <f>'RISK INPUT'!P14</f>
        <v>5.45</v>
      </c>
      <c r="D30" s="291" t="str">
        <f>'RISK INPUT'!O28</f>
        <v>CCS-USD/MXN-28D-1456D-</v>
      </c>
      <c r="E30" s="254">
        <f>'RISK INPUT'!P28</f>
        <v>0.82</v>
      </c>
      <c r="F30" s="115" t="str">
        <f t="shared" si="0"/>
        <v>1456D</v>
      </c>
      <c r="G30" s="335">
        <f t="shared" si="1"/>
        <v>45163</v>
      </c>
      <c r="H30" s="492">
        <v>5.5400020123747819E-2</v>
      </c>
      <c r="I30" s="136" t="str">
        <f>_xll.qlSwapRateHelper2(,H30,,F30,$R$5,"Annual","Unadjusted",$R$6,$T$5,0,"0d")</f>
        <v>obj_0001f#0214</v>
      </c>
      <c r="K30" s="114">
        <f t="shared" si="4"/>
        <v>45163</v>
      </c>
      <c r="L30" s="491">
        <v>4.478996283520674E-2</v>
      </c>
      <c r="M30" s="136" t="str">
        <f>_xll.qlSwapRateHelper2(,L30,,F30,$R$5,"Annual","Unadjusted",$R$6,$T$5,0,"0d")</f>
        <v>obj_00020#0214</v>
      </c>
      <c r="N30" s="296"/>
      <c r="O30" s="349">
        <f t="shared" si="5"/>
        <v>0</v>
      </c>
      <c r="P30" s="288">
        <f>_xll.qlCalendarAdvance($R$5,$C$3+A30,"0D",$R$7)</f>
        <v>45163</v>
      </c>
      <c r="Q30" s="312">
        <f t="shared" si="2"/>
        <v>5.45E-2</v>
      </c>
      <c r="R30" s="323" t="str">
        <f>_xll.qlSchedule(,$R$2,P30,$R$4,$R$5,$R$7,$R$8,$R$9,$R$10,$R$11,$R$12,$R$13,$R$14)</f>
        <v>obj_000d1#0000</v>
      </c>
      <c r="S30" s="323" t="str">
        <f>_xll.qlSchedule(,$S$2,P30,$S$4,$S$5,$S$7,$S$8,$S$9,$S$10,$S$11,$S$12,$S$13,$S$14)</f>
        <v>obj_000aa#0000</v>
      </c>
      <c r="T30" s="354" t="str">
        <f ca="1">_xll.qlIborLeg(,$R$7,$C$8,R30,,,$R$6,,,$R$18)</f>
        <v>obj_00152#0258</v>
      </c>
      <c r="U30" s="323" t="str">
        <f>_xll.qlFixedRateLeg(,"Following",$C$8,S30,Q30,$S$6)</f>
        <v>obj_000f4#0000</v>
      </c>
      <c r="V30" s="323" t="str">
        <f ca="1">_xll.qlSwap(,T30:U30,$T$38:$U$38)</f>
        <v>obj_001b1#0258</v>
      </c>
      <c r="W30" s="323" t="b">
        <f ca="1">_xll.qlInstrumentSetPricingEngine(V30,$R$16)</f>
        <v>1</v>
      </c>
      <c r="X30" s="295">
        <f ca="1">_xll.qlInstrumentNPV(V30,W30)</f>
        <v>-4.8894435167312622E-9</v>
      </c>
      <c r="Y30" s="344">
        <f t="shared" ca="1" si="10"/>
        <v>-3.1847657834707226E-10</v>
      </c>
      <c r="Z30" s="346">
        <f ca="1">(_xll.qlInstrumentNPV(_xll.qlVanillaSwap(,"RECEIVER",$C$8,S30,Q30,$R$6,R30,$S$18,,$R$6,$S$7),_xll.qlInstrumentSetPricingEngine(_xll.qlVanillaSwap(,"RECEIVER",$C$8,S30,Q30,$R$6,R30,$S$18,,$R$6,$S$7),$R$16))/$C$12-Y30)/$H$6</f>
        <v>0</v>
      </c>
      <c r="AA30" s="346">
        <f ca="1">(_xll.qlInstrumentNPV(_xll.qlVanillaSwap(,"RECEIVER",$C$8,S30,Q30,$R$6,R30,$R$18,,$R$6,$S$7),_xll.qlInstrumentSetPricingEngine(_xll.qlVanillaSwap(,"RECEIVER",$C$8,S30,Q30,$R$6,R30,$R$18,,$R$6,$S$7),$S$16))/$C$12-Y30)/$H$6</f>
        <v>0</v>
      </c>
      <c r="AC30" s="288">
        <f t="shared" si="6"/>
        <v>45163</v>
      </c>
      <c r="AD30" s="312">
        <f t="shared" si="7"/>
        <v>8.199999999999999E-3</v>
      </c>
      <c r="AE30" s="323" t="str">
        <f ca="1">_xll.qlSchedule(,$AE$2,AC30,$AE$4,$AE$5,$AE$7,$AE$8,$AE$9,$AE$10,Input!O53,Input!O54)</f>
        <v>obj_000cd#0258</v>
      </c>
      <c r="AF30" s="323" t="str">
        <f ca="1">_xll.qlIborLeg(,"Following",$C$9,R30,,,"Actual/360",,,$R$18,0)</f>
        <v>obj_00153#0258</v>
      </c>
      <c r="AG30" s="323" t="str">
        <f ca="1">_xll.qlIborLeg(,"Following",$C$8,AE30,,,"Actual/360",,,$AE$18,AD30)</f>
        <v>obj_00231#0258</v>
      </c>
      <c r="AH30" s="323" t="str">
        <f ca="1">_xll.qlSwap(,AF30,$AF$38)</f>
        <v>obj_001ab#0258</v>
      </c>
      <c r="AI30" s="323" t="str">
        <f ca="1">_xll.qlSwap(,AG30,$AG$38)</f>
        <v>obj_00232#0258</v>
      </c>
      <c r="AJ30" s="323" t="b">
        <f ca="1">_xll.qlInstrumentSetPricingEngine(AH30,$R$16)</f>
        <v>1</v>
      </c>
      <c r="AK30" s="336" t="b">
        <f ca="1">_xll.qlInstrumentSetPricingEngine(AI30,$AE$16)</f>
        <v>1</v>
      </c>
      <c r="AL30" s="308">
        <f ca="1">_xll.qlInstrumentNPV(AH30,AJ30)+IF($AF$38,1,-1)*$C$9*(1-_xll.qlYieldTSDiscount($L$17,AC30))</f>
        <v>3827568.6537381113</v>
      </c>
      <c r="AM30" s="308">
        <f ca="1">_xll.qlInstrumentNPV(AI30,AK30)+IF($AG$38,1,-1)*$C$8*(1-_xll.qlYieldTSDiscount($AE$15,AC30))</f>
        <v>-249310.77822245305</v>
      </c>
      <c r="AN30" s="345">
        <f t="shared" ca="1" si="11"/>
        <v>5.0931703299283981E-9</v>
      </c>
      <c r="AO30" s="115" t="str">
        <f ca="1">_xll.qlIborLeg(,"Following",$C$9,R30,,,"Actual/360",,,$S$18,0)</f>
        <v>obj_00103#0258</v>
      </c>
      <c r="AP30" s="179" t="str">
        <f ca="1">_xll.qlSwap(,AO30,$AF$38)</f>
        <v>obj_00113#0258</v>
      </c>
      <c r="AQ30" s="115" t="b">
        <f ca="1">_xll.qlInstrumentSetPricingEngine(AP30,$R$16)</f>
        <v>1</v>
      </c>
      <c r="AR30" s="115" t="str">
        <f ca="1">_xll.qlIborLeg(,"Following",$C$9,R30,,,"Actual/360",,,$R$18,0)</f>
        <v>obj_00178#0258</v>
      </c>
      <c r="AS30" s="115" t="str">
        <f ca="1">_xll.qlSwap(,AR30,$AF$38)</f>
        <v>obj_001a4#0258</v>
      </c>
      <c r="AT30" s="115" t="b">
        <f ca="1">_xll.qlInstrumentSetPricingEngine(AS30,$S$16)</f>
        <v>1</v>
      </c>
      <c r="AU30" s="347">
        <f ca="1">((_xll.qlInstrumentNPV(AP30,AQ30)+IF($AF$38,1,-1)*$C$9*(1-_xll.qlYieldTSDiscount($L$17,AC30)))/$C$12+AM30-AN30)/$H$6</f>
        <v>0</v>
      </c>
      <c r="AV30" s="347">
        <f ca="1">((_xll.qlInstrumentNPV(AS30,AT30)+IF($AF$38,1,-1)*$C$9*(1-_xll.qlYieldTSDiscount($M$17,AC30)))/$C$12+AM30-AN30)/$H$6</f>
        <v>0</v>
      </c>
      <c r="AW30" s="309">
        <f t="shared" ca="1" si="9"/>
        <v>5.1031178058730533E-9</v>
      </c>
    </row>
    <row r="31" spans="1:49">
      <c r="A31" s="115">
        <v>1820</v>
      </c>
      <c r="B31" s="291" t="str">
        <f>'RISK INPUT'!O15</f>
        <v>SWAP-MXN-MXNTIIE28D-1820D-</v>
      </c>
      <c r="C31" s="294">
        <f>'RISK INPUT'!P15</f>
        <v>5.66</v>
      </c>
      <c r="D31" s="291" t="str">
        <f>'RISK INPUT'!O29</f>
        <v>CCS-USD/MXN-28D-1820D-</v>
      </c>
      <c r="E31" s="254">
        <f>'RISK INPUT'!P29</f>
        <v>0.88</v>
      </c>
      <c r="F31" s="115" t="str">
        <f t="shared" si="0"/>
        <v>1820D</v>
      </c>
      <c r="G31" s="335">
        <f t="shared" si="1"/>
        <v>45527</v>
      </c>
      <c r="H31" s="492">
        <v>5.7683562261167672E-2</v>
      </c>
      <c r="I31" s="136" t="str">
        <f>_xll.qlSwapRateHelper2(,H31,,F31,$R$5,"Annual","Unadjusted",$R$6,$T$5,0,"0d")</f>
        <v>obj_0000f#0208</v>
      </c>
      <c r="K31" s="114">
        <f t="shared" si="4"/>
        <v>45527</v>
      </c>
      <c r="L31" s="491">
        <v>4.6031414345978301E-2</v>
      </c>
      <c r="M31" s="136" t="str">
        <f>_xll.qlSwapRateHelper2(,L31,,F31,$R$5,"Annual","Unadjusted",$R$6,$T$5,0,"0d")</f>
        <v>obj_0001d#0208</v>
      </c>
      <c r="N31" s="296"/>
      <c r="O31" s="349">
        <f t="shared" si="5"/>
        <v>0</v>
      </c>
      <c r="P31" s="288">
        <f>_xll.qlCalendarAdvance($R$5,$C$3+A31,"0D",$R$7)</f>
        <v>45527</v>
      </c>
      <c r="Q31" s="312">
        <f t="shared" si="2"/>
        <v>5.6600000000000004E-2</v>
      </c>
      <c r="R31" s="323" t="str">
        <f>_xll.qlSchedule(,$R$2,P31,$R$4,$R$5,$R$7,$R$8,$R$9,$R$10,$R$11,$R$12,$R$13,$R$14)</f>
        <v>obj_000c0#0000</v>
      </c>
      <c r="S31" s="323" t="str">
        <f>_xll.qlSchedule(,$S$2,P31,$S$4,$S$5,$S$7,$S$8,$S$9,$S$10,$S$11,$S$12,$S$13,$S$14)</f>
        <v>obj_000ad#0000</v>
      </c>
      <c r="T31" s="354" t="str">
        <f ca="1">_xll.qlIborLeg(,$R$7,$C$8,R31,,,$R$6,,,$R$18)</f>
        <v>obj_0016b#0258</v>
      </c>
      <c r="U31" s="323" t="str">
        <f>_xll.qlFixedRateLeg(,"Following",$C$8,S31,Q31,$S$6)</f>
        <v>obj_000c2#0000</v>
      </c>
      <c r="V31" s="323" t="str">
        <f ca="1">_xll.qlSwap(,T31:U31,$T$38:$U$38)</f>
        <v>obj_00197#0258</v>
      </c>
      <c r="W31" s="323" t="b">
        <f ca="1">_xll.qlInstrumentSetPricingEngine(V31,$R$16)</f>
        <v>1</v>
      </c>
      <c r="X31" s="295">
        <f ca="1">_xll.qlInstrumentNPV(V31,W31)</f>
        <v>3.4924596548080444E-9</v>
      </c>
      <c r="Y31" s="344">
        <f t="shared" ca="1" si="10"/>
        <v>2.2748327024790878E-10</v>
      </c>
      <c r="Z31" s="346">
        <f ca="1">(_xll.qlInstrumentNPV(_xll.qlVanillaSwap(,"RECEIVER",$C$8,S31,Q31,$R$6,R31,$S$18,,$R$6,$S$7),_xll.qlInstrumentSetPricingEngine(_xll.qlVanillaSwap(,"RECEIVER",$C$8,S31,Q31,$R$6,R31,$S$18,,$R$6,$S$7),$R$16))/$C$12-Y31)/$H$6</f>
        <v>0</v>
      </c>
      <c r="AA31" s="346">
        <f ca="1">(_xll.qlInstrumentNPV(_xll.qlVanillaSwap(,"RECEIVER",$C$8,S31,Q31,$R$6,R31,$R$18,,$R$6,$S$7),_xll.qlInstrumentSetPricingEngine(_xll.qlVanillaSwap(,"RECEIVER",$C$8,S31,Q31,$R$6,R31,$R$18,,$R$6,$S$7),$S$16))/$C$12-Y31)/$H$6</f>
        <v>0</v>
      </c>
      <c r="AC31" s="288">
        <f t="shared" si="6"/>
        <v>45527</v>
      </c>
      <c r="AD31" s="312">
        <f t="shared" si="7"/>
        <v>8.8000000000000005E-3</v>
      </c>
      <c r="AE31" s="323" t="str">
        <f ca="1">_xll.qlSchedule(,$AE$2,AC31,$AE$4,$AE$5,$AE$7,$AE$8,$AE$9,$AE$10,Input!O54,Input!O55)</f>
        <v>obj_000bb#0258</v>
      </c>
      <c r="AF31" s="323" t="str">
        <f ca="1">_xll.qlIborLeg(,"Following",$C$9,R31,,,"Actual/360",,,$R$18,0)</f>
        <v>obj_00184#0258</v>
      </c>
      <c r="AG31" s="323" t="str">
        <f ca="1">_xll.qlIborLeg(,"Following",$C$8,AE31,,,"Actual/360",,,$AE$18,AD31)</f>
        <v>obj_0021c#0258</v>
      </c>
      <c r="AH31" s="323" t="str">
        <f ca="1">_xll.qlSwap(,AF31,$AF$38)</f>
        <v>obj_00187#0258</v>
      </c>
      <c r="AI31" s="323" t="str">
        <f ca="1">_xll.qlSwap(,AG31,$AG$38)</f>
        <v>obj_00238#0258</v>
      </c>
      <c r="AJ31" s="323" t="b">
        <f ca="1">_xll.qlInstrumentSetPricingEngine(AH31,$R$16)</f>
        <v>1</v>
      </c>
      <c r="AK31" s="336" t="b">
        <f ca="1">_xll.qlInstrumentSetPricingEngine(AI31,$AE$16)</f>
        <v>1</v>
      </c>
      <c r="AL31" s="308">
        <f ca="1">_xll.qlInstrumentNPV(AH31,AJ31)+IF($AF$38,1,-1)*$C$9*(1-_xll.qlYieldTSDiscount($L$17,AC31))</f>
        <v>5117074.2101499327</v>
      </c>
      <c r="AM31" s="308">
        <f ca="1">_xll.qlInstrumentNPV(AI31,AK31)+IF($AG$38,1,-1)*$C$8*(1-_xll.qlYieldTSDiscount($AE$15,AC31))</f>
        <v>-333303.42809361144</v>
      </c>
      <c r="AN31" s="345">
        <f t="shared" ca="1" si="11"/>
        <v>-3.0267983675003052E-9</v>
      </c>
      <c r="AO31" s="115" t="str">
        <f ca="1">_xll.qlIborLeg(,"Following",$C$9,R31,,,"Actual/360",,,$S$18,0)</f>
        <v>obj_0010b#0258</v>
      </c>
      <c r="AP31" s="179" t="str">
        <f ca="1">_xll.qlSwap(,AO31,$AF$38)</f>
        <v>obj_00118#0258</v>
      </c>
      <c r="AQ31" s="115" t="b">
        <f ca="1">_xll.qlInstrumentSetPricingEngine(AP31,$R$16)</f>
        <v>1</v>
      </c>
      <c r="AR31" s="115" t="str">
        <f ca="1">_xll.qlIborLeg(,"Following",$C$9,R31,,,"Actual/360",,,$R$18,0)</f>
        <v>obj_0015f#0258</v>
      </c>
      <c r="AS31" s="115" t="str">
        <f ca="1">_xll.qlSwap(,AR31,$AF$38)</f>
        <v>obj_0018e#0258</v>
      </c>
      <c r="AT31" s="115" t="b">
        <f ca="1">_xll.qlInstrumentSetPricingEngine(AS31,$S$16)</f>
        <v>1</v>
      </c>
      <c r="AU31" s="347">
        <f ca="1">((_xll.qlInstrumentNPV(AP31,AQ31)+IF($AF$38,1,-1)*$C$9*(1-_xll.qlYieldTSDiscount($L$17,AC31)))/$C$12+AM31-AN31)/$H$6</f>
        <v>0</v>
      </c>
      <c r="AV31" s="347">
        <f ca="1">((_xll.qlInstrumentNPV(AS31,AT31)+IF($AF$38,1,-1)*$C$9*(1-_xll.qlYieldTSDiscount($M$17,AC31)))/$C$12+AM31-AN31)/$H$6</f>
        <v>0</v>
      </c>
      <c r="AW31" s="309">
        <f t="shared" ca="1" si="9"/>
        <v>3.0353347419593106E-9</v>
      </c>
    </row>
    <row r="32" spans="1:49">
      <c r="A32" s="115">
        <v>2548</v>
      </c>
      <c r="B32" s="291" t="str">
        <f>'RISK INPUT'!O16</f>
        <v>SWAP-MXN-MXNTIIE28D-2548D-</v>
      </c>
      <c r="C32" s="294">
        <f>'RISK INPUT'!P16</f>
        <v>6</v>
      </c>
      <c r="D32" s="291" t="str">
        <f>'RISK INPUT'!O30</f>
        <v>CCS-USD/MXN-28D-2548D-</v>
      </c>
      <c r="E32" s="254">
        <f>'RISK INPUT'!P30</f>
        <v>0.98</v>
      </c>
      <c r="F32" s="115" t="str">
        <f t="shared" si="0"/>
        <v>2548D</v>
      </c>
      <c r="G32" s="335">
        <f t="shared" si="1"/>
        <v>46255</v>
      </c>
      <c r="H32" s="492">
        <v>6.1474344091334017E-2</v>
      </c>
      <c r="I32" s="136" t="str">
        <f>_xll.qlSwapRateHelper2(,H32,,F32,$R$5,"Annual","Unadjusted",$R$6,$T$5,0,"0d")</f>
        <v>obj_0001e#0202</v>
      </c>
      <c r="K32" s="114">
        <f t="shared" si="4"/>
        <v>46255</v>
      </c>
      <c r="L32" s="491">
        <v>4.7838144938054293E-2</v>
      </c>
      <c r="M32" s="136" t="str">
        <f>_xll.qlSwapRateHelper2(,L32,,F32,$R$5,"Annual","Unadjusted",$R$6,$T$5,0,"0d")</f>
        <v>obj_0000d#0202</v>
      </c>
      <c r="N32" s="296"/>
      <c r="O32" s="349">
        <f t="shared" si="5"/>
        <v>0</v>
      </c>
      <c r="P32" s="288">
        <f>_xll.qlCalendarAdvance($R$5,$C$3+A32,"0D",$R$7)</f>
        <v>46255</v>
      </c>
      <c r="Q32" s="312">
        <f t="shared" si="2"/>
        <v>0.06</v>
      </c>
      <c r="R32" s="323" t="str">
        <f>_xll.qlSchedule(,$R$2,P32,$R$4,$R$5,$R$7,$R$8,$R$9,$R$10,$R$11,$R$12,$R$13,$R$14)</f>
        <v>obj_000ab#0000</v>
      </c>
      <c r="S32" s="323" t="str">
        <f>_xll.qlSchedule(,$S$2,P32,$S$4,$S$5,$S$7,$S$8,$S$9,$S$10,$S$11,$S$12,$S$13,$S$14)</f>
        <v>obj_0007b#0000</v>
      </c>
      <c r="T32" s="354" t="str">
        <f ca="1">_xll.qlIborLeg(,$R$7,$C$8,R32,,,$R$6,,,$R$18)</f>
        <v>obj_00174#0258</v>
      </c>
      <c r="U32" s="323" t="str">
        <f>_xll.qlFixedRateLeg(,"Following",$C$8,S32,Q32,$S$6)</f>
        <v>obj_000c1#0000</v>
      </c>
      <c r="V32" s="323" t="str">
        <f ca="1">_xll.qlSwap(,T32:U32,$T$38:$U$38)</f>
        <v>obj_00195#0258</v>
      </c>
      <c r="W32" s="323" t="b">
        <f ca="1">_xll.qlInstrumentSetPricingEngine(V32,$R$16)</f>
        <v>1</v>
      </c>
      <c r="X32" s="295">
        <f ca="1">_xll.qlInstrumentNPV(V32,W32)</f>
        <v>9.3132257461547852E-10</v>
      </c>
      <c r="Y32" s="344">
        <f t="shared" ca="1" si="10"/>
        <v>6.0662205399442339E-11</v>
      </c>
      <c r="Z32" s="346">
        <f ca="1">(_xll.qlInstrumentNPV(_xll.qlVanillaSwap(,"RECEIVER",$C$8,S32,Q32,$R$6,R32,$S$18,,$R$6,$S$7),_xll.qlInstrumentSetPricingEngine(_xll.qlVanillaSwap(,"RECEIVER",$C$8,S32,Q32,$R$6,R32,$S$18,,$R$6,$S$7),$R$16))/$C$12-Y32)/$H$6</f>
        <v>0</v>
      </c>
      <c r="AA32" s="346">
        <f ca="1">(_xll.qlInstrumentNPV(_xll.qlVanillaSwap(,"RECEIVER",$C$8,S32,Q32,$R$6,R32,$R$18,,$R$6,$S$7),_xll.qlInstrumentSetPricingEngine(_xll.qlVanillaSwap(,"RECEIVER",$C$8,S32,Q32,$R$6,R32,$R$18,,$R$6,$S$7),$S$16))/$C$12-Y32)/$H$6</f>
        <v>0</v>
      </c>
      <c r="AC32" s="288">
        <f t="shared" si="6"/>
        <v>46255</v>
      </c>
      <c r="AD32" s="312">
        <f t="shared" si="7"/>
        <v>9.7999999999999997E-3</v>
      </c>
      <c r="AE32" s="323" t="str">
        <f ca="1">_xll.qlSchedule(,$AE$2,AC32,$AE$4,$AE$5,$AE$7,$AE$8,$AE$9,$AE$10,Input!O55,Input!O56)</f>
        <v>obj_000a9#0258</v>
      </c>
      <c r="AF32" s="323" t="str">
        <f ca="1">_xll.qlIborLeg(,"Following",$C$9,R32,,,"Actual/360",,,$R$18,0)</f>
        <v>obj_00159#0258</v>
      </c>
      <c r="AG32" s="323" t="str">
        <f ca="1">_xll.qlIborLeg(,"Following",$C$8,AE32,,,"Actual/360",,,$AE$18,AD32)</f>
        <v>obj_0021f#0258</v>
      </c>
      <c r="AH32" s="323" t="str">
        <f ca="1">_xll.qlSwap(,AF32,$AF$38)</f>
        <v>obj_001aa#0258</v>
      </c>
      <c r="AI32" s="323" t="str">
        <f ca="1">_xll.qlSwap(,AG32,$AG$38)</f>
        <v>obj_00220#0258</v>
      </c>
      <c r="AJ32" s="323" t="b">
        <f ca="1">_xll.qlInstrumentSetPricingEngine(AH32,$R$16)</f>
        <v>1</v>
      </c>
      <c r="AK32" s="336" t="b">
        <f ca="1">_xll.qlInstrumentSetPricingEngine(AI32,$AE$16)</f>
        <v>1</v>
      </c>
      <c r="AL32" s="308">
        <f ca="1">_xll.qlInstrumentNPV(AH32,AJ32)+IF($AF$38,1,-1)*$C$9*(1-_xll.qlYieldTSDiscount($L$17,AC32))</f>
        <v>7920390.6479641385</v>
      </c>
      <c r="AM32" s="308">
        <f ca="1">_xll.qlInstrumentNPV(AI32,AK32)+IF($AG$38,1,-1)*$C$8*(1-_xll.qlYieldTSDiscount($AE$15,AC32))</f>
        <v>-515898.97789066151</v>
      </c>
      <c r="AN32" s="345">
        <f t="shared" ca="1" si="11"/>
        <v>-2.0372681319713593E-9</v>
      </c>
      <c r="AO32" s="115" t="str">
        <f ca="1">_xll.qlIborLeg(,"Following",$C$9,R32,,,"Actual/360",,,$S$18,0)</f>
        <v>obj_0010d#0258</v>
      </c>
      <c r="AP32" s="179" t="str">
        <f ca="1">_xll.qlSwap(,AO32,$AF$38)</f>
        <v>obj_00115#0258</v>
      </c>
      <c r="AQ32" s="115" t="b">
        <f ca="1">_xll.qlInstrumentSetPricingEngine(AP32,$R$16)</f>
        <v>1</v>
      </c>
      <c r="AR32" s="115" t="str">
        <f ca="1">_xll.qlIborLeg(,"Following",$C$9,R32,,,"Actual/360",,,$R$18,0)</f>
        <v>obj_0016c#0258</v>
      </c>
      <c r="AS32" s="115" t="str">
        <f ca="1">_xll.qlSwap(,AR32,$AF$38)</f>
        <v>obj_0018c#0258</v>
      </c>
      <c r="AT32" s="115" t="b">
        <f ca="1">_xll.qlInstrumentSetPricingEngine(AS32,$S$16)</f>
        <v>1</v>
      </c>
      <c r="AU32" s="347">
        <f ca="1">((_xll.qlInstrumentNPV(AP32,AQ32)+IF($AF$38,1,-1)*$C$9*(1-_xll.qlYieldTSDiscount($L$17,AC32)))/$C$12+AM32-AN32)/$H$6</f>
        <v>0</v>
      </c>
      <c r="AV32" s="347">
        <f ca="1">((_xll.qlInstrumentNPV(AS32,AT32)+IF($AF$38,1,-1)*$C$9*(1-_xll.qlYieldTSDiscount($M$17,AC32)))/$C$12+AM32-AN32)/$H$6</f>
        <v>0</v>
      </c>
      <c r="AW32" s="309">
        <f t="shared" ca="1" si="9"/>
        <v>2.0381710783714882E-9</v>
      </c>
    </row>
    <row r="33" spans="1:56">
      <c r="A33" s="115">
        <v>3640</v>
      </c>
      <c r="B33" s="291" t="str">
        <f>'RISK INPUT'!O17</f>
        <v>SWAP-MXN-MXNTIIE28D-3640D-</v>
      </c>
      <c r="C33" s="301">
        <f>'RISK INPUT'!P17</f>
        <v>6.33499999</v>
      </c>
      <c r="D33" s="291" t="str">
        <f>'RISK INPUT'!O31</f>
        <v>CCS-USD/MXN-28D-3640D-</v>
      </c>
      <c r="E33" s="255">
        <f>'RISK INPUT'!P31</f>
        <v>0.96999999000000003</v>
      </c>
      <c r="F33" s="115" t="str">
        <f t="shared" si="0"/>
        <v>3640D</v>
      </c>
      <c r="G33" s="335">
        <f t="shared" si="1"/>
        <v>47347</v>
      </c>
      <c r="H33" s="492">
        <v>6.5368182608564279E-2</v>
      </c>
      <c r="I33" s="136" t="str">
        <f>_xll.qlSwapRateHelper2(,H33,,F33,$R$5,"Annual","Unadjusted",$R$6,$T$5,0,"0d")</f>
        <v>obj_00010#0196</v>
      </c>
      <c r="K33" s="114">
        <f t="shared" si="4"/>
        <v>47347</v>
      </c>
      <c r="L33" s="491">
        <v>5.0875613704331732E-2</v>
      </c>
      <c r="M33" s="136" t="str">
        <f>_xll.qlSwapRateHelper2(,L33,,F33,$R$5,"Annual","Unadjusted",$R$6,$T$5,0,"0d")</f>
        <v>obj_0000c#0196</v>
      </c>
      <c r="N33" s="296"/>
      <c r="O33" s="349">
        <f t="shared" si="5"/>
        <v>0</v>
      </c>
      <c r="P33" s="288">
        <f>_xll.qlCalendarAdvance($R$5,$C$3+A33,"0D",$R$7)</f>
        <v>47347</v>
      </c>
      <c r="Q33" s="312">
        <f t="shared" si="2"/>
        <v>6.3349999899999995E-2</v>
      </c>
      <c r="R33" s="323" t="str">
        <f>_xll.qlSchedule(,$R$2,P33,$R$4,$R$5,$R$7,$R$8,$R$9,$R$10,$R$11,$R$12,$R$13,$R$14)</f>
        <v>obj_000ce#0000</v>
      </c>
      <c r="S33" s="323" t="str">
        <f>_xll.qlSchedule(,$S$2,P33,$S$4,$S$5,$S$7,$S$8,$S$9,$S$10,$S$11,$S$12,$S$13,$S$14)</f>
        <v>obj_000d4#0000</v>
      </c>
      <c r="T33" s="354" t="str">
        <f ca="1">_xll.qlIborLeg(,$R$7,$C$8,R33,,,$R$6,,,$R$18)</f>
        <v>obj_00177#0258</v>
      </c>
      <c r="U33" s="323" t="str">
        <f>_xll.qlFixedRateLeg(,"Following",$C$8,S33,Q33,$S$6)</f>
        <v>obj_000fe#0000</v>
      </c>
      <c r="V33" s="323" t="str">
        <f ca="1">_xll.qlSwap(,T33:U33,$T$38:$U$38)</f>
        <v>obj_001ae#0258</v>
      </c>
      <c r="W33" s="323" t="b">
        <f ca="1">_xll.qlInstrumentSetPricingEngine(V33,$R$16)</f>
        <v>1</v>
      </c>
      <c r="X33" s="295">
        <f ca="1">_xll.qlInstrumentNPV(V33,W33)</f>
        <v>-4.6566128730773926E-9</v>
      </c>
      <c r="Y33" s="344">
        <f t="shared" ca="1" si="10"/>
        <v>-3.0331102699721169E-10</v>
      </c>
      <c r="Z33" s="346">
        <f ca="1">(_xll.qlInstrumentNPV(_xll.qlVanillaSwap(,"RECEIVER",$C$8,S33,Q33,$R$6,R33,$S$18,,$R$6,$S$7),_xll.qlInstrumentSetPricingEngine(_xll.qlVanillaSwap(,"RECEIVER",$C$8,S33,Q33,$R$6,R33,$S$18,,$R$6,$S$7),$R$16))/$C$12-Y33)/$H$6</f>
        <v>0</v>
      </c>
      <c r="AA33" s="346">
        <f ca="1">(_xll.qlInstrumentNPV(_xll.qlVanillaSwap(,"RECEIVER",$C$8,S33,Q33,$R$6,R33,$R$18,,$R$6,$S$7),_xll.qlInstrumentSetPricingEngine(_xll.qlVanillaSwap(,"RECEIVER",$C$8,S33,Q33,$R$6,R33,$R$18,,$R$6,$S$7),$S$16))/$C$12-Y33)/$H$6</f>
        <v>0</v>
      </c>
      <c r="AC33" s="288">
        <f t="shared" si="6"/>
        <v>47347</v>
      </c>
      <c r="AD33" s="312">
        <f t="shared" si="7"/>
        <v>9.6999999000000007E-3</v>
      </c>
      <c r="AE33" s="323" t="str">
        <f ca="1">_xll.qlSchedule(,$AE$2,AC33,$AE$4,$AE$5,$AE$7,$AE$8,$AE$9,$AE$10,Input!O56,Input!O57)</f>
        <v>obj_000a6#0258</v>
      </c>
      <c r="AF33" s="323" t="str">
        <f ca="1">_xll.qlIborLeg(,"Following",$C$9,R33,,,"Actual/360",,,$R$18,0)</f>
        <v>obj_00181#0258</v>
      </c>
      <c r="AG33" s="323" t="str">
        <f ca="1">_xll.qlIborLeg(,"Following",$C$8,AE33,,,"Actual/360",,,$AE$18,AD33)</f>
        <v>obj_0022d#0258</v>
      </c>
      <c r="AH33" s="323" t="str">
        <f ca="1">_xll.qlSwap(,AF33,$AF$38)</f>
        <v>obj_001ad#0258</v>
      </c>
      <c r="AI33" s="323" t="str">
        <f ca="1">_xll.qlSwap(,AG33,$AG$38)</f>
        <v>obj_0022e#0258</v>
      </c>
      <c r="AJ33" s="323" t="b">
        <f ca="1">_xll.qlInstrumentSetPricingEngine(AH33,$R$16)</f>
        <v>1</v>
      </c>
      <c r="AK33" s="336" t="b">
        <f ca="1">_xll.qlInstrumentSetPricingEngine(AI33,$AE$16)</f>
        <v>1</v>
      </c>
      <c r="AL33" s="308">
        <f ca="1">_xll.qlInstrumentNPV(AH33,AJ33)+IF($AF$38,1,-1)*$C$9*(1-_xll.qlYieldTSDiscount($L$17,AC33))</f>
        <v>11172739.651412971</v>
      </c>
      <c r="AM33" s="308">
        <f ca="1">_xll.qlInstrumentNPV(AI33,AK33)+IF($AG$38,1,-1)*$C$8*(1-_xll.qlYieldTSDiscount($AE$15,AC33))</f>
        <v>-727742.50950411649</v>
      </c>
      <c r="AN33" s="345">
        <f t="shared" ca="1" si="11"/>
        <v>4.6566128730773926E-9</v>
      </c>
      <c r="AO33" s="115" t="str">
        <f ca="1">_xll.qlIborLeg(,"Following",$C$9,R33,,,"Actual/360",,,$S$18,0)</f>
        <v>obj_00106#0258</v>
      </c>
      <c r="AP33" s="179" t="str">
        <f ca="1">_xll.qlSwap(,AO33,$AF$38)</f>
        <v>obj_0011c#0258</v>
      </c>
      <c r="AQ33" s="115" t="b">
        <f ca="1">_xll.qlInstrumentSetPricingEngine(AP33,$R$16)</f>
        <v>1</v>
      </c>
      <c r="AR33" s="115" t="str">
        <f ca="1">_xll.qlIborLeg(,"Following",$C$9,R33,,,"Actual/360",,,$R$18,0)</f>
        <v>obj_0016e#0258</v>
      </c>
      <c r="AS33" s="115" t="str">
        <f ca="1">_xll.qlSwap(,AR33,$AF$38)</f>
        <v>obj_001a6#0258</v>
      </c>
      <c r="AT33" s="115" t="b">
        <f ca="1">_xll.qlInstrumentSetPricingEngine(AS33,$S$16)</f>
        <v>1</v>
      </c>
      <c r="AU33" s="347">
        <f ca="1">((_xll.qlInstrumentNPV(AP33,AQ33)+IF($AF$38,1,-1)*$C$9*(1-_xll.qlYieldTSDiscount($L$17,AC33)))/$C$12+AM33-AN33)/$H$6</f>
        <v>0</v>
      </c>
      <c r="AV33" s="347">
        <f ca="1">((_xll.qlInstrumentNPV(AS33,AT33)+IF($AF$38,1,-1)*$C$9*(1-_xll.qlYieldTSDiscount($M$17,AC33)))/$C$12+AM33-AN33)/$H$6</f>
        <v>0</v>
      </c>
      <c r="AW33" s="309">
        <f t="shared" ca="1" si="9"/>
        <v>4.6664805827098643E-9</v>
      </c>
    </row>
    <row r="34" spans="1:56">
      <c r="A34" s="115">
        <v>4368</v>
      </c>
      <c r="B34" s="291" t="str">
        <f>'RISK INPUT'!O18</f>
        <v>SWAP-MXN-MXNTIIE28D-4368D-</v>
      </c>
      <c r="C34" s="294">
        <f>'RISK INPUT'!P18</f>
        <v>6.54499999</v>
      </c>
      <c r="D34" s="291" t="str">
        <f>'RISK INPUT'!O32</f>
        <v>CCS-USD/MXN-28D-4368D-</v>
      </c>
      <c r="E34" s="254">
        <f>'RISK INPUT'!P32</f>
        <v>0.97</v>
      </c>
      <c r="F34" s="115" t="str">
        <f t="shared" si="0"/>
        <v>4368D</v>
      </c>
      <c r="G34" s="335">
        <f t="shared" si="1"/>
        <v>48075</v>
      </c>
      <c r="H34" s="492">
        <v>6.8000160264067841E-2</v>
      </c>
      <c r="I34" s="136" t="str">
        <f>_xll.qlSwapRateHelper2(,H34,,F34,$R$5,"Annual","Unadjusted",$R$6,$T$5,0,"0d")</f>
        <v>obj_0000a#0189</v>
      </c>
      <c r="K34" s="114">
        <f t="shared" si="4"/>
        <v>48075</v>
      </c>
      <c r="L34" s="491">
        <v>5.2841391375796756E-2</v>
      </c>
      <c r="M34" s="136" t="str">
        <f>_xll.qlSwapRateHelper2(,L34,,F34,$R$5,"Annual","Unadjusted",$R$6,$T$5,0,"0d")</f>
        <v>obj_0001c#0189</v>
      </c>
      <c r="N34" s="296"/>
      <c r="O34" s="349">
        <f t="shared" si="5"/>
        <v>0</v>
      </c>
      <c r="P34" s="288">
        <f>_xll.qlCalendarAdvance($R$5,$C$3+A34,"0D",$R$7)</f>
        <v>48075</v>
      </c>
      <c r="Q34" s="312">
        <f t="shared" si="2"/>
        <v>6.54499999E-2</v>
      </c>
      <c r="R34" s="323" t="str">
        <f>_xll.qlSchedule(,$R$2,P34,$R$4,$R$5,$R$7,$R$8,$R$9,$R$10,$R$11,$R$12,$R$13,$R$14)</f>
        <v>obj_000d7#0000</v>
      </c>
      <c r="S34" s="323" t="str">
        <f>_xll.qlSchedule(,$S$2,P34,$S$4,$S$5,$S$7,$S$8,$S$9,$S$10,$S$11,$S$12,$S$13,$S$14)</f>
        <v>obj_0006a#0000</v>
      </c>
      <c r="T34" s="354" t="str">
        <f ca="1">_xll.qlIborLeg(,$R$7,$C$8,R34,,,$R$6,,,$R$18)</f>
        <v>obj_00158#0258</v>
      </c>
      <c r="U34" s="323" t="str">
        <f>_xll.qlFixedRateLeg(,"Following",$C$8,S34,Q34,$S$6)</f>
        <v>obj_000bc#0000</v>
      </c>
      <c r="V34" s="323" t="str">
        <f ca="1">_xll.qlSwap(,T34:U34,$T$38:$U$38)</f>
        <v>obj_001a0#0258</v>
      </c>
      <c r="W34" s="323" t="b">
        <f ca="1">_xll.qlInstrumentSetPricingEngine(V34,$R$16)</f>
        <v>1</v>
      </c>
      <c r="X34" s="295">
        <f ca="1">_xll.qlInstrumentNPV(V34,W34)</f>
        <v>3.2596290111541748E-9</v>
      </c>
      <c r="Y34" s="344">
        <f t="shared" ca="1" si="10"/>
        <v>2.1231771889804818E-10</v>
      </c>
      <c r="Z34" s="346">
        <f ca="1">(_xll.qlInstrumentNPV(_xll.qlVanillaSwap(,"RECEIVER",$C$8,S34,Q34,$R$6,R34,$S$18,,$R$6,$S$7),_xll.qlInstrumentSetPricingEngine(_xll.qlVanillaSwap(,"RECEIVER",$C$8,S34,Q34,$R$6,R34,$S$18,,$R$6,$S$7),$R$16))/$C$12-Y34)/$H$6</f>
        <v>0</v>
      </c>
      <c r="AA34" s="346">
        <f ca="1">(_xll.qlInstrumentNPV(_xll.qlVanillaSwap(,"RECEIVER",$C$8,S34,Q34,$R$6,R34,$R$18,,$R$6,$S$7),_xll.qlInstrumentSetPricingEngine(_xll.qlVanillaSwap(,"RECEIVER",$C$8,S34,Q34,$R$6,R34,$R$18,,$R$6,$S$7),$S$16))/$C$12-Y34)/$H$6</f>
        <v>0</v>
      </c>
      <c r="AC34" s="288">
        <f t="shared" si="6"/>
        <v>48075</v>
      </c>
      <c r="AD34" s="312">
        <f t="shared" si="7"/>
        <v>9.7000000000000003E-3</v>
      </c>
      <c r="AE34" s="323" t="str">
        <f ca="1">_xll.qlSchedule(,$AE$2,AC34,$AE$4,$AE$5,$AE$7,$AE$8,$AE$9,$AE$10,Input!O57,Input!O58)</f>
        <v>obj_000d0#0258</v>
      </c>
      <c r="AF34" s="323" t="str">
        <f ca="1">_xll.qlIborLeg(,"Following",$C$9,R34,,,"Actual/360",,,$R$18,0)</f>
        <v>obj_00169#0258</v>
      </c>
      <c r="AG34" s="323" t="str">
        <f ca="1">_xll.qlIborLeg(,"Following",$C$8,AE34,,,"Actual/360",,,$AE$18,AD34)</f>
        <v>obj_0022f#0258</v>
      </c>
      <c r="AH34" s="323" t="str">
        <f ca="1">_xll.qlSwap(,AF34,$AF$38)</f>
        <v>obj_0019f#0258</v>
      </c>
      <c r="AI34" s="323" t="str">
        <f ca="1">_xll.qlSwap(,AG34,$AG$38)</f>
        <v>obj_00230#0258</v>
      </c>
      <c r="AJ34" s="323" t="b">
        <f ca="1">_xll.qlInstrumentSetPricingEngine(AH34,$R$16)</f>
        <v>1</v>
      </c>
      <c r="AK34" s="336" t="b">
        <f ca="1">_xll.qlInstrumentSetPricingEngine(AI34,$AE$16)</f>
        <v>1</v>
      </c>
      <c r="AL34" s="308">
        <f ca="1">_xll.qlInstrumentNPV(AH34,AJ34)+IF($AF$38,1,-1)*$C$9*(1-_xll.qlYieldTSDiscount($L$17,AC34))</f>
        <v>13265811.637321591</v>
      </c>
      <c r="AM34" s="308">
        <f ca="1">_xll.qlInstrumentNPV(AI34,AK34)+IF($AG$38,1,-1)*$C$8*(1-_xll.qlYieldTSDiscount($AE$15,AC34))</f>
        <v>-864075.89837041381</v>
      </c>
      <c r="AN34" s="345">
        <f t="shared" ca="1" si="11"/>
        <v>-1.6298145055770874E-9</v>
      </c>
      <c r="AO34" s="115" t="str">
        <f ca="1">_xll.qlIborLeg(,"Following",$C$9,R34,,,"Actual/360",,,$S$18,0)</f>
        <v>obj_0010a#0258</v>
      </c>
      <c r="AP34" s="179" t="str">
        <f ca="1">_xll.qlSwap(,AO34,$AF$38)</f>
        <v>obj_0011d#0258</v>
      </c>
      <c r="AQ34" s="115" t="b">
        <f ca="1">_xll.qlInstrumentSetPricingEngine(AP34,$R$16)</f>
        <v>1</v>
      </c>
      <c r="AR34" s="115" t="str">
        <f ca="1">_xll.qlIborLeg(,"Following",$C$9,R34,,,"Actual/360",,,$R$18,0)</f>
        <v>obj_0015e#0258</v>
      </c>
      <c r="AS34" s="115" t="str">
        <f ca="1">_xll.qlSwap(,AR34,$AF$38)</f>
        <v>obj_00199#0258</v>
      </c>
      <c r="AT34" s="115" t="b">
        <f ca="1">_xll.qlInstrumentSetPricingEngine(AS34,$S$16)</f>
        <v>1</v>
      </c>
      <c r="AU34" s="347">
        <f ca="1">((_xll.qlInstrumentNPV(AP34,AQ34)+IF($AF$38,1,-1)*$C$9*(1-_xll.qlYieldTSDiscount($L$17,AC34)))/$C$12+AM34-AN34)/$H$6</f>
        <v>0</v>
      </c>
      <c r="AV34" s="347">
        <f ca="1">((_xll.qlInstrumentNPV(AS34,AT34)+IF($AF$38,1,-1)*$C$9*(1-_xll.qlYieldTSDiscount($M$17,AC34)))/$C$12+AM34-AN34)/$H$6</f>
        <v>0</v>
      </c>
      <c r="AW34" s="309">
        <f t="shared" ca="1" si="9"/>
        <v>1.643585755702317E-9</v>
      </c>
    </row>
    <row r="35" spans="1:56">
      <c r="A35" s="115">
        <v>5460</v>
      </c>
      <c r="B35" s="291" t="str">
        <f>'RISK INPUT'!O19</f>
        <v>SWAP-MXN-MXNTIIE28D-5460D-</v>
      </c>
      <c r="C35" s="294">
        <f>'RISK INPUT'!P19</f>
        <v>6.7499999900000001</v>
      </c>
      <c r="D35" s="291" t="str">
        <f>'RISK INPUT'!O33</f>
        <v>CCS-USD/MXN-28D-5460D-</v>
      </c>
      <c r="E35" s="254">
        <f>'RISK INPUT'!P33</f>
        <v>0.96999999000000003</v>
      </c>
      <c r="F35" s="115" t="str">
        <f t="shared" si="0"/>
        <v>5460D</v>
      </c>
      <c r="G35" s="335">
        <f t="shared" si="1"/>
        <v>49167</v>
      </c>
      <c r="H35" s="492">
        <v>7.0652180696911746E-2</v>
      </c>
      <c r="I35" s="136" t="str">
        <f>_xll.qlSwapRateHelper2(,H35,,F35,$R$5,"Annual","Unadjusted",$R$6,$T$5,0,"0d")</f>
        <v>obj_00009#0182</v>
      </c>
      <c r="K35" s="114">
        <f t="shared" si="4"/>
        <v>49167</v>
      </c>
      <c r="L35" s="491">
        <v>5.4527260230132421E-2</v>
      </c>
      <c r="M35" s="136" t="str">
        <f>_xll.qlSwapRateHelper2(,L35,,F35,$R$5,"Annual","Unadjusted",$R$6,$T$5,0,"0d")</f>
        <v>obj_00007#0182</v>
      </c>
      <c r="N35" s="296"/>
      <c r="O35" s="349">
        <f t="shared" si="5"/>
        <v>0</v>
      </c>
      <c r="P35" s="288">
        <f>_xll.qlCalendarAdvance($R$5,$C$3+A35,"0D",$R$7)</f>
        <v>49167</v>
      </c>
      <c r="Q35" s="312">
        <f t="shared" si="2"/>
        <v>6.7499999899999996E-2</v>
      </c>
      <c r="R35" s="323" t="str">
        <f>_xll.qlSchedule(,$R$2,P35,$R$4,$R$5,$R$7,$R$8,$R$9,$R$10,$R$11,$R$12,$R$13,$R$14)</f>
        <v>obj_000a8#0000</v>
      </c>
      <c r="S35" s="323" t="str">
        <f>_xll.qlSchedule(,$S$2,P35,$S$4,$S$5,$S$7,$S$8,$S$9,$S$10,$S$11,$S$12,$S$13,$S$14)</f>
        <v>obj_000a7#0000</v>
      </c>
      <c r="T35" s="354" t="str">
        <f ca="1">_xll.qlIborLeg(,$R$7,$C$8,R35,,,$R$6,,,$R$18)</f>
        <v>obj_00150#0258</v>
      </c>
      <c r="U35" s="323" t="str">
        <f>_xll.qlFixedRateLeg(,"Following",$C$8,S35,Q35,$S$6)</f>
        <v>obj_000fd#0000</v>
      </c>
      <c r="V35" s="323" t="str">
        <f ca="1">_xll.qlSwap(,T35:U35,$T$38:$U$38)</f>
        <v>obj_0019c#0258</v>
      </c>
      <c r="W35" s="323" t="b">
        <f ca="1">_xll.qlInstrumentSetPricingEngine(V35,$R$16)</f>
        <v>1</v>
      </c>
      <c r="X35" s="295">
        <f ca="1">_xll.qlInstrumentNPV(V35,W35)</f>
        <v>-1.862645149230957E-9</v>
      </c>
      <c r="Y35" s="344">
        <f t="shared" ca="1" si="10"/>
        <v>-1.2132441079888468E-10</v>
      </c>
      <c r="Z35" s="346">
        <f ca="1">(_xll.qlInstrumentNPV(_xll.qlVanillaSwap(,"RECEIVER",$C$8,S35,Q35,$R$6,R35,$S$18,,$R$6,$S$7),_xll.qlInstrumentSetPricingEngine(_xll.qlVanillaSwap(,"RECEIVER",$C$8,S35,Q35,$R$6,R35,$S$18,,$R$6,$S$7),$R$16))/$C$12-Y35)/$H$6</f>
        <v>0</v>
      </c>
      <c r="AA35" s="346">
        <f ca="1">(_xll.qlInstrumentNPV(_xll.qlVanillaSwap(,"RECEIVER",$C$8,S35,Q35,$R$6,R35,$R$18,,$R$6,$S$7),_xll.qlInstrumentSetPricingEngine(_xll.qlVanillaSwap(,"RECEIVER",$C$8,S35,Q35,$R$6,R35,$R$18,,$R$6,$S$7),$S$16))/$C$12-Y35)/$H$6</f>
        <v>0</v>
      </c>
      <c r="AC35" s="288">
        <f t="shared" si="6"/>
        <v>49167</v>
      </c>
      <c r="AD35" s="312">
        <f t="shared" si="7"/>
        <v>9.6999999000000007E-3</v>
      </c>
      <c r="AE35" s="323" t="str">
        <f ca="1">_xll.qlSchedule(,$AE$2,AC35,$AE$4,$AE$5,$AE$7,$AE$8,$AE$9,$AE$10,Input!O58,Input!O59)</f>
        <v>obj_000c4#0258</v>
      </c>
      <c r="AF35" s="323" t="str">
        <f ca="1">_xll.qlIborLeg(,"Following",$C$9,R35,,,"Actual/360",,,$R$18,0)</f>
        <v>obj_00182#0258</v>
      </c>
      <c r="AG35" s="323" t="str">
        <f ca="1">_xll.qlIborLeg(,"Following",$C$8,AE35,,,"Actual/360",,,$AE$18,AD35)</f>
        <v>obj_0022b#0258</v>
      </c>
      <c r="AH35" s="323" t="str">
        <f ca="1">_xll.qlSwap(,AF35,$AF$38)</f>
        <v>obj_001a2#0258</v>
      </c>
      <c r="AI35" s="323" t="str">
        <f ca="1">_xll.qlSwap(,AG35,$AG$38)</f>
        <v>obj_0022c#0258</v>
      </c>
      <c r="AJ35" s="323" t="b">
        <f ca="1">_xll.qlInstrumentSetPricingEngine(AH35,$R$16)</f>
        <v>1</v>
      </c>
      <c r="AK35" s="336" t="b">
        <f ca="1">_xll.qlInstrumentSetPricingEngine(AI35,$AE$16)</f>
        <v>1</v>
      </c>
      <c r="AL35" s="308">
        <f ca="1">_xll.qlInstrumentNPV(AH35,AJ35)+IF($AF$38,1,-1)*$C$9*(1-_xll.qlYieldTSDiscount($L$17,AC35))</f>
        <v>16175500.742627345</v>
      </c>
      <c r="AM35" s="308">
        <f ca="1">_xll.qlInstrumentNPV(AI35,AK35)+IF($AG$38,1,-1)*$C$8*(1-_xll.qlYieldTSDiscount($AE$15,AC35))</f>
        <v>-1053600.090058187</v>
      </c>
      <c r="AN35" s="345">
        <f t="shared" ca="1" si="11"/>
        <v>0</v>
      </c>
      <c r="AO35" s="115" t="str">
        <f ca="1">_xll.qlIborLeg(,"Following",$C$9,R35,,,"Actual/360",,,$S$18,0)</f>
        <v>obj_00101#0258</v>
      </c>
      <c r="AP35" s="179" t="str">
        <f ca="1">_xll.qlSwap(,AO35,$AF$38)</f>
        <v>obj_0011e#0258</v>
      </c>
      <c r="AQ35" s="115" t="b">
        <f ca="1">_xll.qlInstrumentSetPricingEngine(AP35,$R$16)</f>
        <v>1</v>
      </c>
      <c r="AR35" s="115" t="str">
        <f ca="1">_xll.qlIborLeg(,"Following",$C$9,R35,,,"Actual/360",,,$R$18,0)</f>
        <v>obj_00154#0258</v>
      </c>
      <c r="AS35" s="115" t="str">
        <f ca="1">_xll.qlSwap(,AR35,$AF$38)</f>
        <v>obj_0019b#0258</v>
      </c>
      <c r="AT35" s="115" t="b">
        <f ca="1">_xll.qlInstrumentSetPricingEngine(AS35,$S$16)</f>
        <v>1</v>
      </c>
      <c r="AU35" s="347">
        <f ca="1">((_xll.qlInstrumentNPV(AP35,AQ35)+IF($AF$38,1,-1)*$C$9*(1-_xll.qlYieldTSDiscount($L$17,AC35)))/$C$12+AM35-AN35)/$H$6</f>
        <v>1.3969838619232178E-5</v>
      </c>
      <c r="AV35" s="347">
        <f ca="1">((_xll.qlInstrumentNPV(AS35,AT35)+IF($AF$38,1,-1)*$C$9*(1-_xll.qlYieldTSDiscount($M$17,AC35)))/$C$12+AM35-AN35)/$H$6</f>
        <v>1.3969838619232178E-5</v>
      </c>
      <c r="AW35" s="309">
        <f t="shared" ca="1" si="9"/>
        <v>1.2132441079888468E-10</v>
      </c>
    </row>
    <row r="36" spans="1:56">
      <c r="A36" s="115">
        <v>7280</v>
      </c>
      <c r="B36" s="291" t="str">
        <f>'RISK INPUT'!O20</f>
        <v>SWAP-MXN-MXNTIIE28D-7280D-</v>
      </c>
      <c r="C36" s="294">
        <f>'RISK INPUT'!P20</f>
        <v>6.9850000000000003</v>
      </c>
      <c r="D36" s="291" t="str">
        <f>'RISK INPUT'!O34</f>
        <v>CCS-USD/MXN-28D-7280D-</v>
      </c>
      <c r="E36" s="254">
        <f>'RISK INPUT'!P34</f>
        <v>0.97</v>
      </c>
      <c r="F36" s="115" t="str">
        <f t="shared" si="0"/>
        <v>7280D</v>
      </c>
      <c r="G36" s="335">
        <f t="shared" si="1"/>
        <v>50987</v>
      </c>
      <c r="H36" s="492">
        <v>7.3973556710870345E-2</v>
      </c>
      <c r="I36" s="136" t="str">
        <f>_xll.qlSwapRateHelper2(,H36,,F36,$R$5,"Annual","Unadjusted",$R$6,$T$5,0,"0d")</f>
        <v>obj_00008#0175</v>
      </c>
      <c r="K36" s="114">
        <f t="shared" si="4"/>
        <v>50987</v>
      </c>
      <c r="L36" s="491">
        <v>5.6313381202676635E-2</v>
      </c>
      <c r="M36" s="136" t="str">
        <f>_xll.qlSwapRateHelper2(,L36,,F36,$R$5,"Annual","Unadjusted",$R$6,$T$5,0,"0d")</f>
        <v>obj_00006#0175</v>
      </c>
      <c r="N36" s="296"/>
      <c r="O36" s="349">
        <f t="shared" ref="O36:O37" si="12">IF(ROW(O36)=23+$Y$41,1,0)</f>
        <v>0</v>
      </c>
      <c r="P36" s="288">
        <f>_xll.qlCalendarAdvance($R$5,$C$3+A36,"0D",$R$7)</f>
        <v>50987</v>
      </c>
      <c r="Q36" s="312">
        <f t="shared" si="2"/>
        <v>6.9850000000000009E-2</v>
      </c>
      <c r="R36" s="323" t="str">
        <f>_xll.qlSchedule(,$R$2,P36,$R$4,$R$5,$R$7,$R$8,$R$9,$R$10,$R$11,$R$12,$R$13,$R$14)</f>
        <v>obj_000bf#0000</v>
      </c>
      <c r="S36" s="323" t="str">
        <f>_xll.qlSchedule(,$S$2,P36,$S$4,$S$5,$S$7,$S$8,$S$9,$S$10,$S$11,$S$12,$S$13,$S$14)</f>
        <v>obj_000af#0000</v>
      </c>
      <c r="T36" s="354" t="str">
        <f ca="1">_xll.qlIborLeg(,$R$7,$C$8,R36,,,$R$6,,,$R$18)</f>
        <v>obj_0017c#0258</v>
      </c>
      <c r="U36" s="323" t="str">
        <f>_xll.qlFixedRateLeg(,"Following",$C$8,S36,Q36,$S$6)</f>
        <v>obj_000fb#0000</v>
      </c>
      <c r="V36" s="323" t="str">
        <f ca="1">_xll.qlSwap(,T36:U36,$T$38:$U$38)</f>
        <v>obj_0019d#0258</v>
      </c>
      <c r="W36" s="323" t="b">
        <f ca="1">_xll.qlInstrumentSetPricingEngine(V36,$R$16)</f>
        <v>1</v>
      </c>
      <c r="X36" s="295">
        <f ca="1">_xll.qlInstrumentNPV(V36,W36)</f>
        <v>-4.6566128730773926E-9</v>
      </c>
      <c r="Y36" s="344">
        <f t="shared" ca="1" si="10"/>
        <v>-3.0331102699721169E-10</v>
      </c>
      <c r="Z36" s="346">
        <f ca="1">(_xll.qlInstrumentNPV(_xll.qlVanillaSwap(,"RECEIVER",$C$8,S36,Q36,$R$6,R36,$S$18,,$R$6,$S$7),_xll.qlInstrumentSetPricingEngine(_xll.qlVanillaSwap(,"RECEIVER",$C$8,S36,Q36,$R$6,R36,$S$18,,$R$6,$S$7),$R$16))/$C$12-Y36)/$H$6</f>
        <v>0</v>
      </c>
      <c r="AA36" s="346">
        <f ca="1">(_xll.qlInstrumentNPV(_xll.qlVanillaSwap(,"RECEIVER",$C$8,S36,Q36,$R$6,R36,$R$18,,$R$6,$S$7),_xll.qlInstrumentSetPricingEngine(_xll.qlVanillaSwap(,"RECEIVER",$C$8,S36,Q36,$R$6,R36,$R$18,,$R$6,$S$7),$S$16))/$C$12-Y36)/$H$6</f>
        <v>0</v>
      </c>
      <c r="AC36" s="288">
        <f t="shared" si="6"/>
        <v>50987</v>
      </c>
      <c r="AD36" s="312">
        <f t="shared" si="7"/>
        <v>9.7000000000000003E-3</v>
      </c>
      <c r="AE36" s="323" t="str">
        <f ca="1">_xll.qlSchedule(,$AE$2,AC36,$AE$4,$AE$5,$AE$7,$AE$8,$AE$9,$AE$10,Input!O59,Input!O60)</f>
        <v>obj_000d9#0258</v>
      </c>
      <c r="AF36" s="323" t="str">
        <f ca="1">_xll.qlIborLeg(,"Following",$C$9,R36,,,"Actual/360",,,$R$18,0)</f>
        <v>obj_00180#0258</v>
      </c>
      <c r="AG36" s="323" t="str">
        <f ca="1">_xll.qlIborLeg(,"Following",$C$8,AE36,,,"Actual/360",,,$AE$18,AD36)</f>
        <v>obj_00227#0258</v>
      </c>
      <c r="AH36" s="323" t="str">
        <f ca="1">_xll.qlSwap(,AF36,$AF$38)</f>
        <v>obj_00188#0258</v>
      </c>
      <c r="AI36" s="323" t="str">
        <f ca="1">_xll.qlSwap(,AG36,$AG$38)</f>
        <v>obj_00228#0258</v>
      </c>
      <c r="AJ36" s="323" t="b">
        <f ca="1">_xll.qlInstrumentSetPricingEngine(AH36,$R$16)</f>
        <v>1</v>
      </c>
      <c r="AK36" s="336" t="b">
        <f ca="1">_xll.qlInstrumentSetPricingEngine(AI36,$AE$16)</f>
        <v>1</v>
      </c>
      <c r="AL36" s="308">
        <f ca="1">_xll.qlInstrumentNPV(AH36,AJ36)+IF($AF$38,1,-1)*$C$9*(1-_xll.qlYieldTSDiscount($L$17,AC36))</f>
        <v>20406006.632255405</v>
      </c>
      <c r="AM36" s="308">
        <f ca="1">_xll.qlInstrumentNPV(AI36,AK36)+IF($AG$38,1,-1)*$C$8*(1-_xll.qlYieldTSDiscount($AE$15,AC36))</f>
        <v>-1329156.4055766079</v>
      </c>
      <c r="AN36" s="345">
        <f t="shared" ca="1" si="11"/>
        <v>0</v>
      </c>
      <c r="AO36" s="115" t="str">
        <f ca="1">_xll.qlIborLeg(,"Following",$C$9,R36,,,"Actual/360",,,$S$18,0)</f>
        <v>obj_00107#0258</v>
      </c>
      <c r="AP36" s="179" t="str">
        <f ca="1">_xll.qlSwap(,AO36,$AF$38)</f>
        <v>obj_0011b#0258</v>
      </c>
      <c r="AQ36" s="115" t="b">
        <f ca="1">_xll.qlInstrumentSetPricingEngine(AP36,$R$16)</f>
        <v>1</v>
      </c>
      <c r="AR36" s="115" t="str">
        <f ca="1">_xll.qlIborLeg(,"Following",$C$9,R36,,,"Actual/360",,,$R$18,0)</f>
        <v>obj_0014e#0258</v>
      </c>
      <c r="AS36" s="115" t="str">
        <f ca="1">_xll.qlSwap(,AR36,$AF$38)</f>
        <v>obj_001a1#0258</v>
      </c>
      <c r="AT36" s="115" t="b">
        <f ca="1">_xll.qlInstrumentSetPricingEngine(AS36,$S$16)</f>
        <v>1</v>
      </c>
      <c r="AU36" s="347">
        <f ca="1">((_xll.qlInstrumentNPV(AP36,AQ36)+IF($AF$38,1,-1)*$C$9*(1-_xll.qlYieldTSDiscount($L$17,AC36)))/$C$12+AM36-AN36)/$H$6</f>
        <v>-1.6298145055770874E-5</v>
      </c>
      <c r="AV36" s="347">
        <f ca="1">((_xll.qlInstrumentNPV(AS36,AT36)+IF($AF$38,1,-1)*$C$9*(1-_xll.qlYieldTSDiscount($M$17,AC36)))/$C$12+AM36-AN36)/$H$6</f>
        <v>-1.6298145055770874E-5</v>
      </c>
      <c r="AW36" s="309">
        <f t="shared" ca="1" si="9"/>
        <v>3.0331102699721169E-10</v>
      </c>
    </row>
    <row r="37" spans="1:56" ht="15.75" thickBot="1">
      <c r="A37" s="115">
        <v>10920</v>
      </c>
      <c r="B37" s="291" t="str">
        <f>'RISK INPUT'!O21</f>
        <v>SWAP-MXN-MXNTIIE28D-10920D-</v>
      </c>
      <c r="C37" s="302">
        <f>'RISK INPUT'!P21</f>
        <v>7.2049999400000004</v>
      </c>
      <c r="D37" s="291" t="str">
        <f>'RISK INPUT'!O35</f>
        <v>CCS-USD/MXN-28D-10920D-</v>
      </c>
      <c r="E37" s="254">
        <f>'RISK INPUT'!P35</f>
        <v>0.96999995999999999</v>
      </c>
      <c r="F37" s="115" t="str">
        <f t="shared" si="0"/>
        <v>10920D</v>
      </c>
      <c r="G37" s="337">
        <f t="shared" si="1"/>
        <v>54627</v>
      </c>
      <c r="H37" s="492">
        <v>7.7412128987594309E-2</v>
      </c>
      <c r="I37" s="136" t="str">
        <f>_xll.qlSwapRateHelper2(,H37,,F37,$R$5,"Annual","Unadjusted",$R$6,$T$5,0,"0d")</f>
        <v>obj_0000b#0167</v>
      </c>
      <c r="K37" s="333">
        <f t="shared" si="4"/>
        <v>54627</v>
      </c>
      <c r="L37" s="491">
        <v>5.625828881391963E-2</v>
      </c>
      <c r="M37" s="136" t="str">
        <f>_xll.qlSwapRateHelper2(,L37,,F37,$R$5,"Annual","Unadjusted",$R$6,$T$5,0,"0d")</f>
        <v>obj_00005#0167</v>
      </c>
      <c r="N37" s="296"/>
      <c r="O37" s="350">
        <f t="shared" si="12"/>
        <v>0</v>
      </c>
      <c r="P37" s="288">
        <f>_xll.qlCalendarAdvance($R$5,$C$3+A37,"0D",$R$7)</f>
        <v>54627</v>
      </c>
      <c r="Q37" s="312">
        <f t="shared" si="2"/>
        <v>7.2049999400000009E-2</v>
      </c>
      <c r="R37" s="323" t="str">
        <f>_xll.qlSchedule(,$R$2,P37,$R$4,$R$5,$R$7,$R$8,$R$9,$R$10,$R$11,$R$12,$R$13,$R$14)</f>
        <v>obj_000e0#0000</v>
      </c>
      <c r="S37" s="323" t="str">
        <f>_xll.qlSchedule(,$S$2,P37,$S$4,$S$5,$S$7,$S$8,$S$9,$S$10,$S$11,$S$12,$S$13,$S$14)</f>
        <v>obj_000ee#0000</v>
      </c>
      <c r="T37" s="354" t="str">
        <f ca="1">_xll.qlIborLeg(,$R$7,$C$8,R37,,,$R$6,,,$R$18)</f>
        <v>obj_00172#0258</v>
      </c>
      <c r="U37" s="323" t="str">
        <f>_xll.qlFixedRateLeg(,"Following",$C$8,S37,Q37,$S$6)</f>
        <v>obj_000f8#0000</v>
      </c>
      <c r="V37" s="323" t="str">
        <f ca="1">_xll.qlSwap(,T37:U37,$T$38:$U$38)</f>
        <v>obj_0019e#0258</v>
      </c>
      <c r="W37" s="323" t="b">
        <f ca="1">_xll.qlInstrumentSetPricingEngine(V37,$R$16)</f>
        <v>1</v>
      </c>
      <c r="X37" s="295">
        <f ca="1">_xll.qlInstrumentNPV(V37,W37)</f>
        <v>-6.5192580223083496E-9</v>
      </c>
      <c r="Y37" s="344">
        <f t="shared" ca="1" si="10"/>
        <v>-4.2463543779609637E-10</v>
      </c>
      <c r="Z37" s="346">
        <f ca="1">(_xll.qlInstrumentNPV(_xll.qlVanillaSwap(,"RECEIVER",$C$8,S37,Q37,$R$6,R37,$S$18,,$R$6,$S$7),_xll.qlInstrumentSetPricingEngine(_xll.qlVanillaSwap(,"RECEIVER",$C$8,S37,Q37,$R$6,R37,$S$18,,$R$6,$S$7),$R$16))/$C$12-Y37)/$H$6</f>
        <v>-3064909.7814209699</v>
      </c>
      <c r="AA37" s="346">
        <f ca="1">(_xll.qlInstrumentNPV(_xll.qlVanillaSwap(,"RECEIVER",$C$8,S37,Q37,$R$6,R37,$R$18,,$R$6,$S$7),_xll.qlInstrumentSetPricingEngine(_xll.qlVanillaSwap(,"RECEIVER",$C$8,S37,Q37,$R$6,R37,$R$18,,$R$6,$S$7),$S$16))/$C$12-Y37)/$H$6</f>
        <v>159829.02129847347</v>
      </c>
      <c r="AC37" s="288">
        <f t="shared" si="6"/>
        <v>54627</v>
      </c>
      <c r="AD37" s="312">
        <f t="shared" si="7"/>
        <v>9.6999996000000002E-3</v>
      </c>
      <c r="AE37" s="323" t="str">
        <f ca="1">_xll.qlSchedule(,$AE$2,AC37,$AE$4,$AE$5,$AE$7,$AE$8,$AE$9,$AE$10,Input!O60,Input!O61)</f>
        <v>obj_000d5#0258</v>
      </c>
      <c r="AF37" s="323" t="str">
        <f ca="1">_xll.qlIborLeg(,"Following",$C$9,R37,,,"Actual/360",,,$R$18,0)</f>
        <v>obj_0017a#0258</v>
      </c>
      <c r="AG37" s="323" t="str">
        <f ca="1">_xll.qlIborLeg(,"Following",$C$8,AE37,,,"Actual/360",,,$AE$18,AD37)</f>
        <v>obj_00235#0258</v>
      </c>
      <c r="AH37" s="323" t="str">
        <f ca="1">_xll.qlSwap(,AF37,$AF$38)</f>
        <v>obj_00189#0258</v>
      </c>
      <c r="AI37" s="323" t="str">
        <f ca="1">_xll.qlSwap(,AG37,$AG$38)</f>
        <v>obj_00236#0258</v>
      </c>
      <c r="AJ37" s="323" t="b">
        <f ca="1">_xll.qlInstrumentSetPricingEngine(AH37,$R$16)</f>
        <v>1</v>
      </c>
      <c r="AK37" s="336" t="b">
        <f ca="1">_xll.qlInstrumentSetPricingEngine(AI37,$AE$16)</f>
        <v>1</v>
      </c>
      <c r="AL37" s="308">
        <f ca="1">_xll.qlInstrumentNPV(AH37,AJ37)+IF($AF$38,1,-1)*$C$9*(1-_xll.qlYieldTSDiscount($L$17,AC37))</f>
        <v>27330232.040152028</v>
      </c>
      <c r="AM37" s="308">
        <f ca="1">_xll.qlInstrumentNPV(AI37,AK37)+IF($AG$38,1,-1)*$C$8*(1-_xll.qlYieldTSDiscount($AE$15,AC37))</f>
        <v>-1780169.6155798971</v>
      </c>
      <c r="AN37" s="345">
        <f t="shared" ca="1" si="11"/>
        <v>6.5192580223083496E-9</v>
      </c>
      <c r="AO37" s="115" t="str">
        <f ca="1">_xll.qlIborLeg(,"Following",$C$9,R37,,,"Actual/360",,,$S$18,0)</f>
        <v>obj_00105#0258</v>
      </c>
      <c r="AP37" s="179" t="str">
        <f ca="1">_xll.qlSwap(,AO37,$AF$38)</f>
        <v>obj_00119#0258</v>
      </c>
      <c r="AQ37" s="115" t="b">
        <f ca="1">_xll.qlInstrumentSetPricingEngine(AP37,$R$16)</f>
        <v>1</v>
      </c>
      <c r="AR37" s="115" t="str">
        <f ca="1">_xll.qlIborLeg(,"Following",$C$9,R37,,,"Actual/360",,,$R$18,0)</f>
        <v>obj_0015d#0258</v>
      </c>
      <c r="AS37" s="115" t="str">
        <f ca="1">_xll.qlSwap(,AR37,$AF$38)</f>
        <v>obj_001a9#0258</v>
      </c>
      <c r="AT37" s="115" t="b">
        <f ca="1">_xll.qlInstrumentSetPricingEngine(AS37,$S$16)</f>
        <v>1</v>
      </c>
      <c r="AU37" s="347">
        <f ca="1">((_xll.qlInstrumentNPV(AP37,AQ37)+IF($AF$38,1,-1)*$C$9*(1-_xll.qlYieldTSDiscount($L$17,AC37)))/$C$12+AM37-AN37)/$H$6</f>
        <v>47054333.910222627</v>
      </c>
      <c r="AV37" s="347">
        <f ca="1">((_xll.qlInstrumentNPV(AS37,AT37)+IF($AF$38,1,-1)*$C$9*(1-_xll.qlYieldTSDiscount($M$17,AC37)))/$C$12+AM37-AN37)/$H$6</f>
        <v>-52769697.209866717</v>
      </c>
      <c r="AW37" s="310">
        <f t="shared" ca="1" si="9"/>
        <v>6.5330728157938091E-9</v>
      </c>
    </row>
    <row r="38" spans="1:56">
      <c r="H38" s="303"/>
      <c r="I38" s="136"/>
      <c r="L38" s="303"/>
      <c r="M38" s="136"/>
      <c r="N38" s="303"/>
      <c r="R38" s="322"/>
      <c r="S38" s="322"/>
      <c r="T38" s="322" t="b">
        <v>1</v>
      </c>
      <c r="U38" s="322" t="b">
        <f>IF(T38,FALSE,TRUE)</f>
        <v>0</v>
      </c>
      <c r="V38" s="322"/>
      <c r="W38" s="322"/>
      <c r="Y38" s="304">
        <f ca="1">SQRT(SUMPRODUCT(Y22:Y37,Y22:Y37))</f>
        <v>7.9055223802533674E-10</v>
      </c>
      <c r="Z38" s="304"/>
      <c r="AE38" s="323"/>
      <c r="AF38" s="323" t="b">
        <v>0</v>
      </c>
      <c r="AG38" s="323" t="b">
        <f>IF(AF38,FALSE,TRUE)</f>
        <v>1</v>
      </c>
      <c r="AH38" s="323"/>
      <c r="AI38" s="323"/>
      <c r="AJ38" s="323"/>
      <c r="AK38" s="336">
        <v>0</v>
      </c>
      <c r="AN38" s="304">
        <f ca="1">SQRT(SUMPRODUCT(AN24:AN37,AN24:AN37))</f>
        <v>1.0896692139111051E-8</v>
      </c>
      <c r="AO38" s="304"/>
      <c r="AP38" s="304"/>
      <c r="AQ38" s="304"/>
      <c r="AR38" s="304"/>
      <c r="AS38" s="304"/>
      <c r="AT38" s="304"/>
      <c r="AU38" s="304"/>
      <c r="AV38" s="304"/>
      <c r="AW38" s="133">
        <f ca="1">SUM(AW24:AW37)</f>
        <v>3.0377509261871672E-8</v>
      </c>
      <c r="AZ38" s="304"/>
      <c r="BD38" s="304"/>
    </row>
    <row r="39" spans="1:56">
      <c r="I39" s="136"/>
      <c r="M39" s="136"/>
      <c r="X39" s="115" t="str">
        <f ca="1">_xll.ohRangeRetrieveError(X37)</f>
        <v/>
      </c>
      <c r="AK39" s="303">
        <v>0</v>
      </c>
    </row>
    <row r="40" spans="1:56">
      <c r="I40" s="136"/>
      <c r="M40" s="136"/>
    </row>
    <row r="41" spans="1:56">
      <c r="I41" s="136"/>
      <c r="M41" s="136"/>
      <c r="R41" s="92"/>
      <c r="S41" s="92"/>
      <c r="X41" s="115" t="s">
        <v>799</v>
      </c>
      <c r="Y41" s="115">
        <v>15</v>
      </c>
    </row>
    <row r="42" spans="1:56">
      <c r="I42" s="136"/>
      <c r="R42" s="92"/>
      <c r="S42" s="92"/>
    </row>
    <row r="43" spans="1:56">
      <c r="H43" s="195">
        <f ca="1">_xll.qlYieldTSZeroRate(H17,G37,"Actual/365","compounded")</f>
        <v>8.0548596994016508E-2</v>
      </c>
      <c r="I43" s="493">
        <f ca="1">_xll.qlYieldTSZeroRate(H18,G37,"Actual/365","compounded")</f>
        <v>9.0538571026630654E-2</v>
      </c>
      <c r="L43" s="195">
        <f ca="1">_xll.qlYieldTSZeroRate(L17,K37,"Actual/365","compounded")</f>
        <v>5.791450954171995E-2</v>
      </c>
      <c r="M43" s="493">
        <f ca="1">_xll.qlYieldTSZeroRate(L18,K37,"Actual/365","compounded")</f>
        <v>5.8833550033026816E-2</v>
      </c>
      <c r="R43" s="92"/>
      <c r="S43" s="92"/>
      <c r="X43" s="115" t="s">
        <v>802</v>
      </c>
      <c r="Y43" s="115">
        <f ca="1">OFFSET(H24,$Y$41-1,0,1,1)</f>
        <v>0</v>
      </c>
      <c r="Z43" s="115">
        <f ca="1">OFFSET(L24,$Y$41-1,0,1,1)</f>
        <v>5.625828881391963E-2</v>
      </c>
    </row>
    <row r="44" spans="1:56">
      <c r="H44" s="219"/>
      <c r="R44" s="92"/>
    </row>
    <row r="45" spans="1:56">
      <c r="I45" s="115" t="str">
        <f>_xll.ohRangeRetrieveError(I37)</f>
        <v/>
      </c>
      <c r="R45" s="92"/>
      <c r="X45" s="115" t="s">
        <v>803</v>
      </c>
      <c r="Y45" s="115">
        <f ca="1">OFFSET(Y24,$Y$41-1,0,1,1)</f>
        <v>-4.2463543779609637E-10</v>
      </c>
      <c r="Z45" s="115">
        <f ca="1">OFFSET(AN24,$Y$41-1,0,1,1)</f>
        <v>1.0896692139111051E-8</v>
      </c>
      <c r="AA45" s="115">
        <f ca="1">SQRT(Y45*Y45+Z45*Z45)</f>
        <v>6.5330728157938091E-9</v>
      </c>
      <c r="AL45" s="115">
        <v>424395.5161269923</v>
      </c>
      <c r="AM45" s="115">
        <v>1065.9874093744293</v>
      </c>
      <c r="AV45" s="115">
        <v>-6515574.6008913042</v>
      </c>
      <c r="AW45" s="115">
        <v>6528575.4014962362</v>
      </c>
    </row>
    <row r="46" spans="1:56">
      <c r="R46" s="92"/>
    </row>
    <row r="47" spans="1:56">
      <c r="R47" s="92"/>
    </row>
    <row r="48" spans="1:56">
      <c r="B48" s="473"/>
      <c r="R48" s="92"/>
      <c r="X48" s="115" t="s">
        <v>800</v>
      </c>
      <c r="Y48" s="148">
        <f t="array" aca="1" ref="Y48:Z48" ca="1">OFFSET(Z24,$Y$41-1,0,1,2)</f>
        <v>-3064909.7814209699</v>
      </c>
      <c r="Z48" s="140">
        <f ca="1"/>
        <v>159829.02129847347</v>
      </c>
    </row>
    <row r="49" spans="8:49">
      <c r="H49" s="133"/>
      <c r="O49" s="117"/>
      <c r="R49" s="92"/>
      <c r="Y49" s="352">
        <f t="array" aca="1" ref="Y49:Z49" ca="1">OFFSET(AU24,$Y$41-1,0,1,2)</f>
        <v>47054333.910222627</v>
      </c>
      <c r="Z49" s="50">
        <f ca="1"/>
        <v>-52769697.209866717</v>
      </c>
    </row>
    <row r="50" spans="8:49">
      <c r="R50" s="92"/>
      <c r="AC50" s="115">
        <v>2121.1241914386519</v>
      </c>
      <c r="AL50" s="115">
        <v>2163.5637430513511</v>
      </c>
      <c r="AM50" s="115">
        <v>2121.2307901795893</v>
      </c>
      <c r="AU50" s="115">
        <v>-23073.166073606801</v>
      </c>
      <c r="AV50" s="115">
        <v>-23724.723533695931</v>
      </c>
      <c r="AW50" s="115">
        <v>-22420.308533457199</v>
      </c>
    </row>
    <row r="51" spans="8:49">
      <c r="R51" s="92"/>
      <c r="X51" s="115" t="s">
        <v>801</v>
      </c>
      <c r="Y51" s="148">
        <f t="array" aca="1" ref="Y51:Z52" ca="1">MINVERSE(Y48:Z49)</f>
        <v>-3.4218550465971814E-7</v>
      </c>
      <c r="Z51" s="140">
        <f ca="1"/>
        <v>-1.0364125095275526E-9</v>
      </c>
      <c r="AL51" s="115">
        <f>(AL50-AC50)/$H$6</f>
        <v>424395.5161269923</v>
      </c>
      <c r="AM51" s="115">
        <f>(AM50-AC50)/$H$6</f>
        <v>1065.9874093744293</v>
      </c>
      <c r="AV51" s="115">
        <f>(AV50-AU50)/$H$6</f>
        <v>-6515574.6008913042</v>
      </c>
      <c r="AW51" s="115">
        <f>(AW50-AU50)/$H$6</f>
        <v>6528575.4014960183</v>
      </c>
    </row>
    <row r="52" spans="8:49">
      <c r="R52" s="92"/>
      <c r="Y52" s="352">
        <f ca="1"/>
        <v>-3.0512418768409845E-7</v>
      </c>
      <c r="Z52" s="50">
        <f ca="1"/>
        <v>-1.9874430890157652E-8</v>
      </c>
    </row>
    <row r="53" spans="8:49">
      <c r="R53" s="92"/>
    </row>
    <row r="54" spans="8:49">
      <c r="R54" s="92"/>
      <c r="X54" s="115" t="s">
        <v>804</v>
      </c>
      <c r="Y54" s="115">
        <f t="array" aca="1" ref="Y54:Z54" ca="1">Y43:Z43-MMULT(Y45:Z45,TRANSPOSE(Y51:Z52))</f>
        <v>7.741212898759417E-2</v>
      </c>
      <c r="Z54" s="115">
        <f ca="1"/>
        <v>5.625828881391963E-2</v>
      </c>
    </row>
    <row r="55" spans="8:49">
      <c r="R55" s="92"/>
    </row>
    <row r="56" spans="8:49">
      <c r="R56" s="92"/>
    </row>
    <row r="57" spans="8:49">
      <c r="R57" s="92"/>
    </row>
    <row r="58" spans="8:49">
      <c r="R58" s="92"/>
    </row>
    <row r="59" spans="8:49">
      <c r="R59" s="92"/>
    </row>
    <row r="60" spans="8:49">
      <c r="R60" s="92"/>
    </row>
    <row r="61" spans="8:49">
      <c r="R61" s="92"/>
    </row>
    <row r="62" spans="8:49">
      <c r="R62" s="92"/>
    </row>
    <row r="63" spans="8:49">
      <c r="R63" s="92"/>
    </row>
    <row r="64" spans="8:49">
      <c r="R64" s="92"/>
    </row>
    <row r="65" spans="18:27">
      <c r="R65" s="92"/>
    </row>
    <row r="66" spans="18:27">
      <c r="R66" s="92"/>
    </row>
    <row r="67" spans="18:27">
      <c r="R67" s="373"/>
      <c r="U67" s="311"/>
    </row>
    <row r="68" spans="18:27">
      <c r="R68" s="92"/>
      <c r="Y68" s="117"/>
      <c r="Z68" s="117"/>
      <c r="AA68" s="117"/>
    </row>
    <row r="69" spans="18:27">
      <c r="R69" s="92"/>
      <c r="T69" s="138"/>
    </row>
    <row r="70" spans="18:27">
      <c r="R70" s="92"/>
      <c r="T70" s="138"/>
      <c r="U70" s="138"/>
      <c r="V70" s="308"/>
      <c r="W70" s="305"/>
      <c r="X70" s="177"/>
      <c r="Y70" s="117"/>
      <c r="Z70" s="117"/>
      <c r="AA70" s="117"/>
    </row>
    <row r="71" spans="18:27">
      <c r="R71" s="92"/>
      <c r="T71" s="138"/>
      <c r="U71" s="138"/>
      <c r="V71" s="308"/>
      <c r="W71" s="305"/>
      <c r="X71" s="177"/>
      <c r="Y71" s="117"/>
      <c r="Z71" s="117"/>
      <c r="AA71" s="117"/>
    </row>
    <row r="72" spans="18:27">
      <c r="R72" s="92"/>
      <c r="T72" s="138"/>
      <c r="U72" s="138"/>
      <c r="V72" s="308"/>
      <c r="W72" s="305"/>
      <c r="X72" s="177"/>
      <c r="Y72" s="117"/>
      <c r="Z72" s="117"/>
      <c r="AA72" s="117"/>
    </row>
    <row r="73" spans="18:27">
      <c r="R73" s="92"/>
      <c r="T73" s="138"/>
      <c r="U73" s="138"/>
      <c r="V73" s="308"/>
      <c r="W73" s="305"/>
    </row>
    <row r="74" spans="18:27">
      <c r="R74" s="92"/>
      <c r="T74" s="138"/>
      <c r="U74" s="138"/>
      <c r="V74" s="308"/>
      <c r="W74" s="305"/>
    </row>
    <row r="75" spans="18:27">
      <c r="R75" s="92"/>
      <c r="T75" s="138"/>
      <c r="U75" s="138"/>
      <c r="V75" s="308"/>
      <c r="W75" s="305"/>
    </row>
    <row r="76" spans="18:27">
      <c r="R76" s="92"/>
      <c r="T76" s="138"/>
      <c r="V76" s="308"/>
      <c r="W76" s="305"/>
    </row>
    <row r="77" spans="18:27">
      <c r="R77" s="92"/>
      <c r="T77" s="138"/>
      <c r="V77" s="308"/>
      <c r="W77" s="305"/>
    </row>
    <row r="78" spans="18:27">
      <c r="R78" s="92"/>
      <c r="T78" s="138"/>
      <c r="V78" s="308"/>
      <c r="W78" s="305"/>
    </row>
    <row r="79" spans="18:27">
      <c r="R79" s="92"/>
      <c r="T79" s="138"/>
      <c r="V79" s="308"/>
      <c r="W79" s="305"/>
    </row>
    <row r="80" spans="18:27">
      <c r="R80" s="92"/>
      <c r="T80" s="138"/>
      <c r="V80" s="308"/>
      <c r="W80" s="305"/>
    </row>
    <row r="81" spans="18:23">
      <c r="R81" s="92"/>
      <c r="T81" s="138"/>
      <c r="V81" s="308"/>
      <c r="W81" s="305"/>
    </row>
    <row r="82" spans="18:23">
      <c r="R82" s="92"/>
      <c r="T82" s="138"/>
      <c r="V82" s="308"/>
      <c r="W82" s="305"/>
    </row>
    <row r="83" spans="18:23">
      <c r="R83" s="92"/>
      <c r="T83" s="138"/>
      <c r="V83" s="308"/>
      <c r="W83" s="305"/>
    </row>
    <row r="84" spans="18:23">
      <c r="R84" s="92"/>
      <c r="T84" s="138"/>
      <c r="V84" s="308"/>
      <c r="W84" s="305"/>
    </row>
    <row r="85" spans="18:23">
      <c r="R85" s="92"/>
      <c r="T85" s="138"/>
      <c r="V85" s="308"/>
      <c r="W85" s="305"/>
    </row>
    <row r="86" spans="18:23">
      <c r="R86" s="92"/>
      <c r="T86" s="138"/>
      <c r="V86" s="308"/>
      <c r="W86" s="305"/>
    </row>
    <row r="87" spans="18:23">
      <c r="R87" s="92"/>
      <c r="T87" s="138"/>
      <c r="V87" s="308"/>
      <c r="W87" s="305"/>
    </row>
    <row r="88" spans="18:23">
      <c r="R88" s="92"/>
      <c r="T88" s="138"/>
      <c r="V88" s="308"/>
      <c r="W88" s="305"/>
    </row>
    <row r="89" spans="18:23">
      <c r="R89" s="92"/>
      <c r="T89" s="138"/>
      <c r="V89" s="308"/>
      <c r="W89" s="305"/>
    </row>
    <row r="90" spans="18:23">
      <c r="R90" s="92"/>
      <c r="T90" s="138"/>
      <c r="V90" s="308"/>
      <c r="W90" s="305"/>
    </row>
    <row r="91" spans="18:23">
      <c r="R91" s="92"/>
      <c r="T91" s="138"/>
      <c r="V91" s="308"/>
      <c r="W91" s="305"/>
    </row>
    <row r="92" spans="18:23">
      <c r="R92" s="92"/>
      <c r="T92" s="138"/>
      <c r="V92" s="308"/>
      <c r="W92" s="305"/>
    </row>
    <row r="93" spans="18:23">
      <c r="R93" s="92"/>
      <c r="T93" s="138"/>
      <c r="V93" s="308"/>
      <c r="W93" s="305"/>
    </row>
    <row r="94" spans="18:23">
      <c r="R94" s="92"/>
      <c r="T94" s="138"/>
      <c r="V94" s="308"/>
      <c r="W94" s="305"/>
    </row>
    <row r="95" spans="18:23">
      <c r="R95" s="92"/>
      <c r="T95" s="138"/>
      <c r="V95" s="308"/>
      <c r="W95" s="305"/>
    </row>
    <row r="96" spans="18:23">
      <c r="R96" s="92"/>
      <c r="T96" s="138"/>
      <c r="V96" s="308"/>
      <c r="W96" s="305"/>
    </row>
    <row r="97" spans="18:23">
      <c r="R97" s="92"/>
      <c r="T97" s="138"/>
      <c r="V97" s="308"/>
      <c r="W97" s="305"/>
    </row>
    <row r="98" spans="18:23">
      <c r="R98" s="92"/>
      <c r="T98" s="138"/>
      <c r="V98" s="308"/>
      <c r="W98" s="305"/>
    </row>
    <row r="99" spans="18:23">
      <c r="R99" s="92"/>
      <c r="T99" s="138"/>
      <c r="V99" s="308"/>
      <c r="W99" s="305"/>
    </row>
    <row r="100" spans="18:23">
      <c r="R100" s="92"/>
      <c r="T100" s="138"/>
      <c r="V100" s="308"/>
      <c r="W100" s="305"/>
    </row>
    <row r="101" spans="18:23">
      <c r="R101" s="92"/>
      <c r="T101" s="138"/>
      <c r="V101" s="308"/>
      <c r="W101" s="305"/>
    </row>
    <row r="102" spans="18:23">
      <c r="R102" s="92"/>
      <c r="T102" s="138"/>
      <c r="V102" s="308"/>
      <c r="W102" s="305"/>
    </row>
    <row r="103" spans="18:23">
      <c r="R103" s="92"/>
      <c r="T103" s="138"/>
      <c r="V103" s="308"/>
      <c r="W103" s="305"/>
    </row>
    <row r="104" spans="18:23">
      <c r="R104" s="92"/>
      <c r="T104" s="138"/>
      <c r="V104" s="308"/>
      <c r="W104" s="305"/>
    </row>
    <row r="105" spans="18:23">
      <c r="R105" s="92"/>
      <c r="T105" s="138"/>
      <c r="V105" s="308"/>
      <c r="W105" s="305"/>
    </row>
    <row r="106" spans="18:23">
      <c r="R106" s="92"/>
      <c r="V106" s="308"/>
      <c r="W106" s="305"/>
    </row>
    <row r="107" spans="18:23">
      <c r="R107" s="92"/>
      <c r="V107" s="308"/>
      <c r="W107" s="305"/>
    </row>
    <row r="108" spans="18:23">
      <c r="R108" s="92"/>
      <c r="V108" s="308"/>
      <c r="W108" s="305"/>
    </row>
    <row r="109" spans="18:23">
      <c r="R109" s="92"/>
      <c r="V109" s="308"/>
      <c r="W109" s="305"/>
    </row>
    <row r="110" spans="18:23">
      <c r="R110" s="92"/>
      <c r="V110" s="308"/>
      <c r="W110" s="305"/>
    </row>
    <row r="111" spans="18:23">
      <c r="R111" s="92"/>
      <c r="V111" s="308"/>
      <c r="W111" s="305"/>
    </row>
    <row r="112" spans="18:23">
      <c r="R112" s="92"/>
      <c r="V112" s="308"/>
      <c r="W112" s="305"/>
    </row>
    <row r="113" spans="18:18">
      <c r="R113" s="92"/>
    </row>
    <row r="114" spans="18:18">
      <c r="R114" s="92"/>
    </row>
    <row r="115" spans="18:18">
      <c r="R115" s="92"/>
    </row>
    <row r="116" spans="18:18">
      <c r="R116" s="92"/>
    </row>
    <row r="117" spans="18:18">
      <c r="R117" s="92"/>
    </row>
    <row r="118" spans="18:18">
      <c r="R118" s="92"/>
    </row>
    <row r="119" spans="18:18">
      <c r="R119" s="92"/>
    </row>
    <row r="120" spans="18:18">
      <c r="R120" s="92"/>
    </row>
    <row r="121" spans="18:18">
      <c r="R121" s="92"/>
    </row>
    <row r="122" spans="18:18">
      <c r="R122" s="92"/>
    </row>
    <row r="123" spans="18:18">
      <c r="R123" s="92"/>
    </row>
    <row r="124" spans="18:18">
      <c r="R124" s="92"/>
    </row>
    <row r="125" spans="18:18">
      <c r="R125" s="92"/>
    </row>
    <row r="126" spans="18:18">
      <c r="R126" s="92"/>
    </row>
    <row r="127" spans="18:18">
      <c r="R127" s="92"/>
    </row>
    <row r="128" spans="18:18">
      <c r="R128" s="92"/>
    </row>
    <row r="129" spans="18:18">
      <c r="R129" s="92"/>
    </row>
    <row r="130" spans="18:18">
      <c r="R130" s="92"/>
    </row>
    <row r="131" spans="18:18">
      <c r="R131" s="92"/>
    </row>
    <row r="132" spans="18:18">
      <c r="R132" s="92"/>
    </row>
    <row r="133" spans="18:18">
      <c r="R133" s="92"/>
    </row>
    <row r="134" spans="18:18">
      <c r="R134" s="92"/>
    </row>
    <row r="135" spans="18:18">
      <c r="R135" s="92"/>
    </row>
    <row r="136" spans="18:18">
      <c r="R136" s="92"/>
    </row>
    <row r="137" spans="18:18">
      <c r="R137" s="92"/>
    </row>
    <row r="138" spans="18:18">
      <c r="R138" s="92"/>
    </row>
    <row r="139" spans="18:18">
      <c r="R139" s="92"/>
    </row>
    <row r="140" spans="18:18">
      <c r="R140" s="92"/>
    </row>
    <row r="141" spans="18:18">
      <c r="R141" s="92"/>
    </row>
    <row r="142" spans="18:18">
      <c r="R142" s="92"/>
    </row>
    <row r="143" spans="18:18">
      <c r="R143" s="92"/>
    </row>
    <row r="144" spans="18:18">
      <c r="R144" s="92"/>
    </row>
    <row r="145" spans="18:18">
      <c r="R145" s="92"/>
    </row>
    <row r="146" spans="18:18">
      <c r="R146" s="92"/>
    </row>
    <row r="147" spans="18:18">
      <c r="R147" s="92"/>
    </row>
    <row r="148" spans="18:18">
      <c r="R148" s="92"/>
    </row>
    <row r="149" spans="18:18">
      <c r="R149" s="92"/>
    </row>
    <row r="150" spans="18:18">
      <c r="R150" s="92"/>
    </row>
    <row r="151" spans="18:18">
      <c r="R151" s="92"/>
    </row>
    <row r="152" spans="18:18">
      <c r="R152" s="92"/>
    </row>
    <row r="153" spans="18:18">
      <c r="R153" s="92"/>
    </row>
    <row r="154" spans="18:18">
      <c r="R154" s="92"/>
    </row>
    <row r="155" spans="18:18">
      <c r="R155" s="92"/>
    </row>
    <row r="156" spans="18:18">
      <c r="R156" s="92"/>
    </row>
    <row r="157" spans="18:18">
      <c r="R157" s="92"/>
    </row>
    <row r="158" spans="18:18">
      <c r="R158" s="92"/>
    </row>
    <row r="159" spans="18:18">
      <c r="R159" s="92"/>
    </row>
    <row r="160" spans="18:18">
      <c r="R160" s="92"/>
    </row>
    <row r="161" spans="18:18">
      <c r="R161" s="92"/>
    </row>
    <row r="162" spans="18:18">
      <c r="R162" s="92"/>
    </row>
    <row r="163" spans="18:18">
      <c r="R163" s="92"/>
    </row>
    <row r="164" spans="18:18">
      <c r="R164" s="92"/>
    </row>
    <row r="165" spans="18:18">
      <c r="R165" s="92"/>
    </row>
    <row r="166" spans="18:18">
      <c r="R166" s="92"/>
    </row>
    <row r="167" spans="18:18">
      <c r="R167" s="92"/>
    </row>
    <row r="168" spans="18:18">
      <c r="R168" s="92"/>
    </row>
    <row r="169" spans="18:18">
      <c r="R169" s="92"/>
    </row>
    <row r="170" spans="18:18">
      <c r="R170" s="92"/>
    </row>
    <row r="171" spans="18:18">
      <c r="R171" s="92"/>
    </row>
    <row r="172" spans="18:18">
      <c r="R172" s="92"/>
    </row>
    <row r="173" spans="18:18">
      <c r="R173" s="92"/>
    </row>
    <row r="174" spans="18:18">
      <c r="R174" s="92"/>
    </row>
    <row r="175" spans="18:18">
      <c r="R175" s="92"/>
    </row>
    <row r="176" spans="18:18">
      <c r="R176" s="92"/>
    </row>
    <row r="177" spans="18:18">
      <c r="R177" s="92"/>
    </row>
    <row r="178" spans="18:18">
      <c r="R178" s="92"/>
    </row>
    <row r="179" spans="18:18">
      <c r="R179" s="92"/>
    </row>
    <row r="180" spans="18:18">
      <c r="R180" s="92"/>
    </row>
    <row r="181" spans="18:18">
      <c r="R181" s="92"/>
    </row>
    <row r="182" spans="18:18">
      <c r="R182" s="92"/>
    </row>
    <row r="183" spans="18:18">
      <c r="R183" s="92"/>
    </row>
    <row r="184" spans="18:18">
      <c r="R184" s="92"/>
    </row>
    <row r="185" spans="18:18">
      <c r="R185" s="92"/>
    </row>
    <row r="186" spans="18:18">
      <c r="R186" s="92"/>
    </row>
    <row r="187" spans="18:18">
      <c r="R187" s="92"/>
    </row>
    <row r="188" spans="18:18">
      <c r="R188" s="92"/>
    </row>
    <row r="189" spans="18:18">
      <c r="R189" s="92"/>
    </row>
    <row r="190" spans="18:18">
      <c r="R190" s="92"/>
    </row>
    <row r="191" spans="18:18">
      <c r="R191" s="92"/>
    </row>
    <row r="192" spans="18:18">
      <c r="R192" s="92"/>
    </row>
    <row r="193" spans="18:18">
      <c r="R193" s="92"/>
    </row>
    <row r="194" spans="18:18">
      <c r="R194" s="92"/>
    </row>
    <row r="195" spans="18:18">
      <c r="R195" s="92"/>
    </row>
    <row r="196" spans="18:18">
      <c r="R196" s="92"/>
    </row>
    <row r="197" spans="18:18">
      <c r="R197" s="92"/>
    </row>
    <row r="198" spans="18:18">
      <c r="R198" s="92"/>
    </row>
    <row r="199" spans="18:18">
      <c r="R199" s="92"/>
    </row>
    <row r="200" spans="18:18">
      <c r="R200" s="92"/>
    </row>
    <row r="201" spans="18:18">
      <c r="R201" s="92"/>
    </row>
    <row r="202" spans="18:18">
      <c r="R202" s="92"/>
    </row>
    <row r="203" spans="18:18">
      <c r="R203" s="92"/>
    </row>
    <row r="204" spans="18:18">
      <c r="R204" s="92"/>
    </row>
    <row r="205" spans="18:18">
      <c r="R205" s="92"/>
    </row>
    <row r="206" spans="18:18">
      <c r="R206" s="92"/>
    </row>
    <row r="207" spans="18:18">
      <c r="R207" s="92"/>
    </row>
    <row r="208" spans="18:18">
      <c r="R208" s="92"/>
    </row>
    <row r="209" spans="18:18">
      <c r="R209" s="92"/>
    </row>
    <row r="210" spans="18:18">
      <c r="R210" s="92"/>
    </row>
    <row r="211" spans="18:18">
      <c r="R211" s="92"/>
    </row>
    <row r="212" spans="18:18">
      <c r="R212" s="92"/>
    </row>
    <row r="213" spans="18:18">
      <c r="R213" s="92"/>
    </row>
    <row r="214" spans="18:18">
      <c r="R214" s="92"/>
    </row>
    <row r="215" spans="18:18">
      <c r="R215" s="92"/>
    </row>
    <row r="216" spans="18:18">
      <c r="R216" s="92"/>
    </row>
    <row r="217" spans="18:18">
      <c r="R217" s="92"/>
    </row>
    <row r="218" spans="18:18">
      <c r="R218" s="92"/>
    </row>
    <row r="219" spans="18:18">
      <c r="R219" s="92"/>
    </row>
    <row r="220" spans="18:18">
      <c r="R220" s="92"/>
    </row>
    <row r="221" spans="18:18">
      <c r="R221" s="92"/>
    </row>
    <row r="222" spans="18:18">
      <c r="R222" s="92"/>
    </row>
    <row r="223" spans="18:18">
      <c r="R223" s="92"/>
    </row>
    <row r="224" spans="18:18">
      <c r="R224" s="92"/>
    </row>
    <row r="225" spans="18:18">
      <c r="R225" s="92"/>
    </row>
    <row r="226" spans="18:18">
      <c r="R226" s="92"/>
    </row>
    <row r="227" spans="18:18">
      <c r="R227" s="92"/>
    </row>
    <row r="228" spans="18:18">
      <c r="R228" s="92"/>
    </row>
    <row r="229" spans="18:18">
      <c r="R229" s="92"/>
    </row>
    <row r="230" spans="18:18">
      <c r="R230" s="92"/>
    </row>
    <row r="231" spans="18:18">
      <c r="R231" s="92"/>
    </row>
    <row r="232" spans="18:18">
      <c r="R232" s="92"/>
    </row>
    <row r="233" spans="18:18">
      <c r="R233" s="92"/>
    </row>
    <row r="234" spans="18:18">
      <c r="R234" s="92"/>
    </row>
    <row r="235" spans="18:18">
      <c r="R235" s="92"/>
    </row>
    <row r="236" spans="18:18">
      <c r="R236" s="92"/>
    </row>
    <row r="237" spans="18:18">
      <c r="R237" s="92"/>
    </row>
    <row r="238" spans="18:18">
      <c r="R238" s="92"/>
    </row>
    <row r="239" spans="18:18">
      <c r="R239" s="92"/>
    </row>
    <row r="240" spans="18:18">
      <c r="R240" s="92"/>
    </row>
    <row r="241" spans="18:18">
      <c r="R241" s="92"/>
    </row>
    <row r="242" spans="18:18">
      <c r="R242" s="92"/>
    </row>
    <row r="243" spans="18:18">
      <c r="R243" s="92"/>
    </row>
    <row r="244" spans="18:18">
      <c r="R244" s="92"/>
    </row>
    <row r="245" spans="18:18">
      <c r="R245" s="92"/>
    </row>
    <row r="246" spans="18:18">
      <c r="R246" s="92"/>
    </row>
    <row r="247" spans="18:18">
      <c r="R247" s="92"/>
    </row>
    <row r="248" spans="18:18">
      <c r="R248" s="92"/>
    </row>
    <row r="249" spans="18:18">
      <c r="R249" s="92"/>
    </row>
    <row r="250" spans="18:18">
      <c r="R250" s="92"/>
    </row>
    <row r="251" spans="18:18">
      <c r="R251" s="92"/>
    </row>
    <row r="252" spans="18:18">
      <c r="R252" s="92"/>
    </row>
    <row r="253" spans="18:18">
      <c r="R253" s="92"/>
    </row>
    <row r="254" spans="18:18">
      <c r="R254" s="92"/>
    </row>
    <row r="255" spans="18:18">
      <c r="R255" s="92"/>
    </row>
    <row r="256" spans="18:18">
      <c r="R256" s="92"/>
    </row>
    <row r="257" spans="18:18">
      <c r="R257" s="92"/>
    </row>
    <row r="258" spans="18:18">
      <c r="R258" s="92"/>
    </row>
    <row r="259" spans="18:18">
      <c r="R259" s="92"/>
    </row>
    <row r="260" spans="18:18">
      <c r="R260" s="92"/>
    </row>
    <row r="261" spans="18:18">
      <c r="R261" s="92"/>
    </row>
    <row r="262" spans="18:18">
      <c r="R262" s="92"/>
    </row>
    <row r="263" spans="18:18">
      <c r="R263" s="92"/>
    </row>
    <row r="264" spans="18:18">
      <c r="R264" s="92"/>
    </row>
    <row r="265" spans="18:18">
      <c r="R265" s="92"/>
    </row>
    <row r="266" spans="18:18">
      <c r="R266" s="92"/>
    </row>
    <row r="267" spans="18:18">
      <c r="R267" s="92"/>
    </row>
    <row r="268" spans="18:18">
      <c r="R268" s="92"/>
    </row>
    <row r="269" spans="18:18">
      <c r="R269" s="92"/>
    </row>
    <row r="270" spans="18:18">
      <c r="R270" s="92"/>
    </row>
    <row r="271" spans="18:18">
      <c r="R271" s="92"/>
    </row>
    <row r="272" spans="18:18">
      <c r="R272" s="92"/>
    </row>
    <row r="273" spans="18:18">
      <c r="R273" s="92"/>
    </row>
    <row r="274" spans="18:18">
      <c r="R274" s="92"/>
    </row>
    <row r="275" spans="18:18">
      <c r="R275" s="92"/>
    </row>
    <row r="276" spans="18:18">
      <c r="R276" s="92"/>
    </row>
    <row r="277" spans="18:18">
      <c r="R277" s="92"/>
    </row>
    <row r="278" spans="18:18">
      <c r="R278" s="92"/>
    </row>
    <row r="279" spans="18:18">
      <c r="R279" s="92"/>
    </row>
    <row r="280" spans="18:18">
      <c r="R280" s="92"/>
    </row>
    <row r="281" spans="18:18">
      <c r="R281" s="92"/>
    </row>
    <row r="282" spans="18:18">
      <c r="R282" s="92"/>
    </row>
    <row r="283" spans="18:18">
      <c r="R283" s="92"/>
    </row>
    <row r="284" spans="18:18">
      <c r="R284" s="92"/>
    </row>
    <row r="285" spans="18:18">
      <c r="R285" s="92"/>
    </row>
    <row r="286" spans="18:18">
      <c r="R286" s="92"/>
    </row>
    <row r="287" spans="18:18">
      <c r="R287" s="92"/>
    </row>
    <row r="288" spans="18:18">
      <c r="R288" s="92"/>
    </row>
    <row r="289" spans="18:18">
      <c r="R289" s="92"/>
    </row>
    <row r="290" spans="18:18">
      <c r="R290" s="92"/>
    </row>
    <row r="291" spans="18:18">
      <c r="R291" s="92"/>
    </row>
    <row r="292" spans="18:18">
      <c r="R292" s="92"/>
    </row>
    <row r="293" spans="18:18">
      <c r="R293" s="92"/>
    </row>
    <row r="294" spans="18:18">
      <c r="R294" s="92"/>
    </row>
    <row r="295" spans="18:18">
      <c r="R295" s="92"/>
    </row>
    <row r="296" spans="18:18">
      <c r="R296" s="92"/>
    </row>
    <row r="297" spans="18:18">
      <c r="R297" s="92"/>
    </row>
    <row r="298" spans="18:18">
      <c r="R298" s="92"/>
    </row>
    <row r="299" spans="18:18">
      <c r="R299" s="92"/>
    </row>
    <row r="300" spans="18:18">
      <c r="R300" s="92"/>
    </row>
    <row r="301" spans="18:18">
      <c r="R301" s="92"/>
    </row>
    <row r="302" spans="18:18">
      <c r="R302" s="92"/>
    </row>
    <row r="303" spans="18:18">
      <c r="R303" s="92"/>
    </row>
    <row r="304" spans="18:18">
      <c r="R304" s="92"/>
    </row>
    <row r="305" spans="18:18">
      <c r="R305" s="92"/>
    </row>
    <row r="306" spans="18:18">
      <c r="R306" s="92"/>
    </row>
    <row r="307" spans="18:18">
      <c r="R307" s="92"/>
    </row>
    <row r="308" spans="18:18">
      <c r="R308" s="92"/>
    </row>
    <row r="309" spans="18:18">
      <c r="R309" s="92"/>
    </row>
    <row r="310" spans="18:18">
      <c r="R310" s="92"/>
    </row>
    <row r="311" spans="18:18">
      <c r="R311" s="92"/>
    </row>
    <row r="312" spans="18:18">
      <c r="R312" s="92"/>
    </row>
    <row r="313" spans="18:18">
      <c r="R313" s="92"/>
    </row>
    <row r="314" spans="18:18">
      <c r="R314" s="92"/>
    </row>
    <row r="315" spans="18:18">
      <c r="R315" s="92"/>
    </row>
    <row r="316" spans="18:18">
      <c r="R316" s="92"/>
    </row>
    <row r="317" spans="18:18">
      <c r="R317" s="92"/>
    </row>
    <row r="318" spans="18:18">
      <c r="R318" s="92"/>
    </row>
    <row r="319" spans="18:18">
      <c r="R319" s="92"/>
    </row>
    <row r="320" spans="18:18">
      <c r="R320" s="92"/>
    </row>
    <row r="321" spans="18:18">
      <c r="R321" s="92"/>
    </row>
    <row r="322" spans="18:18">
      <c r="R322" s="92"/>
    </row>
    <row r="323" spans="18:18">
      <c r="R323" s="92"/>
    </row>
    <row r="324" spans="18:18">
      <c r="R324" s="92"/>
    </row>
    <row r="325" spans="18:18">
      <c r="R325" s="92"/>
    </row>
    <row r="326" spans="18:18">
      <c r="R326" s="92"/>
    </row>
    <row r="327" spans="18:18">
      <c r="R327" s="92"/>
    </row>
    <row r="328" spans="18:18">
      <c r="R328" s="92"/>
    </row>
    <row r="329" spans="18:18">
      <c r="R329" s="92"/>
    </row>
    <row r="330" spans="18:18">
      <c r="R330" s="92"/>
    </row>
    <row r="331" spans="18:18">
      <c r="R331" s="92"/>
    </row>
    <row r="332" spans="18:18">
      <c r="R332" s="92"/>
    </row>
    <row r="333" spans="18:18">
      <c r="R333" s="92"/>
    </row>
    <row r="334" spans="18:18">
      <c r="R334" s="92"/>
    </row>
    <row r="335" spans="18:18">
      <c r="R335" s="92"/>
    </row>
    <row r="336" spans="18:18">
      <c r="R336" s="92"/>
    </row>
    <row r="337" spans="18:18">
      <c r="R337" s="92"/>
    </row>
    <row r="338" spans="18:18">
      <c r="R338" s="92"/>
    </row>
    <row r="339" spans="18:18">
      <c r="R339" s="92"/>
    </row>
    <row r="340" spans="18:18">
      <c r="R340" s="92"/>
    </row>
    <row r="341" spans="18:18">
      <c r="R341" s="92"/>
    </row>
    <row r="342" spans="18:18">
      <c r="R342" s="92"/>
    </row>
    <row r="343" spans="18:18">
      <c r="R343" s="92"/>
    </row>
    <row r="344" spans="18:18">
      <c r="R344" s="92"/>
    </row>
    <row r="345" spans="18:18">
      <c r="R345" s="92"/>
    </row>
    <row r="346" spans="18:18">
      <c r="R346" s="92"/>
    </row>
    <row r="347" spans="18:18">
      <c r="R347" s="92"/>
    </row>
    <row r="348" spans="18:18">
      <c r="R348" s="92"/>
    </row>
    <row r="349" spans="18:18">
      <c r="R349" s="92"/>
    </row>
    <row r="350" spans="18:18">
      <c r="R350" s="92"/>
    </row>
    <row r="351" spans="18:18">
      <c r="R351" s="92"/>
    </row>
    <row r="352" spans="18:18">
      <c r="R352" s="92"/>
    </row>
    <row r="353" spans="18:18">
      <c r="R353" s="92"/>
    </row>
    <row r="354" spans="18:18">
      <c r="R354" s="92"/>
    </row>
    <row r="355" spans="18:18">
      <c r="R355" s="92"/>
    </row>
    <row r="356" spans="18:18">
      <c r="R356" s="92"/>
    </row>
    <row r="357" spans="18:18">
      <c r="R357" s="92"/>
    </row>
    <row r="358" spans="18:18">
      <c r="R358" s="92"/>
    </row>
    <row r="359" spans="18:18">
      <c r="R359" s="92"/>
    </row>
    <row r="360" spans="18:18">
      <c r="R360" s="92"/>
    </row>
    <row r="361" spans="18:18">
      <c r="R361" s="92"/>
    </row>
    <row r="362" spans="18:18">
      <c r="R362" s="92"/>
    </row>
    <row r="363" spans="18:18">
      <c r="R363" s="92"/>
    </row>
    <row r="364" spans="18:18">
      <c r="R364" s="92"/>
    </row>
    <row r="365" spans="18:18">
      <c r="R365" s="92"/>
    </row>
    <row r="366" spans="18:18">
      <c r="R366" s="92"/>
    </row>
    <row r="367" spans="18:18">
      <c r="R367" s="92"/>
    </row>
    <row r="368" spans="18:18">
      <c r="R368" s="92"/>
    </row>
    <row r="369" spans="18:18">
      <c r="R369" s="92"/>
    </row>
    <row r="370" spans="18:18">
      <c r="R370" s="92"/>
    </row>
    <row r="371" spans="18:18">
      <c r="R371" s="92"/>
    </row>
    <row r="372" spans="18:18">
      <c r="R372" s="92"/>
    </row>
    <row r="373" spans="18:18">
      <c r="R373" s="92"/>
    </row>
    <row r="374" spans="18:18">
      <c r="R374" s="92"/>
    </row>
    <row r="375" spans="18:18">
      <c r="R375" s="92"/>
    </row>
    <row r="376" spans="18:18">
      <c r="R376" s="92"/>
    </row>
    <row r="377" spans="18:18">
      <c r="R377" s="92"/>
    </row>
    <row r="378" spans="18:18">
      <c r="R378" s="92"/>
    </row>
    <row r="379" spans="18:18">
      <c r="R379" s="92"/>
    </row>
    <row r="380" spans="18:18">
      <c r="R380" s="92"/>
    </row>
    <row r="381" spans="18:18">
      <c r="R381" s="92"/>
    </row>
    <row r="382" spans="18:18">
      <c r="R382" s="92"/>
    </row>
    <row r="383" spans="18:18">
      <c r="R383" s="92"/>
    </row>
    <row r="384" spans="18:18">
      <c r="R384" s="92"/>
    </row>
    <row r="385" spans="18:18">
      <c r="R385" s="92"/>
    </row>
    <row r="386" spans="18:18">
      <c r="R386" s="92"/>
    </row>
    <row r="387" spans="18:18">
      <c r="R387" s="92"/>
    </row>
    <row r="388" spans="18:18">
      <c r="R388" s="92"/>
    </row>
    <row r="389" spans="18:18">
      <c r="R389" s="92"/>
    </row>
    <row r="390" spans="18:18">
      <c r="R390" s="92"/>
    </row>
    <row r="391" spans="18:18">
      <c r="R391" s="92"/>
    </row>
    <row r="392" spans="18:18">
      <c r="R392" s="92"/>
    </row>
    <row r="393" spans="18:18">
      <c r="R393" s="92"/>
    </row>
    <row r="394" spans="18:18">
      <c r="R394" s="92"/>
    </row>
    <row r="395" spans="18:18">
      <c r="R395" s="92"/>
    </row>
    <row r="396" spans="18:18">
      <c r="R396" s="92"/>
    </row>
    <row r="397" spans="18:18">
      <c r="R397" s="92"/>
    </row>
    <row r="398" spans="18:18">
      <c r="R398" s="92"/>
    </row>
    <row r="399" spans="18:18">
      <c r="R399" s="92"/>
    </row>
    <row r="400" spans="18:18">
      <c r="R400" s="92"/>
    </row>
    <row r="401" spans="18:18">
      <c r="R401" s="92"/>
    </row>
    <row r="402" spans="18:18">
      <c r="R402" s="92"/>
    </row>
    <row r="403" spans="18:18">
      <c r="R403" s="92"/>
    </row>
    <row r="404" spans="18:18">
      <c r="R404" s="92"/>
    </row>
    <row r="405" spans="18:18">
      <c r="R405" s="92"/>
    </row>
    <row r="406" spans="18:18">
      <c r="R406" s="92"/>
    </row>
    <row r="407" spans="18:18">
      <c r="R407" s="92"/>
    </row>
    <row r="408" spans="18:18">
      <c r="R408" s="92"/>
    </row>
    <row r="409" spans="18:18">
      <c r="R409" s="92"/>
    </row>
    <row r="410" spans="18:18">
      <c r="R410" s="92"/>
    </row>
    <row r="411" spans="18:18">
      <c r="R411" s="92"/>
    </row>
    <row r="412" spans="18:18">
      <c r="R412" s="92"/>
    </row>
    <row r="413" spans="18:18">
      <c r="R413" s="92"/>
    </row>
    <row r="414" spans="18:18">
      <c r="R414" s="92"/>
    </row>
    <row r="415" spans="18:18">
      <c r="R415" s="92"/>
    </row>
    <row r="416" spans="18:18">
      <c r="R416" s="92"/>
    </row>
    <row r="417" spans="18:18">
      <c r="R417" s="92"/>
    </row>
    <row r="418" spans="18:18">
      <c r="R418" s="92"/>
    </row>
    <row r="419" spans="18:18">
      <c r="R419" s="92"/>
    </row>
    <row r="420" spans="18:18">
      <c r="R420" s="92"/>
    </row>
    <row r="421" spans="18:18">
      <c r="R421" s="92"/>
    </row>
    <row r="422" spans="18:18">
      <c r="R422" s="92"/>
    </row>
    <row r="423" spans="18:18">
      <c r="R423" s="92"/>
    </row>
    <row r="424" spans="18:18">
      <c r="R424" s="92"/>
    </row>
    <row r="425" spans="18:18">
      <c r="R425" s="92"/>
    </row>
    <row r="426" spans="18:18">
      <c r="R426" s="92"/>
    </row>
    <row r="427" spans="18:18">
      <c r="R427" s="92"/>
    </row>
    <row r="428" spans="18:18">
      <c r="R428" s="92"/>
    </row>
    <row r="429" spans="18:18">
      <c r="R429" s="92"/>
    </row>
    <row r="430" spans="18:18">
      <c r="R430" s="92"/>
    </row>
    <row r="431" spans="18:18">
      <c r="R431" s="92"/>
    </row>
    <row r="432" spans="18:18">
      <c r="R432" s="92"/>
    </row>
    <row r="433" spans="18:18">
      <c r="R433" s="92"/>
    </row>
    <row r="434" spans="18:18">
      <c r="R434" s="92"/>
    </row>
    <row r="435" spans="18:18">
      <c r="R435" s="92"/>
    </row>
    <row r="436" spans="18:18">
      <c r="R436" s="92"/>
    </row>
    <row r="437" spans="18:18">
      <c r="R437" s="92"/>
    </row>
    <row r="438" spans="18:18">
      <c r="R438" s="92"/>
    </row>
    <row r="439" spans="18:18">
      <c r="R439" s="92"/>
    </row>
    <row r="440" spans="18:18">
      <c r="R440" s="92"/>
    </row>
    <row r="441" spans="18:18">
      <c r="R441" s="92"/>
    </row>
    <row r="442" spans="18:18">
      <c r="R442" s="92"/>
    </row>
    <row r="443" spans="18:18">
      <c r="R443" s="92"/>
    </row>
    <row r="444" spans="18:18">
      <c r="R444" s="92"/>
    </row>
    <row r="445" spans="18:18">
      <c r="R445" s="92"/>
    </row>
    <row r="446" spans="18:18">
      <c r="R446" s="92"/>
    </row>
    <row r="447" spans="18:18">
      <c r="R447" s="92"/>
    </row>
    <row r="448" spans="18:18">
      <c r="R448" s="92"/>
    </row>
    <row r="449" spans="18:18">
      <c r="R449" s="92"/>
    </row>
    <row r="450" spans="18:18">
      <c r="R450" s="92"/>
    </row>
    <row r="451" spans="18:18">
      <c r="R451" s="92"/>
    </row>
    <row r="452" spans="18:18">
      <c r="R452" s="92"/>
    </row>
    <row r="453" spans="18:18">
      <c r="R453" s="92"/>
    </row>
    <row r="454" spans="18:18">
      <c r="R454" s="92"/>
    </row>
    <row r="455" spans="18:18">
      <c r="R455" s="92"/>
    </row>
    <row r="456" spans="18:18">
      <c r="R456" s="92"/>
    </row>
    <row r="457" spans="18:18">
      <c r="R457" s="92"/>
    </row>
    <row r="458" spans="18:18">
      <c r="R458" s="92"/>
    </row>
    <row r="459" spans="18:18">
      <c r="R459" s="92"/>
    </row>
    <row r="460" spans="18:18">
      <c r="R460" s="92"/>
    </row>
    <row r="461" spans="18:18">
      <c r="R461" s="92"/>
    </row>
  </sheetData>
  <dataValidations disablePrompts="1" count="4">
    <dataValidation type="list" allowBlank="1" showInputMessage="1" showErrorMessage="1" sqref="H16:I16 L16:N16">
      <formula1>Interpolations</formula1>
    </dataValidation>
    <dataValidation type="list" allowBlank="1" showInputMessage="1" showErrorMessage="1" sqref="H13:I13 L13:N1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H14:I14 L14:N14 AE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H15:I15 L15:N15">
      <formula1>"Discount,ZeroYield,ForwardRate"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4" name="Button 4">
              <controlPr defaultSize="0" print="0" autoFill="0" autoPict="0" macro="[0]!calibrationMXN2">
                <anchor moveWithCells="1" sizeWithCells="1">
                  <from>
                    <xdr:col>10</xdr:col>
                    <xdr:colOff>285750</xdr:colOff>
                    <xdr:row>1</xdr:row>
                    <xdr:rowOff>9525</xdr:rowOff>
                  </from>
                  <to>
                    <xdr:col>11</xdr:col>
                    <xdr:colOff>1085850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I280"/>
  <sheetViews>
    <sheetView zoomScale="85" zoomScaleNormal="85" workbookViewId="0">
      <selection activeCell="I70" sqref="I70"/>
    </sheetView>
  </sheetViews>
  <sheetFormatPr defaultRowHeight="15"/>
  <cols>
    <col min="1" max="1" width="12.5703125" style="115" bestFit="1" customWidth="1"/>
    <col min="2" max="2" width="14.5703125" bestFit="1" customWidth="1"/>
    <col min="4" max="4" width="20.140625" bestFit="1" customWidth="1"/>
    <col min="5" max="5" width="18.5703125" bestFit="1" customWidth="1"/>
    <col min="6" max="6" width="19.85546875" bestFit="1" customWidth="1"/>
    <col min="7" max="7" width="27.140625" bestFit="1" customWidth="1"/>
    <col min="9" max="9" width="17.28515625" bestFit="1" customWidth="1"/>
    <col min="10" max="10" width="15.140625" bestFit="1" customWidth="1"/>
    <col min="11" max="11" width="14.5703125" bestFit="1" customWidth="1"/>
    <col min="13" max="13" width="20.42578125" bestFit="1" customWidth="1"/>
    <col min="14" max="14" width="17.5703125" customWidth="1"/>
    <col min="18" max="18" width="17.28515625" bestFit="1" customWidth="1"/>
    <col min="19" max="20" width="17.28515625" style="115" customWidth="1"/>
    <col min="21" max="21" width="5.85546875" style="115" customWidth="1"/>
    <col min="22" max="27" width="17.28515625" style="115" customWidth="1"/>
    <col min="29" max="29" width="10.7109375" bestFit="1" customWidth="1"/>
    <col min="32" max="32" width="9.140625" style="115"/>
    <col min="34" max="34" width="17.28515625" bestFit="1" customWidth="1"/>
    <col min="35" max="35" width="12.28515625" bestFit="1" customWidth="1"/>
    <col min="36" max="37" width="12.28515625" style="115" customWidth="1"/>
    <col min="38" max="38" width="10.7109375" style="115" bestFit="1" customWidth="1"/>
    <col min="39" max="42" width="9.140625" style="115"/>
    <col min="43" max="43" width="17.28515625" style="115" bestFit="1" customWidth="1"/>
    <col min="44" max="44" width="12.28515625" style="115" bestFit="1" customWidth="1"/>
    <col min="45" max="46" width="12.28515625" style="115" customWidth="1"/>
    <col min="47" max="47" width="10.7109375" style="115" bestFit="1" customWidth="1"/>
    <col min="48" max="51" width="9.140625" style="115"/>
    <col min="52" max="52" width="17.28515625" style="115" bestFit="1" customWidth="1"/>
    <col min="53" max="53" width="12.28515625" style="115" bestFit="1" customWidth="1"/>
    <col min="54" max="55" width="12.28515625" style="115" customWidth="1"/>
    <col min="56" max="56" width="10.7109375" style="115" bestFit="1" customWidth="1"/>
    <col min="57" max="60" width="9.140625" style="115"/>
    <col min="61" max="61" width="12.28515625" style="115" customWidth="1"/>
  </cols>
  <sheetData>
    <row r="1" spans="2:55" customFormat="1">
      <c r="G1" s="117"/>
      <c r="S1" s="115"/>
      <c r="T1" s="115"/>
      <c r="U1" s="115"/>
      <c r="V1" s="115"/>
      <c r="W1" s="115"/>
      <c r="X1" s="115"/>
      <c r="Y1" s="115"/>
      <c r="Z1" s="115"/>
      <c r="AA1" s="115"/>
      <c r="AF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</row>
    <row r="3" spans="2:55" customFormat="1">
      <c r="D3" s="483" t="s">
        <v>442</v>
      </c>
      <c r="E3" s="484" t="s">
        <v>366</v>
      </c>
      <c r="F3" s="142" t="s">
        <v>443</v>
      </c>
      <c r="G3" s="140" t="s">
        <v>809</v>
      </c>
      <c r="H3" s="115"/>
      <c r="I3" s="115"/>
      <c r="J3" s="115"/>
      <c r="K3" s="115"/>
      <c r="S3" s="115"/>
      <c r="T3" s="115"/>
      <c r="U3" s="115"/>
      <c r="V3" s="115"/>
      <c r="W3" s="115"/>
      <c r="X3" s="115"/>
      <c r="Y3" s="115"/>
      <c r="Z3" s="115"/>
      <c r="AA3" s="115"/>
      <c r="AF3" s="1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  <c r="BA3" s="115"/>
      <c r="BB3" s="115"/>
      <c r="BC3" s="115"/>
    </row>
    <row r="4" spans="2:55" customFormat="1">
      <c r="D4" s="485">
        <f>'CCS EUR_USD col USD'!C2</f>
        <v>43705</v>
      </c>
      <c r="E4" s="486">
        <f>'CCS EUR_USD col USD'!C3</f>
        <v>43707</v>
      </c>
      <c r="F4" s="487" t="e">
        <f ca="1">[2]!IL_ReadFromFile("c:\\il.txt")</f>
        <v>#VALUE!</v>
      </c>
      <c r="G4" s="50" t="b">
        <v>0</v>
      </c>
      <c r="H4" s="115"/>
      <c r="I4" s="115"/>
      <c r="J4" s="115"/>
      <c r="K4" s="115"/>
      <c r="S4" s="115"/>
      <c r="T4" s="115"/>
      <c r="U4" s="115"/>
      <c r="V4" s="115"/>
      <c r="W4" s="115"/>
      <c r="X4" s="115"/>
      <c r="Y4" s="115"/>
      <c r="Z4" s="115"/>
      <c r="AA4" s="115"/>
      <c r="AF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15"/>
      <c r="AW4" s="115"/>
      <c r="AX4" s="115"/>
      <c r="AY4" s="115"/>
      <c r="AZ4" s="115"/>
      <c r="BA4" s="115"/>
      <c r="BB4" s="115"/>
      <c r="BC4" s="115"/>
    </row>
    <row r="5" spans="2:55" customFormat="1">
      <c r="D5" s="115"/>
      <c r="E5" s="115"/>
      <c r="F5" s="115"/>
      <c r="G5" s="115"/>
      <c r="H5" s="115"/>
      <c r="I5" s="115"/>
      <c r="J5" s="115"/>
      <c r="K5" s="115"/>
      <c r="S5" s="115"/>
      <c r="T5" s="115"/>
      <c r="U5" s="115"/>
      <c r="V5" s="115"/>
      <c r="W5" s="115"/>
      <c r="X5" s="115"/>
      <c r="Y5" s="115"/>
      <c r="Z5" s="115"/>
      <c r="AA5" s="115"/>
      <c r="AF5" s="115"/>
      <c r="AJ5" s="115"/>
      <c r="AK5" s="115"/>
      <c r="AL5" s="115"/>
      <c r="AM5" s="115"/>
      <c r="AN5" s="115"/>
      <c r="AO5" s="115"/>
      <c r="AP5" s="115"/>
      <c r="AQ5" s="115"/>
      <c r="AR5" s="115"/>
      <c r="AS5" s="115"/>
      <c r="AT5" s="115"/>
      <c r="AU5" s="115"/>
      <c r="AV5" s="115"/>
      <c r="AW5" s="115"/>
      <c r="AX5" s="115"/>
      <c r="AY5" s="115"/>
      <c r="AZ5" s="115"/>
      <c r="BA5" s="115"/>
      <c r="BB5" s="115"/>
      <c r="BC5" s="115"/>
    </row>
    <row r="6" spans="2:55" customFormat="1">
      <c r="B6" s="118" t="s">
        <v>270</v>
      </c>
      <c r="C6" s="119" t="s">
        <v>280</v>
      </c>
      <c r="D6" s="140" t="s">
        <v>301</v>
      </c>
      <c r="E6" s="115"/>
      <c r="F6" s="115" t="str">
        <f ca="1">'MXN_BO_SWAP_COL MXN_BASIS_COL'!H17</f>
        <v>MXN_BO_SWAP_COL#0000</v>
      </c>
      <c r="G6" s="115"/>
      <c r="H6" s="115"/>
      <c r="I6" s="115"/>
      <c r="J6" s="115"/>
      <c r="K6" s="115"/>
      <c r="S6" s="115"/>
      <c r="T6" s="115"/>
      <c r="U6" s="115"/>
      <c r="V6" s="115"/>
      <c r="W6" s="115"/>
      <c r="X6" s="115"/>
      <c r="Y6" s="115"/>
      <c r="Z6" s="115"/>
      <c r="AA6" s="115"/>
      <c r="AF6" s="115"/>
      <c r="AJ6" s="115"/>
      <c r="AK6" s="115"/>
      <c r="AL6" s="115"/>
      <c r="AM6" s="115"/>
      <c r="AN6" s="115"/>
      <c r="AO6" s="115"/>
      <c r="AP6" s="115"/>
      <c r="AQ6" s="115"/>
      <c r="AR6" s="115"/>
      <c r="AS6" s="115"/>
      <c r="AT6" s="115"/>
      <c r="AU6" s="115"/>
      <c r="AV6" s="115"/>
      <c r="AW6" s="115"/>
      <c r="AX6" s="115"/>
      <c r="AY6" s="115"/>
      <c r="AZ6" s="115"/>
      <c r="BA6" s="115"/>
      <c r="BB6" s="115"/>
      <c r="BC6" s="115"/>
    </row>
    <row r="7" spans="2:55" customFormat="1">
      <c r="B7" s="120" t="s">
        <v>269</v>
      </c>
      <c r="C7" s="121" t="s">
        <v>251</v>
      </c>
      <c r="D7" s="116" t="e">
        <f ca="1">[2]!McyCreateRateCurve($F$4,D6)</f>
        <v>#VALUE!</v>
      </c>
      <c r="E7" s="116" t="s">
        <v>444</v>
      </c>
      <c r="F7" s="127" t="s">
        <v>734</v>
      </c>
      <c r="G7" s="116" t="s">
        <v>444</v>
      </c>
      <c r="H7" s="127" t="s">
        <v>734</v>
      </c>
      <c r="I7" s="140" t="s">
        <v>823</v>
      </c>
      <c r="J7" s="140" t="s">
        <v>824</v>
      </c>
      <c r="K7" s="127" t="s">
        <v>738</v>
      </c>
      <c r="S7" s="115"/>
      <c r="T7" s="115"/>
      <c r="U7" s="136"/>
      <c r="V7" s="115"/>
      <c r="W7" s="115"/>
      <c r="X7" s="115"/>
      <c r="Y7" s="115"/>
      <c r="Z7" s="115"/>
      <c r="AA7" s="115"/>
      <c r="AF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36"/>
      <c r="AU7" s="115"/>
      <c r="AV7" s="115"/>
      <c r="AW7" s="115"/>
      <c r="AX7" s="115"/>
      <c r="AY7" s="115"/>
      <c r="AZ7" s="115"/>
      <c r="BA7" s="115"/>
      <c r="BB7" s="115"/>
      <c r="BC7" s="136"/>
    </row>
    <row r="8" spans="2:55" customFormat="1">
      <c r="B8" s="120" t="s">
        <v>271</v>
      </c>
      <c r="C8" s="121" t="s">
        <v>272</v>
      </c>
      <c r="D8" s="233">
        <f t="shared" ref="D8:D45" ca="1" si="0">D243</f>
        <v>43705</v>
      </c>
      <c r="E8" s="252">
        <v>1</v>
      </c>
      <c r="F8" s="236">
        <f t="array" aca="1" ref="F8:F45" ca="1">_xll.qlYieldTSDiscount(F6,D8:D45)</f>
        <v>1</v>
      </c>
      <c r="G8" s="229" t="e">
        <f t="array" aca="1" ref="G8:G45" ca="1">_xll.qlYieldTSZeroRate(C10,D8:D45,"Actual/365","compounded","annual")</f>
        <v>#VALUE!</v>
      </c>
      <c r="H8" s="59">
        <f t="array" aca="1" ref="H8:H45" ca="1">_xll.qlYieldTSZeroRate(F6,D8:D45,"Actual/365","compounded","annual")</f>
        <v>4.0810774191632371E-2</v>
      </c>
      <c r="I8" s="204" t="e">
        <f t="array" aca="1" ref="I8:I45" ca="1">[2]!McyForward(D7,C11,D8:D45)</f>
        <v>#VALUE!</v>
      </c>
      <c r="J8" s="203">
        <f ca="1">_xll.qlYieldTSForwardRate2($F$6,D8,"28D","Actual/360","simple","annual")</f>
        <v>3.9512645933125361E-2</v>
      </c>
      <c r="K8" s="203" t="e">
        <f t="shared" ref="K8:K42" ca="1" si="1">I8-J8</f>
        <v>#VALUE!</v>
      </c>
      <c r="S8" s="115"/>
      <c r="T8" s="115"/>
      <c r="U8" s="245"/>
      <c r="V8" s="115"/>
      <c r="W8" s="115"/>
      <c r="X8" s="115"/>
      <c r="Y8" s="115"/>
      <c r="Z8" s="115"/>
      <c r="AA8" s="115"/>
      <c r="AF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245"/>
      <c r="AU8" s="115"/>
      <c r="AV8" s="115"/>
      <c r="AW8" s="115"/>
      <c r="AX8" s="115"/>
      <c r="AY8" s="115"/>
      <c r="AZ8" s="115"/>
      <c r="BA8" s="115"/>
      <c r="BB8" s="115"/>
      <c r="BC8" s="245"/>
    </row>
    <row r="9" spans="2:55" customFormat="1">
      <c r="B9" s="122" t="s">
        <v>273</v>
      </c>
      <c r="C9" s="123" t="s">
        <v>274</v>
      </c>
      <c r="D9" s="210">
        <f t="shared" ca="1" si="0"/>
        <v>43706</v>
      </c>
      <c r="E9" s="253" t="e">
        <f t="array" aca="1" ref="E9:E45" ca="1">[2]!McyDF(D7,D9:D45)</f>
        <v>#VALUE!</v>
      </c>
      <c r="F9" s="237">
        <f ca="1"/>
        <v>0.99989041696356373</v>
      </c>
      <c r="G9" s="231" t="e">
        <f ca="1"/>
        <v>#VALUE!</v>
      </c>
      <c r="H9" s="66">
        <f ca="1"/>
        <v>4.0810774192394428E-2</v>
      </c>
      <c r="I9" s="244" t="e">
        <f ca="1"/>
        <v>#VALUE!</v>
      </c>
      <c r="J9" s="239">
        <f ca="1">_xll.qlYieldTSForwardRate2($F$6,D9,"28D","Actual/360","simple","annual")</f>
        <v>3.9512645933125361E-2</v>
      </c>
      <c r="K9" s="239" t="e">
        <f t="shared" ca="1" si="1"/>
        <v>#VALUE!</v>
      </c>
      <c r="L9" s="13" t="s">
        <v>206</v>
      </c>
      <c r="S9" s="115"/>
      <c r="T9" s="115"/>
      <c r="U9" s="245"/>
      <c r="V9" s="115"/>
      <c r="W9" s="115"/>
      <c r="X9" s="115"/>
      <c r="Y9" s="115"/>
      <c r="Z9" s="115"/>
      <c r="AA9" s="115"/>
      <c r="AF9" s="115"/>
      <c r="AJ9" s="115"/>
      <c r="AK9" s="115"/>
      <c r="AL9" s="115"/>
      <c r="AM9" s="115"/>
      <c r="AN9" s="115"/>
      <c r="AO9" s="115"/>
      <c r="AP9" s="115"/>
      <c r="AQ9" s="115"/>
      <c r="AR9" s="115"/>
      <c r="AS9" s="115"/>
      <c r="AT9" s="245"/>
      <c r="AU9" s="115"/>
      <c r="AV9" s="115"/>
      <c r="AW9" s="115"/>
      <c r="AX9" s="115"/>
      <c r="AY9" s="115"/>
      <c r="AZ9" s="115"/>
      <c r="BA9" s="115"/>
      <c r="BB9" s="115"/>
      <c r="BC9" s="245"/>
    </row>
    <row r="10" spans="2:55" customFormat="1">
      <c r="B10" s="124" t="s">
        <v>328</v>
      </c>
      <c r="C10" s="125" t="e">
        <f ca="1">_xll.qlInterpolatedYieldCurve(,D8:D45,E8:E45,C7,C6,,,C8,C9)</f>
        <v>#NUM!</v>
      </c>
      <c r="D10" s="210">
        <f t="shared" ca="1" si="0"/>
        <v>43710</v>
      </c>
      <c r="E10" s="253" t="e">
        <f ca="1"/>
        <v>#VALUE!</v>
      </c>
      <c r="F10" s="237">
        <f ca="1"/>
        <v>0.99945220488907882</v>
      </c>
      <c r="G10" s="231" t="e">
        <f ca="1"/>
        <v>#VALUE!</v>
      </c>
      <c r="H10" s="66">
        <f ca="1"/>
        <v>4.0810774192389987E-2</v>
      </c>
      <c r="I10" s="244" t="e">
        <f ca="1"/>
        <v>#VALUE!</v>
      </c>
      <c r="J10" s="239">
        <f ca="1">_xll.qlYieldTSForwardRate2($F$6,D10,"28D","Actual/360","simple","annual")</f>
        <v>3.9512645933125361E-2</v>
      </c>
      <c r="K10" s="239" t="e">
        <f t="shared" ca="1" si="1"/>
        <v>#VALUE!</v>
      </c>
      <c r="L10" s="16" t="s">
        <v>276</v>
      </c>
      <c r="S10" s="115"/>
      <c r="T10" s="115"/>
      <c r="U10" s="245"/>
      <c r="V10" s="115"/>
      <c r="W10" s="115"/>
      <c r="X10" s="115"/>
      <c r="Y10" s="115"/>
      <c r="Z10" s="115"/>
      <c r="AA10" s="115"/>
      <c r="AF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245"/>
      <c r="AU10" s="115"/>
      <c r="AV10" s="115"/>
      <c r="AW10" s="115"/>
      <c r="AX10" s="115"/>
      <c r="AY10" s="115"/>
      <c r="AZ10" s="115"/>
      <c r="BA10" s="115"/>
      <c r="BB10" s="115"/>
      <c r="BC10" s="245"/>
    </row>
    <row r="11" spans="2:55" customFormat="1">
      <c r="B11" s="211" t="s">
        <v>807</v>
      </c>
      <c r="C11" s="232" t="e">
        <f ca="1">[2]!McyCreateIndex(B11)</f>
        <v>#VALUE!</v>
      </c>
      <c r="D11" s="210">
        <f t="shared" ca="1" si="0"/>
        <v>43714</v>
      </c>
      <c r="E11" s="253" t="e">
        <f ca="1"/>
        <v>#VALUE!</v>
      </c>
      <c r="F11" s="237">
        <f ca="1"/>
        <v>0.99901418486546179</v>
      </c>
      <c r="G11" s="231" t="e">
        <f ca="1"/>
        <v>#VALUE!</v>
      </c>
      <c r="H11" s="66">
        <f ca="1"/>
        <v>4.0810774192382882E-2</v>
      </c>
      <c r="I11" s="244" t="e">
        <f ca="1"/>
        <v>#VALUE!</v>
      </c>
      <c r="J11" s="239">
        <f ca="1">_xll.qlYieldTSForwardRate2($F$6,D11,"28D","Actual/360","simple","annual")</f>
        <v>3.9512645933128213E-2</v>
      </c>
      <c r="K11" s="239" t="e">
        <f t="shared" ca="1" si="1"/>
        <v>#VALUE!</v>
      </c>
      <c r="L11" s="16">
        <f t="shared" ref="L11:L45" ca="1" si="2">F10</f>
        <v>0.99945220488907882</v>
      </c>
      <c r="S11" s="115"/>
      <c r="T11" s="115"/>
      <c r="U11" s="245"/>
      <c r="V11" s="115"/>
      <c r="W11" s="115"/>
      <c r="X11" s="115"/>
      <c r="Y11" s="115"/>
      <c r="Z11" s="115"/>
      <c r="AA11" s="115"/>
      <c r="AF11" s="115"/>
      <c r="AJ11" s="115"/>
      <c r="AK11" s="115"/>
      <c r="AL11" s="115"/>
      <c r="AM11" s="115"/>
      <c r="AN11" s="115"/>
      <c r="AO11" s="115"/>
      <c r="AP11" s="115"/>
      <c r="AQ11" s="115"/>
      <c r="AR11" s="115"/>
      <c r="AS11" s="115"/>
      <c r="AT11" s="245"/>
      <c r="AU11" s="115"/>
      <c r="AV11" s="115"/>
      <c r="AW11" s="115"/>
      <c r="AX11" s="115"/>
      <c r="AY11" s="115"/>
      <c r="AZ11" s="115"/>
      <c r="BA11" s="115"/>
      <c r="BB11" s="115"/>
      <c r="BC11" s="245"/>
    </row>
    <row r="12" spans="2:55" customFormat="1">
      <c r="D12" s="210">
        <f t="shared" ca="1" si="0"/>
        <v>43738</v>
      </c>
      <c r="E12" s="253" t="e">
        <f ca="1"/>
        <v>#VALUE!</v>
      </c>
      <c r="F12" s="237">
        <f ca="1"/>
        <v>0.9963900930811419</v>
      </c>
      <c r="G12" s="231" t="e">
        <f ca="1"/>
        <v>#VALUE!</v>
      </c>
      <c r="H12" s="66">
        <f ca="1"/>
        <v>4.0810774192387766E-2</v>
      </c>
      <c r="I12" s="244" t="e">
        <f ca="1"/>
        <v>#VALUE!</v>
      </c>
      <c r="J12" s="239">
        <f ca="1">_xll.qlYieldTSForwardRate2($F$6,D12,"28D","Actual/360","simple","annual")</f>
        <v>3.9512645933128213E-2</v>
      </c>
      <c r="K12" s="239" t="e">
        <f t="shared" ca="1" si="1"/>
        <v>#VALUE!</v>
      </c>
      <c r="L12" s="16">
        <f t="shared" ca="1" si="2"/>
        <v>0.99901418486546179</v>
      </c>
      <c r="S12" s="115"/>
      <c r="T12" s="115"/>
      <c r="U12" s="245"/>
      <c r="V12" s="115"/>
      <c r="W12" s="115"/>
      <c r="X12" s="115"/>
      <c r="Y12" s="115"/>
      <c r="Z12" s="115"/>
      <c r="AA12" s="115"/>
      <c r="AF12" s="115"/>
      <c r="AJ12" s="115"/>
      <c r="AK12" s="115"/>
      <c r="AL12" s="115"/>
      <c r="AM12" s="115"/>
      <c r="AN12" s="115"/>
      <c r="AO12" s="115"/>
      <c r="AP12" s="115"/>
      <c r="AQ12" s="115"/>
      <c r="AR12" s="115"/>
      <c r="AS12" s="115"/>
      <c r="AT12" s="245"/>
      <c r="AU12" s="115"/>
      <c r="AV12" s="115"/>
      <c r="AW12" s="115"/>
      <c r="AX12" s="115"/>
      <c r="AY12" s="115"/>
      <c r="AZ12" s="115"/>
      <c r="BA12" s="115"/>
      <c r="BB12" s="115"/>
      <c r="BC12" s="245"/>
    </row>
    <row r="13" spans="2:55" customFormat="1">
      <c r="D13" s="210">
        <f t="shared" ca="1" si="0"/>
        <v>43769</v>
      </c>
      <c r="E13" s="253" t="e">
        <f ca="1"/>
        <v>#VALUE!</v>
      </c>
      <c r="F13" s="237">
        <f ca="1"/>
        <v>0.99301083995184569</v>
      </c>
      <c r="G13" s="231" t="e">
        <f ca="1"/>
        <v>#VALUE!</v>
      </c>
      <c r="H13" s="66">
        <f ca="1"/>
        <v>4.0810774192387766E-2</v>
      </c>
      <c r="I13" s="244" t="e">
        <f ca="1"/>
        <v>#VALUE!</v>
      </c>
      <c r="J13" s="239">
        <f ca="1">_xll.qlYieldTSForwardRate2($F$6,D13,"28D","Actual/360","simple","annual")</f>
        <v>3.9512645933125361E-2</v>
      </c>
      <c r="K13" s="239" t="e">
        <f t="shared" ca="1" si="1"/>
        <v>#VALUE!</v>
      </c>
      <c r="L13" s="16">
        <f t="shared" ca="1" si="2"/>
        <v>0.9963900930811419</v>
      </c>
      <c r="S13" s="115"/>
      <c r="T13" s="115"/>
      <c r="U13" s="245"/>
      <c r="V13" s="115"/>
      <c r="W13" s="115"/>
      <c r="X13" s="115"/>
      <c r="Y13" s="115"/>
      <c r="Z13" s="115"/>
      <c r="AA13" s="115"/>
      <c r="AF13" s="115"/>
      <c r="AJ13" s="115"/>
      <c r="AK13" s="115"/>
      <c r="AL13" s="115"/>
      <c r="AM13" s="115"/>
      <c r="AN13" s="115"/>
      <c r="AO13" s="115"/>
      <c r="AP13" s="115"/>
      <c r="AQ13" s="115"/>
      <c r="AR13" s="115"/>
      <c r="AS13" s="115"/>
      <c r="AT13" s="245"/>
      <c r="AU13" s="115"/>
      <c r="AV13" s="115"/>
      <c r="AW13" s="115"/>
      <c r="AX13" s="115"/>
      <c r="AY13" s="115"/>
      <c r="AZ13" s="115"/>
      <c r="BA13" s="115"/>
      <c r="BB13" s="115"/>
      <c r="BC13" s="245"/>
    </row>
    <row r="14" spans="2:55" customFormat="1">
      <c r="D14" s="210">
        <f t="shared" ca="1" si="0"/>
        <v>43798</v>
      </c>
      <c r="E14" s="253" t="e">
        <f ca="1"/>
        <v>#VALUE!</v>
      </c>
      <c r="F14" s="237">
        <f ca="1"/>
        <v>0.98985997938410708</v>
      </c>
      <c r="G14" s="231" t="e">
        <f ca="1"/>
        <v>#VALUE!</v>
      </c>
      <c r="H14" s="66">
        <f ca="1"/>
        <v>4.0810774192388211E-2</v>
      </c>
      <c r="I14" s="244" t="e">
        <f ca="1"/>
        <v>#VALUE!</v>
      </c>
      <c r="J14" s="239">
        <f ca="1">_xll.qlYieldTSForwardRate2($F$6,D14,"28D","Actual/360","simple","annual")</f>
        <v>3.9512645933128213E-2</v>
      </c>
      <c r="K14" s="239" t="e">
        <f t="shared" ca="1" si="1"/>
        <v>#VALUE!</v>
      </c>
      <c r="L14" s="16">
        <f t="shared" ca="1" si="2"/>
        <v>0.99301083995184569</v>
      </c>
      <c r="S14" s="115"/>
      <c r="T14" s="115"/>
      <c r="U14" s="245"/>
      <c r="V14" s="115"/>
      <c r="W14" s="115"/>
      <c r="X14" s="115"/>
      <c r="Y14" s="115"/>
      <c r="Z14" s="115"/>
      <c r="AA14" s="115"/>
      <c r="AF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245"/>
      <c r="AU14" s="115"/>
      <c r="AV14" s="115"/>
      <c r="AW14" s="115"/>
      <c r="AX14" s="115"/>
      <c r="AY14" s="115"/>
      <c r="AZ14" s="115"/>
      <c r="BA14" s="115"/>
      <c r="BB14" s="115"/>
      <c r="BC14" s="245"/>
    </row>
    <row r="15" spans="2:55" customFormat="1">
      <c r="D15" s="210">
        <f t="shared" ca="1" si="0"/>
        <v>43830</v>
      </c>
      <c r="E15" s="253" t="e">
        <f ca="1"/>
        <v>#VALUE!</v>
      </c>
      <c r="F15" s="237">
        <f ca="1"/>
        <v>0.98639476912975366</v>
      </c>
      <c r="G15" s="231" t="e">
        <f ca="1"/>
        <v>#VALUE!</v>
      </c>
      <c r="H15" s="66">
        <f ca="1"/>
        <v>4.0810774192387989E-2</v>
      </c>
      <c r="I15" s="244" t="e">
        <f ca="1"/>
        <v>#VALUE!</v>
      </c>
      <c r="J15" s="239">
        <f ca="1">_xll.qlYieldTSForwardRate2($F$6,D15,"28D","Actual/360","simple","annual")</f>
        <v>3.9512645933125361E-2</v>
      </c>
      <c r="K15" s="239" t="e">
        <f t="shared" ca="1" si="1"/>
        <v>#VALUE!</v>
      </c>
      <c r="L15" s="16">
        <f t="shared" ca="1" si="2"/>
        <v>0.98985997938410708</v>
      </c>
      <c r="S15" s="115"/>
      <c r="T15" s="115"/>
      <c r="U15" s="245"/>
      <c r="V15" s="115"/>
      <c r="W15" s="115"/>
      <c r="X15" s="115"/>
      <c r="Y15" s="115"/>
      <c r="Z15" s="115"/>
      <c r="AA15" s="115"/>
      <c r="AF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245"/>
      <c r="AU15" s="115"/>
      <c r="AV15" s="115"/>
      <c r="AW15" s="115"/>
      <c r="AX15" s="115"/>
      <c r="AY15" s="115"/>
      <c r="AZ15" s="115"/>
      <c r="BA15" s="115"/>
      <c r="BB15" s="115"/>
      <c r="BC15" s="245"/>
    </row>
    <row r="16" spans="2:55" customFormat="1">
      <c r="D16" s="210">
        <f t="shared" ca="1" si="0"/>
        <v>43861</v>
      </c>
      <c r="E16" s="253" t="e">
        <f ca="1"/>
        <v>#VALUE!</v>
      </c>
      <c r="F16" s="237">
        <f ca="1"/>
        <v>0.98304941510280264</v>
      </c>
      <c r="G16" s="231" t="e">
        <f ca="1"/>
        <v>#VALUE!</v>
      </c>
      <c r="H16" s="66">
        <f ca="1"/>
        <v>4.0832660886058969E-2</v>
      </c>
      <c r="I16" s="244" t="e">
        <f ca="1"/>
        <v>#VALUE!</v>
      </c>
      <c r="J16" s="239">
        <f ca="1">_xll.qlYieldTSForwardRate2($F$6,D16,"28D","Actual/360","simple","annual")</f>
        <v>3.9512645933125361E-2</v>
      </c>
      <c r="K16" s="239" t="e">
        <f t="shared" ca="1" si="1"/>
        <v>#VALUE!</v>
      </c>
      <c r="L16" s="16">
        <f t="shared" ca="1" si="2"/>
        <v>0.98639476912975366</v>
      </c>
      <c r="S16" s="115"/>
      <c r="T16" s="115"/>
      <c r="U16" s="245"/>
      <c r="V16" s="115"/>
      <c r="W16" s="115"/>
      <c r="X16" s="115"/>
      <c r="Y16" s="115"/>
      <c r="Z16" s="115"/>
      <c r="AA16" s="115"/>
      <c r="AF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245"/>
      <c r="AU16" s="115"/>
      <c r="AV16" s="115"/>
      <c r="AW16" s="115"/>
      <c r="AX16" s="115"/>
      <c r="AY16" s="115"/>
      <c r="AZ16" s="115"/>
      <c r="BA16" s="115"/>
      <c r="BB16" s="115"/>
      <c r="BC16" s="245"/>
    </row>
    <row r="17" spans="4:55" customFormat="1">
      <c r="D17" s="210">
        <f t="shared" ca="1" si="0"/>
        <v>43889</v>
      </c>
      <c r="E17" s="253" t="e">
        <f ca="1"/>
        <v>#VALUE!</v>
      </c>
      <c r="F17" s="237">
        <f ca="1"/>
        <v>0.98003755800043535</v>
      </c>
      <c r="G17" s="231" t="e">
        <f ca="1"/>
        <v>#VALUE!</v>
      </c>
      <c r="H17" s="66">
        <f ca="1"/>
        <v>4.0846661637403914E-2</v>
      </c>
      <c r="I17" s="244" t="e">
        <f ca="1"/>
        <v>#VALUE!</v>
      </c>
      <c r="J17" s="239">
        <f ca="1">_xll.qlYieldTSForwardRate2($F$6,D17,"28D","Actual/360","simple","annual")</f>
        <v>3.9512645933128213E-2</v>
      </c>
      <c r="K17" s="239" t="e">
        <f t="shared" ca="1" si="1"/>
        <v>#VALUE!</v>
      </c>
      <c r="L17" s="16">
        <f t="shared" ca="1" si="2"/>
        <v>0.98304941510280264</v>
      </c>
      <c r="S17" s="115"/>
      <c r="T17" s="115"/>
      <c r="U17" s="245"/>
      <c r="V17" s="115"/>
      <c r="W17" s="115"/>
      <c r="X17" s="115"/>
      <c r="Y17" s="115"/>
      <c r="Z17" s="115"/>
      <c r="AA17" s="115"/>
      <c r="AF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245"/>
      <c r="AU17" s="115"/>
      <c r="AV17" s="115"/>
      <c r="AW17" s="115"/>
      <c r="AX17" s="115"/>
      <c r="AY17" s="115"/>
      <c r="AZ17" s="115"/>
      <c r="BA17" s="115"/>
      <c r="BB17" s="115"/>
      <c r="BC17" s="245"/>
    </row>
    <row r="18" spans="4:55" customFormat="1">
      <c r="D18" s="210">
        <f t="shared" ca="1" si="0"/>
        <v>43921</v>
      </c>
      <c r="E18" s="253" t="e">
        <f ca="1"/>
        <v>#VALUE!</v>
      </c>
      <c r="F18" s="237">
        <f ca="1"/>
        <v>0.97660673317029356</v>
      </c>
      <c r="G18" s="231" t="e">
        <f ca="1"/>
        <v>#VALUE!</v>
      </c>
      <c r="H18" s="66">
        <f ca="1"/>
        <v>4.0858225047160968E-2</v>
      </c>
      <c r="I18" s="244" t="e">
        <f ca="1"/>
        <v>#VALUE!</v>
      </c>
      <c r="J18" s="239">
        <f ca="1">_xll.qlYieldTSForwardRate2($F$6,D18,"28D","Actual/360","simple","annual")</f>
        <v>3.9512645933125361E-2</v>
      </c>
      <c r="K18" s="239" t="e">
        <f t="shared" ca="1" si="1"/>
        <v>#VALUE!</v>
      </c>
      <c r="L18" s="16">
        <f t="shared" ca="1" si="2"/>
        <v>0.98003755800043535</v>
      </c>
      <c r="S18" s="115"/>
      <c r="T18" s="115"/>
      <c r="U18" s="245"/>
      <c r="V18" s="115"/>
      <c r="W18" s="115"/>
      <c r="X18" s="115"/>
      <c r="Y18" s="115"/>
      <c r="Z18" s="115"/>
      <c r="AA18" s="115"/>
      <c r="AF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245"/>
      <c r="AU18" s="115"/>
      <c r="AV18" s="115"/>
      <c r="AW18" s="115"/>
      <c r="AX18" s="115"/>
      <c r="AY18" s="115"/>
      <c r="AZ18" s="115"/>
      <c r="BA18" s="115"/>
      <c r="BB18" s="115"/>
      <c r="BC18" s="245"/>
    </row>
    <row r="19" spans="4:55" customFormat="1">
      <c r="D19" s="210">
        <f t="shared" ca="1" si="0"/>
        <v>43951</v>
      </c>
      <c r="E19" s="253" t="e">
        <f ca="1"/>
        <v>#VALUE!</v>
      </c>
      <c r="F19" s="237">
        <f ca="1"/>
        <v>0.97340124349320134</v>
      </c>
      <c r="G19" s="231" t="e">
        <f ca="1"/>
        <v>#VALUE!</v>
      </c>
      <c r="H19" s="66">
        <f ca="1"/>
        <v>4.0866337441050726E-2</v>
      </c>
      <c r="I19" s="244" t="e">
        <f ca="1"/>
        <v>#VALUE!</v>
      </c>
      <c r="J19" s="239">
        <f ca="1">_xll.qlYieldTSForwardRate2($F$6,D19,"28D","Actual/360","simple","annual")</f>
        <v>3.9512645933125361E-2</v>
      </c>
      <c r="K19" s="239" t="e">
        <f t="shared" ca="1" si="1"/>
        <v>#VALUE!</v>
      </c>
      <c r="L19" s="16">
        <f t="shared" ca="1" si="2"/>
        <v>0.97660673317029356</v>
      </c>
      <c r="S19" s="115"/>
      <c r="T19" s="115"/>
      <c r="U19" s="245"/>
      <c r="V19" s="115"/>
      <c r="W19" s="115"/>
      <c r="X19" s="115"/>
      <c r="Y19" s="115"/>
      <c r="Z19" s="115"/>
      <c r="AA19" s="115"/>
      <c r="AF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245"/>
      <c r="AU19" s="115"/>
      <c r="AV19" s="115"/>
      <c r="AW19" s="115"/>
      <c r="AX19" s="115"/>
      <c r="AY19" s="115"/>
      <c r="AZ19" s="115"/>
      <c r="BA19" s="115"/>
      <c r="BB19" s="115"/>
      <c r="BC19" s="245"/>
    </row>
    <row r="20" spans="4:55" customFormat="1">
      <c r="D20" s="210">
        <f t="shared" ca="1" si="0"/>
        <v>43980</v>
      </c>
      <c r="E20" s="253" t="e">
        <f ca="1"/>
        <v>#VALUE!</v>
      </c>
      <c r="F20" s="237">
        <f ca="1"/>
        <v>0.97031260490909566</v>
      </c>
      <c r="G20" s="231" t="e">
        <f ca="1"/>
        <v>#VALUE!</v>
      </c>
      <c r="H20" s="66">
        <f ca="1"/>
        <v>4.0872499112066807E-2</v>
      </c>
      <c r="I20" s="244" t="e">
        <f ca="1"/>
        <v>#VALUE!</v>
      </c>
      <c r="J20" s="239">
        <f ca="1">_xll.qlYieldTSForwardRate2($F$6,D20,"28D","Actual/360","simple","annual")</f>
        <v>3.9512645933128213E-2</v>
      </c>
      <c r="K20" s="239" t="e">
        <f t="shared" ca="1" si="1"/>
        <v>#VALUE!</v>
      </c>
      <c r="L20" s="16">
        <f t="shared" ca="1" si="2"/>
        <v>0.97340124349320134</v>
      </c>
      <c r="S20" s="115"/>
      <c r="T20" s="115"/>
      <c r="U20" s="245"/>
      <c r="V20" s="115"/>
      <c r="W20" s="115"/>
      <c r="X20" s="115"/>
      <c r="Y20" s="115"/>
      <c r="Z20" s="115"/>
      <c r="AA20" s="115"/>
      <c r="AF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245"/>
      <c r="AU20" s="115"/>
      <c r="AV20" s="115"/>
      <c r="AW20" s="115"/>
      <c r="AX20" s="115"/>
      <c r="AY20" s="115"/>
      <c r="AZ20" s="115"/>
      <c r="BA20" s="115"/>
      <c r="BB20" s="115"/>
      <c r="BC20" s="245"/>
    </row>
    <row r="21" spans="4:55" customFormat="1">
      <c r="D21" s="210">
        <f t="shared" ca="1" si="0"/>
        <v>44012</v>
      </c>
      <c r="E21" s="253" t="e">
        <f ca="1"/>
        <v>#VALUE!</v>
      </c>
      <c r="F21" s="237">
        <f ca="1"/>
        <v>0.96691582429518363</v>
      </c>
      <c r="G21" s="231" t="e">
        <f ca="1"/>
        <v>#VALUE!</v>
      </c>
      <c r="H21" s="66">
        <f ca="1"/>
        <v>4.0877948786789853E-2</v>
      </c>
      <c r="I21" s="244" t="e">
        <f ca="1"/>
        <v>#VALUE!</v>
      </c>
      <c r="J21" s="239">
        <f ca="1">_xll.qlYieldTSForwardRate2($F$6,D21,"28D","Actual/360","simple","annual")</f>
        <v>3.9512645933128213E-2</v>
      </c>
      <c r="K21" s="239" t="e">
        <f t="shared" ca="1" si="1"/>
        <v>#VALUE!</v>
      </c>
      <c r="L21" s="16">
        <f t="shared" ca="1" si="2"/>
        <v>0.97031260490909566</v>
      </c>
      <c r="S21" s="115"/>
      <c r="T21" s="115"/>
      <c r="U21" s="245"/>
      <c r="V21" s="115"/>
      <c r="W21" s="115"/>
      <c r="X21" s="115"/>
      <c r="Y21" s="115"/>
      <c r="Z21" s="115"/>
      <c r="AA21" s="115"/>
      <c r="AF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245"/>
      <c r="AU21" s="115"/>
      <c r="AV21" s="115"/>
      <c r="AW21" s="115"/>
      <c r="AX21" s="115"/>
      <c r="AY21" s="115"/>
      <c r="AZ21" s="115"/>
      <c r="BA21" s="115"/>
      <c r="BB21" s="115"/>
      <c r="BC21" s="245"/>
    </row>
    <row r="22" spans="4:55" customFormat="1">
      <c r="D22" s="210">
        <f t="shared" ca="1" si="0"/>
        <v>44043</v>
      </c>
      <c r="E22" s="253" t="e">
        <f ca="1"/>
        <v>#VALUE!</v>
      </c>
      <c r="F22" s="237">
        <f ca="1"/>
        <v>0.96363653303395524</v>
      </c>
      <c r="G22" s="231" t="e">
        <f ca="1"/>
        <v>#VALUE!</v>
      </c>
      <c r="H22" s="66">
        <f ca="1"/>
        <v>4.0882245158238018E-2</v>
      </c>
      <c r="I22" s="244" t="e">
        <f ca="1"/>
        <v>#VALUE!</v>
      </c>
      <c r="J22" s="239">
        <f ca="1">_xll.qlYieldTSForwardRate2($F$6,D22,"28D","Actual/360","simple","annual")</f>
        <v>3.9512645933125361E-2</v>
      </c>
      <c r="K22" s="239" t="e">
        <f t="shared" ca="1" si="1"/>
        <v>#VALUE!</v>
      </c>
      <c r="L22" s="16">
        <f t="shared" ca="1" si="2"/>
        <v>0.96691582429518363</v>
      </c>
      <c r="S22" s="115"/>
      <c r="T22" s="115"/>
      <c r="U22" s="245"/>
      <c r="V22" s="115"/>
      <c r="W22" s="115"/>
      <c r="X22" s="115"/>
      <c r="Y22" s="115"/>
      <c r="Z22" s="115"/>
      <c r="AA22" s="115"/>
      <c r="AF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245"/>
      <c r="AU22" s="115"/>
      <c r="AV22" s="115"/>
      <c r="AW22" s="115"/>
      <c r="AX22" s="115"/>
      <c r="AY22" s="115"/>
      <c r="AZ22" s="115"/>
      <c r="BA22" s="115"/>
      <c r="BB22" s="115"/>
      <c r="BC22" s="245"/>
    </row>
    <row r="23" spans="4:55" customFormat="1">
      <c r="D23" s="223">
        <f t="shared" ca="1" si="0"/>
        <v>44071</v>
      </c>
      <c r="E23" s="200" t="e">
        <f ca="1"/>
        <v>#VALUE!</v>
      </c>
      <c r="F23" s="199">
        <f ca="1"/>
        <v>0.96068415292820497</v>
      </c>
      <c r="G23" s="242" t="e">
        <f ca="1"/>
        <v>#VALUE!</v>
      </c>
      <c r="H23" s="221">
        <f ca="1"/>
        <v>4.0885500792911866E-2</v>
      </c>
      <c r="I23" s="244" t="e">
        <f ca="1"/>
        <v>#VALUE!</v>
      </c>
      <c r="J23" s="239">
        <f ca="1">_xll.qlYieldTSForwardRate2($F$6,D23,"28D","Actual/360","simple","annual")</f>
        <v>3.9512645933125361E-2</v>
      </c>
      <c r="K23" s="239" t="e">
        <f t="shared" ca="1" si="1"/>
        <v>#VALUE!</v>
      </c>
      <c r="L23" s="47">
        <f t="shared" ca="1" si="2"/>
        <v>0.96363653303395524</v>
      </c>
      <c r="S23" s="115"/>
      <c r="T23" s="115"/>
      <c r="U23" s="245"/>
      <c r="V23" s="115"/>
      <c r="W23" s="115"/>
      <c r="X23" s="115"/>
      <c r="Y23" s="115"/>
      <c r="Z23" s="115"/>
      <c r="AA23" s="115"/>
      <c r="AF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245"/>
      <c r="AU23" s="115"/>
      <c r="AV23" s="115"/>
      <c r="AW23" s="115"/>
      <c r="AX23" s="115"/>
      <c r="AY23" s="115"/>
      <c r="AZ23" s="115"/>
      <c r="BA23" s="115"/>
      <c r="BB23" s="115"/>
      <c r="BC23" s="245"/>
    </row>
    <row r="24" spans="4:55" customFormat="1">
      <c r="D24" s="210">
        <f t="shared" ca="1" si="0"/>
        <v>44104</v>
      </c>
      <c r="E24" s="253" t="e">
        <f ca="1"/>
        <v>#VALUE!</v>
      </c>
      <c r="F24" s="237">
        <f ca="1"/>
        <v>0.95721617255771207</v>
      </c>
      <c r="G24" s="231" t="e">
        <f ca="1"/>
        <v>#VALUE!</v>
      </c>
      <c r="H24" s="66">
        <f ca="1"/>
        <v>4.0888751699444503E-2</v>
      </c>
      <c r="I24" s="244" t="e">
        <f ca="1"/>
        <v>#VALUE!</v>
      </c>
      <c r="J24" s="239">
        <f ca="1">_xll.qlYieldTSForwardRate2($F$6,D24,"28D","Actual/360","simple","annual")</f>
        <v>3.9512645933125361E-2</v>
      </c>
      <c r="K24" s="239" t="e">
        <f t="shared" ca="1" si="1"/>
        <v>#VALUE!</v>
      </c>
      <c r="L24" s="19">
        <f t="shared" ca="1" si="2"/>
        <v>0.96068415292820497</v>
      </c>
      <c r="S24" s="115"/>
      <c r="T24" s="115"/>
      <c r="U24" s="245"/>
      <c r="V24" s="115"/>
      <c r="W24" s="115"/>
      <c r="X24" s="115"/>
      <c r="Y24" s="115"/>
      <c r="Z24" s="115"/>
      <c r="AA24" s="115"/>
      <c r="AF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  <c r="AT24" s="245"/>
      <c r="AU24" s="115"/>
      <c r="AV24" s="115"/>
      <c r="AW24" s="115"/>
      <c r="AX24" s="115"/>
      <c r="AY24" s="115"/>
      <c r="AZ24" s="115"/>
      <c r="BA24" s="115"/>
      <c r="BB24" s="115"/>
      <c r="BC24" s="245"/>
    </row>
    <row r="25" spans="4:55" customFormat="1">
      <c r="D25" s="210">
        <f t="shared" ca="1" si="0"/>
        <v>44134</v>
      </c>
      <c r="E25" s="253" t="e">
        <f ca="1"/>
        <v>#VALUE!</v>
      </c>
      <c r="F25" s="237">
        <f ca="1"/>
        <v>0.9540743279895112</v>
      </c>
      <c r="G25" s="231" t="e">
        <f ca="1"/>
        <v>#VALUE!</v>
      </c>
      <c r="H25" s="66">
        <f ca="1"/>
        <v>4.0891273419642493E-2</v>
      </c>
      <c r="I25" s="244" t="e">
        <f ca="1"/>
        <v>#VALUE!</v>
      </c>
      <c r="J25" s="239">
        <f ca="1">_xll.qlYieldTSForwardRate2($F$6,D25,"28D","Actual/360","simple","annual")</f>
        <v>3.9512645933125361E-2</v>
      </c>
      <c r="K25" s="239" t="e">
        <f t="shared" ca="1" si="1"/>
        <v>#VALUE!</v>
      </c>
      <c r="L25" s="19">
        <f t="shared" ca="1" si="2"/>
        <v>0.95721617255771207</v>
      </c>
      <c r="S25" s="115"/>
      <c r="T25" s="115"/>
      <c r="U25" s="245"/>
      <c r="V25" s="115"/>
      <c r="W25" s="115"/>
      <c r="X25" s="115"/>
      <c r="Y25" s="115"/>
      <c r="Z25" s="115"/>
      <c r="AA25" s="115"/>
      <c r="AF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245"/>
      <c r="AU25" s="115"/>
      <c r="AV25" s="115"/>
      <c r="AW25" s="115"/>
      <c r="AX25" s="115"/>
      <c r="AY25" s="115"/>
      <c r="AZ25" s="115"/>
      <c r="BA25" s="115"/>
      <c r="BB25" s="115"/>
      <c r="BC25" s="245"/>
    </row>
    <row r="26" spans="4:55" customFormat="1">
      <c r="D26" s="210">
        <f t="shared" ca="1" si="0"/>
        <v>44165</v>
      </c>
      <c r="E26" s="253" t="e">
        <f ca="1"/>
        <v>#VALUE!</v>
      </c>
      <c r="F26" s="237">
        <f ca="1"/>
        <v>0.95083858861310899</v>
      </c>
      <c r="G26" s="231" t="e">
        <f ca="1"/>
        <v>#VALUE!</v>
      </c>
      <c r="H26" s="66">
        <f ca="1"/>
        <v>4.0893533912734092E-2</v>
      </c>
      <c r="I26" s="244" t="e">
        <f ca="1"/>
        <v>#VALUE!</v>
      </c>
      <c r="J26" s="239">
        <f ca="1">_xll.qlYieldTSForwardRate2($F$6,D26,"28D","Actual/360","simple","annual")</f>
        <v>3.9512645933125361E-2</v>
      </c>
      <c r="K26" s="239" t="e">
        <f t="shared" ca="1" si="1"/>
        <v>#VALUE!</v>
      </c>
      <c r="L26" s="19">
        <f t="shared" ca="1" si="2"/>
        <v>0.9540743279895112</v>
      </c>
      <c r="S26" s="115"/>
      <c r="T26" s="115"/>
      <c r="U26" s="245"/>
      <c r="V26" s="115"/>
      <c r="W26" s="115"/>
      <c r="X26" s="115"/>
      <c r="Y26" s="115"/>
      <c r="Z26" s="115"/>
      <c r="AA26" s="115"/>
      <c r="AF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245"/>
      <c r="AU26" s="115"/>
      <c r="AV26" s="115"/>
      <c r="AW26" s="115"/>
      <c r="AX26" s="115"/>
      <c r="AY26" s="115"/>
      <c r="AZ26" s="115"/>
      <c r="BA26" s="115"/>
      <c r="BB26" s="115"/>
      <c r="BC26" s="245"/>
    </row>
    <row r="27" spans="4:55" customFormat="1">
      <c r="D27" s="210">
        <f t="shared" ca="1" si="0"/>
        <v>44253</v>
      </c>
      <c r="E27" s="253" t="e">
        <f ca="1"/>
        <v>#VALUE!</v>
      </c>
      <c r="F27" s="237">
        <f ca="1"/>
        <v>0.94171293146193158</v>
      </c>
      <c r="G27" s="231" t="e">
        <f ca="1"/>
        <v>#VALUE!</v>
      </c>
      <c r="H27" s="66">
        <f ca="1"/>
        <v>4.0886887452378007E-2</v>
      </c>
      <c r="I27" s="244" t="e">
        <f ca="1"/>
        <v>#VALUE!</v>
      </c>
      <c r="J27" s="239">
        <f ca="1">_xll.qlYieldTSForwardRate2($F$6,D27,"28D","Actual/360","simple","annual")</f>
        <v>3.9512645933125361E-2</v>
      </c>
      <c r="K27" s="239" t="e">
        <f t="shared" ca="1" si="1"/>
        <v>#VALUE!</v>
      </c>
      <c r="L27" s="19">
        <f t="shared" ca="1" si="2"/>
        <v>0.95083858861310899</v>
      </c>
      <c r="S27" s="115"/>
      <c r="T27" s="115"/>
      <c r="U27" s="245"/>
      <c r="V27" s="115"/>
      <c r="W27" s="115"/>
      <c r="X27" s="115"/>
      <c r="Y27" s="115"/>
      <c r="Z27" s="115"/>
      <c r="AA27" s="115"/>
      <c r="AF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245"/>
      <c r="AU27" s="115"/>
      <c r="AV27" s="115"/>
      <c r="AW27" s="115"/>
      <c r="AX27" s="115"/>
      <c r="AY27" s="115"/>
      <c r="AZ27" s="115"/>
      <c r="BA27" s="115"/>
      <c r="BB27" s="115"/>
      <c r="BC27" s="245"/>
    </row>
    <row r="28" spans="4:55" customFormat="1">
      <c r="D28" s="210">
        <f t="shared" ca="1" si="0"/>
        <v>44347</v>
      </c>
      <c r="E28" s="253" t="e">
        <f ca="1"/>
        <v>#VALUE!</v>
      </c>
      <c r="F28" s="237">
        <f ca="1"/>
        <v>0.93206179356733276</v>
      </c>
      <c r="G28" s="231" t="e">
        <f ca="1"/>
        <v>#VALUE!</v>
      </c>
      <c r="H28" s="66">
        <f ca="1"/>
        <v>4.0875725409203367E-2</v>
      </c>
      <c r="I28" s="244" t="e">
        <f ca="1"/>
        <v>#VALUE!</v>
      </c>
      <c r="J28" s="239">
        <f ca="1">_xll.qlYieldTSForwardRate2($F$6,D28,"28D","Actual/360","simple","annual")</f>
        <v>3.9512645933128213E-2</v>
      </c>
      <c r="K28" s="239" t="e">
        <f t="shared" ca="1" si="1"/>
        <v>#VALUE!</v>
      </c>
      <c r="L28" s="19">
        <f t="shared" ca="1" si="2"/>
        <v>0.94171293146193158</v>
      </c>
      <c r="S28" s="115"/>
      <c r="T28" s="115"/>
      <c r="U28" s="245"/>
      <c r="V28" s="115"/>
      <c r="W28" s="115"/>
      <c r="X28" s="115"/>
      <c r="Y28" s="115"/>
      <c r="Z28" s="115"/>
      <c r="AA28" s="115"/>
      <c r="AF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245"/>
      <c r="AU28" s="115"/>
      <c r="AV28" s="115"/>
      <c r="AW28" s="115"/>
      <c r="AX28" s="115"/>
      <c r="AY28" s="115"/>
      <c r="AZ28" s="115"/>
      <c r="BA28" s="115"/>
      <c r="BB28" s="115"/>
      <c r="BC28" s="245"/>
    </row>
    <row r="29" spans="4:55" customFormat="1">
      <c r="D29" s="210">
        <f t="shared" ca="1" si="0"/>
        <v>44438</v>
      </c>
      <c r="E29" s="253" t="e">
        <f ca="1"/>
        <v>#VALUE!</v>
      </c>
      <c r="F29" s="237">
        <f ca="1"/>
        <v>0.92281290596432497</v>
      </c>
      <c r="G29" s="231" t="e">
        <f ca="1"/>
        <v>#VALUE!</v>
      </c>
      <c r="H29" s="66">
        <f ca="1"/>
        <v>4.0867650652069321E-2</v>
      </c>
      <c r="I29" s="244" t="e">
        <f ca="1"/>
        <v>#VALUE!</v>
      </c>
      <c r="J29" s="239">
        <f ca="1">_xll.qlYieldTSForwardRate2($F$6,D29,"28D","Actual/360","simple","annual")</f>
        <v>3.9512645933125361E-2</v>
      </c>
      <c r="K29" s="239" t="e">
        <f t="shared" ca="1" si="1"/>
        <v>#VALUE!</v>
      </c>
      <c r="L29" s="19">
        <f t="shared" ca="1" si="2"/>
        <v>0.93206179356733276</v>
      </c>
      <c r="S29" s="115"/>
      <c r="T29" s="115"/>
      <c r="U29" s="245"/>
      <c r="V29" s="115"/>
      <c r="W29" s="115"/>
      <c r="X29" s="115"/>
      <c r="Y29" s="115"/>
      <c r="Z29" s="115"/>
      <c r="AA29" s="115"/>
      <c r="AF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245"/>
      <c r="AU29" s="115"/>
      <c r="AV29" s="115"/>
      <c r="AW29" s="115"/>
      <c r="AX29" s="115"/>
      <c r="AY29" s="115"/>
      <c r="AZ29" s="115"/>
      <c r="BA29" s="115"/>
      <c r="BB29" s="115"/>
      <c r="BC29" s="245"/>
    </row>
    <row r="30" spans="4:55" customFormat="1">
      <c r="D30" s="210">
        <f t="shared" ca="1" si="0"/>
        <v>44530</v>
      </c>
      <c r="E30" s="253" t="e">
        <f ca="1"/>
        <v>#VALUE!</v>
      </c>
      <c r="F30" s="237">
        <f ca="1"/>
        <v>0.91355567427797557</v>
      </c>
      <c r="G30" s="231" t="e">
        <f ca="1"/>
        <v>#VALUE!</v>
      </c>
      <c r="H30" s="66">
        <f ca="1"/>
        <v>4.0861300213601792E-2</v>
      </c>
      <c r="I30" s="244" t="e">
        <f ca="1"/>
        <v>#VALUE!</v>
      </c>
      <c r="J30" s="239">
        <f ca="1">_xll.qlYieldTSForwardRate2($F$6,D30,"28D","Actual/360","simple","annual")</f>
        <v>3.9512645933125361E-2</v>
      </c>
      <c r="K30" s="239" t="e">
        <f t="shared" ca="1" si="1"/>
        <v>#VALUE!</v>
      </c>
      <c r="L30" s="19">
        <f t="shared" ca="1" si="2"/>
        <v>0.92281290596432497</v>
      </c>
      <c r="S30" s="115"/>
      <c r="T30" s="115"/>
      <c r="U30" s="245"/>
      <c r="V30" s="115"/>
      <c r="W30" s="115"/>
      <c r="X30" s="115"/>
      <c r="Y30" s="115"/>
      <c r="Z30" s="115"/>
      <c r="AA30" s="115"/>
      <c r="AF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245"/>
      <c r="AU30" s="115"/>
      <c r="AV30" s="115"/>
      <c r="AW30" s="115"/>
      <c r="AX30" s="115"/>
      <c r="AY30" s="115"/>
      <c r="AZ30" s="115"/>
      <c r="BA30" s="115"/>
      <c r="BB30" s="115"/>
      <c r="BC30" s="245"/>
    </row>
    <row r="31" spans="4:55" customFormat="1">
      <c r="D31" s="210">
        <f t="shared" ca="1" si="0"/>
        <v>44803</v>
      </c>
      <c r="E31" s="253" t="e">
        <f ca="1"/>
        <v>#VALUE!</v>
      </c>
      <c r="F31" s="237">
        <f ca="1"/>
        <v>0.88662889436398939</v>
      </c>
      <c r="G31" s="231" t="e">
        <f ca="1"/>
        <v>#VALUE!</v>
      </c>
      <c r="H31" s="66">
        <f ca="1"/>
        <v>4.0848726052005624E-2</v>
      </c>
      <c r="I31" s="244" t="e">
        <f ca="1"/>
        <v>#VALUE!</v>
      </c>
      <c r="J31" s="239">
        <f ca="1">_xll.qlYieldTSForwardRate2($F$6,D31,"28D","Actual/360","simple","annual")</f>
        <v>3.9512645933128213E-2</v>
      </c>
      <c r="K31" s="239" t="e">
        <f t="shared" ca="1" si="1"/>
        <v>#VALUE!</v>
      </c>
      <c r="L31" s="19">
        <f t="shared" ca="1" si="2"/>
        <v>0.91355567427797557</v>
      </c>
      <c r="S31" s="115"/>
      <c r="T31" s="115"/>
      <c r="U31" s="245"/>
      <c r="V31" s="115"/>
      <c r="W31" s="115"/>
      <c r="X31" s="115"/>
      <c r="Y31" s="115"/>
      <c r="Z31" s="115"/>
      <c r="AA31" s="115"/>
      <c r="AF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245"/>
      <c r="AU31" s="115"/>
      <c r="AV31" s="115"/>
      <c r="AW31" s="115"/>
      <c r="AX31" s="115"/>
      <c r="AY31" s="115"/>
      <c r="AZ31" s="115"/>
      <c r="BA31" s="115"/>
      <c r="BB31" s="115"/>
      <c r="BC31" s="245"/>
    </row>
    <row r="32" spans="4:55" customFormat="1">
      <c r="D32" s="210">
        <f t="shared" ca="1" si="0"/>
        <v>45168</v>
      </c>
      <c r="E32" s="253" t="e">
        <f ca="1"/>
        <v>#VALUE!</v>
      </c>
      <c r="F32" s="237">
        <f ca="1"/>
        <v>0.85186367815222175</v>
      </c>
      <c r="G32" s="231" t="e">
        <f ca="1"/>
        <v>#VALUE!</v>
      </c>
      <c r="H32" s="66">
        <f ca="1"/>
        <v>4.0839250936916205E-2</v>
      </c>
      <c r="I32" s="244" t="e">
        <f ca="1"/>
        <v>#VALUE!</v>
      </c>
      <c r="J32" s="239">
        <f ca="1">_xll.qlYieldTSForwardRate2($F$6,D32,"28D","Actual/360","simple","annual")</f>
        <v>3.9512645933125361E-2</v>
      </c>
      <c r="K32" s="239" t="e">
        <f t="shared" ca="1" si="1"/>
        <v>#VALUE!</v>
      </c>
      <c r="L32" s="19">
        <f t="shared" ca="1" si="2"/>
        <v>0.88662889436398939</v>
      </c>
      <c r="S32" s="115"/>
      <c r="T32" s="115"/>
      <c r="U32" s="245"/>
      <c r="V32" s="115"/>
      <c r="W32" s="115"/>
      <c r="X32" s="115"/>
      <c r="Y32" s="115"/>
      <c r="Z32" s="115"/>
      <c r="AA32" s="115"/>
      <c r="AF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245"/>
      <c r="AU32" s="115"/>
      <c r="AV32" s="115"/>
      <c r="AW32" s="115"/>
      <c r="AX32" s="115"/>
      <c r="AY32" s="115"/>
      <c r="AZ32" s="115"/>
      <c r="BA32" s="115"/>
      <c r="BB32" s="115"/>
      <c r="BC32" s="245"/>
    </row>
    <row r="33" spans="2:56" customFormat="1">
      <c r="D33" s="210">
        <f t="shared" ca="1" si="0"/>
        <v>45534</v>
      </c>
      <c r="E33" s="253" t="e">
        <f ca="1"/>
        <v>#VALUE!</v>
      </c>
      <c r="F33" s="237">
        <f ca="1"/>
        <v>0.81837193605597214</v>
      </c>
      <c r="G33" s="231" t="e">
        <f ca="1"/>
        <v>#VALUE!</v>
      </c>
      <c r="H33" s="66">
        <f ca="1"/>
        <v>4.0848622205500229E-2</v>
      </c>
      <c r="I33" s="244" t="e">
        <f ca="1"/>
        <v>#VALUE!</v>
      </c>
      <c r="J33" s="239">
        <f ca="1">_xll.qlYieldTSForwardRate2($F$6,D33,"28D","Actual/360","simple","annual")</f>
        <v>3.9512645933125361E-2</v>
      </c>
      <c r="K33" s="239" t="e">
        <f t="shared" ca="1" si="1"/>
        <v>#VALUE!</v>
      </c>
      <c r="L33" s="19">
        <f t="shared" ca="1" si="2"/>
        <v>0.85186367815222175</v>
      </c>
      <c r="S33" s="115"/>
      <c r="T33" s="115"/>
      <c r="U33" s="245"/>
      <c r="V33" s="115"/>
      <c r="W33" s="115"/>
      <c r="X33" s="115"/>
      <c r="Y33" s="115"/>
      <c r="Z33" s="115"/>
      <c r="AA33" s="115"/>
      <c r="AF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245"/>
      <c r="AU33" s="115"/>
      <c r="AV33" s="115"/>
      <c r="AW33" s="115"/>
      <c r="AX33" s="115"/>
      <c r="AY33" s="115"/>
      <c r="AZ33" s="115"/>
      <c r="BA33" s="115"/>
      <c r="BB33" s="115"/>
      <c r="BC33" s="245"/>
      <c r="BD33" s="115"/>
    </row>
    <row r="34" spans="2:56" customFormat="1">
      <c r="D34" s="210">
        <f t="shared" ca="1" si="0"/>
        <v>45898</v>
      </c>
      <c r="E34" s="253" t="e">
        <f ca="1"/>
        <v>#VALUE!</v>
      </c>
      <c r="F34" s="237">
        <f ca="1"/>
        <v>0.78636928619535995</v>
      </c>
      <c r="G34" s="231" t="e">
        <f ca="1"/>
        <v>#VALUE!</v>
      </c>
      <c r="H34" s="66">
        <f ca="1"/>
        <v>4.0848778018074849E-2</v>
      </c>
      <c r="I34" s="244" t="e">
        <f ca="1"/>
        <v>#VALUE!</v>
      </c>
      <c r="J34" s="239">
        <f ca="1">_xll.qlYieldTSForwardRate2($F$6,D34,"28D","Actual/360","simple","annual")</f>
        <v>3.9512645933125361E-2</v>
      </c>
      <c r="K34" s="239" t="e">
        <f t="shared" ca="1" si="1"/>
        <v>#VALUE!</v>
      </c>
      <c r="L34" s="19">
        <f t="shared" ca="1" si="2"/>
        <v>0.81837193605597214</v>
      </c>
      <c r="S34" s="115"/>
      <c r="T34" s="115"/>
      <c r="U34" s="245"/>
      <c r="V34" s="115"/>
      <c r="W34" s="115"/>
      <c r="X34" s="115"/>
      <c r="Y34" s="115"/>
      <c r="Z34" s="115"/>
      <c r="AA34" s="115"/>
      <c r="AF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245"/>
      <c r="AU34" s="115"/>
      <c r="AV34" s="115"/>
      <c r="AW34" s="115"/>
      <c r="AX34" s="115"/>
      <c r="AY34" s="115"/>
      <c r="AZ34" s="115"/>
      <c r="BA34" s="115"/>
      <c r="BB34" s="115"/>
      <c r="BC34" s="245"/>
      <c r="BD34" s="115"/>
    </row>
    <row r="35" spans="2:56" customFormat="1">
      <c r="D35" s="210">
        <f t="shared" ca="1" si="0"/>
        <v>46265</v>
      </c>
      <c r="E35" s="253" t="e">
        <f ca="1"/>
        <v>#VALUE!</v>
      </c>
      <c r="F35" s="237">
        <f ca="1"/>
        <v>0.75536972681724235</v>
      </c>
      <c r="G35" s="231" t="e">
        <f ca="1"/>
        <v>#VALUE!</v>
      </c>
      <c r="H35" s="66">
        <f ca="1"/>
        <v>4.0843325468377101E-2</v>
      </c>
      <c r="I35" s="244" t="e">
        <f ca="1"/>
        <v>#VALUE!</v>
      </c>
      <c r="J35" s="239">
        <f ca="1">_xll.qlYieldTSForwardRate2($F$6,D35,"28D","Actual/360","simple","annual")</f>
        <v>3.9512645933128213E-2</v>
      </c>
      <c r="K35" s="239" t="e">
        <f t="shared" ca="1" si="1"/>
        <v>#VALUE!</v>
      </c>
      <c r="L35" s="19">
        <f t="shared" ca="1" si="2"/>
        <v>0.78636928619535995</v>
      </c>
      <c r="S35" s="115"/>
      <c r="T35" s="115"/>
      <c r="U35" s="245"/>
      <c r="V35" s="115"/>
      <c r="W35" s="115"/>
      <c r="X35" s="115"/>
      <c r="Y35" s="115"/>
      <c r="Z35" s="115"/>
      <c r="AA35" s="115"/>
      <c r="AF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245"/>
      <c r="AU35" s="115"/>
      <c r="AV35" s="115"/>
      <c r="AW35" s="115"/>
      <c r="AX35" s="115"/>
      <c r="AY35" s="115"/>
      <c r="AZ35" s="115"/>
      <c r="BA35" s="115"/>
      <c r="BB35" s="115"/>
      <c r="BC35" s="245"/>
      <c r="BD35" s="115"/>
    </row>
    <row r="36" spans="2:56" customFormat="1">
      <c r="D36" s="210">
        <f t="shared" ca="1" si="0"/>
        <v>46629</v>
      </c>
      <c r="E36" s="253" t="e">
        <f ca="1"/>
        <v>#VALUE!</v>
      </c>
      <c r="F36" s="237">
        <f ca="1"/>
        <v>0.72583079492382852</v>
      </c>
      <c r="G36" s="231" t="e">
        <f ca="1"/>
        <v>#VALUE!</v>
      </c>
      <c r="H36" s="66">
        <f ca="1"/>
        <v>4.0839270428452368E-2</v>
      </c>
      <c r="I36" s="244" t="e">
        <f ca="1"/>
        <v>#VALUE!</v>
      </c>
      <c r="J36" s="239">
        <f ca="1">_xll.qlYieldTSForwardRate2($F$6,D36,"28D","Actual/360","simple","annual")</f>
        <v>3.9512645933125361E-2</v>
      </c>
      <c r="K36" s="239" t="e">
        <f t="shared" ca="1" si="1"/>
        <v>#VALUE!</v>
      </c>
      <c r="L36" s="19">
        <f t="shared" ca="1" si="2"/>
        <v>0.75536972681724235</v>
      </c>
      <c r="S36" s="115"/>
      <c r="T36" s="115"/>
      <c r="U36" s="245"/>
      <c r="V36" s="115"/>
      <c r="W36" s="115"/>
      <c r="X36" s="115"/>
      <c r="Y36" s="115"/>
      <c r="Z36" s="115"/>
      <c r="AA36" s="115"/>
      <c r="AF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245"/>
      <c r="AU36" s="115"/>
      <c r="AV36" s="115"/>
      <c r="AW36" s="115"/>
      <c r="AX36" s="115"/>
      <c r="AY36" s="115"/>
      <c r="AZ36" s="115"/>
      <c r="BA36" s="115"/>
      <c r="BB36" s="115"/>
      <c r="BC36" s="245"/>
      <c r="BD36" s="115"/>
    </row>
    <row r="37" spans="2:56" customFormat="1">
      <c r="D37" s="210">
        <f t="shared" ca="1" si="0"/>
        <v>46995</v>
      </c>
      <c r="E37" s="253" t="e">
        <f ca="1"/>
        <v>#VALUE!</v>
      </c>
      <c r="F37" s="237">
        <f ca="1"/>
        <v>0.69729414239060394</v>
      </c>
      <c r="G37" s="231" t="e">
        <f ca="1"/>
        <v>#VALUE!</v>
      </c>
      <c r="H37" s="66">
        <f ca="1"/>
        <v>4.0844477475475482E-2</v>
      </c>
      <c r="I37" s="244" t="e">
        <f ca="1"/>
        <v>#VALUE!</v>
      </c>
      <c r="J37" s="239">
        <f ca="1">_xll.qlYieldTSForwardRate2($F$6,D37,"28D","Actual/360","simple","annual")</f>
        <v>3.9512645933128213E-2</v>
      </c>
      <c r="K37" s="239" t="e">
        <f t="shared" ca="1" si="1"/>
        <v>#VALUE!</v>
      </c>
      <c r="L37" s="19">
        <f t="shared" ca="1" si="2"/>
        <v>0.72583079492382852</v>
      </c>
      <c r="S37" s="115"/>
      <c r="T37" s="115"/>
      <c r="U37" s="245"/>
      <c r="V37" s="115"/>
      <c r="W37" s="115"/>
      <c r="X37" s="115"/>
      <c r="Y37" s="115"/>
      <c r="Z37" s="115"/>
      <c r="AA37" s="115"/>
      <c r="AF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245"/>
      <c r="AU37" s="115"/>
      <c r="AV37" s="115"/>
      <c r="AW37" s="115"/>
      <c r="AX37" s="115"/>
      <c r="AY37" s="115"/>
      <c r="AZ37" s="115"/>
      <c r="BA37" s="115"/>
      <c r="BB37" s="115"/>
      <c r="BC37" s="245"/>
      <c r="BD37" s="115"/>
    </row>
    <row r="38" spans="2:56" customFormat="1">
      <c r="D38" s="210">
        <f t="shared" ca="1" si="0"/>
        <v>47360</v>
      </c>
      <c r="E38" s="253" t="e">
        <f ca="1"/>
        <v>#VALUE!</v>
      </c>
      <c r="F38" s="237">
        <f ca="1"/>
        <v>0.66995284799166854</v>
      </c>
      <c r="G38" s="231" t="e">
        <f ca="1"/>
        <v>#VALUE!</v>
      </c>
      <c r="H38" s="66">
        <f ca="1"/>
        <v>4.0844974451125227E-2</v>
      </c>
      <c r="I38" s="244" t="e">
        <f ca="1"/>
        <v>#VALUE!</v>
      </c>
      <c r="J38" s="239">
        <f ca="1">_xll.qlYieldTSForwardRate2($F$6,D38,"28D","Actual/360","simple","annual")</f>
        <v>3.9512645933128213E-2</v>
      </c>
      <c r="K38" s="239" t="e">
        <f t="shared" ca="1" si="1"/>
        <v>#VALUE!</v>
      </c>
      <c r="L38" s="19">
        <f t="shared" ca="1" si="2"/>
        <v>0.69729414239060394</v>
      </c>
      <c r="S38" s="115"/>
      <c r="T38" s="115"/>
      <c r="U38" s="245"/>
      <c r="V38" s="115"/>
      <c r="W38" s="115"/>
      <c r="X38" s="115"/>
      <c r="Y38" s="115"/>
      <c r="Z38" s="115"/>
      <c r="AA38" s="115"/>
      <c r="AF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245"/>
      <c r="AU38" s="115"/>
      <c r="AV38" s="115"/>
      <c r="AW38" s="115"/>
      <c r="AX38" s="115"/>
      <c r="AY38" s="115"/>
      <c r="AZ38" s="115"/>
      <c r="BA38" s="115"/>
      <c r="BB38" s="115"/>
      <c r="BC38" s="245"/>
      <c r="BD38" s="115"/>
    </row>
    <row r="39" spans="2:56" customFormat="1">
      <c r="D39" s="210">
        <f t="shared" ca="1" si="0"/>
        <v>48089</v>
      </c>
      <c r="E39" s="253" t="e">
        <f ca="1"/>
        <v>#VALUE!</v>
      </c>
      <c r="F39" s="237">
        <f ca="1"/>
        <v>0.61851220373474836</v>
      </c>
      <c r="G39" s="231" t="e">
        <f ca="1"/>
        <v>#VALUE!</v>
      </c>
      <c r="H39" s="66">
        <f ca="1"/>
        <v>4.0839283437640539E-2</v>
      </c>
      <c r="I39" s="244" t="e">
        <f ca="1"/>
        <v>#VALUE!</v>
      </c>
      <c r="J39" s="239">
        <f ca="1">_xll.qlYieldTSForwardRate2($F$6,D39,"28D","Actual/360","simple","annual")</f>
        <v>3.9512645933128213E-2</v>
      </c>
      <c r="K39" s="239" t="e">
        <f t="shared" ca="1" si="1"/>
        <v>#VALUE!</v>
      </c>
      <c r="L39" s="19">
        <f t="shared" ca="1" si="2"/>
        <v>0.66995284799166854</v>
      </c>
      <c r="S39" s="115"/>
      <c r="T39" s="115"/>
      <c r="U39" s="245"/>
      <c r="V39" s="115"/>
      <c r="W39" s="115"/>
      <c r="X39" s="115"/>
      <c r="Y39" s="115"/>
      <c r="Z39" s="115"/>
      <c r="AA39" s="115"/>
      <c r="AF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245"/>
      <c r="AU39" s="115"/>
      <c r="AV39" s="115"/>
      <c r="AW39" s="115"/>
      <c r="AX39" s="115"/>
      <c r="AY39" s="115"/>
      <c r="AZ39" s="115"/>
      <c r="BA39" s="115"/>
      <c r="BB39" s="115"/>
      <c r="BC39" s="245"/>
      <c r="BD39" s="115"/>
    </row>
    <row r="40" spans="2:56" customFormat="1">
      <c r="D40" s="210">
        <f t="shared" ca="1" si="0"/>
        <v>49186</v>
      </c>
      <c r="E40" s="253" t="e">
        <f ca="1"/>
        <v>#VALUE!</v>
      </c>
      <c r="F40" s="237">
        <f ca="1"/>
        <v>0.54845089226208465</v>
      </c>
      <c r="G40" s="231" t="e">
        <f ca="1"/>
        <v>#VALUE!</v>
      </c>
      <c r="H40" s="66">
        <f ca="1"/>
        <v>4.0841179917478154E-2</v>
      </c>
      <c r="I40" s="244" t="e">
        <f ca="1"/>
        <v>#VALUE!</v>
      </c>
      <c r="J40" s="239">
        <f ca="1">_xll.qlYieldTSForwardRate2($F$6,D40,"28D","Actual/360","simple","annual")</f>
        <v>3.9512645933125361E-2</v>
      </c>
      <c r="K40" s="239" t="e">
        <f t="shared" ca="1" si="1"/>
        <v>#VALUE!</v>
      </c>
      <c r="L40" s="19">
        <f t="shared" ca="1" si="2"/>
        <v>0.61851220373474836</v>
      </c>
      <c r="S40" s="115"/>
      <c r="T40" s="115"/>
      <c r="U40" s="245"/>
      <c r="V40" s="115"/>
      <c r="W40" s="115"/>
      <c r="X40" s="115"/>
      <c r="Y40" s="115"/>
      <c r="Z40" s="115"/>
      <c r="AA40" s="115"/>
      <c r="AF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245"/>
      <c r="AU40" s="115"/>
      <c r="AV40" s="115"/>
      <c r="AW40" s="115"/>
      <c r="AX40" s="115"/>
      <c r="AY40" s="115"/>
      <c r="AZ40" s="115"/>
      <c r="BA40" s="115"/>
      <c r="BB40" s="115"/>
      <c r="BC40" s="245"/>
      <c r="BD40" s="115"/>
    </row>
    <row r="41" spans="2:56" customFormat="1">
      <c r="D41" s="210">
        <f t="shared" ca="1" si="0"/>
        <v>51012</v>
      </c>
      <c r="E41" s="253" t="e">
        <f ca="1"/>
        <v>#VALUE!</v>
      </c>
      <c r="F41" s="237">
        <f ca="1"/>
        <v>0.44898440558135749</v>
      </c>
      <c r="G41" s="231" t="e">
        <f ca="1"/>
        <v>#VALUE!</v>
      </c>
      <c r="H41" s="66">
        <f ca="1"/>
        <v>4.0839282136187149E-2</v>
      </c>
      <c r="I41" s="244" t="e">
        <f ca="1"/>
        <v>#VALUE!</v>
      </c>
      <c r="J41" s="239">
        <f ca="1">_xll.qlYieldTSForwardRate2($F$6,D41,"28D","Actual/360","simple","annual")</f>
        <v>3.9512645933125361E-2</v>
      </c>
      <c r="K41" s="239" t="e">
        <f t="shared" ca="1" si="1"/>
        <v>#VALUE!</v>
      </c>
      <c r="L41" s="19">
        <f t="shared" ca="1" si="2"/>
        <v>0.54845089226208465</v>
      </c>
      <c r="S41" s="115"/>
      <c r="T41" s="115"/>
      <c r="U41" s="245"/>
      <c r="V41" s="115"/>
      <c r="W41" s="115"/>
      <c r="X41" s="115"/>
      <c r="Y41" s="115"/>
      <c r="Z41" s="115"/>
      <c r="AA41" s="115"/>
      <c r="AF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245"/>
      <c r="AU41" s="115"/>
      <c r="AV41" s="115"/>
      <c r="AW41" s="115"/>
      <c r="AX41" s="115"/>
      <c r="AY41" s="115"/>
      <c r="AZ41" s="115"/>
      <c r="BA41" s="115"/>
      <c r="BB41" s="115"/>
      <c r="BC41" s="245"/>
      <c r="BD41" s="115"/>
    </row>
    <row r="42" spans="2:56" customFormat="1">
      <c r="D42" s="210">
        <f t="shared" ca="1" si="0"/>
        <v>52839</v>
      </c>
      <c r="E42" s="253" t="e">
        <f ca="1"/>
        <v>#VALUE!</v>
      </c>
      <c r="F42" s="237">
        <f ca="1"/>
        <v>0.36751678005064997</v>
      </c>
      <c r="G42" s="231" t="e">
        <f ca="1"/>
        <v>#VALUE!</v>
      </c>
      <c r="H42" s="66">
        <f ca="1"/>
        <v>4.0841158304798286E-2</v>
      </c>
      <c r="I42" s="244" t="e">
        <f ca="1"/>
        <v>#VALUE!</v>
      </c>
      <c r="J42" s="239">
        <f ca="1">_xll.qlYieldTSForwardRate2($F$6,D42,"28D","Actual/360","simple","annual")</f>
        <v>3.9512645933125361E-2</v>
      </c>
      <c r="K42" s="239" t="e">
        <f t="shared" ca="1" si="1"/>
        <v>#VALUE!</v>
      </c>
      <c r="L42" s="19">
        <f t="shared" ca="1" si="2"/>
        <v>0.44898440558135749</v>
      </c>
      <c r="S42" s="115"/>
      <c r="T42" s="115"/>
      <c r="U42" s="245"/>
      <c r="V42" s="115"/>
      <c r="W42" s="115"/>
      <c r="X42" s="115"/>
      <c r="Y42" s="115"/>
      <c r="Z42" s="115"/>
      <c r="AA42" s="115"/>
      <c r="AF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245"/>
      <c r="AU42" s="115"/>
      <c r="AV42" s="115"/>
      <c r="AW42" s="115"/>
      <c r="AX42" s="115"/>
      <c r="AY42" s="115"/>
      <c r="AZ42" s="115"/>
      <c r="BA42" s="115"/>
      <c r="BB42" s="115"/>
      <c r="BC42" s="245"/>
      <c r="BD42" s="115"/>
    </row>
    <row r="43" spans="2:56" customFormat="1">
      <c r="D43" s="210">
        <f t="shared" ca="1" si="0"/>
        <v>54665</v>
      </c>
      <c r="E43" s="253" t="e">
        <f ca="1"/>
        <v>#VALUE!</v>
      </c>
      <c r="F43" s="237" t="e">
        <f ca="1"/>
        <v>#NUM!</v>
      </c>
      <c r="G43" s="231" t="e">
        <f ca="1"/>
        <v>#VALUE!</v>
      </c>
      <c r="H43" s="66" t="e">
        <f ca="1"/>
        <v>#NUM!</v>
      </c>
      <c r="I43" s="244" t="e">
        <f ca="1"/>
        <v>#VALUE!</v>
      </c>
      <c r="J43" s="239"/>
      <c r="K43" s="239"/>
      <c r="L43" s="19">
        <f t="shared" ca="1" si="2"/>
        <v>0.36751678005064997</v>
      </c>
      <c r="S43" s="115"/>
      <c r="T43" s="115"/>
      <c r="U43" s="245"/>
      <c r="V43" s="115"/>
      <c r="W43" s="115"/>
      <c r="X43" s="115"/>
      <c r="Y43" s="115"/>
      <c r="Z43" s="115"/>
      <c r="AA43" s="115"/>
      <c r="AF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245"/>
      <c r="AU43" s="115"/>
      <c r="AV43" s="115"/>
      <c r="AW43" s="115"/>
      <c r="AX43" s="115"/>
      <c r="AY43" s="115"/>
      <c r="AZ43" s="115"/>
      <c r="BA43" s="115"/>
      <c r="BB43" s="115"/>
      <c r="BC43" s="245"/>
      <c r="BD43" s="115"/>
    </row>
    <row r="44" spans="2:56" customFormat="1">
      <c r="D44" s="210">
        <f t="shared" ca="1" si="0"/>
        <v>58316</v>
      </c>
      <c r="E44" s="253" t="e">
        <f ca="1"/>
        <v>#VALUE!</v>
      </c>
      <c r="F44" s="237" t="e">
        <f ca="1"/>
        <v>#NUM!</v>
      </c>
      <c r="G44" s="231" t="e">
        <f ca="1"/>
        <v>#VALUE!</v>
      </c>
      <c r="H44" s="66" t="e">
        <f ca="1"/>
        <v>#NUM!</v>
      </c>
      <c r="I44" s="244" t="e">
        <f ca="1"/>
        <v>#VALUE!</v>
      </c>
      <c r="J44" s="239"/>
      <c r="K44" s="239"/>
      <c r="L44" s="19" t="e">
        <f t="shared" ca="1" si="2"/>
        <v>#NUM!</v>
      </c>
      <c r="S44" s="115"/>
      <c r="T44" s="115"/>
      <c r="U44" s="245"/>
      <c r="V44" s="115"/>
      <c r="W44" s="115"/>
      <c r="X44" s="115"/>
      <c r="Y44" s="115"/>
      <c r="Z44" s="115"/>
      <c r="AA44" s="115"/>
      <c r="AF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245"/>
      <c r="AU44" s="115"/>
      <c r="AV44" s="115"/>
      <c r="AW44" s="115"/>
      <c r="AX44" s="115"/>
      <c r="AY44" s="115"/>
      <c r="AZ44" s="115"/>
      <c r="BA44" s="115"/>
      <c r="BB44" s="115"/>
      <c r="BC44" s="245"/>
      <c r="BD44" s="115"/>
    </row>
    <row r="45" spans="2:56" customFormat="1">
      <c r="D45" s="209">
        <f t="shared" ca="1" si="0"/>
        <v>61970</v>
      </c>
      <c r="E45" s="218" t="e">
        <f ca="1"/>
        <v>#VALUE!</v>
      </c>
      <c r="F45" s="217" t="e">
        <f ca="1"/>
        <v>#NUM!</v>
      </c>
      <c r="G45" s="247" t="e">
        <f ca="1"/>
        <v>#VALUE!</v>
      </c>
      <c r="H45" s="86" t="e">
        <f ca="1"/>
        <v>#NUM!</v>
      </c>
      <c r="I45" s="201" t="e">
        <f ca="1"/>
        <v>#VALUE!</v>
      </c>
      <c r="J45" s="238"/>
      <c r="K45" s="238"/>
      <c r="L45" s="49" t="e">
        <f t="shared" ca="1" si="2"/>
        <v>#NUM!</v>
      </c>
      <c r="S45" s="115"/>
      <c r="T45" s="115"/>
      <c r="U45" s="228"/>
      <c r="V45" s="115"/>
      <c r="W45" s="115"/>
      <c r="X45" s="115"/>
      <c r="Y45" s="115"/>
      <c r="Z45" s="115"/>
      <c r="AA45" s="115"/>
      <c r="AF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228"/>
      <c r="AU45" s="115"/>
      <c r="AV45" s="115"/>
      <c r="AW45" s="115"/>
      <c r="AX45" s="115"/>
      <c r="AY45" s="115"/>
      <c r="AZ45" s="115"/>
      <c r="BA45" s="115"/>
      <c r="BB45" s="115"/>
      <c r="BC45" s="228"/>
      <c r="BD45" s="115"/>
    </row>
    <row r="46" spans="2:56" customFormat="1">
      <c r="M46" s="92"/>
      <c r="S46" s="115"/>
      <c r="T46" s="115"/>
      <c r="U46" s="115"/>
      <c r="V46" s="115"/>
      <c r="W46" s="115"/>
      <c r="X46" s="115"/>
      <c r="Y46" s="115"/>
      <c r="Z46" s="115"/>
      <c r="AA46" s="115"/>
      <c r="AC46" s="92"/>
      <c r="AF46" s="115"/>
      <c r="AJ46" s="115"/>
      <c r="AK46" s="115"/>
      <c r="AL46" s="92"/>
      <c r="AM46" s="115"/>
      <c r="AN46" s="115"/>
      <c r="AO46" s="115"/>
      <c r="AP46" s="115"/>
      <c r="AQ46" s="115"/>
      <c r="AR46" s="115"/>
      <c r="AS46" s="115"/>
      <c r="AT46" s="115"/>
      <c r="AU46" s="92"/>
      <c r="AV46" s="115"/>
      <c r="AW46" s="115"/>
      <c r="AX46" s="115"/>
      <c r="AY46" s="115"/>
      <c r="AZ46" s="115"/>
      <c r="BA46" s="115"/>
      <c r="BB46" s="115"/>
      <c r="BC46" s="115"/>
      <c r="BD46" s="92"/>
    </row>
    <row r="47" spans="2:56" customFormat="1">
      <c r="D47" s="115"/>
      <c r="E47" s="115"/>
      <c r="F47" s="115"/>
      <c r="G47" s="115"/>
      <c r="H47" s="115"/>
      <c r="I47" s="115"/>
      <c r="M47" s="92"/>
      <c r="S47" s="115"/>
      <c r="T47" s="115"/>
      <c r="U47" s="115"/>
      <c r="V47" s="115"/>
      <c r="W47" s="115"/>
      <c r="X47" s="115"/>
      <c r="Y47" s="115"/>
      <c r="Z47" s="115"/>
      <c r="AA47" s="115"/>
      <c r="AF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</row>
    <row r="48" spans="2:56" customFormat="1">
      <c r="B48" s="118" t="s">
        <v>270</v>
      </c>
      <c r="C48" s="119" t="s">
        <v>280</v>
      </c>
      <c r="D48" s="140" t="s">
        <v>302</v>
      </c>
      <c r="E48" s="115"/>
      <c r="F48" s="115" t="str">
        <f ca="1">'MXN_BO_SWAP_COL MXN_BASIS_COL'!L17</f>
        <v>MXN_BASIS-COL#0000</v>
      </c>
      <c r="G48" s="115"/>
      <c r="H48" s="115" t="s">
        <v>816</v>
      </c>
      <c r="I48" s="115"/>
      <c r="S48" s="115"/>
      <c r="T48" s="115"/>
      <c r="U48" s="115"/>
      <c r="V48" s="115"/>
      <c r="W48" s="115"/>
      <c r="X48" s="115"/>
      <c r="Y48" s="115"/>
      <c r="Z48" s="115"/>
      <c r="AA48" s="115"/>
      <c r="AF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</row>
    <row r="49" spans="2:10" customFormat="1">
      <c r="B49" s="120" t="s">
        <v>269</v>
      </c>
      <c r="C49" s="121" t="s">
        <v>251</v>
      </c>
      <c r="D49" s="116" t="e">
        <f ca="1">[2]!McyCreateRateCurve($F$4,D48)</f>
        <v>#VALUE!</v>
      </c>
      <c r="E49" s="116" t="s">
        <v>444</v>
      </c>
      <c r="F49" s="127" t="s">
        <v>734</v>
      </c>
      <c r="G49" s="116" t="s">
        <v>825</v>
      </c>
      <c r="H49" s="127" t="s">
        <v>826</v>
      </c>
      <c r="I49" s="127" t="s">
        <v>738</v>
      </c>
    </row>
    <row r="50" spans="2:10" customFormat="1">
      <c r="B50" s="120" t="s">
        <v>271</v>
      </c>
      <c r="C50" s="121" t="s">
        <v>272</v>
      </c>
      <c r="D50" s="233">
        <f t="shared" ref="D50:D87" ca="1" si="3">D8</f>
        <v>43705</v>
      </c>
      <c r="E50" s="252">
        <v>1</v>
      </c>
      <c r="F50" s="236">
        <f t="array" aca="1" ref="F50:F87" ca="1">_xll.qlYieldTSDiscount(F48,D50:D87)</f>
        <v>1</v>
      </c>
      <c r="G50" s="204" t="e">
        <f t="array" aca="1" ref="G50:G87" ca="1">_xll.qlYieldTSZeroRate(C52,D50:D87,"Actual/365",$H$48,"annual")</f>
        <v>#VALUE!</v>
      </c>
      <c r="H50" s="490">
        <f t="array" aca="1" ref="H50:H87" ca="1">_xll.qlYieldTSZeroRate(F48,D50:D87,"Actual/365",$H$48,"annual")</f>
        <v>4.0810774191632371E-2</v>
      </c>
      <c r="I50" s="203" t="e">
        <f t="shared" ref="I50:I84" ca="1" si="4">H50-G50</f>
        <v>#VALUE!</v>
      </c>
    </row>
    <row r="51" spans="2:10" customFormat="1">
      <c r="B51" s="122" t="s">
        <v>273</v>
      </c>
      <c r="C51" s="123" t="s">
        <v>274</v>
      </c>
      <c r="D51" s="210">
        <f t="shared" ca="1" si="3"/>
        <v>43706</v>
      </c>
      <c r="E51" s="380" t="e">
        <f t="array" aca="1" ref="E51:E87" ca="1">[2]!McyDF(D49,D51:D87)</f>
        <v>#VALUE!</v>
      </c>
      <c r="F51" s="378">
        <f ca="1"/>
        <v>0.99989041696356373</v>
      </c>
      <c r="G51" s="244" t="e">
        <f ca="1"/>
        <v>#VALUE!</v>
      </c>
      <c r="H51" s="245">
        <f ca="1"/>
        <v>4.0810774192394428E-2</v>
      </c>
      <c r="I51" s="239" t="e">
        <f t="shared" ca="1" si="4"/>
        <v>#VALUE!</v>
      </c>
      <c r="J51" s="13" t="s">
        <v>206</v>
      </c>
    </row>
    <row r="52" spans="2:10" customFormat="1">
      <c r="B52" s="124" t="s">
        <v>328</v>
      </c>
      <c r="C52" s="125" t="e">
        <f ca="1">_xll.qlInterpolatedYieldCurve(,D50:D87,E50:E87,C49,C48,,,C50,C51)</f>
        <v>#NUM!</v>
      </c>
      <c r="D52" s="210">
        <f t="shared" ca="1" si="3"/>
        <v>43710</v>
      </c>
      <c r="E52" s="253" t="e">
        <f ca="1"/>
        <v>#VALUE!</v>
      </c>
      <c r="F52" s="237">
        <f ca="1"/>
        <v>0.99945220488907882</v>
      </c>
      <c r="G52" s="244" t="e">
        <f ca="1"/>
        <v>#VALUE!</v>
      </c>
      <c r="H52" s="245">
        <f ca="1"/>
        <v>4.0810774192389987E-2</v>
      </c>
      <c r="I52" s="239" t="e">
        <f t="shared" ca="1" si="4"/>
        <v>#VALUE!</v>
      </c>
      <c r="J52" s="16" t="s">
        <v>276</v>
      </c>
    </row>
    <row r="53" spans="2:10" customFormat="1">
      <c r="B53" s="211" t="s">
        <v>807</v>
      </c>
      <c r="C53" s="232" t="e">
        <f ca="1">[2]!McyCreateIndex(B53)</f>
        <v>#VALUE!</v>
      </c>
      <c r="D53" s="210">
        <f t="shared" ca="1" si="3"/>
        <v>43714</v>
      </c>
      <c r="E53" s="253" t="e">
        <f ca="1"/>
        <v>#VALUE!</v>
      </c>
      <c r="F53" s="237">
        <f ca="1"/>
        <v>0.99901418486546179</v>
      </c>
      <c r="G53" s="244" t="e">
        <f ca="1"/>
        <v>#VALUE!</v>
      </c>
      <c r="H53" s="245">
        <f ca="1"/>
        <v>4.0810774192382882E-2</v>
      </c>
      <c r="I53" s="239" t="e">
        <f t="shared" ca="1" si="4"/>
        <v>#VALUE!</v>
      </c>
      <c r="J53" s="16">
        <f t="shared" ref="J53:J87" ca="1" si="5">D51</f>
        <v>43706</v>
      </c>
    </row>
    <row r="54" spans="2:10" customFormat="1">
      <c r="D54" s="210">
        <f t="shared" ca="1" si="3"/>
        <v>43738</v>
      </c>
      <c r="E54" s="253" t="e">
        <f ca="1"/>
        <v>#VALUE!</v>
      </c>
      <c r="F54" s="237">
        <f ca="1"/>
        <v>0.9963900930811419</v>
      </c>
      <c r="G54" s="244" t="e">
        <f ca="1"/>
        <v>#VALUE!</v>
      </c>
      <c r="H54" s="245">
        <f ca="1"/>
        <v>4.0810774192387766E-2</v>
      </c>
      <c r="I54" s="239" t="e">
        <f t="shared" ca="1" si="4"/>
        <v>#VALUE!</v>
      </c>
      <c r="J54" s="16">
        <f t="shared" ca="1" si="5"/>
        <v>43710</v>
      </c>
    </row>
    <row r="55" spans="2:10" customFormat="1">
      <c r="D55" s="210">
        <f t="shared" ca="1" si="3"/>
        <v>43769</v>
      </c>
      <c r="E55" s="253" t="e">
        <f ca="1"/>
        <v>#VALUE!</v>
      </c>
      <c r="F55" s="237">
        <f ca="1"/>
        <v>0.99301083995184569</v>
      </c>
      <c r="G55" s="244" t="e">
        <f ca="1"/>
        <v>#VALUE!</v>
      </c>
      <c r="H55" s="245">
        <f ca="1"/>
        <v>4.0810774192387766E-2</v>
      </c>
      <c r="I55" s="239" t="e">
        <f t="shared" ca="1" si="4"/>
        <v>#VALUE!</v>
      </c>
      <c r="J55" s="16">
        <f t="shared" ca="1" si="5"/>
        <v>43714</v>
      </c>
    </row>
    <row r="56" spans="2:10" customFormat="1">
      <c r="D56" s="210">
        <f t="shared" ca="1" si="3"/>
        <v>43798</v>
      </c>
      <c r="E56" s="253" t="e">
        <f ca="1"/>
        <v>#VALUE!</v>
      </c>
      <c r="F56" s="237">
        <f ca="1"/>
        <v>0.98985997938410708</v>
      </c>
      <c r="G56" s="244" t="e">
        <f ca="1"/>
        <v>#VALUE!</v>
      </c>
      <c r="H56" s="245">
        <f ca="1"/>
        <v>4.0810774192388211E-2</v>
      </c>
      <c r="I56" s="239" t="e">
        <f t="shared" ca="1" si="4"/>
        <v>#VALUE!</v>
      </c>
      <c r="J56" s="16">
        <f t="shared" ca="1" si="5"/>
        <v>43738</v>
      </c>
    </row>
    <row r="57" spans="2:10" customFormat="1">
      <c r="D57" s="210">
        <f t="shared" ca="1" si="3"/>
        <v>43830</v>
      </c>
      <c r="E57" s="253" t="e">
        <f ca="1"/>
        <v>#VALUE!</v>
      </c>
      <c r="F57" s="237">
        <f ca="1"/>
        <v>0.98639476912975366</v>
      </c>
      <c r="G57" s="244" t="e">
        <f ca="1"/>
        <v>#VALUE!</v>
      </c>
      <c r="H57" s="245">
        <f ca="1"/>
        <v>4.0810774192387989E-2</v>
      </c>
      <c r="I57" s="239" t="e">
        <f t="shared" ca="1" si="4"/>
        <v>#VALUE!</v>
      </c>
      <c r="J57" s="16">
        <f t="shared" ca="1" si="5"/>
        <v>43769</v>
      </c>
    </row>
    <row r="58" spans="2:10" customFormat="1">
      <c r="D58" s="210">
        <f t="shared" ca="1" si="3"/>
        <v>43861</v>
      </c>
      <c r="E58" s="253" t="e">
        <f ca="1"/>
        <v>#VALUE!</v>
      </c>
      <c r="F58" s="237">
        <f ca="1"/>
        <v>0.98304941510280264</v>
      </c>
      <c r="G58" s="244" t="e">
        <f ca="1"/>
        <v>#VALUE!</v>
      </c>
      <c r="H58" s="245">
        <f ca="1"/>
        <v>4.0832660886058969E-2</v>
      </c>
      <c r="I58" s="239" t="e">
        <f t="shared" ca="1" si="4"/>
        <v>#VALUE!</v>
      </c>
      <c r="J58" s="16">
        <f t="shared" ca="1" si="5"/>
        <v>43798</v>
      </c>
    </row>
    <row r="59" spans="2:10" customFormat="1">
      <c r="D59" s="210">
        <f t="shared" ca="1" si="3"/>
        <v>43889</v>
      </c>
      <c r="E59" s="253" t="e">
        <f ca="1"/>
        <v>#VALUE!</v>
      </c>
      <c r="F59" s="237">
        <f ca="1"/>
        <v>0.98003755800043535</v>
      </c>
      <c r="G59" s="244" t="e">
        <f ca="1"/>
        <v>#VALUE!</v>
      </c>
      <c r="H59" s="245">
        <f ca="1"/>
        <v>4.0846661637403914E-2</v>
      </c>
      <c r="I59" s="239" t="e">
        <f t="shared" ca="1" si="4"/>
        <v>#VALUE!</v>
      </c>
      <c r="J59" s="16">
        <f t="shared" ca="1" si="5"/>
        <v>43830</v>
      </c>
    </row>
    <row r="60" spans="2:10" customFormat="1">
      <c r="D60" s="210">
        <f t="shared" ca="1" si="3"/>
        <v>43921</v>
      </c>
      <c r="E60" s="253" t="e">
        <f ca="1"/>
        <v>#VALUE!</v>
      </c>
      <c r="F60" s="237">
        <f ca="1"/>
        <v>0.97660673317029356</v>
      </c>
      <c r="G60" s="244" t="e">
        <f ca="1"/>
        <v>#VALUE!</v>
      </c>
      <c r="H60" s="245">
        <f ca="1"/>
        <v>4.0858225047160968E-2</v>
      </c>
      <c r="I60" s="239" t="e">
        <f t="shared" ca="1" si="4"/>
        <v>#VALUE!</v>
      </c>
      <c r="J60" s="16">
        <f t="shared" ca="1" si="5"/>
        <v>43861</v>
      </c>
    </row>
    <row r="61" spans="2:10" customFormat="1">
      <c r="D61" s="210">
        <f t="shared" ca="1" si="3"/>
        <v>43951</v>
      </c>
      <c r="E61" s="253" t="e">
        <f ca="1"/>
        <v>#VALUE!</v>
      </c>
      <c r="F61" s="237">
        <f ca="1"/>
        <v>0.97340124349320134</v>
      </c>
      <c r="G61" s="244" t="e">
        <f ca="1"/>
        <v>#VALUE!</v>
      </c>
      <c r="H61" s="245">
        <f ca="1"/>
        <v>4.0866337441050726E-2</v>
      </c>
      <c r="I61" s="239" t="e">
        <f t="shared" ca="1" si="4"/>
        <v>#VALUE!</v>
      </c>
      <c r="J61" s="16">
        <f t="shared" ca="1" si="5"/>
        <v>43889</v>
      </c>
    </row>
    <row r="62" spans="2:10" customFormat="1">
      <c r="D62" s="210">
        <f t="shared" ca="1" si="3"/>
        <v>43980</v>
      </c>
      <c r="E62" s="253" t="e">
        <f ca="1"/>
        <v>#VALUE!</v>
      </c>
      <c r="F62" s="237">
        <f ca="1"/>
        <v>0.97031260490909566</v>
      </c>
      <c r="G62" s="244" t="e">
        <f ca="1"/>
        <v>#VALUE!</v>
      </c>
      <c r="H62" s="245">
        <f ca="1"/>
        <v>4.0872499112066807E-2</v>
      </c>
      <c r="I62" s="239" t="e">
        <f t="shared" ca="1" si="4"/>
        <v>#VALUE!</v>
      </c>
      <c r="J62" s="16">
        <f t="shared" ca="1" si="5"/>
        <v>43921</v>
      </c>
    </row>
    <row r="63" spans="2:10" customFormat="1">
      <c r="D63" s="210">
        <f t="shared" ca="1" si="3"/>
        <v>44012</v>
      </c>
      <c r="E63" s="253" t="e">
        <f ca="1"/>
        <v>#VALUE!</v>
      </c>
      <c r="F63" s="237">
        <f ca="1"/>
        <v>0.96691582429518363</v>
      </c>
      <c r="G63" s="244" t="e">
        <f ca="1"/>
        <v>#VALUE!</v>
      </c>
      <c r="H63" s="245">
        <f ca="1"/>
        <v>4.0877948786789853E-2</v>
      </c>
      <c r="I63" s="239" t="e">
        <f t="shared" ca="1" si="4"/>
        <v>#VALUE!</v>
      </c>
      <c r="J63" s="16">
        <f t="shared" ca="1" si="5"/>
        <v>43951</v>
      </c>
    </row>
    <row r="64" spans="2:10" customFormat="1">
      <c r="D64" s="210">
        <f t="shared" ca="1" si="3"/>
        <v>44043</v>
      </c>
      <c r="E64" s="253" t="e">
        <f ca="1"/>
        <v>#VALUE!</v>
      </c>
      <c r="F64" s="237">
        <f ca="1"/>
        <v>0.96363653303395524</v>
      </c>
      <c r="G64" s="244" t="e">
        <f ca="1"/>
        <v>#VALUE!</v>
      </c>
      <c r="H64" s="245">
        <f ca="1"/>
        <v>4.0882245158238018E-2</v>
      </c>
      <c r="I64" s="239" t="e">
        <f t="shared" ca="1" si="4"/>
        <v>#VALUE!</v>
      </c>
      <c r="J64" s="16">
        <f t="shared" ca="1" si="5"/>
        <v>43980</v>
      </c>
    </row>
    <row r="65" spans="4:10" customFormat="1">
      <c r="D65" s="223">
        <f t="shared" ca="1" si="3"/>
        <v>44071</v>
      </c>
      <c r="E65" s="200" t="e">
        <f ca="1"/>
        <v>#VALUE!</v>
      </c>
      <c r="F65" s="199">
        <f ca="1"/>
        <v>0.96068415292820497</v>
      </c>
      <c r="G65" s="244" t="e">
        <f ca="1"/>
        <v>#VALUE!</v>
      </c>
      <c r="H65" s="245">
        <f ca="1"/>
        <v>4.0885500792911866E-2</v>
      </c>
      <c r="I65" s="239" t="e">
        <f t="shared" ca="1" si="4"/>
        <v>#VALUE!</v>
      </c>
      <c r="J65" s="47">
        <f t="shared" ca="1" si="5"/>
        <v>44012</v>
      </c>
    </row>
    <row r="66" spans="4:10" customFormat="1">
      <c r="D66" s="210">
        <f t="shared" ca="1" si="3"/>
        <v>44104</v>
      </c>
      <c r="E66" s="253" t="e">
        <f ca="1"/>
        <v>#VALUE!</v>
      </c>
      <c r="F66" s="237">
        <f ca="1"/>
        <v>0.95721617255771207</v>
      </c>
      <c r="G66" s="244" t="e">
        <f ca="1"/>
        <v>#VALUE!</v>
      </c>
      <c r="H66" s="245">
        <f ca="1"/>
        <v>4.0888751699444503E-2</v>
      </c>
      <c r="I66" s="239" t="e">
        <f t="shared" ca="1" si="4"/>
        <v>#VALUE!</v>
      </c>
      <c r="J66" s="19">
        <f t="shared" ca="1" si="5"/>
        <v>44043</v>
      </c>
    </row>
    <row r="67" spans="4:10" customFormat="1">
      <c r="D67" s="210">
        <f t="shared" ca="1" si="3"/>
        <v>44134</v>
      </c>
      <c r="E67" s="253" t="e">
        <f ca="1"/>
        <v>#VALUE!</v>
      </c>
      <c r="F67" s="237">
        <f ca="1"/>
        <v>0.9540743279895112</v>
      </c>
      <c r="G67" s="244" t="e">
        <f ca="1"/>
        <v>#VALUE!</v>
      </c>
      <c r="H67" s="245">
        <f ca="1"/>
        <v>4.0891273419642493E-2</v>
      </c>
      <c r="I67" s="239" t="e">
        <f t="shared" ca="1" si="4"/>
        <v>#VALUE!</v>
      </c>
      <c r="J67" s="19">
        <f t="shared" ca="1" si="5"/>
        <v>44071</v>
      </c>
    </row>
    <row r="68" spans="4:10" customFormat="1">
      <c r="D68" s="210">
        <f t="shared" ca="1" si="3"/>
        <v>44165</v>
      </c>
      <c r="E68" s="253" t="e">
        <f ca="1"/>
        <v>#VALUE!</v>
      </c>
      <c r="F68" s="237">
        <f ca="1"/>
        <v>0.95083858861310899</v>
      </c>
      <c r="G68" s="244" t="e">
        <f ca="1"/>
        <v>#VALUE!</v>
      </c>
      <c r="H68" s="245">
        <f ca="1"/>
        <v>4.0893533912734092E-2</v>
      </c>
      <c r="I68" s="239" t="e">
        <f t="shared" ca="1" si="4"/>
        <v>#VALUE!</v>
      </c>
      <c r="J68" s="19">
        <f t="shared" ca="1" si="5"/>
        <v>44104</v>
      </c>
    </row>
    <row r="69" spans="4:10" customFormat="1">
      <c r="D69" s="210">
        <f t="shared" ca="1" si="3"/>
        <v>44253</v>
      </c>
      <c r="E69" s="253" t="e">
        <f ca="1"/>
        <v>#VALUE!</v>
      </c>
      <c r="F69" s="237">
        <f ca="1"/>
        <v>0.94171293146193158</v>
      </c>
      <c r="G69" s="244" t="e">
        <f ca="1"/>
        <v>#VALUE!</v>
      </c>
      <c r="H69" s="245">
        <f ca="1"/>
        <v>4.0886887452378007E-2</v>
      </c>
      <c r="I69" s="239" t="e">
        <f t="shared" ca="1" si="4"/>
        <v>#VALUE!</v>
      </c>
      <c r="J69" s="19">
        <f t="shared" ca="1" si="5"/>
        <v>44134</v>
      </c>
    </row>
    <row r="70" spans="4:10" customFormat="1">
      <c r="D70" s="210">
        <f t="shared" ca="1" si="3"/>
        <v>44347</v>
      </c>
      <c r="E70" s="253" t="e">
        <f ca="1"/>
        <v>#VALUE!</v>
      </c>
      <c r="F70" s="237">
        <f ca="1"/>
        <v>0.93206179356733276</v>
      </c>
      <c r="G70" s="244" t="e">
        <f ca="1"/>
        <v>#VALUE!</v>
      </c>
      <c r="H70" s="245">
        <f ca="1"/>
        <v>4.0875725409203367E-2</v>
      </c>
      <c r="I70" s="239" t="e">
        <f t="shared" ca="1" si="4"/>
        <v>#VALUE!</v>
      </c>
      <c r="J70" s="19">
        <f t="shared" ca="1" si="5"/>
        <v>44165</v>
      </c>
    </row>
    <row r="71" spans="4:10" customFormat="1">
      <c r="D71" s="210">
        <f t="shared" ca="1" si="3"/>
        <v>44438</v>
      </c>
      <c r="E71" s="253" t="e">
        <f ca="1"/>
        <v>#VALUE!</v>
      </c>
      <c r="F71" s="237">
        <f ca="1"/>
        <v>0.92281290596432497</v>
      </c>
      <c r="G71" s="244" t="e">
        <f ca="1"/>
        <v>#VALUE!</v>
      </c>
      <c r="H71" s="245">
        <f ca="1"/>
        <v>4.0867650652069321E-2</v>
      </c>
      <c r="I71" s="239" t="e">
        <f t="shared" ca="1" si="4"/>
        <v>#VALUE!</v>
      </c>
      <c r="J71" s="19">
        <f t="shared" ca="1" si="5"/>
        <v>44253</v>
      </c>
    </row>
    <row r="72" spans="4:10" customFormat="1">
      <c r="D72" s="210">
        <f t="shared" ca="1" si="3"/>
        <v>44530</v>
      </c>
      <c r="E72" s="253" t="e">
        <f ca="1"/>
        <v>#VALUE!</v>
      </c>
      <c r="F72" s="237">
        <f ca="1"/>
        <v>0.91355567427797557</v>
      </c>
      <c r="G72" s="244" t="e">
        <f ca="1"/>
        <v>#VALUE!</v>
      </c>
      <c r="H72" s="245">
        <f ca="1"/>
        <v>4.0861300213601792E-2</v>
      </c>
      <c r="I72" s="239" t="e">
        <f t="shared" ca="1" si="4"/>
        <v>#VALUE!</v>
      </c>
      <c r="J72" s="19">
        <f t="shared" ca="1" si="5"/>
        <v>44347</v>
      </c>
    </row>
    <row r="73" spans="4:10" customFormat="1">
      <c r="D73" s="210">
        <f t="shared" ca="1" si="3"/>
        <v>44803</v>
      </c>
      <c r="E73" s="253" t="e">
        <f ca="1"/>
        <v>#VALUE!</v>
      </c>
      <c r="F73" s="237">
        <f ca="1"/>
        <v>0.88662889436398939</v>
      </c>
      <c r="G73" s="244" t="e">
        <f ca="1"/>
        <v>#VALUE!</v>
      </c>
      <c r="H73" s="245">
        <f ca="1"/>
        <v>4.0848726052005624E-2</v>
      </c>
      <c r="I73" s="239" t="e">
        <f t="shared" ca="1" si="4"/>
        <v>#VALUE!</v>
      </c>
      <c r="J73" s="19">
        <f t="shared" ca="1" si="5"/>
        <v>44438</v>
      </c>
    </row>
    <row r="74" spans="4:10" customFormat="1">
      <c r="D74" s="210">
        <f t="shared" ca="1" si="3"/>
        <v>45168</v>
      </c>
      <c r="E74" s="253" t="e">
        <f ca="1"/>
        <v>#VALUE!</v>
      </c>
      <c r="F74" s="237">
        <f ca="1"/>
        <v>0.85186367815222175</v>
      </c>
      <c r="G74" s="244" t="e">
        <f ca="1"/>
        <v>#VALUE!</v>
      </c>
      <c r="H74" s="245">
        <f ca="1"/>
        <v>4.0839250936916205E-2</v>
      </c>
      <c r="I74" s="239" t="e">
        <f t="shared" ca="1" si="4"/>
        <v>#VALUE!</v>
      </c>
      <c r="J74" s="19">
        <f t="shared" ca="1" si="5"/>
        <v>44530</v>
      </c>
    </row>
    <row r="75" spans="4:10" customFormat="1">
      <c r="D75" s="210">
        <f t="shared" ca="1" si="3"/>
        <v>45534</v>
      </c>
      <c r="E75" s="253" t="e">
        <f ca="1"/>
        <v>#VALUE!</v>
      </c>
      <c r="F75" s="237">
        <f ca="1"/>
        <v>0.81837193605597214</v>
      </c>
      <c r="G75" s="244" t="e">
        <f ca="1"/>
        <v>#VALUE!</v>
      </c>
      <c r="H75" s="245">
        <f ca="1"/>
        <v>4.0848622205500229E-2</v>
      </c>
      <c r="I75" s="239" t="e">
        <f t="shared" ca="1" si="4"/>
        <v>#VALUE!</v>
      </c>
      <c r="J75" s="19">
        <f t="shared" ca="1" si="5"/>
        <v>44803</v>
      </c>
    </row>
    <row r="76" spans="4:10" customFormat="1">
      <c r="D76" s="210">
        <f t="shared" ca="1" si="3"/>
        <v>45898</v>
      </c>
      <c r="E76" s="253" t="e">
        <f ca="1"/>
        <v>#VALUE!</v>
      </c>
      <c r="F76" s="237">
        <f ca="1"/>
        <v>0.78636928619535995</v>
      </c>
      <c r="G76" s="244" t="e">
        <f ca="1"/>
        <v>#VALUE!</v>
      </c>
      <c r="H76" s="245">
        <f ca="1"/>
        <v>4.0848778018074849E-2</v>
      </c>
      <c r="I76" s="239" t="e">
        <f t="shared" ca="1" si="4"/>
        <v>#VALUE!</v>
      </c>
      <c r="J76" s="19">
        <f t="shared" ca="1" si="5"/>
        <v>45168</v>
      </c>
    </row>
    <row r="77" spans="4:10" customFormat="1">
      <c r="D77" s="210">
        <f t="shared" ca="1" si="3"/>
        <v>46265</v>
      </c>
      <c r="E77" s="253" t="e">
        <f ca="1"/>
        <v>#VALUE!</v>
      </c>
      <c r="F77" s="237">
        <f ca="1"/>
        <v>0.75536972681724235</v>
      </c>
      <c r="G77" s="244" t="e">
        <f ca="1"/>
        <v>#VALUE!</v>
      </c>
      <c r="H77" s="245">
        <f ca="1"/>
        <v>4.0843325468377101E-2</v>
      </c>
      <c r="I77" s="239" t="e">
        <f t="shared" ca="1" si="4"/>
        <v>#VALUE!</v>
      </c>
      <c r="J77" s="19">
        <f t="shared" ca="1" si="5"/>
        <v>45534</v>
      </c>
    </row>
    <row r="78" spans="4:10" customFormat="1">
      <c r="D78" s="210">
        <f t="shared" ca="1" si="3"/>
        <v>46629</v>
      </c>
      <c r="E78" s="253" t="e">
        <f ca="1"/>
        <v>#VALUE!</v>
      </c>
      <c r="F78" s="237">
        <f ca="1"/>
        <v>0.72583079492382852</v>
      </c>
      <c r="G78" s="244" t="e">
        <f ca="1"/>
        <v>#VALUE!</v>
      </c>
      <c r="H78" s="245">
        <f ca="1"/>
        <v>4.0839270428452368E-2</v>
      </c>
      <c r="I78" s="239" t="e">
        <f t="shared" ca="1" si="4"/>
        <v>#VALUE!</v>
      </c>
      <c r="J78" s="19">
        <f t="shared" ca="1" si="5"/>
        <v>45898</v>
      </c>
    </row>
    <row r="79" spans="4:10" customFormat="1">
      <c r="D79" s="210">
        <f t="shared" ca="1" si="3"/>
        <v>46995</v>
      </c>
      <c r="E79" s="253" t="e">
        <f ca="1"/>
        <v>#VALUE!</v>
      </c>
      <c r="F79" s="237">
        <f ca="1"/>
        <v>0.69729414239060394</v>
      </c>
      <c r="G79" s="244" t="e">
        <f ca="1"/>
        <v>#VALUE!</v>
      </c>
      <c r="H79" s="245">
        <f ca="1"/>
        <v>4.0844477475475482E-2</v>
      </c>
      <c r="I79" s="239" t="e">
        <f t="shared" ca="1" si="4"/>
        <v>#VALUE!</v>
      </c>
      <c r="J79" s="19">
        <f t="shared" ca="1" si="5"/>
        <v>46265</v>
      </c>
    </row>
    <row r="80" spans="4:10" customFormat="1">
      <c r="D80" s="210">
        <f t="shared" ca="1" si="3"/>
        <v>47360</v>
      </c>
      <c r="E80" s="253" t="e">
        <f ca="1"/>
        <v>#VALUE!</v>
      </c>
      <c r="F80" s="237">
        <f ca="1"/>
        <v>0.66995284799166854</v>
      </c>
      <c r="G80" s="244" t="e">
        <f ca="1"/>
        <v>#VALUE!</v>
      </c>
      <c r="H80" s="245">
        <f ca="1"/>
        <v>4.0844974451125227E-2</v>
      </c>
      <c r="I80" s="239" t="e">
        <f t="shared" ca="1" si="4"/>
        <v>#VALUE!</v>
      </c>
      <c r="J80" s="19">
        <f t="shared" ca="1" si="5"/>
        <v>46629</v>
      </c>
    </row>
    <row r="81" spans="2:11" customFormat="1">
      <c r="D81" s="210">
        <f t="shared" ca="1" si="3"/>
        <v>48089</v>
      </c>
      <c r="E81" s="253" t="e">
        <f ca="1"/>
        <v>#VALUE!</v>
      </c>
      <c r="F81" s="237">
        <f ca="1"/>
        <v>0.61851220373474836</v>
      </c>
      <c r="G81" s="244" t="e">
        <f ca="1"/>
        <v>#VALUE!</v>
      </c>
      <c r="H81" s="245">
        <f ca="1"/>
        <v>4.0839283437640539E-2</v>
      </c>
      <c r="I81" s="239" t="e">
        <f t="shared" ca="1" si="4"/>
        <v>#VALUE!</v>
      </c>
      <c r="J81" s="19">
        <f t="shared" ca="1" si="5"/>
        <v>46995</v>
      </c>
    </row>
    <row r="82" spans="2:11" customFormat="1">
      <c r="D82" s="210">
        <f t="shared" ca="1" si="3"/>
        <v>49186</v>
      </c>
      <c r="E82" s="253" t="e">
        <f ca="1"/>
        <v>#VALUE!</v>
      </c>
      <c r="F82" s="237">
        <f ca="1"/>
        <v>0.54845089226208465</v>
      </c>
      <c r="G82" s="244" t="e">
        <f ca="1"/>
        <v>#VALUE!</v>
      </c>
      <c r="H82" s="245">
        <f ca="1"/>
        <v>4.0841179917478154E-2</v>
      </c>
      <c r="I82" s="239" t="e">
        <f t="shared" ca="1" si="4"/>
        <v>#VALUE!</v>
      </c>
      <c r="J82" s="19">
        <f t="shared" ca="1" si="5"/>
        <v>47360</v>
      </c>
    </row>
    <row r="83" spans="2:11" customFormat="1">
      <c r="D83" s="210">
        <f t="shared" ca="1" si="3"/>
        <v>51012</v>
      </c>
      <c r="E83" s="253" t="e">
        <f ca="1"/>
        <v>#VALUE!</v>
      </c>
      <c r="F83" s="237">
        <f ca="1"/>
        <v>0.44898440558135749</v>
      </c>
      <c r="G83" s="244" t="e">
        <f ca="1"/>
        <v>#VALUE!</v>
      </c>
      <c r="H83" s="245">
        <f ca="1"/>
        <v>4.0839282136187149E-2</v>
      </c>
      <c r="I83" s="239" t="e">
        <f t="shared" ca="1" si="4"/>
        <v>#VALUE!</v>
      </c>
      <c r="J83" s="19">
        <f t="shared" ca="1" si="5"/>
        <v>48089</v>
      </c>
    </row>
    <row r="84" spans="2:11" customFormat="1">
      <c r="D84" s="210">
        <f t="shared" ca="1" si="3"/>
        <v>52839</v>
      </c>
      <c r="E84" s="253" t="e">
        <f ca="1"/>
        <v>#VALUE!</v>
      </c>
      <c r="F84" s="237">
        <f ca="1"/>
        <v>0.36751678005064997</v>
      </c>
      <c r="G84" s="244" t="e">
        <f ca="1"/>
        <v>#VALUE!</v>
      </c>
      <c r="H84" s="245">
        <f ca="1"/>
        <v>4.0841158304798286E-2</v>
      </c>
      <c r="I84" s="239" t="e">
        <f t="shared" ca="1" si="4"/>
        <v>#VALUE!</v>
      </c>
      <c r="J84" s="19">
        <f t="shared" ca="1" si="5"/>
        <v>49186</v>
      </c>
    </row>
    <row r="85" spans="2:11" customFormat="1">
      <c r="D85" s="210">
        <f t="shared" ca="1" si="3"/>
        <v>54665</v>
      </c>
      <c r="E85" s="253" t="e">
        <f ca="1"/>
        <v>#VALUE!</v>
      </c>
      <c r="F85" s="237" t="e">
        <f ca="1"/>
        <v>#NUM!</v>
      </c>
      <c r="G85" s="231" t="e">
        <f ca="1"/>
        <v>#VALUE!</v>
      </c>
      <c r="H85" s="66" t="e">
        <f ca="1"/>
        <v>#NUM!</v>
      </c>
      <c r="I85" s="239"/>
      <c r="J85" s="19">
        <f t="shared" ca="1" si="5"/>
        <v>51012</v>
      </c>
    </row>
    <row r="86" spans="2:11" customFormat="1">
      <c r="D86" s="210">
        <f t="shared" ca="1" si="3"/>
        <v>58316</v>
      </c>
      <c r="E86" s="253" t="e">
        <f ca="1"/>
        <v>#VALUE!</v>
      </c>
      <c r="F86" s="237" t="e">
        <f ca="1"/>
        <v>#NUM!</v>
      </c>
      <c r="G86" s="231" t="e">
        <f ca="1"/>
        <v>#VALUE!</v>
      </c>
      <c r="H86" s="66" t="e">
        <f ca="1"/>
        <v>#NUM!</v>
      </c>
      <c r="I86" s="239"/>
      <c r="J86" s="19">
        <f t="shared" ca="1" si="5"/>
        <v>52839</v>
      </c>
    </row>
    <row r="87" spans="2:11" customFormat="1">
      <c r="D87" s="209">
        <f t="shared" ca="1" si="3"/>
        <v>61970</v>
      </c>
      <c r="E87" s="218" t="e">
        <f ca="1"/>
        <v>#VALUE!</v>
      </c>
      <c r="F87" s="217" t="e">
        <f ca="1"/>
        <v>#NUM!</v>
      </c>
      <c r="G87" s="247" t="e">
        <f ca="1"/>
        <v>#VALUE!</v>
      </c>
      <c r="H87" s="86" t="e">
        <f ca="1"/>
        <v>#NUM!</v>
      </c>
      <c r="I87" s="238"/>
      <c r="J87" s="49">
        <f t="shared" ca="1" si="5"/>
        <v>54665</v>
      </c>
    </row>
    <row r="90" spans="2:11" customFormat="1">
      <c r="B90" s="118" t="s">
        <v>270</v>
      </c>
      <c r="C90" s="119" t="s">
        <v>280</v>
      </c>
      <c r="E90" s="182" t="s">
        <v>310</v>
      </c>
      <c r="G90" s="126" t="str">
        <f ca="1">'CCS EUR_USD col USD'!G11</f>
        <v>EURBASTRACOLUSD_QL#0000</v>
      </c>
    </row>
    <row r="91" spans="2:11" customFormat="1">
      <c r="B91" s="120" t="s">
        <v>269</v>
      </c>
      <c r="C91" s="121" t="s">
        <v>251</v>
      </c>
      <c r="E91" s="235" t="e">
        <f ca="1">[2]!McyCreateRateCurve($F$4,E90)</f>
        <v>#VALUE!</v>
      </c>
      <c r="F91" s="116" t="s">
        <v>444</v>
      </c>
      <c r="G91" s="127" t="s">
        <v>445</v>
      </c>
      <c r="H91" s="61" t="s">
        <v>825</v>
      </c>
      <c r="I91" s="127" t="s">
        <v>827</v>
      </c>
      <c r="J91" s="212" t="s">
        <v>733</v>
      </c>
    </row>
    <row r="92" spans="2:11" customFormat="1">
      <c r="B92" s="120" t="s">
        <v>271</v>
      </c>
      <c r="C92" s="121" t="s">
        <v>272</v>
      </c>
      <c r="D92" s="148"/>
      <c r="E92" s="249">
        <f ca="1">D4</f>
        <v>43705</v>
      </c>
      <c r="F92" s="216">
        <v>1</v>
      </c>
      <c r="G92" s="236">
        <f t="array" aca="1" ref="G92:G112" ca="1">_xll.qlYieldTSDiscount(G90,E92:E112)</f>
        <v>1</v>
      </c>
      <c r="H92" s="381" t="e">
        <f t="array" aca="1" ref="H92:H112" ca="1">_xll.qlYieldTSZeroRate(C94,E92:E112,"Actual/365","compounded","annual")</f>
        <v>#VALUE!</v>
      </c>
      <c r="I92" s="379">
        <f t="array" aca="1" ref="I92:I112" ca="1">_xll.qlYieldTSZeroRate(G90,E92:E112,"Actual/365","compounded","annual")</f>
        <v>-7.9434037355545772E-3</v>
      </c>
      <c r="J92" s="257" t="e">
        <f t="shared" ref="J92:J112" ca="1" si="6">H92-I92</f>
        <v>#VALUE!</v>
      </c>
    </row>
    <row r="93" spans="2:11" customFormat="1">
      <c r="B93" s="122" t="s">
        <v>273</v>
      </c>
      <c r="C93" s="123" t="s">
        <v>274</v>
      </c>
      <c r="D93" s="251"/>
      <c r="E93" s="234">
        <f>'CCS EUR_USD col USD'!Q20</f>
        <v>43801</v>
      </c>
      <c r="F93" s="215" t="e">
        <f t="array" aca="1" ref="F93:F112" ca="1">[2]!McyDF(E91,E93:E112)</f>
        <v>#VALUE!</v>
      </c>
      <c r="G93" s="237">
        <f ca="1"/>
        <v>1.0020997674066818</v>
      </c>
      <c r="H93" s="377" t="e">
        <f ca="1"/>
        <v>#VALUE!</v>
      </c>
      <c r="I93" s="376">
        <f ca="1"/>
        <v>-7.9434037355469167E-3</v>
      </c>
      <c r="J93" s="258" t="e">
        <f t="shared" ca="1" si="6"/>
        <v>#VALUE!</v>
      </c>
      <c r="K93" s="115" t="s">
        <v>210</v>
      </c>
    </row>
    <row r="94" spans="2:11" customFormat="1">
      <c r="B94" s="124" t="s">
        <v>328</v>
      </c>
      <c r="C94" s="205" t="e">
        <f ca="1">_xll.qlInterpolatedYieldCurve(,E92:E112,F92:F112,C91,C90,,,C92,C93)</f>
        <v>#NUM!</v>
      </c>
      <c r="D94" s="251"/>
      <c r="E94" s="234">
        <f>'CCS EUR_USD col USD'!Q21</f>
        <v>43892</v>
      </c>
      <c r="F94" s="215" t="e">
        <f ca="1"/>
        <v>#VALUE!</v>
      </c>
      <c r="G94" s="237">
        <f ca="1"/>
        <v>1.0042150009208033</v>
      </c>
      <c r="H94" s="377" t="e">
        <f ca="1"/>
        <v>#VALUE!</v>
      </c>
      <c r="I94" s="376">
        <f ca="1"/>
        <v>-8.1835056909128623E-3</v>
      </c>
      <c r="J94" s="258" t="e">
        <f t="shared" ca="1" si="6"/>
        <v>#VALUE!</v>
      </c>
      <c r="K94" s="115" t="s">
        <v>228</v>
      </c>
    </row>
    <row r="95" spans="2:11" customFormat="1">
      <c r="D95" s="251"/>
      <c r="E95" s="234">
        <f>'CCS EUR_USD col USD'!Q22</f>
        <v>43983</v>
      </c>
      <c r="F95" s="215" t="e">
        <f ca="1"/>
        <v>#VALUE!</v>
      </c>
      <c r="G95" s="237">
        <f ca="1"/>
        <v>1.0064927014617606</v>
      </c>
      <c r="H95" s="377" t="e">
        <f ca="1"/>
        <v>#VALUE!</v>
      </c>
      <c r="I95" s="376">
        <f ca="1"/>
        <v>-8.4736426279417021E-3</v>
      </c>
      <c r="J95" s="258" t="e">
        <f t="shared" ca="1" si="6"/>
        <v>#VALUE!</v>
      </c>
      <c r="K95" s="115" t="s">
        <v>231</v>
      </c>
    </row>
    <row r="96" spans="2:11" customFormat="1">
      <c r="D96" s="251"/>
      <c r="E96" s="234">
        <f>'CCS EUR_USD col USD'!Q23</f>
        <v>44074</v>
      </c>
      <c r="F96" s="215" t="e">
        <f ca="1"/>
        <v>#VALUE!</v>
      </c>
      <c r="G96" s="237">
        <f ca="1"/>
        <v>1.0089668481603236</v>
      </c>
      <c r="H96" s="377" t="e">
        <f ca="1"/>
        <v>#VALUE!</v>
      </c>
      <c r="I96" s="376">
        <f ca="1"/>
        <v>-8.8070217594846678E-3</v>
      </c>
      <c r="J96" s="258" t="e">
        <f t="shared" ca="1" si="6"/>
        <v>#VALUE!</v>
      </c>
      <c r="K96" s="115" t="s">
        <v>332</v>
      </c>
    </row>
    <row r="97" spans="4:11" customFormat="1">
      <c r="D97" s="251"/>
      <c r="E97" s="234">
        <f>'CCS EUR_USD col USD'!Q24</f>
        <v>44438</v>
      </c>
      <c r="F97" s="215" t="e">
        <f ca="1"/>
        <v>#VALUE!</v>
      </c>
      <c r="G97" s="237">
        <f ca="1"/>
        <v>1.0189847540068748</v>
      </c>
      <c r="H97" s="377" t="e">
        <f ca="1"/>
        <v>#VALUE!</v>
      </c>
      <c r="I97" s="376">
        <f ca="1"/>
        <v>-9.333870326193483E-3</v>
      </c>
      <c r="J97" s="258" t="e">
        <f t="shared" ca="1" si="6"/>
        <v>#VALUE!</v>
      </c>
      <c r="K97" s="115" t="s">
        <v>240</v>
      </c>
    </row>
    <row r="98" spans="4:11" customFormat="1">
      <c r="D98" s="251"/>
      <c r="E98" s="234">
        <f>'CCS EUR_USD col USD'!Q25</f>
        <v>44803</v>
      </c>
      <c r="F98" s="215" t="e">
        <f ca="1"/>
        <v>#VALUE!</v>
      </c>
      <c r="G98" s="237">
        <f ca="1"/>
        <v>1.0331610992752491</v>
      </c>
      <c r="H98" s="377" t="e">
        <f ca="1"/>
        <v>#VALUE!</v>
      </c>
      <c r="I98" s="376">
        <f ca="1"/>
        <v>-1.0795853202925643E-2</v>
      </c>
      <c r="J98" s="258" t="e">
        <f t="shared" ca="1" si="6"/>
        <v>#VALUE!</v>
      </c>
      <c r="K98" s="115" t="s">
        <v>211</v>
      </c>
    </row>
    <row r="99" spans="4:11" customFormat="1">
      <c r="D99" s="251"/>
      <c r="E99" s="234">
        <f>'CCS EUR_USD col USD'!Q26</f>
        <v>45168</v>
      </c>
      <c r="F99" s="215" t="e">
        <f ca="1"/>
        <v>#VALUE!</v>
      </c>
      <c r="G99" s="237">
        <f ca="1"/>
        <v>1.0405877191362796</v>
      </c>
      <c r="H99" s="377" t="e">
        <f ca="1"/>
        <v>#VALUE!</v>
      </c>
      <c r="I99" s="376">
        <f ca="1"/>
        <v>-9.8836429963256034E-3</v>
      </c>
      <c r="J99" s="258" t="e">
        <f t="shared" ca="1" si="6"/>
        <v>#VALUE!</v>
      </c>
      <c r="K99" s="115" t="s">
        <v>212</v>
      </c>
    </row>
    <row r="100" spans="4:11" customFormat="1">
      <c r="D100" s="251"/>
      <c r="E100" s="234">
        <f>'CCS EUR_USD col USD'!Q27</f>
        <v>45534</v>
      </c>
      <c r="F100" s="215" t="e">
        <f ca="1"/>
        <v>#VALUE!</v>
      </c>
      <c r="G100" s="237">
        <f ca="1"/>
        <v>1.0450120279506814</v>
      </c>
      <c r="H100" s="377" t="e">
        <f ca="1"/>
        <v>#VALUE!</v>
      </c>
      <c r="I100" s="376">
        <f ca="1"/>
        <v>-8.7558510457103056E-3</v>
      </c>
      <c r="J100" s="258" t="e">
        <f t="shared" ca="1" si="6"/>
        <v>#VALUE!</v>
      </c>
      <c r="K100" s="115" t="s">
        <v>213</v>
      </c>
    </row>
    <row r="101" spans="4:11" customFormat="1">
      <c r="D101" s="251"/>
      <c r="E101" s="234">
        <f>'CCS EUR_USD col USD'!Q28</f>
        <v>45901</v>
      </c>
      <c r="F101" s="215" t="e">
        <f ca="1"/>
        <v>#VALUE!</v>
      </c>
      <c r="G101" s="237">
        <f ca="1"/>
        <v>1.0460218226972082</v>
      </c>
      <c r="H101" s="377" t="e">
        <f ca="1"/>
        <v>#VALUE!</v>
      </c>
      <c r="I101" s="376">
        <f ca="1"/>
        <v>-7.4574205868147558E-3</v>
      </c>
      <c r="J101" s="258" t="e">
        <f t="shared" ca="1" si="6"/>
        <v>#VALUE!</v>
      </c>
      <c r="K101" s="115" t="s">
        <v>214</v>
      </c>
    </row>
    <row r="102" spans="4:11" customFormat="1">
      <c r="D102" s="251"/>
      <c r="E102" s="234">
        <f>'CCS EUR_USD col USD'!Q29</f>
        <v>46265</v>
      </c>
      <c r="F102" s="215" t="e">
        <f ca="1"/>
        <v>#VALUE!</v>
      </c>
      <c r="G102" s="237">
        <f ca="1"/>
        <v>1.0438277793319712</v>
      </c>
      <c r="H102" s="377" t="e">
        <f ca="1"/>
        <v>#VALUE!</v>
      </c>
      <c r="I102" s="376">
        <f ca="1"/>
        <v>-6.1019083088691417E-3</v>
      </c>
      <c r="J102" s="258" t="e">
        <f t="shared" ca="1" si="6"/>
        <v>#VALUE!</v>
      </c>
      <c r="K102" s="115" t="s">
        <v>215</v>
      </c>
    </row>
    <row r="103" spans="4:11" customFormat="1">
      <c r="D103" s="251"/>
      <c r="E103" s="234">
        <f>'CCS EUR_USD col USD'!Q30</f>
        <v>46629</v>
      </c>
      <c r="F103" s="215" t="e">
        <f ca="1"/>
        <v>#VALUE!</v>
      </c>
      <c r="G103" s="237">
        <f ca="1"/>
        <v>1.038840048202724</v>
      </c>
      <c r="H103" s="377" t="e">
        <f ca="1"/>
        <v>#VALUE!</v>
      </c>
      <c r="I103" s="376">
        <f ca="1"/>
        <v>-4.7485238364887161E-3</v>
      </c>
      <c r="J103" s="258" t="e">
        <f t="shared" ca="1" si="6"/>
        <v>#VALUE!</v>
      </c>
      <c r="K103" s="115" t="s">
        <v>216</v>
      </c>
    </row>
    <row r="104" spans="4:11" customFormat="1">
      <c r="D104" s="251"/>
      <c r="E104" s="234">
        <f>'CCS EUR_USD col USD'!Q31</f>
        <v>46995</v>
      </c>
      <c r="F104" s="215" t="e">
        <f ca="1"/>
        <v>#VALUE!</v>
      </c>
      <c r="G104" s="237">
        <f ca="1"/>
        <v>1.0318023628419217</v>
      </c>
      <c r="H104" s="377" t="e">
        <f ca="1"/>
        <v>#VALUE!</v>
      </c>
      <c r="I104" s="376">
        <f ca="1"/>
        <v>-3.4700616144656138E-3</v>
      </c>
      <c r="J104" s="258" t="e">
        <f t="shared" ca="1" si="6"/>
        <v>#VALUE!</v>
      </c>
      <c r="K104" s="115" t="s">
        <v>217</v>
      </c>
    </row>
    <row r="105" spans="4:11" customFormat="1">
      <c r="D105" s="251"/>
      <c r="E105" s="234">
        <f>'CCS EUR_USD col USD'!Q32</f>
        <v>47360</v>
      </c>
      <c r="F105" s="215" t="e">
        <f ca="1"/>
        <v>#VALUE!</v>
      </c>
      <c r="G105" s="237">
        <f ca="1"/>
        <v>1.0230782442369899</v>
      </c>
      <c r="H105" s="377" t="e">
        <f ca="1"/>
        <v>#VALUE!</v>
      </c>
      <c r="I105" s="376">
        <f ca="1"/>
        <v>-2.2777493900721923E-3</v>
      </c>
      <c r="J105" s="258" t="e">
        <f t="shared" ca="1" si="6"/>
        <v>#VALUE!</v>
      </c>
      <c r="K105" s="115" t="s">
        <v>218</v>
      </c>
    </row>
    <row r="106" spans="4:11" customFormat="1">
      <c r="D106" s="251"/>
      <c r="E106" s="234">
        <f>'CCS EUR_USD col USD'!Q33</f>
        <v>48092</v>
      </c>
      <c r="F106" s="215" t="e">
        <f ca="1"/>
        <v>#VALUE!</v>
      </c>
      <c r="G106" s="237">
        <f ca="1"/>
        <v>1.0033591399019393</v>
      </c>
      <c r="H106" s="377" t="e">
        <f ca="1"/>
        <v>#VALUE!</v>
      </c>
      <c r="I106" s="376">
        <f ca="1"/>
        <v>-2.7916526128790586E-4</v>
      </c>
      <c r="J106" s="258" t="e">
        <f t="shared" ca="1" si="6"/>
        <v>#VALUE!</v>
      </c>
      <c r="K106" s="115" t="s">
        <v>219</v>
      </c>
    </row>
    <row r="107" spans="4:11" customFormat="1">
      <c r="D107" s="251"/>
      <c r="E107" s="234">
        <f>'CCS EUR_USD col USD'!Q34</f>
        <v>49186</v>
      </c>
      <c r="F107" s="215" t="e">
        <f ca="1"/>
        <v>#VALUE!</v>
      </c>
      <c r="G107" s="237">
        <f ca="1"/>
        <v>0.97124193898387567</v>
      </c>
      <c r="H107" s="377" t="e">
        <f ca="1"/>
        <v>#VALUE!</v>
      </c>
      <c r="I107" s="376">
        <f ca="1"/>
        <v>1.9464934045458904E-3</v>
      </c>
      <c r="J107" s="258" t="e">
        <f t="shared" ca="1" si="6"/>
        <v>#VALUE!</v>
      </c>
      <c r="K107" s="115" t="s">
        <v>220</v>
      </c>
    </row>
    <row r="108" spans="4:11" customFormat="1">
      <c r="D108" s="251"/>
      <c r="E108" s="234">
        <f>'CCS EUR_USD col USD'!Q35</f>
        <v>51012</v>
      </c>
      <c r="F108" s="215" t="e">
        <f ca="1"/>
        <v>#VALUE!</v>
      </c>
      <c r="G108" s="237">
        <f ca="1"/>
        <v>0.92373222343539307</v>
      </c>
      <c r="H108" s="377" t="e">
        <f ca="1"/>
        <v>#VALUE!</v>
      </c>
      <c r="I108" s="376">
        <f ca="1"/>
        <v>3.9734393454888828E-3</v>
      </c>
      <c r="J108" s="258" t="e">
        <f t="shared" ca="1" si="6"/>
        <v>#VALUE!</v>
      </c>
      <c r="K108" s="61" t="s">
        <v>221</v>
      </c>
    </row>
    <row r="109" spans="4:11" customFormat="1">
      <c r="D109" s="251"/>
      <c r="E109" s="234">
        <f>'CCS EUR_USD col USD'!Q36</f>
        <v>52839</v>
      </c>
      <c r="F109" s="215" t="e">
        <f ca="1"/>
        <v>#VALUE!</v>
      </c>
      <c r="G109" s="237">
        <f ca="1"/>
        <v>0.88979391568482769</v>
      </c>
      <c r="H109" s="377" t="e">
        <f ca="1"/>
        <v>#VALUE!</v>
      </c>
      <c r="I109" s="376">
        <f ca="1"/>
        <v>4.6803378618074376E-3</v>
      </c>
      <c r="J109" s="258" t="e">
        <f t="shared" ca="1" si="6"/>
        <v>#VALUE!</v>
      </c>
      <c r="K109" s="115" t="s">
        <v>222</v>
      </c>
    </row>
    <row r="110" spans="4:11" customFormat="1">
      <c r="D110" s="251"/>
      <c r="E110" s="234">
        <f>'CCS EUR_USD col USD'!Q37</f>
        <v>54665</v>
      </c>
      <c r="F110" s="215" t="e">
        <f ca="1"/>
        <v>#VALUE!</v>
      </c>
      <c r="G110" s="237">
        <f ca="1"/>
        <v>0.86414503116098751</v>
      </c>
      <c r="H110" s="377" t="e">
        <f ca="1"/>
        <v>#VALUE!</v>
      </c>
      <c r="I110" s="376">
        <f ca="1"/>
        <v>4.8781261599517567E-3</v>
      </c>
      <c r="J110" s="258" t="e">
        <f t="shared" ca="1" si="6"/>
        <v>#VALUE!</v>
      </c>
      <c r="K110" s="115" t="s">
        <v>223</v>
      </c>
    </row>
    <row r="111" spans="4:11" customFormat="1">
      <c r="D111" s="251"/>
      <c r="E111" s="234">
        <f>'CCS EUR_USD col USD'!Q38</f>
        <v>58319</v>
      </c>
      <c r="F111" s="215" t="e">
        <f ca="1"/>
        <v>#VALUE!</v>
      </c>
      <c r="G111" s="237">
        <f ca="1"/>
        <v>0.83301128783345968</v>
      </c>
      <c r="H111" s="377" t="e">
        <f ca="1"/>
        <v>#VALUE!</v>
      </c>
      <c r="I111" s="376">
        <f ca="1"/>
        <v>4.5768931958023451E-3</v>
      </c>
      <c r="J111" s="258" t="e">
        <f t="shared" ca="1" si="6"/>
        <v>#VALUE!</v>
      </c>
      <c r="K111" s="115" t="s">
        <v>224</v>
      </c>
    </row>
    <row r="112" spans="4:11" customFormat="1">
      <c r="D112" s="213"/>
      <c r="E112" s="250">
        <f>'CCS EUR_USD col USD'!Q39</f>
        <v>61970</v>
      </c>
      <c r="F112" s="214" t="e">
        <f ca="1"/>
        <v>#VALUE!</v>
      </c>
      <c r="G112" s="217">
        <f ca="1"/>
        <v>1.0358112818153957</v>
      </c>
      <c r="H112" s="201" t="e">
        <f ca="1"/>
        <v>#VALUE!</v>
      </c>
      <c r="I112" s="238">
        <f ca="1"/>
        <v>-7.0337474332826666E-4</v>
      </c>
      <c r="J112" s="259" t="e">
        <f t="shared" ca="1" si="6"/>
        <v>#VALUE!</v>
      </c>
      <c r="K112" s="115" t="s">
        <v>225</v>
      </c>
    </row>
    <row r="114" spans="2:12" customFormat="1">
      <c r="J114" s="115"/>
      <c r="K114" s="115"/>
    </row>
    <row r="115" spans="2:12" customFormat="1">
      <c r="B115" s="118" t="s">
        <v>270</v>
      </c>
      <c r="C115" s="119" t="s">
        <v>280</v>
      </c>
      <c r="D115" t="s">
        <v>318</v>
      </c>
      <c r="F115" t="str">
        <f ca="1">'EUR 3m'!R4</f>
        <v>EUR_TRADER_3M_QL#0000</v>
      </c>
      <c r="J115" s="115"/>
      <c r="K115" s="115"/>
    </row>
    <row r="116" spans="2:12" customFormat="1">
      <c r="B116" s="120" t="s">
        <v>269</v>
      </c>
      <c r="C116" s="121" t="s">
        <v>251</v>
      </c>
      <c r="D116" s="116" t="e">
        <f ca="1">[2]!McyCreateRateCurve($F$4,D115)</f>
        <v>#VALUE!</v>
      </c>
      <c r="E116" s="116" t="s">
        <v>444</v>
      </c>
      <c r="F116" s="127" t="s">
        <v>734</v>
      </c>
      <c r="G116" s="116" t="s">
        <v>444</v>
      </c>
      <c r="H116" s="127" t="s">
        <v>734</v>
      </c>
      <c r="I116" s="127" t="s">
        <v>735</v>
      </c>
      <c r="J116" s="127" t="s">
        <v>736</v>
      </c>
      <c r="K116" s="127" t="s">
        <v>738</v>
      </c>
    </row>
    <row r="117" spans="2:12" customFormat="1">
      <c r="B117" s="120" t="s">
        <v>271</v>
      </c>
      <c r="C117" s="121" t="s">
        <v>272</v>
      </c>
      <c r="D117" s="233">
        <f ca="1">'EUR 3m'!Q18</f>
        <v>43705</v>
      </c>
      <c r="E117" s="252">
        <v>1</v>
      </c>
      <c r="F117" s="236">
        <f t="array" aca="1" ref="F117:F154" ca="1">_xll.qlYieldTSDiscount(F115,D117:D154)</f>
        <v>1</v>
      </c>
      <c r="G117" s="229" t="e">
        <f t="array" aca="1" ref="G117:G154" ca="1">_xll.qlYieldTSZeroRate(C119,D117:D154,"Actual/365","compounded","annual")</f>
        <v>#VALUE!</v>
      </c>
      <c r="H117" s="248">
        <f t="array" aca="1" ref="H117:H154" ca="1">_xll.qlYieldTSZeroRate(F115,D117:D154,"Actual/365","compounded","annual")</f>
        <v>-2.5684599072595127E-3</v>
      </c>
      <c r="I117" s="206" t="e">
        <f t="array" aca="1" ref="I117:I154" ca="1">[2]!McyForward(D116,C120,D117:D154)</f>
        <v>#VALUE!</v>
      </c>
      <c r="J117" s="206">
        <f ca="1">_xll.qlYieldTSForwardRate2($F$115,D117,"3m","Actual/360","simple","annual")</f>
        <v>-2.5861323198771583E-3</v>
      </c>
      <c r="K117" s="206" t="e">
        <f t="shared" ref="K117:K153" ca="1" si="7">J117-I117</f>
        <v>#VALUE!</v>
      </c>
    </row>
    <row r="118" spans="2:12" customFormat="1">
      <c r="B118" s="122" t="s">
        <v>273</v>
      </c>
      <c r="C118" s="123" t="s">
        <v>274</v>
      </c>
      <c r="D118" s="210">
        <f ca="1">'EUR 3m'!Q19</f>
        <v>43706</v>
      </c>
      <c r="E118" s="253" t="e">
        <f t="array" aca="1" ref="E118:E154" ca="1">[2]!McyDF(D116,D118:D154)</f>
        <v>#VALUE!</v>
      </c>
      <c r="F118" s="237">
        <f ca="1"/>
        <v>1.0000070459537536</v>
      </c>
      <c r="G118" s="231" t="e">
        <f ca="1"/>
        <v>#VALUE!</v>
      </c>
      <c r="H118" s="208">
        <f ca="1"/>
        <v>-2.5684599077294701E-3</v>
      </c>
      <c r="I118" s="246" t="e">
        <f ca="1"/>
        <v>#VALUE!</v>
      </c>
      <c r="J118" s="246">
        <f ca="1">_xll.qlYieldTSForwardRate2($F$115,D118,"3m","Actual/360","simple","annual")</f>
        <v>-2.5880935705055817E-3</v>
      </c>
      <c r="K118" s="246" t="e">
        <f t="shared" ca="1" si="7"/>
        <v>#VALUE!</v>
      </c>
      <c r="L118" s="13" t="s">
        <v>206</v>
      </c>
    </row>
    <row r="119" spans="2:12" customFormat="1">
      <c r="B119" s="124" t="s">
        <v>328</v>
      </c>
      <c r="C119" s="125" t="e">
        <f ca="1">_xll.qlInterpolatedYieldCurve(,D117:D154,E117:E154,C116,C115,,,C117,C118)</f>
        <v>#NUM!</v>
      </c>
      <c r="D119" s="210">
        <f ca="1">'EUR 3m'!Q20</f>
        <v>43710</v>
      </c>
      <c r="E119" s="253" t="e">
        <f ca="1"/>
        <v>#VALUE!</v>
      </c>
      <c r="F119" s="237">
        <f ca="1"/>
        <v>1.0000352305631115</v>
      </c>
      <c r="G119" s="231" t="e">
        <f ca="1"/>
        <v>#VALUE!</v>
      </c>
      <c r="H119" s="208">
        <f ca="1"/>
        <v>-2.5684815967405017E-3</v>
      </c>
      <c r="I119" s="246" t="e">
        <f ca="1"/>
        <v>#VALUE!</v>
      </c>
      <c r="J119" s="246">
        <f ca="1">_xll.qlYieldTSForwardRate2($F$115,D119,"3m","Actual/360","simple","annual")</f>
        <v>-2.5931633511866816E-3</v>
      </c>
      <c r="K119" s="246" t="e">
        <f t="shared" ca="1" si="7"/>
        <v>#VALUE!</v>
      </c>
      <c r="L119" s="16" t="s">
        <v>276</v>
      </c>
    </row>
    <row r="120" spans="2:12" customFormat="1">
      <c r="B120" s="211" t="s">
        <v>446</v>
      </c>
      <c r="C120" s="232" t="e">
        <f ca="1">[2]!McyCreateIndex(B120)</f>
        <v>#VALUE!</v>
      </c>
      <c r="D120" s="210">
        <f ca="1">'EUR 3m'!Q21</f>
        <v>43714</v>
      </c>
      <c r="E120" s="253" t="e">
        <f ca="1"/>
        <v>#VALUE!</v>
      </c>
      <c r="F120" s="237">
        <f ca="1"/>
        <v>1.0000634161406161</v>
      </c>
      <c r="G120" s="231" t="e">
        <f ca="1"/>
        <v>#VALUE!</v>
      </c>
      <c r="H120" s="208">
        <f ca="1"/>
        <v>-2.5684910358300117E-3</v>
      </c>
      <c r="I120" s="246" t="e">
        <f ca="1"/>
        <v>#VALUE!</v>
      </c>
      <c r="J120" s="246">
        <f ca="1">_xll.qlYieldTSForwardRate2($F$115,D120,"3m","Actual/360","simple","annual")</f>
        <v>-2.5991428605336873E-3</v>
      </c>
      <c r="K120" s="246" t="e">
        <f t="shared" ca="1" si="7"/>
        <v>#VALUE!</v>
      </c>
      <c r="L120" s="16">
        <f t="shared" ref="L120:L154" ca="1" si="8">F119</f>
        <v>1.0000352305631115</v>
      </c>
    </row>
    <row r="121" spans="2:12" customFormat="1">
      <c r="D121" s="210">
        <f ca="1">'EUR 3m'!Q22</f>
        <v>43738</v>
      </c>
      <c r="E121" s="253" t="e">
        <f ca="1"/>
        <v>#VALUE!</v>
      </c>
      <c r="F121" s="237">
        <f ca="1"/>
        <v>1.0002325612377034</v>
      </c>
      <c r="G121" s="231" t="e">
        <f ca="1"/>
        <v>#VALUE!</v>
      </c>
      <c r="H121" s="208">
        <f ca="1"/>
        <v>-2.5686644976895545E-3</v>
      </c>
      <c r="I121" s="246" t="e">
        <f ca="1"/>
        <v>#VALUE!</v>
      </c>
      <c r="J121" s="246">
        <f ca="1">_xll.qlYieldTSForwardRate2($F$115,D121,"3m","Actual/360","simple","annual")</f>
        <v>-2.6349606413123739E-3</v>
      </c>
      <c r="K121" s="246" t="e">
        <f t="shared" ca="1" si="7"/>
        <v>#VALUE!</v>
      </c>
      <c r="L121" s="16">
        <f t="shared" ca="1" si="8"/>
        <v>1.0000634161406161</v>
      </c>
    </row>
    <row r="122" spans="2:12" customFormat="1">
      <c r="D122" s="210">
        <f ca="1">'EUR 3m'!Q23</f>
        <v>43769</v>
      </c>
      <c r="E122" s="253" t="e">
        <f ca="1"/>
        <v>#VALUE!</v>
      </c>
      <c r="F122" s="237">
        <f ca="1"/>
        <v>1.0004498910108395</v>
      </c>
      <c r="G122" s="231" t="e">
        <f ca="1"/>
        <v>#VALUE!</v>
      </c>
      <c r="H122" s="208">
        <f ca="1"/>
        <v>-2.5619203487837749E-3</v>
      </c>
      <c r="I122" s="246" t="e">
        <f ca="1"/>
        <v>#VALUE!</v>
      </c>
      <c r="J122" s="246">
        <f ca="1">_xll.qlYieldTSForwardRate2($F$115,D122,"3m","Actual/360","simple","annual")</f>
        <v>-2.6804601575801334E-3</v>
      </c>
      <c r="K122" s="246" t="e">
        <f t="shared" ca="1" si="7"/>
        <v>#VALUE!</v>
      </c>
      <c r="L122" s="16">
        <f t="shared" ca="1" si="8"/>
        <v>1.0002325612377034</v>
      </c>
    </row>
    <row r="123" spans="2:12" customFormat="1">
      <c r="D123" s="210">
        <f ca="1">'EUR 3m'!Q24</f>
        <v>43798</v>
      </c>
      <c r="E123" s="253" t="e">
        <f ca="1"/>
        <v>#VALUE!</v>
      </c>
      <c r="F123" s="237">
        <f ca="1"/>
        <v>1.0006688900490028</v>
      </c>
      <c r="G123" s="231" t="e">
        <f ca="1"/>
        <v>#VALUE!</v>
      </c>
      <c r="H123" s="208">
        <f ca="1"/>
        <v>-2.6208954754419755E-3</v>
      </c>
      <c r="I123" s="246" t="e">
        <f ca="1"/>
        <v>#VALUE!</v>
      </c>
      <c r="J123" s="246">
        <f ca="1">_xll.qlYieldTSForwardRate2($F$115,D123,"3m","Actual/360","simple","annual")</f>
        <v>-2.7217411331332433E-3</v>
      </c>
      <c r="K123" s="246" t="e">
        <f t="shared" ca="1" si="7"/>
        <v>#VALUE!</v>
      </c>
      <c r="L123" s="16">
        <f t="shared" ca="1" si="8"/>
        <v>1.0004498910108395</v>
      </c>
    </row>
    <row r="124" spans="2:12" customFormat="1">
      <c r="D124" s="210">
        <f ca="1">'EUR 3m'!Q25</f>
        <v>43830</v>
      </c>
      <c r="E124" s="253" t="e">
        <f ca="1"/>
        <v>#VALUE!</v>
      </c>
      <c r="F124" s="237">
        <f ca="1"/>
        <v>1.000906650537239</v>
      </c>
      <c r="G124" s="231" t="e">
        <f ca="1"/>
        <v>#VALUE!</v>
      </c>
      <c r="H124" s="208">
        <f ca="1"/>
        <v>-2.642721997228481E-3</v>
      </c>
      <c r="I124" s="246" t="e">
        <f ca="1"/>
        <v>#VALUE!</v>
      </c>
      <c r="J124" s="246">
        <f ca="1">_xll.qlYieldTSForwardRate2($F$115,D124,"3m","Actual/360","simple","annual")</f>
        <v>-2.7729194743476436E-3</v>
      </c>
      <c r="K124" s="246" t="e">
        <f t="shared" ca="1" si="7"/>
        <v>#VALUE!</v>
      </c>
      <c r="L124" s="16">
        <f t="shared" ca="1" si="8"/>
        <v>1.0006688900490028</v>
      </c>
    </row>
    <row r="125" spans="2:12" customFormat="1">
      <c r="D125" s="210">
        <f ca="1">'EUR 3m'!Q26</f>
        <v>43861</v>
      </c>
      <c r="E125" s="253" t="e">
        <f ca="1"/>
        <v>#VALUE!</v>
      </c>
      <c r="F125" s="237">
        <f ca="1"/>
        <v>1.0011356754405958</v>
      </c>
      <c r="G125" s="231" t="e">
        <f ca="1"/>
        <v>#VALUE!</v>
      </c>
      <c r="H125" s="208">
        <f ca="1"/>
        <v>-2.6535508252659712E-3</v>
      </c>
      <c r="I125" s="246" t="e">
        <f ca="1"/>
        <v>#VALUE!</v>
      </c>
      <c r="J125" s="246">
        <f ca="1">_xll.qlYieldTSForwardRate2($F$115,D125,"3m","Actual/360","simple","annual")</f>
        <v>-2.782154202707332E-3</v>
      </c>
      <c r="K125" s="246" t="e">
        <f t="shared" ca="1" si="7"/>
        <v>#VALUE!</v>
      </c>
      <c r="L125" s="16">
        <f t="shared" ca="1" si="8"/>
        <v>1.000906650537239</v>
      </c>
    </row>
    <row r="126" spans="2:12" customFormat="1">
      <c r="D126" s="210">
        <f ca="1">'EUR 3m'!Q27</f>
        <v>43889</v>
      </c>
      <c r="E126" s="253" t="e">
        <f ca="1"/>
        <v>#VALUE!</v>
      </c>
      <c r="F126" s="237">
        <f ca="1"/>
        <v>1.0013575479475687</v>
      </c>
      <c r="G126" s="231" t="e">
        <f ca="1"/>
        <v>#VALUE!</v>
      </c>
      <c r="H126" s="208">
        <f ca="1"/>
        <v>-2.6898313424617015E-3</v>
      </c>
      <c r="I126" s="246" t="e">
        <f ca="1"/>
        <v>#VALUE!</v>
      </c>
      <c r="J126" s="246">
        <f ca="1">_xll.qlYieldTSForwardRate2($F$115,D126,"3m","Actual/360","simple","annual")</f>
        <v>-2.8467808660654903E-3</v>
      </c>
      <c r="K126" s="246" t="e">
        <f t="shared" ca="1" si="7"/>
        <v>#VALUE!</v>
      </c>
      <c r="L126" s="16">
        <f t="shared" ca="1" si="8"/>
        <v>1.0011356754405958</v>
      </c>
    </row>
    <row r="127" spans="2:12" customFormat="1">
      <c r="D127" s="210">
        <f ca="1">'EUR 3m'!Q28</f>
        <v>43921</v>
      </c>
      <c r="E127" s="253" t="e">
        <f ca="1"/>
        <v>#VALUE!</v>
      </c>
      <c r="F127" s="237">
        <f ca="1"/>
        <v>1.0016087105573097</v>
      </c>
      <c r="G127" s="231" t="e">
        <f ca="1"/>
        <v>#VALUE!</v>
      </c>
      <c r="H127" s="208">
        <f ca="1"/>
        <v>-2.7156404375870968E-3</v>
      </c>
      <c r="I127" s="246" t="e">
        <f ca="1"/>
        <v>#VALUE!</v>
      </c>
      <c r="J127" s="246">
        <f ca="1">_xll.qlYieldTSForwardRate2($F$115,D127,"3m","Actual/360","simple","annual")</f>
        <v>-2.9086243273354719E-3</v>
      </c>
      <c r="K127" s="246" t="e">
        <f t="shared" ca="1" si="7"/>
        <v>#VALUE!</v>
      </c>
      <c r="L127" s="16">
        <f t="shared" ca="1" si="8"/>
        <v>1.0013575479475687</v>
      </c>
    </row>
    <row r="128" spans="2:12" customFormat="1">
      <c r="D128" s="210">
        <f ca="1">'EUR 3m'!Q29</f>
        <v>43951</v>
      </c>
      <c r="E128" s="253" t="e">
        <f ca="1"/>
        <v>#VALUE!</v>
      </c>
      <c r="F128" s="237">
        <f ca="1"/>
        <v>1.0018324885577081</v>
      </c>
      <c r="G128" s="231" t="e">
        <f ca="1"/>
        <v>#VALUE!</v>
      </c>
      <c r="H128" s="208">
        <f ca="1"/>
        <v>-2.7163773707388206E-3</v>
      </c>
      <c r="I128" s="246" t="e">
        <f ca="1"/>
        <v>#VALUE!</v>
      </c>
      <c r="J128" s="246">
        <f ca="1">_xll.qlYieldTSForwardRate2($F$115,D128,"3m","Actual/360","simple","annual")</f>
        <v>-3.0190360373375368E-3</v>
      </c>
      <c r="K128" s="246" t="e">
        <f t="shared" ca="1" si="7"/>
        <v>#VALUE!</v>
      </c>
      <c r="L128" s="16">
        <f t="shared" ca="1" si="8"/>
        <v>1.0016087105573097</v>
      </c>
    </row>
    <row r="129" spans="4:12" customFormat="1">
      <c r="D129" s="210">
        <f ca="1">'EUR 3m'!Q30</f>
        <v>43980</v>
      </c>
      <c r="E129" s="253" t="e">
        <f ca="1"/>
        <v>#VALUE!</v>
      </c>
      <c r="F129" s="237">
        <f ca="1"/>
        <v>1.0020792260855103</v>
      </c>
      <c r="G129" s="231" t="e">
        <f ca="1"/>
        <v>#VALUE!</v>
      </c>
      <c r="H129" s="208">
        <f ca="1"/>
        <v>-2.757114394319693E-3</v>
      </c>
      <c r="I129" s="246" t="e">
        <f ca="1"/>
        <v>#VALUE!</v>
      </c>
      <c r="J129" s="246">
        <f ca="1">_xll.qlYieldTSForwardRate2($F$115,D129,"3m","Actual/360","simple","annual")</f>
        <v>-3.0068387326150866E-3</v>
      </c>
      <c r="K129" s="246" t="e">
        <f t="shared" ca="1" si="7"/>
        <v>#VALUE!</v>
      </c>
      <c r="L129" s="16">
        <f t="shared" ca="1" si="8"/>
        <v>1.0018324885577081</v>
      </c>
    </row>
    <row r="130" spans="4:12" customFormat="1">
      <c r="D130" s="210">
        <f ca="1">'EUR 3m'!Q31</f>
        <v>44012</v>
      </c>
      <c r="E130" s="253" t="e">
        <f ca="1"/>
        <v>#VALUE!</v>
      </c>
      <c r="F130" s="237">
        <f ca="1"/>
        <v>1.0023456707718068</v>
      </c>
      <c r="G130" s="231" t="e">
        <f ca="1"/>
        <v>#VALUE!</v>
      </c>
      <c r="H130" s="208">
        <f ca="1"/>
        <v>-2.7861668993950373E-3</v>
      </c>
      <c r="I130" s="246" t="e">
        <f ca="1"/>
        <v>#VALUE!</v>
      </c>
      <c r="J130" s="246">
        <f ca="1">_xll.qlYieldTSForwardRate2($F$115,D130,"3m","Actual/360","simple","annual")</f>
        <v>-3.0361962965258266E-3</v>
      </c>
      <c r="K130" s="246" t="e">
        <f t="shared" ca="1" si="7"/>
        <v>#VALUE!</v>
      </c>
      <c r="L130" s="16">
        <f t="shared" ca="1" si="8"/>
        <v>1.0020792260855103</v>
      </c>
    </row>
    <row r="131" spans="4:12" customFormat="1">
      <c r="D131" s="210">
        <f ca="1">'EUR 3m'!Q32</f>
        <v>44043</v>
      </c>
      <c r="E131" s="253" t="e">
        <f ca="1"/>
        <v>#VALUE!</v>
      </c>
      <c r="F131" s="237">
        <f ca="1"/>
        <v>1.0026060154059824</v>
      </c>
      <c r="G131" s="231" t="e">
        <f ca="1"/>
        <v>#VALUE!</v>
      </c>
      <c r="H131" s="208">
        <f ca="1"/>
        <v>-2.8113930014148636E-3</v>
      </c>
      <c r="I131" s="246" t="e">
        <f ca="1"/>
        <v>#VALUE!</v>
      </c>
      <c r="J131" s="246">
        <f ca="1">_xll.qlYieldTSForwardRate2($F$115,D131,"3m","Actual/360","simple","annual")</f>
        <v>-3.0624393544786484E-3</v>
      </c>
      <c r="K131" s="246" t="e">
        <f t="shared" ca="1" si="7"/>
        <v>#VALUE!</v>
      </c>
      <c r="L131" s="16">
        <f t="shared" ca="1" si="8"/>
        <v>1.0023456707718068</v>
      </c>
    </row>
    <row r="132" spans="4:12" customFormat="1">
      <c r="D132" s="210">
        <f ca="1">'EUR 3m'!Q33</f>
        <v>44071</v>
      </c>
      <c r="E132" s="253" t="e">
        <f ca="1"/>
        <v>#VALUE!</v>
      </c>
      <c r="F132" s="237">
        <f ca="1"/>
        <v>1.0028412633208581</v>
      </c>
      <c r="G132" s="231" t="e">
        <f ca="1"/>
        <v>#VALUE!</v>
      </c>
      <c r="H132" s="208">
        <f ca="1"/>
        <v>-2.8305474728951285E-3</v>
      </c>
      <c r="I132" s="246" t="e">
        <f ca="1"/>
        <v>#VALUE!</v>
      </c>
      <c r="J132" s="246">
        <f ca="1">_xll.qlYieldTSForwardRate2($F$115,D132,"3m","Actual/360","simple","annual")</f>
        <v>-3.0572013996196684E-3</v>
      </c>
      <c r="K132" s="246" t="e">
        <f t="shared" ca="1" si="7"/>
        <v>#VALUE!</v>
      </c>
      <c r="L132" s="47">
        <f t="shared" ca="1" si="8"/>
        <v>1.0026060154059824</v>
      </c>
    </row>
    <row r="133" spans="4:12" customFormat="1">
      <c r="D133" s="210">
        <f ca="1">'EUR 3m'!Q34</f>
        <v>44104</v>
      </c>
      <c r="E133" s="253" t="e">
        <f ca="1"/>
        <v>#VALUE!</v>
      </c>
      <c r="F133" s="237">
        <f ca="1"/>
        <v>1.0031240115763045</v>
      </c>
      <c r="G133" s="231" t="e">
        <f ca="1"/>
        <v>#VALUE!</v>
      </c>
      <c r="H133" s="208">
        <f ca="1"/>
        <v>-2.8546123893654629E-3</v>
      </c>
      <c r="I133" s="246" t="e">
        <f ca="1"/>
        <v>#VALUE!</v>
      </c>
      <c r="J133" s="246">
        <f ca="1">_xll.qlYieldTSForwardRate2($F$115,D133,"3m","Actual/360","simple","annual")</f>
        <v>-3.040636433659683E-3</v>
      </c>
      <c r="K133" s="246" t="e">
        <f t="shared" ca="1" si="7"/>
        <v>#VALUE!</v>
      </c>
      <c r="L133" s="19">
        <f t="shared" ca="1" si="8"/>
        <v>1.0028412633208581</v>
      </c>
    </row>
    <row r="134" spans="4:12" customFormat="1">
      <c r="D134" s="210">
        <f ca="1">'EUR 3m'!Q35</f>
        <v>44134</v>
      </c>
      <c r="E134" s="253" t="e">
        <f ca="1"/>
        <v>#VALUE!</v>
      </c>
      <c r="F134" s="237">
        <f ca="1"/>
        <v>1.0033829336374578</v>
      </c>
      <c r="G134" s="231" t="e">
        <f ca="1"/>
        <v>#VALUE!</v>
      </c>
      <c r="H134" s="208">
        <f ca="1"/>
        <v>-2.8748115332554169E-3</v>
      </c>
      <c r="I134" s="246" t="e">
        <f ca="1"/>
        <v>#VALUE!</v>
      </c>
      <c r="J134" s="246">
        <f ca="1">_xll.qlYieldTSForwardRate2($F$115,D134,"3m","Actual/360","simple","annual")</f>
        <v>-3.0188944633596543E-3</v>
      </c>
      <c r="K134" s="246" t="e">
        <f t="shared" ca="1" si="7"/>
        <v>#VALUE!</v>
      </c>
      <c r="L134" s="19">
        <f t="shared" ca="1" si="8"/>
        <v>1.0031240115763045</v>
      </c>
    </row>
    <row r="135" spans="4:12" customFormat="1">
      <c r="D135" s="210">
        <f ca="1">'EUR 3m'!Q36</f>
        <v>44165</v>
      </c>
      <c r="E135" s="253" t="e">
        <f ca="1"/>
        <v>#VALUE!</v>
      </c>
      <c r="F135" s="237">
        <f ca="1"/>
        <v>1.0036421032156047</v>
      </c>
      <c r="G135" s="231" t="e">
        <f ca="1"/>
        <v>#VALUE!</v>
      </c>
      <c r="H135" s="208">
        <f ca="1"/>
        <v>-2.8862406638661131E-3</v>
      </c>
      <c r="I135" s="246" t="e">
        <f ca="1"/>
        <v>#VALUE!</v>
      </c>
      <c r="J135" s="246">
        <f ca="1">_xll.qlYieldTSForwardRate2($F$115,D135,"3m","Actual/360","simple","annual")</f>
        <v>-3.0302143271225823E-3</v>
      </c>
      <c r="K135" s="246" t="e">
        <f t="shared" ca="1" si="7"/>
        <v>#VALUE!</v>
      </c>
      <c r="L135" s="19">
        <f t="shared" ca="1" si="8"/>
        <v>1.0033829336374578</v>
      </c>
    </row>
    <row r="136" spans="4:12" customFormat="1">
      <c r="D136" s="210">
        <f ca="1">'EUR 3m'!Q37</f>
        <v>44253</v>
      </c>
      <c r="E136" s="253" t="e">
        <f ca="1"/>
        <v>#VALUE!</v>
      </c>
      <c r="F136" s="237">
        <f ca="1"/>
        <v>1.0043859078809949</v>
      </c>
      <c r="G136" s="231" t="e">
        <f ca="1"/>
        <v>#VALUE!</v>
      </c>
      <c r="H136" s="208">
        <f ca="1"/>
        <v>-2.9159524001617365E-3</v>
      </c>
      <c r="I136" s="246" t="e">
        <f ca="1"/>
        <v>#VALUE!</v>
      </c>
      <c r="J136" s="246">
        <f ca="1">_xll.qlYieldTSForwardRate2($F$115,D136,"3m","Actual/360","simple","annual")</f>
        <v>-3.0605822792057237E-3</v>
      </c>
      <c r="K136" s="246" t="e">
        <f t="shared" ca="1" si="7"/>
        <v>#VALUE!</v>
      </c>
      <c r="L136" s="19">
        <f t="shared" ca="1" si="8"/>
        <v>1.0036421032156047</v>
      </c>
    </row>
    <row r="137" spans="4:12" customFormat="1">
      <c r="D137" s="210">
        <f ca="1">'EUR 3m'!Q38</f>
        <v>44347</v>
      </c>
      <c r="E137" s="253" t="e">
        <f ca="1"/>
        <v>#VALUE!</v>
      </c>
      <c r="F137" s="237">
        <f ca="1"/>
        <v>1.005189189794756</v>
      </c>
      <c r="G137" s="231" t="e">
        <f ca="1"/>
        <v>#VALUE!</v>
      </c>
      <c r="H137" s="208">
        <f ca="1"/>
        <v>-2.9428639238644472E-3</v>
      </c>
      <c r="I137" s="246" t="e">
        <f ca="1"/>
        <v>#VALUE!</v>
      </c>
      <c r="J137" s="246">
        <f ca="1">_xll.qlYieldTSForwardRate2($F$115,D137,"3m","Actual/360","simple","annual")</f>
        <v>-3.1096260211991591E-3</v>
      </c>
      <c r="K137" s="246" t="e">
        <f t="shared" ca="1" si="7"/>
        <v>#VALUE!</v>
      </c>
      <c r="L137" s="19">
        <f t="shared" ca="1" si="8"/>
        <v>1.0043859078809949</v>
      </c>
    </row>
    <row r="138" spans="4:12" customFormat="1">
      <c r="D138" s="210">
        <f ca="1">'EUR 3m'!Q39</f>
        <v>44438</v>
      </c>
      <c r="E138" s="253" t="e">
        <f ca="1"/>
        <v>#VALUE!</v>
      </c>
      <c r="F138" s="237">
        <f ca="1"/>
        <v>1.0059362946878818</v>
      </c>
      <c r="G138" s="231" t="e">
        <f ca="1"/>
        <v>#VALUE!</v>
      </c>
      <c r="H138" s="208">
        <f ca="1"/>
        <v>-2.9469356752978015E-3</v>
      </c>
      <c r="I138" s="246" t="e">
        <f ca="1"/>
        <v>#VALUE!</v>
      </c>
      <c r="J138" s="246">
        <f ca="1">_xll.qlYieldTSForwardRate2($F$115,D138,"3m","Actual/360","simple","annual")</f>
        <v>-1.8684668143060756E-2</v>
      </c>
      <c r="K138" s="246" t="e">
        <f t="shared" ca="1" si="7"/>
        <v>#VALUE!</v>
      </c>
      <c r="L138" s="19">
        <f t="shared" ca="1" si="8"/>
        <v>1.005189189794756</v>
      </c>
    </row>
    <row r="139" spans="4:12" customFormat="1">
      <c r="D139" s="210">
        <f ca="1">'EUR 3m'!Q40</f>
        <v>44530</v>
      </c>
      <c r="E139" s="253" t="e">
        <f ca="1"/>
        <v>#VALUE!</v>
      </c>
      <c r="F139" s="237">
        <f ca="1"/>
        <v>1.0107626568069734</v>
      </c>
      <c r="G139" s="231" t="e">
        <f ca="1"/>
        <v>#VALUE!</v>
      </c>
      <c r="H139" s="208">
        <f ca="1"/>
        <v>-4.7307410761162627E-3</v>
      </c>
      <c r="I139" s="246" t="e">
        <f ca="1"/>
        <v>#VALUE!</v>
      </c>
      <c r="J139" s="246">
        <f ca="1">_xll.qlYieldTSForwardRate2($F$115,D139,"3m","Actual/360","simple","annual")</f>
        <v>-2.2536614008323852E-3</v>
      </c>
      <c r="K139" s="246" t="e">
        <f t="shared" ca="1" si="7"/>
        <v>#VALUE!</v>
      </c>
      <c r="L139" s="19">
        <f t="shared" ca="1" si="8"/>
        <v>1.0059362946878818</v>
      </c>
    </row>
    <row r="140" spans="4:12" customFormat="1">
      <c r="D140" s="210">
        <f ca="1">'EUR 3m'!Q41</f>
        <v>44803</v>
      </c>
      <c r="E140" s="253" t="e">
        <f ca="1"/>
        <v>#VALUE!</v>
      </c>
      <c r="F140" s="237">
        <f ca="1"/>
        <v>1.0124920416236194</v>
      </c>
      <c r="G140" s="231" t="e">
        <f ca="1"/>
        <v>#VALUE!</v>
      </c>
      <c r="H140" s="208">
        <f ca="1"/>
        <v>-4.1221558302418915E-3</v>
      </c>
      <c r="I140" s="246" t="e">
        <f ca="1"/>
        <v>#VALUE!</v>
      </c>
      <c r="J140" s="246">
        <f ca="1">_xll.qlYieldTSForwardRate2($F$115,D140,"3m","Actual/360","simple","annual")</f>
        <v>5.6518773568487617E-4</v>
      </c>
      <c r="K140" s="246" t="e">
        <f t="shared" ca="1" si="7"/>
        <v>#VALUE!</v>
      </c>
      <c r="L140" s="19">
        <f t="shared" ca="1" si="8"/>
        <v>1.0107626568069734</v>
      </c>
    </row>
    <row r="141" spans="4:12" customFormat="1">
      <c r="D141" s="210">
        <f ca="1">'EUR 3m'!Q42</f>
        <v>45168</v>
      </c>
      <c r="E141" s="253" t="e">
        <f ca="1"/>
        <v>#VALUE!</v>
      </c>
      <c r="F141" s="237">
        <f ca="1"/>
        <v>1.0119120537272588</v>
      </c>
      <c r="G141" s="231" t="e">
        <f ca="1"/>
        <v>#VALUE!</v>
      </c>
      <c r="H141" s="208">
        <f ca="1"/>
        <v>-2.9520003508314296E-3</v>
      </c>
      <c r="I141" s="246" t="e">
        <f ca="1"/>
        <v>#VALUE!</v>
      </c>
      <c r="J141" s="246">
        <f ca="1">_xll.qlYieldTSForwardRate2($F$115,D141,"3m","Actual/360","simple","annual")</f>
        <v>3.8321987075086504E-3</v>
      </c>
      <c r="K141" s="246" t="e">
        <f t="shared" ca="1" si="7"/>
        <v>#VALUE!</v>
      </c>
      <c r="L141" s="19">
        <f t="shared" ca="1" si="8"/>
        <v>1.0124920416236194</v>
      </c>
    </row>
    <row r="142" spans="4:12" customFormat="1">
      <c r="D142" s="210">
        <f ca="1">'EUR 3m'!Q43</f>
        <v>45534</v>
      </c>
      <c r="E142" s="253" t="e">
        <f ca="1"/>
        <v>#VALUE!</v>
      </c>
      <c r="F142" s="237">
        <f ca="1"/>
        <v>1.0079791667350999</v>
      </c>
      <c r="G142" s="231" t="e">
        <f ca="1"/>
        <v>#VALUE!</v>
      </c>
      <c r="H142" s="208">
        <f ca="1"/>
        <v>-1.5862065552534332E-3</v>
      </c>
      <c r="I142" s="246" t="e">
        <f ca="1"/>
        <v>#VALUE!</v>
      </c>
      <c r="J142" s="246">
        <f ca="1">_xll.qlYieldTSForwardRate2($F$115,D142,"3m","Actual/360","simple","annual")</f>
        <v>6.9867756262628642E-3</v>
      </c>
      <c r="K142" s="246" t="e">
        <f t="shared" ca="1" si="7"/>
        <v>#VALUE!</v>
      </c>
      <c r="L142" s="19">
        <f t="shared" ca="1" si="8"/>
        <v>1.0119120537272588</v>
      </c>
    </row>
    <row r="143" spans="4:12" customFormat="1">
      <c r="D143" s="210">
        <f ca="1">'EUR 3m'!Q44</f>
        <v>45898</v>
      </c>
      <c r="E143" s="253" t="e">
        <f ca="1"/>
        <v>#VALUE!</v>
      </c>
      <c r="F143" s="237">
        <f ca="1"/>
        <v>1.000889789960574</v>
      </c>
      <c r="G143" s="231" t="e">
        <f ca="1"/>
        <v>#VALUE!</v>
      </c>
      <c r="H143" s="208">
        <f ca="1"/>
        <v>-1.4815375771071171E-4</v>
      </c>
      <c r="I143" s="246" t="e">
        <f ca="1"/>
        <v>#VALUE!</v>
      </c>
      <c r="J143" s="246">
        <f ca="1">_xll.qlYieldTSForwardRate2($F$115,D143,"3m","Actual/360","simple","annual")</f>
        <v>9.9190078882760921E-3</v>
      </c>
      <c r="K143" s="246" t="e">
        <f t="shared" ca="1" si="7"/>
        <v>#VALUE!</v>
      </c>
      <c r="L143" s="19">
        <f t="shared" ca="1" si="8"/>
        <v>1.0079791667350999</v>
      </c>
    </row>
    <row r="144" spans="4:12" customFormat="1">
      <c r="D144" s="210">
        <f ca="1">'EUR 3m'!Q45</f>
        <v>46265</v>
      </c>
      <c r="E144" s="253" t="e">
        <f ca="1"/>
        <v>#VALUE!</v>
      </c>
      <c r="F144" s="237">
        <f ca="1"/>
        <v>0.9908325906040425</v>
      </c>
      <c r="G144" s="231" t="e">
        <f ca="1"/>
        <v>#VALUE!</v>
      </c>
      <c r="H144" s="208">
        <f ca="1"/>
        <v>1.3149906492722074E-3</v>
      </c>
      <c r="I144" s="246" t="e">
        <f ca="1"/>
        <v>#VALUE!</v>
      </c>
      <c r="J144" s="246">
        <f ca="1">_xll.qlYieldTSForwardRate2($F$115,D144,"3m","Actual/360","simple","annual")</f>
        <v>1.2369962199614502E-2</v>
      </c>
      <c r="K144" s="246" t="e">
        <f t="shared" ca="1" si="7"/>
        <v>#VALUE!</v>
      </c>
      <c r="L144" s="19">
        <f t="shared" ca="1" si="8"/>
        <v>1.000889789960574</v>
      </c>
    </row>
    <row r="145" spans="2:12" customFormat="1">
      <c r="D145" s="210">
        <f ca="1">'EUR 3m'!Q46</f>
        <v>46629</v>
      </c>
      <c r="E145" s="253" t="e">
        <f ca="1"/>
        <v>#VALUE!</v>
      </c>
      <c r="F145" s="237">
        <f ca="1"/>
        <v>0.97853611805063767</v>
      </c>
      <c r="G145" s="231" t="e">
        <f ca="1"/>
        <v>#VALUE!</v>
      </c>
      <c r="H145" s="208">
        <f ca="1"/>
        <v>2.7140175443260972E-3</v>
      </c>
      <c r="I145" s="246" t="e">
        <f ca="1"/>
        <v>#VALUE!</v>
      </c>
      <c r="J145" s="246">
        <f ca="1">_xll.qlYieldTSForwardRate2($F$115,D145,"3m","Actual/360","simple","annual")</f>
        <v>1.418756274049256E-2</v>
      </c>
      <c r="K145" s="246" t="e">
        <f t="shared" ca="1" si="7"/>
        <v>#VALUE!</v>
      </c>
      <c r="L145" s="19">
        <f t="shared" ca="1" si="8"/>
        <v>0.9908325906040425</v>
      </c>
    </row>
    <row r="146" spans="2:12" customFormat="1">
      <c r="D146" s="210">
        <f ca="1">'EUR 3m'!Q47</f>
        <v>46995</v>
      </c>
      <c r="E146" s="253" t="e">
        <f ca="1"/>
        <v>#VALUE!</v>
      </c>
      <c r="F146" s="237">
        <f ca="1"/>
        <v>0.96454815769496194</v>
      </c>
      <c r="G146" s="231" t="e">
        <f ca="1"/>
        <v>#VALUE!</v>
      </c>
      <c r="H146" s="208">
        <f ca="1"/>
        <v>4.0158015065896446E-3</v>
      </c>
      <c r="I146" s="246" t="e">
        <f ca="1"/>
        <v>#VALUE!</v>
      </c>
      <c r="J146" s="246">
        <f ca="1">_xll.qlYieldTSForwardRate2($F$115,D146,"3m","Actual/360","simple","annual")</f>
        <v>1.5354899416355001E-2</v>
      </c>
      <c r="K146" s="246" t="e">
        <f t="shared" ca="1" si="7"/>
        <v>#VALUE!</v>
      </c>
      <c r="L146" s="19">
        <f t="shared" ca="1" si="8"/>
        <v>0.97853611805063767</v>
      </c>
    </row>
    <row r="147" spans="2:12" customFormat="1">
      <c r="D147" s="210">
        <f ca="1">'EUR 3m'!Q48</f>
        <v>47360</v>
      </c>
      <c r="E147" s="253" t="e">
        <f ca="1"/>
        <v>#VALUE!</v>
      </c>
      <c r="F147" s="237">
        <f ca="1"/>
        <v>0.94967713098087347</v>
      </c>
      <c r="G147" s="231" t="e">
        <f ca="1"/>
        <v>#VALUE!</v>
      </c>
      <c r="H147" s="208">
        <f ca="1"/>
        <v>5.173832042197235E-3</v>
      </c>
      <c r="I147" s="246" t="e">
        <f ca="1"/>
        <v>#VALUE!</v>
      </c>
      <c r="J147" s="246">
        <f ca="1">_xll.qlYieldTSForwardRate2($F$115,D147,"3m","Actual/360","simple","annual")</f>
        <v>1.6105380092504021E-2</v>
      </c>
      <c r="K147" s="246" t="e">
        <f t="shared" ca="1" si="7"/>
        <v>#VALUE!</v>
      </c>
      <c r="L147" s="19">
        <f t="shared" ca="1" si="8"/>
        <v>0.96454815769496194</v>
      </c>
    </row>
    <row r="148" spans="2:12" customFormat="1">
      <c r="D148" s="210">
        <f ca="1">'EUR 3m'!Q49</f>
        <v>48089</v>
      </c>
      <c r="E148" s="253" t="e">
        <f ca="1"/>
        <v>#VALUE!</v>
      </c>
      <c r="F148" s="237">
        <f ca="1"/>
        <v>0.91926607016084461</v>
      </c>
      <c r="G148" s="231" t="e">
        <f ca="1"/>
        <v>#VALUE!</v>
      </c>
      <c r="H148" s="208">
        <f ca="1"/>
        <v>7.038023156542339E-3</v>
      </c>
      <c r="I148" s="246" t="e">
        <f ca="1"/>
        <v>#VALUE!</v>
      </c>
      <c r="J148" s="246">
        <f ca="1">_xll.qlYieldTSForwardRate2($F$115,D148,"3m","Actual/360","simple","annual")</f>
        <v>1.6490788765269739E-2</v>
      </c>
      <c r="K148" s="246" t="e">
        <f t="shared" ca="1" si="7"/>
        <v>#VALUE!</v>
      </c>
      <c r="L148" s="19">
        <f t="shared" ca="1" si="8"/>
        <v>0.94967713098087347</v>
      </c>
    </row>
    <row r="149" spans="2:12" customFormat="1">
      <c r="D149" s="210">
        <f ca="1">'EUR 3m'!Q50</f>
        <v>49186</v>
      </c>
      <c r="E149" s="253" t="e">
        <f ca="1"/>
        <v>#VALUE!</v>
      </c>
      <c r="F149" s="237">
        <f ca="1"/>
        <v>0.87430570747970626</v>
      </c>
      <c r="G149" s="231" t="e">
        <f ca="1"/>
        <v>#VALUE!</v>
      </c>
      <c r="H149" s="208">
        <f ca="1"/>
        <v>8.9919289434430283E-3</v>
      </c>
      <c r="I149" s="246" t="e">
        <f ca="1"/>
        <v>#VALUE!</v>
      </c>
      <c r="J149" s="246">
        <f ca="1">_xll.qlYieldTSForwardRate2($F$115,D149,"3m","Actual/360","simple","annual")</f>
        <v>1.5177237657580028E-2</v>
      </c>
      <c r="K149" s="246" t="e">
        <f t="shared" ca="1" si="7"/>
        <v>#VALUE!</v>
      </c>
      <c r="L149" s="19">
        <f t="shared" ca="1" si="8"/>
        <v>0.91926607016084461</v>
      </c>
    </row>
    <row r="150" spans="2:12" customFormat="1">
      <c r="D150" s="210">
        <f ca="1">'EUR 3m'!Q51</f>
        <v>51012</v>
      </c>
      <c r="E150" s="253" t="e">
        <f ca="1"/>
        <v>#VALUE!</v>
      </c>
      <c r="F150" s="237">
        <f ca="1"/>
        <v>0.80964564777126047</v>
      </c>
      <c r="G150" s="231" t="e">
        <f ca="1"/>
        <v>#VALUE!</v>
      </c>
      <c r="H150" s="208">
        <f ca="1"/>
        <v>1.0610939075702541E-2</v>
      </c>
      <c r="I150" s="246" t="e">
        <f ca="1"/>
        <v>#VALUE!</v>
      </c>
      <c r="J150" s="246">
        <f ca="1">_xll.qlYieldTSForwardRate2($F$115,D150,"3m","Actual/360","simple","annual")</f>
        <v>1.2208259356481342E-2</v>
      </c>
      <c r="K150" s="246" t="e">
        <f t="shared" ca="1" si="7"/>
        <v>#VALUE!</v>
      </c>
      <c r="L150" s="19">
        <f t="shared" ca="1" si="8"/>
        <v>0.87430570747970626</v>
      </c>
    </row>
    <row r="151" spans="2:12" customFormat="1">
      <c r="D151" s="210">
        <f ca="1">'EUR 3m'!Q52</f>
        <v>52839</v>
      </c>
      <c r="E151" s="253" t="e">
        <f ca="1"/>
        <v>#VALUE!</v>
      </c>
      <c r="F151" s="237">
        <f ca="1"/>
        <v>0.76107827648692561</v>
      </c>
      <c r="G151" s="231" t="e">
        <f ca="1"/>
        <v>#VALUE!</v>
      </c>
      <c r="H151" s="208">
        <f ca="1"/>
        <v>1.0977782781333323E-2</v>
      </c>
      <c r="I151" s="246" t="e">
        <f ca="1"/>
        <v>#VALUE!</v>
      </c>
      <c r="J151" s="246">
        <f ca="1">_xll.qlYieldTSForwardRate2($F$115,D151,"3m","Actual/360","simple","annual")</f>
        <v>1.1388452012942923E-2</v>
      </c>
      <c r="K151" s="246" t="e">
        <f t="shared" ca="1" si="7"/>
        <v>#VALUE!</v>
      </c>
      <c r="L151" s="19">
        <f t="shared" ca="1" si="8"/>
        <v>0.80964564777126047</v>
      </c>
    </row>
    <row r="152" spans="2:12" customFormat="1">
      <c r="D152" s="210">
        <f ca="1">'EUR 3m'!Q53</f>
        <v>54665</v>
      </c>
      <c r="E152" s="253" t="e">
        <f ca="1"/>
        <v>#VALUE!</v>
      </c>
      <c r="F152" s="237">
        <f ca="1"/>
        <v>0.71842071339816782</v>
      </c>
      <c r="G152" s="231" t="e">
        <f ca="1"/>
        <v>#VALUE!</v>
      </c>
      <c r="H152" s="208">
        <f ca="1"/>
        <v>1.108227643139581E-2</v>
      </c>
      <c r="I152" s="246" t="e">
        <f ca="1"/>
        <v>#VALUE!</v>
      </c>
      <c r="J152" s="246">
        <f ca="1">_xll.qlYieldTSForwardRate2($F$115,D152,"3m","Actual/360","simple","annual")</f>
        <v>1.1604273912254942E-2</v>
      </c>
      <c r="K152" s="246" t="e">
        <f t="shared" ca="1" si="7"/>
        <v>#VALUE!</v>
      </c>
      <c r="L152" s="19">
        <f t="shared" ca="1" si="8"/>
        <v>0.76107827648692561</v>
      </c>
    </row>
    <row r="153" spans="2:12" customFormat="1">
      <c r="D153" s="210">
        <f ca="1">'EUR 3m'!Q54</f>
        <v>58316</v>
      </c>
      <c r="E153" s="253" t="e">
        <f ca="1"/>
        <v>#VALUE!</v>
      </c>
      <c r="F153" s="237">
        <f ca="1"/>
        <v>0.63876896327350008</v>
      </c>
      <c r="G153" s="231" t="e">
        <f ca="1"/>
        <v>#VALUE!</v>
      </c>
      <c r="H153" s="208">
        <f ca="1"/>
        <v>1.1267549809574007E-2</v>
      </c>
      <c r="I153" s="246" t="e">
        <f ca="1"/>
        <v>#VALUE!</v>
      </c>
      <c r="J153" s="246">
        <f ca="1">_xll.qlYieldTSForwardRate2($F$115,D153,"3m","Actual/360","simple","annual")</f>
        <v>8.7263036577776305E-3</v>
      </c>
      <c r="K153" s="246" t="e">
        <f t="shared" ca="1" si="7"/>
        <v>#VALUE!</v>
      </c>
      <c r="L153" s="19">
        <f t="shared" ca="1" si="8"/>
        <v>0.71842071339816782</v>
      </c>
    </row>
    <row r="154" spans="2:12" customFormat="1">
      <c r="D154" s="209">
        <f ca="1">'EUR 3m'!Q55</f>
        <v>61970</v>
      </c>
      <c r="E154" s="218" t="e">
        <f ca="1"/>
        <v>#VALUE!</v>
      </c>
      <c r="F154" s="217">
        <f ca="1"/>
        <v>0.58468278990063349</v>
      </c>
      <c r="G154" s="247" t="e">
        <f ca="1"/>
        <v>#VALUE!</v>
      </c>
      <c r="H154" s="230">
        <f ca="1"/>
        <v>1.0790340503076923E-2</v>
      </c>
      <c r="I154" s="207" t="e">
        <f ca="1"/>
        <v>#VALUE!</v>
      </c>
      <c r="J154" s="207"/>
      <c r="K154" s="207"/>
      <c r="L154" s="49">
        <f t="shared" ca="1" si="8"/>
        <v>0.63876896327350008</v>
      </c>
    </row>
    <row r="156" spans="2:12" customFormat="1">
      <c r="D156" s="115"/>
      <c r="E156" s="115"/>
      <c r="F156" s="115"/>
      <c r="G156" s="115"/>
      <c r="H156" s="115"/>
      <c r="I156" s="115"/>
    </row>
    <row r="157" spans="2:12" customFormat="1">
      <c r="B157" s="118" t="s">
        <v>270</v>
      </c>
      <c r="C157" s="119" t="s">
        <v>280</v>
      </c>
      <c r="D157" s="115" t="s">
        <v>303</v>
      </c>
      <c r="E157" s="115"/>
      <c r="F157" s="115" t="str">
        <f ca="1">'USD OIS'!R4</f>
        <v>USD_OIS_COL00_QL#0000</v>
      </c>
      <c r="G157" s="115"/>
      <c r="H157" s="115"/>
      <c r="I157" s="115"/>
    </row>
    <row r="158" spans="2:12" customFormat="1">
      <c r="B158" s="120" t="s">
        <v>269</v>
      </c>
      <c r="C158" s="121" t="s">
        <v>251</v>
      </c>
      <c r="D158" s="116" t="e">
        <f ca="1">[2]!McyCreateRateCurve($F$4,D157)</f>
        <v>#VALUE!</v>
      </c>
      <c r="E158" s="116" t="s">
        <v>444</v>
      </c>
      <c r="F158" s="127" t="s">
        <v>734</v>
      </c>
      <c r="G158" s="116" t="s">
        <v>444</v>
      </c>
      <c r="H158" s="127" t="s">
        <v>734</v>
      </c>
      <c r="I158" s="127" t="s">
        <v>738</v>
      </c>
    </row>
    <row r="159" spans="2:12" customFormat="1">
      <c r="B159" s="120" t="s">
        <v>271</v>
      </c>
      <c r="C159" s="121" t="s">
        <v>272</v>
      </c>
      <c r="D159" s="233">
        <f t="shared" ref="D159:D196" ca="1" si="9">D117</f>
        <v>43705</v>
      </c>
      <c r="E159" s="252">
        <v>1</v>
      </c>
      <c r="F159" s="236">
        <f t="array" aca="1" ref="F159:F196" ca="1">_xll.qlYieldTSDiscount(F157,D159:D196)</f>
        <v>1</v>
      </c>
      <c r="G159" s="204" t="e">
        <f t="array" aca="1" ref="G159:G196" ca="1">_xll.qlYieldTSZeroRate(C161,D159:D196,"Actual/365","compounded","annual")</f>
        <v>#VALUE!</v>
      </c>
      <c r="H159" s="203">
        <f t="array" aca="1" ref="H159:H196" ca="1">_xll.qlYieldTSZeroRate(F157,D159:D196,"Actual/365","compounded","annual")</f>
        <v>4.0128251477939969E-3</v>
      </c>
      <c r="I159" s="206" t="e">
        <f t="shared" ref="I159:I195" ca="1" si="10">H159-G159</f>
        <v>#VALUE!</v>
      </c>
    </row>
    <row r="160" spans="2:12" customFormat="1">
      <c r="B160" s="122" t="s">
        <v>273</v>
      </c>
      <c r="C160" s="123" t="s">
        <v>274</v>
      </c>
      <c r="D160" s="210">
        <f t="shared" ca="1" si="9"/>
        <v>43706</v>
      </c>
      <c r="E160" s="253" t="e">
        <f t="array" aca="1" ref="E160:E196" ca="1">[2]!McyDF(D158,D160:D196)</f>
        <v>#VALUE!</v>
      </c>
      <c r="F160" s="237">
        <f ca="1"/>
        <v>0.99998902801844125</v>
      </c>
      <c r="G160" s="244" t="e">
        <f ca="1"/>
        <v>#VALUE!</v>
      </c>
      <c r="H160" s="239">
        <f ca="1"/>
        <v>4.0128251474684795E-3</v>
      </c>
      <c r="I160" s="246" t="e">
        <f t="shared" ca="1" si="10"/>
        <v>#VALUE!</v>
      </c>
    </row>
    <row r="161" spans="2:9" customFormat="1">
      <c r="B161" s="124" t="s">
        <v>328</v>
      </c>
      <c r="C161" s="125" t="e">
        <f ca="1">_xll.qlInterpolatedYieldCurve(,D159:D196,E159:E196,C158,C157,,,C159,C160)</f>
        <v>#NUM!</v>
      </c>
      <c r="D161" s="210">
        <f t="shared" ca="1" si="9"/>
        <v>43710</v>
      </c>
      <c r="E161" s="253" t="e">
        <f ca="1"/>
        <v>#VALUE!</v>
      </c>
      <c r="F161" s="237">
        <f ca="1"/>
        <v>0.99994514147693125</v>
      </c>
      <c r="G161" s="244" t="e">
        <f ca="1"/>
        <v>#VALUE!</v>
      </c>
      <c r="H161" s="239">
        <f ca="1"/>
        <v>4.0128118884990016E-3</v>
      </c>
      <c r="I161" s="246" t="e">
        <f t="shared" ca="1" si="10"/>
        <v>#VALUE!</v>
      </c>
    </row>
    <row r="162" spans="2:9" customFormat="1">
      <c r="B162" s="211"/>
      <c r="C162" s="232"/>
      <c r="D162" s="210">
        <f t="shared" ca="1" si="9"/>
        <v>43714</v>
      </c>
      <c r="E162" s="253" t="e">
        <f ca="1"/>
        <v>#VALUE!</v>
      </c>
      <c r="F162" s="237">
        <f ca="1"/>
        <v>0.99990916526710594</v>
      </c>
      <c r="G162" s="244" t="e">
        <f ca="1"/>
        <v>#VALUE!</v>
      </c>
      <c r="H162" s="239">
        <f ca="1"/>
        <v>3.6908147213035036E-3</v>
      </c>
      <c r="I162" s="246" t="e">
        <f t="shared" ca="1" si="10"/>
        <v>#VALUE!</v>
      </c>
    </row>
    <row r="163" spans="2:9" customFormat="1">
      <c r="D163" s="210">
        <f t="shared" ca="1" si="9"/>
        <v>43738</v>
      </c>
      <c r="E163" s="253" t="e">
        <f ca="1"/>
        <v>#VALUE!</v>
      </c>
      <c r="F163" s="237">
        <f ca="1"/>
        <v>0.99963346772849959</v>
      </c>
      <c r="G163" s="244" t="e">
        <f ca="1"/>
        <v>#VALUE!</v>
      </c>
      <c r="H163" s="239">
        <f ca="1"/>
        <v>4.0630440922733158E-3</v>
      </c>
      <c r="I163" s="246" t="e">
        <f t="shared" ca="1" si="10"/>
        <v>#VALUE!</v>
      </c>
    </row>
    <row r="164" spans="2:9" customFormat="1">
      <c r="D164" s="210">
        <f t="shared" ca="1" si="9"/>
        <v>43769</v>
      </c>
      <c r="E164" s="253" t="e">
        <f ca="1"/>
        <v>#VALUE!</v>
      </c>
      <c r="F164" s="237">
        <f ca="1"/>
        <v>0.99924955229610446</v>
      </c>
      <c r="G164" s="244" t="e">
        <f ca="1"/>
        <v>#VALUE!</v>
      </c>
      <c r="H164" s="239">
        <f ca="1"/>
        <v>4.2906825168782525E-3</v>
      </c>
      <c r="I164" s="246" t="e">
        <f t="shared" ca="1" si="10"/>
        <v>#VALUE!</v>
      </c>
    </row>
    <row r="165" spans="2:9" customFormat="1">
      <c r="D165" s="210">
        <f t="shared" ca="1" si="9"/>
        <v>43798</v>
      </c>
      <c r="E165" s="253" t="e">
        <f ca="1"/>
        <v>#VALUE!</v>
      </c>
      <c r="F165" s="237">
        <f ca="1"/>
        <v>0.99882080880014457</v>
      </c>
      <c r="G165" s="244" t="e">
        <f ca="1"/>
        <v>#VALUE!</v>
      </c>
      <c r="H165" s="239">
        <f ca="1"/>
        <v>4.6414777153014342E-3</v>
      </c>
      <c r="I165" s="246" t="e">
        <f t="shared" ca="1" si="10"/>
        <v>#VALUE!</v>
      </c>
    </row>
    <row r="166" spans="2:9" customFormat="1">
      <c r="D166" s="210">
        <f t="shared" ca="1" si="9"/>
        <v>43830</v>
      </c>
      <c r="E166" s="253" t="e">
        <f ca="1"/>
        <v>#VALUE!</v>
      </c>
      <c r="F166" s="237">
        <f ca="1"/>
        <v>0.99834703166184824</v>
      </c>
      <c r="G166" s="244" t="e">
        <f ca="1"/>
        <v>#VALUE!</v>
      </c>
      <c r="H166" s="239">
        <f ca="1"/>
        <v>4.8423475667351834E-3</v>
      </c>
      <c r="I166" s="246" t="e">
        <f t="shared" ca="1" si="10"/>
        <v>#VALUE!</v>
      </c>
    </row>
    <row r="167" spans="2:9" customFormat="1">
      <c r="D167" s="210">
        <f t="shared" ca="1" si="9"/>
        <v>43861</v>
      </c>
      <c r="E167" s="253" t="e">
        <f ca="1"/>
        <v>#VALUE!</v>
      </c>
      <c r="F167" s="237">
        <f ca="1"/>
        <v>0.99784789990067668</v>
      </c>
      <c r="G167" s="244" t="e">
        <f ca="1"/>
        <v>#VALUE!</v>
      </c>
      <c r="H167" s="239">
        <f ca="1"/>
        <v>5.0561780222964092E-3</v>
      </c>
      <c r="I167" s="246" t="e">
        <f t="shared" ca="1" si="10"/>
        <v>#VALUE!</v>
      </c>
    </row>
    <row r="168" spans="2:9" customFormat="1">
      <c r="D168" s="210">
        <f t="shared" ca="1" si="9"/>
        <v>43889</v>
      </c>
      <c r="E168" s="253" t="e">
        <f ca="1"/>
        <v>#VALUE!</v>
      </c>
      <c r="F168" s="237">
        <f ca="1"/>
        <v>0.99739502583585615</v>
      </c>
      <c r="G168" s="244" t="e">
        <f ca="1"/>
        <v>#VALUE!</v>
      </c>
      <c r="H168" s="239">
        <f ca="1"/>
        <v>5.1921108730399457E-3</v>
      </c>
      <c r="I168" s="246" t="e">
        <f t="shared" ca="1" si="10"/>
        <v>#VALUE!</v>
      </c>
    </row>
    <row r="169" spans="2:9" customFormat="1">
      <c r="D169" s="210">
        <f t="shared" ca="1" si="9"/>
        <v>43921</v>
      </c>
      <c r="E169" s="253" t="e">
        <f ca="1"/>
        <v>#VALUE!</v>
      </c>
      <c r="F169" s="237">
        <f ca="1"/>
        <v>0.99683736488390418</v>
      </c>
      <c r="G169" s="244" t="e">
        <f ca="1"/>
        <v>#VALUE!</v>
      </c>
      <c r="H169" s="239">
        <f ca="1"/>
        <v>5.3732214486978958E-3</v>
      </c>
      <c r="I169" s="246" t="e">
        <f t="shared" ca="1" si="10"/>
        <v>#VALUE!</v>
      </c>
    </row>
    <row r="170" spans="2:9" customFormat="1">
      <c r="D170" s="210">
        <f t="shared" ca="1" si="9"/>
        <v>43951</v>
      </c>
      <c r="E170" s="253" t="e">
        <f ca="1"/>
        <v>#VALUE!</v>
      </c>
      <c r="F170" s="237">
        <f ca="1"/>
        <v>0.99626125584706704</v>
      </c>
      <c r="G170" s="244" t="e">
        <f ca="1"/>
        <v>#VALUE!</v>
      </c>
      <c r="H170" s="239">
        <f ca="1"/>
        <v>5.5806509286937533E-3</v>
      </c>
      <c r="I170" s="246" t="e">
        <f t="shared" ca="1" si="10"/>
        <v>#VALUE!</v>
      </c>
    </row>
    <row r="171" spans="2:9" customFormat="1">
      <c r="D171" s="210">
        <f t="shared" ca="1" si="9"/>
        <v>43980</v>
      </c>
      <c r="E171" s="253" t="e">
        <f ca="1"/>
        <v>#VALUE!</v>
      </c>
      <c r="F171" s="237">
        <f ca="1"/>
        <v>0.9957059412462157</v>
      </c>
      <c r="G171" s="244" t="e">
        <f ca="1"/>
        <v>#VALUE!</v>
      </c>
      <c r="H171" s="239">
        <f ca="1"/>
        <v>5.7365180797936954E-3</v>
      </c>
      <c r="I171" s="246" t="e">
        <f t="shared" ca="1" si="10"/>
        <v>#VALUE!</v>
      </c>
    </row>
    <row r="172" spans="2:9" customFormat="1">
      <c r="D172" s="210">
        <f t="shared" ca="1" si="9"/>
        <v>44012</v>
      </c>
      <c r="E172" s="253" t="e">
        <f ca="1"/>
        <v>#VALUE!</v>
      </c>
      <c r="F172" s="237">
        <f ca="1"/>
        <v>0.99507283752354747</v>
      </c>
      <c r="G172" s="244" t="e">
        <f ca="1"/>
        <v>#VALUE!</v>
      </c>
      <c r="H172" s="239">
        <f ca="1"/>
        <v>5.8993142521521769E-3</v>
      </c>
      <c r="I172" s="246" t="e">
        <f t="shared" ca="1" si="10"/>
        <v>#VALUE!</v>
      </c>
    </row>
    <row r="173" spans="2:9" customFormat="1">
      <c r="D173" s="210">
        <f t="shared" ca="1" si="9"/>
        <v>44043</v>
      </c>
      <c r="E173" s="253" t="e">
        <f ca="1"/>
        <v>#VALUE!</v>
      </c>
      <c r="F173" s="237">
        <f ca="1"/>
        <v>0.99441052908892003</v>
      </c>
      <c r="G173" s="244" t="e">
        <f ca="1"/>
        <v>#VALUE!</v>
      </c>
      <c r="H173" s="239">
        <f ca="1"/>
        <v>6.0817088512519213E-3</v>
      </c>
      <c r="I173" s="246" t="e">
        <f t="shared" ca="1" si="10"/>
        <v>#VALUE!</v>
      </c>
    </row>
    <row r="174" spans="2:9" customFormat="1">
      <c r="D174" s="210">
        <f t="shared" ca="1" si="9"/>
        <v>44071</v>
      </c>
      <c r="E174" s="253" t="e">
        <f ca="1"/>
        <v>#VALUE!</v>
      </c>
      <c r="F174" s="237">
        <f ca="1"/>
        <v>0.99380643267715263</v>
      </c>
      <c r="G174" s="244" t="e">
        <f ca="1"/>
        <v>#VALUE!</v>
      </c>
      <c r="H174" s="239">
        <f ca="1"/>
        <v>6.2262758791695738E-3</v>
      </c>
      <c r="I174" s="246" t="e">
        <f t="shared" ca="1" si="10"/>
        <v>#VALUE!</v>
      </c>
    </row>
    <row r="175" spans="2:9" customFormat="1">
      <c r="D175" s="210">
        <f t="shared" ca="1" si="9"/>
        <v>44104</v>
      </c>
      <c r="E175" s="253" t="e">
        <f ca="1"/>
        <v>#VALUE!</v>
      </c>
      <c r="F175" s="237">
        <f ca="1"/>
        <v>0.99306666274351763</v>
      </c>
      <c r="G175" s="244" t="e">
        <f ca="1"/>
        <v>#VALUE!</v>
      </c>
      <c r="H175" s="239">
        <f ca="1"/>
        <v>6.3969100277425639E-3</v>
      </c>
      <c r="I175" s="246" t="e">
        <f t="shared" ca="1" si="10"/>
        <v>#VALUE!</v>
      </c>
    </row>
    <row r="176" spans="2:9" customFormat="1">
      <c r="D176" s="210">
        <f t="shared" ca="1" si="9"/>
        <v>44134</v>
      </c>
      <c r="E176" s="253" t="e">
        <f ca="1"/>
        <v>#VALUE!</v>
      </c>
      <c r="F176" s="237">
        <f ca="1"/>
        <v>0.99239462248708998</v>
      </c>
      <c r="G176" s="244" t="e">
        <f ca="1"/>
        <v>#VALUE!</v>
      </c>
      <c r="H176" s="239">
        <f ca="1"/>
        <v>6.5292900777302876E-3</v>
      </c>
      <c r="I176" s="246" t="e">
        <f t="shared" ca="1" si="10"/>
        <v>#VALUE!</v>
      </c>
    </row>
    <row r="177" spans="4:9" customFormat="1">
      <c r="D177" s="210">
        <f t="shared" ca="1" si="9"/>
        <v>44165</v>
      </c>
      <c r="E177" s="253" t="e">
        <f ca="1"/>
        <v>#VALUE!</v>
      </c>
      <c r="F177" s="237">
        <f ca="1"/>
        <v>0.99170065866874446</v>
      </c>
      <c r="G177" s="244" t="e">
        <f ca="1"/>
        <v>#VALUE!</v>
      </c>
      <c r="H177" s="239">
        <f ca="1"/>
        <v>6.6479712955687109E-3</v>
      </c>
      <c r="I177" s="246" t="e">
        <f t="shared" ca="1" si="10"/>
        <v>#VALUE!</v>
      </c>
    </row>
    <row r="178" spans="4:9" customFormat="1">
      <c r="D178" s="210">
        <f t="shared" ca="1" si="9"/>
        <v>44253</v>
      </c>
      <c r="E178" s="253" t="e">
        <f ca="1"/>
        <v>#VALUE!</v>
      </c>
      <c r="F178" s="237">
        <f ca="1"/>
        <v>0.98957856045233072</v>
      </c>
      <c r="G178" s="244" t="e">
        <f ca="1"/>
        <v>#VALUE!</v>
      </c>
      <c r="H178" s="239">
        <f ca="1"/>
        <v>7.0149563281258764E-3</v>
      </c>
      <c r="I178" s="246" t="e">
        <f t="shared" ca="1" si="10"/>
        <v>#VALUE!</v>
      </c>
    </row>
    <row r="179" spans="4:9" customFormat="1">
      <c r="D179" s="210">
        <f t="shared" ca="1" si="9"/>
        <v>44347</v>
      </c>
      <c r="E179" s="253" t="e">
        <f ca="1"/>
        <v>#VALUE!</v>
      </c>
      <c r="F179" s="237">
        <f ca="1"/>
        <v>0.98716815220854548</v>
      </c>
      <c r="G179" s="244" t="e">
        <f ca="1"/>
        <v>#VALUE!</v>
      </c>
      <c r="H179" s="239">
        <f ca="1"/>
        <v>7.3811381582200575E-3</v>
      </c>
      <c r="I179" s="246" t="e">
        <f t="shared" ca="1" si="10"/>
        <v>#VALUE!</v>
      </c>
    </row>
    <row r="180" spans="4:9" customFormat="1">
      <c r="D180" s="210">
        <f t="shared" ca="1" si="9"/>
        <v>44438</v>
      </c>
      <c r="E180" s="253" t="e">
        <f ca="1"/>
        <v>#VALUE!</v>
      </c>
      <c r="F180" s="237">
        <f ca="1"/>
        <v>0.98473198932821282</v>
      </c>
      <c r="G180" s="244" t="e">
        <f ca="1"/>
        <v>#VALUE!</v>
      </c>
      <c r="H180" s="239">
        <f ca="1"/>
        <v>7.701368791833918E-3</v>
      </c>
      <c r="I180" s="246" t="e">
        <f t="shared" ca="1" si="10"/>
        <v>#VALUE!</v>
      </c>
    </row>
    <row r="181" spans="4:9" customFormat="1">
      <c r="D181" s="210">
        <f t="shared" ca="1" si="9"/>
        <v>44530</v>
      </c>
      <c r="E181" s="253" t="e">
        <f ca="1"/>
        <v>#VALUE!</v>
      </c>
      <c r="F181" s="237">
        <f ca="1"/>
        <v>0.98199275930191476</v>
      </c>
      <c r="G181" s="244" t="e">
        <f ca="1"/>
        <v>#VALUE!</v>
      </c>
      <c r="H181" s="239">
        <f ca="1"/>
        <v>8.081681642590155E-3</v>
      </c>
      <c r="I181" s="246" t="e">
        <f t="shared" ca="1" si="10"/>
        <v>#VALUE!</v>
      </c>
    </row>
    <row r="182" spans="4:9" customFormat="1">
      <c r="D182" s="210">
        <f t="shared" ca="1" si="9"/>
        <v>44803</v>
      </c>
      <c r="E182" s="253" t="e">
        <f ca="1"/>
        <v>#VALUE!</v>
      </c>
      <c r="F182" s="237">
        <f ca="1"/>
        <v>0.97390605390290907</v>
      </c>
      <c r="G182" s="244" t="e">
        <f ca="1"/>
        <v>#VALUE!</v>
      </c>
      <c r="H182" s="239">
        <f ca="1"/>
        <v>8.8362205718033326E-3</v>
      </c>
      <c r="I182" s="246" t="e">
        <f t="shared" ca="1" si="10"/>
        <v>#VALUE!</v>
      </c>
    </row>
    <row r="183" spans="4:9" customFormat="1">
      <c r="D183" s="210">
        <f t="shared" ca="1" si="9"/>
        <v>45168</v>
      </c>
      <c r="E183" s="253" t="e">
        <f ca="1"/>
        <v>#VALUE!</v>
      </c>
      <c r="F183" s="237">
        <f ca="1"/>
        <v>0.96207166089038854</v>
      </c>
      <c r="G183" s="244" t="e">
        <f ca="1"/>
        <v>#VALUE!</v>
      </c>
      <c r="H183" s="239">
        <f ca="1"/>
        <v>9.7001050792024923E-3</v>
      </c>
      <c r="I183" s="246" t="e">
        <f t="shared" ca="1" si="10"/>
        <v>#VALUE!</v>
      </c>
    </row>
    <row r="184" spans="4:9" customFormat="1">
      <c r="D184" s="210">
        <f t="shared" ca="1" si="9"/>
        <v>45534</v>
      </c>
      <c r="E184" s="253" t="e">
        <f ca="1"/>
        <v>#VALUE!</v>
      </c>
      <c r="F184" s="237">
        <f ca="1"/>
        <v>0.94874730585865741</v>
      </c>
      <c r="G184" s="244" t="e">
        <f ca="1"/>
        <v>#VALUE!</v>
      </c>
      <c r="H184" s="239">
        <f ca="1"/>
        <v>1.0564504680935061E-2</v>
      </c>
      <c r="I184" s="246" t="e">
        <f t="shared" ca="1" si="10"/>
        <v>#VALUE!</v>
      </c>
    </row>
    <row r="185" spans="4:9" customFormat="1">
      <c r="D185" s="210">
        <f t="shared" ca="1" si="9"/>
        <v>45898</v>
      </c>
      <c r="E185" s="253" t="e">
        <f ca="1"/>
        <v>#VALUE!</v>
      </c>
      <c r="F185" s="237">
        <f ca="1"/>
        <v>0.93491650612225197</v>
      </c>
      <c r="G185" s="244" t="e">
        <f ca="1"/>
        <v>#VALUE!</v>
      </c>
      <c r="H185" s="239">
        <f ca="1"/>
        <v>1.127430398752538E-2</v>
      </c>
      <c r="I185" s="246" t="e">
        <f t="shared" ca="1" si="10"/>
        <v>#VALUE!</v>
      </c>
    </row>
    <row r="186" spans="4:9" customFormat="1">
      <c r="D186" s="210">
        <f t="shared" ca="1" si="9"/>
        <v>46265</v>
      </c>
      <c r="E186" s="253" t="e">
        <f ca="1"/>
        <v>#VALUE!</v>
      </c>
      <c r="F186" s="237">
        <f ca="1"/>
        <v>0.91909533909844876</v>
      </c>
      <c r="G186" s="244" t="e">
        <f ca="1"/>
        <v>#VALUE!</v>
      </c>
      <c r="H186" s="239">
        <f ca="1"/>
        <v>1.2110817277724673E-2</v>
      </c>
      <c r="I186" s="246" t="e">
        <f t="shared" ca="1" si="10"/>
        <v>#VALUE!</v>
      </c>
    </row>
    <row r="187" spans="4:9" customFormat="1">
      <c r="D187" s="210">
        <f t="shared" ca="1" si="9"/>
        <v>46629</v>
      </c>
      <c r="E187" s="253" t="e">
        <f ca="1"/>
        <v>#VALUE!</v>
      </c>
      <c r="F187" s="237">
        <f ca="1"/>
        <v>0.90346950404573878</v>
      </c>
      <c r="G187" s="244" t="e">
        <f ca="1"/>
        <v>#VALUE!</v>
      </c>
      <c r="H187" s="239">
        <f ca="1"/>
        <v>1.2761167660487738E-2</v>
      </c>
      <c r="I187" s="246" t="e">
        <f t="shared" ca="1" si="10"/>
        <v>#VALUE!</v>
      </c>
    </row>
    <row r="188" spans="4:9" customFormat="1">
      <c r="D188" s="210">
        <f t="shared" ca="1" si="9"/>
        <v>46995</v>
      </c>
      <c r="E188" s="253" t="e">
        <f ca="1"/>
        <v>#VALUE!</v>
      </c>
      <c r="F188" s="237">
        <f ca="1"/>
        <v>0.88664982357615274</v>
      </c>
      <c r="G188" s="244" t="e">
        <f ca="1"/>
        <v>#VALUE!</v>
      </c>
      <c r="H188" s="239">
        <f ca="1"/>
        <v>1.3447343057694017E-2</v>
      </c>
      <c r="I188" s="246" t="e">
        <f t="shared" ca="1" si="10"/>
        <v>#VALUE!</v>
      </c>
    </row>
    <row r="189" spans="4:9" customFormat="1">
      <c r="D189" s="210">
        <f t="shared" ca="1" si="9"/>
        <v>47360</v>
      </c>
      <c r="E189" s="253" t="e">
        <f ca="1"/>
        <v>#VALUE!</v>
      </c>
      <c r="F189" s="237">
        <f ca="1"/>
        <v>0.86931407975091735</v>
      </c>
      <c r="G189" s="244" t="e">
        <f ca="1"/>
        <v>#VALUE!</v>
      </c>
      <c r="H189" s="239">
        <f ca="1"/>
        <v>1.4095831842859008E-2</v>
      </c>
      <c r="I189" s="246" t="e">
        <f t="shared" ca="1" si="10"/>
        <v>#VALUE!</v>
      </c>
    </row>
    <row r="190" spans="4:9" customFormat="1">
      <c r="D190" s="210">
        <f t="shared" ca="1" si="9"/>
        <v>48089</v>
      </c>
      <c r="E190" s="253" t="e">
        <f ca="1"/>
        <v>#VALUE!</v>
      </c>
      <c r="F190" s="237">
        <f ca="1"/>
        <v>0.83453103667289941</v>
      </c>
      <c r="G190" s="244" t="e">
        <f ca="1"/>
        <v>#VALUE!</v>
      </c>
      <c r="H190" s="239">
        <f ca="1"/>
        <v>1.51844681526494E-2</v>
      </c>
      <c r="I190" s="246" t="e">
        <f t="shared" ca="1" si="10"/>
        <v>#VALUE!</v>
      </c>
    </row>
    <row r="191" spans="4:9" customFormat="1">
      <c r="D191" s="210">
        <f t="shared" ca="1" si="9"/>
        <v>49186</v>
      </c>
      <c r="E191" s="253" t="e">
        <f ca="1"/>
        <v>#VALUE!</v>
      </c>
      <c r="F191" s="237">
        <f ca="1"/>
        <v>0.78297942439031987</v>
      </c>
      <c r="G191" s="244" t="e">
        <f ca="1"/>
        <v>#VALUE!</v>
      </c>
      <c r="H191" s="239">
        <f ca="1"/>
        <v>1.6437603259479738E-2</v>
      </c>
      <c r="I191" s="246" t="e">
        <f t="shared" ca="1" si="10"/>
        <v>#VALUE!</v>
      </c>
    </row>
    <row r="192" spans="4:9" customFormat="1">
      <c r="D192" s="210">
        <f t="shared" ca="1" si="9"/>
        <v>51012</v>
      </c>
      <c r="E192" s="253" t="e">
        <f ca="1"/>
        <v>#VALUE!</v>
      </c>
      <c r="F192" s="237">
        <f ca="1"/>
        <v>0.70284534142841437</v>
      </c>
      <c r="G192" s="244" t="e">
        <f ca="1"/>
        <v>#VALUE!</v>
      </c>
      <c r="H192" s="239">
        <f ca="1"/>
        <v>1.7782347662347098E-2</v>
      </c>
      <c r="I192" s="246" t="e">
        <f t="shared" ca="1" si="10"/>
        <v>#VALUE!</v>
      </c>
    </row>
    <row r="193" spans="2:12" customFormat="1">
      <c r="D193" s="210">
        <f t="shared" ca="1" si="9"/>
        <v>52839</v>
      </c>
      <c r="E193" s="253" t="e">
        <f ca="1"/>
        <v>#VALUE!</v>
      </c>
      <c r="F193" s="237">
        <f ca="1"/>
        <v>0.63309772711866219</v>
      </c>
      <c r="G193" s="244" t="e">
        <f ca="1"/>
        <v>#VALUE!</v>
      </c>
      <c r="H193" s="239">
        <f ca="1"/>
        <v>1.8448645626555571E-2</v>
      </c>
      <c r="I193" s="246" t="e">
        <f t="shared" ca="1" si="10"/>
        <v>#VALUE!</v>
      </c>
    </row>
    <row r="194" spans="2:12" customFormat="1">
      <c r="D194" s="210">
        <f t="shared" ca="1" si="9"/>
        <v>54665</v>
      </c>
      <c r="E194" s="253" t="e">
        <f ca="1"/>
        <v>#VALUE!</v>
      </c>
      <c r="F194" s="237">
        <f ca="1"/>
        <v>0.57178388534699642</v>
      </c>
      <c r="G194" s="244" t="e">
        <f ca="1"/>
        <v>#VALUE!</v>
      </c>
      <c r="H194" s="239">
        <f ca="1"/>
        <v>1.8804352912828337E-2</v>
      </c>
      <c r="I194" s="246" t="e">
        <f t="shared" ca="1" si="10"/>
        <v>#VALUE!</v>
      </c>
    </row>
    <row r="195" spans="2:12" customFormat="1">
      <c r="D195" s="210">
        <f t="shared" ca="1" si="9"/>
        <v>58316</v>
      </c>
      <c r="E195" s="253" t="e">
        <f ca="1"/>
        <v>#VALUE!</v>
      </c>
      <c r="F195" s="237">
        <f ca="1"/>
        <v>0.47234396174164761</v>
      </c>
      <c r="G195" s="244" t="e">
        <f ca="1"/>
        <v>#VALUE!</v>
      </c>
      <c r="H195" s="239">
        <f ca="1"/>
        <v>1.8926794792159196E-2</v>
      </c>
      <c r="I195" s="246" t="e">
        <f t="shared" ca="1" si="10"/>
        <v>#VALUE!</v>
      </c>
    </row>
    <row r="196" spans="2:12" customFormat="1">
      <c r="D196" s="209">
        <f t="shared" ca="1" si="9"/>
        <v>61970</v>
      </c>
      <c r="E196" s="218" t="e">
        <f ca="1"/>
        <v>#VALUE!</v>
      </c>
      <c r="F196" s="217">
        <f ca="1"/>
        <v>0.39741839139625318</v>
      </c>
      <c r="G196" s="202" t="e">
        <f ca="1"/>
        <v>#VALUE!</v>
      </c>
      <c r="H196" s="243">
        <f ca="1"/>
        <v>1.8624605258295013E-2</v>
      </c>
      <c r="I196" s="207"/>
    </row>
    <row r="198" spans="2:12" customFormat="1">
      <c r="G198" s="115"/>
      <c r="K198" s="115"/>
      <c r="L198" s="115"/>
    </row>
    <row r="199" spans="2:12" customFormat="1">
      <c r="B199" s="118" t="s">
        <v>270</v>
      </c>
      <c r="C199" s="119" t="s">
        <v>280</v>
      </c>
      <c r="D199" s="139" t="s">
        <v>304</v>
      </c>
      <c r="F199" t="str">
        <f ca="1">'USD 3m'!R4</f>
        <v>USD_DEPOSWAP_3M_QL#0000</v>
      </c>
      <c r="G199" s="115"/>
      <c r="K199" s="115"/>
      <c r="L199" s="115"/>
    </row>
    <row r="200" spans="2:12" customFormat="1">
      <c r="B200" s="120" t="s">
        <v>269</v>
      </c>
      <c r="C200" s="121" t="s">
        <v>251</v>
      </c>
      <c r="D200" s="116" t="e">
        <f ca="1">[2]!McyCreateRateCurve($F$4,D199)</f>
        <v>#VALUE!</v>
      </c>
      <c r="E200" s="116" t="s">
        <v>444</v>
      </c>
      <c r="F200" s="127" t="s">
        <v>734</v>
      </c>
      <c r="G200" s="116" t="s">
        <v>444</v>
      </c>
      <c r="H200" s="127" t="s">
        <v>734</v>
      </c>
      <c r="I200" s="140" t="s">
        <v>735</v>
      </c>
      <c r="J200" s="140" t="s">
        <v>736</v>
      </c>
      <c r="K200" s="127" t="s">
        <v>738</v>
      </c>
      <c r="L200" s="136"/>
    </row>
    <row r="201" spans="2:12" customFormat="1">
      <c r="B201" s="120" t="s">
        <v>271</v>
      </c>
      <c r="C201" s="121" t="s">
        <v>272</v>
      </c>
      <c r="D201" s="233">
        <f t="shared" ref="D201:D238" ca="1" si="11">D117</f>
        <v>43705</v>
      </c>
      <c r="E201" s="252">
        <v>1</v>
      </c>
      <c r="F201" s="236">
        <f t="array" aca="1" ref="F201:F238" ca="1">_xll.qlYieldTSDiscount(F199,D201:D238)</f>
        <v>1</v>
      </c>
      <c r="G201" s="229" t="e">
        <f t="array" aca="1" ref="G201:G238" ca="1">_xll.qlYieldTSZeroRate(C203,D201:D238,"Actual/365","compounded","annual")</f>
        <v>#VALUE!</v>
      </c>
      <c r="H201" s="59">
        <f t="array" aca="1" ref="H201:H238" ca="1">_xll.qlYieldTSZeroRate(F199,D201:D238,"Actual/365","compounded","annual")</f>
        <v>4.5191122475223278E-3</v>
      </c>
      <c r="I201" s="204" t="e">
        <f t="array" aca="1" ref="I201:I238" ca="1">[2]!McyForward(D200,C204,D201:D238)</f>
        <v>#VALUE!</v>
      </c>
      <c r="J201" s="203">
        <f ca="1">_xll.qlYieldTSForwardRate2($F$199,D201,"3m","Actual/360","simple","annual")</f>
        <v>6.7568276582812671E-3</v>
      </c>
      <c r="K201" s="203" t="e">
        <f t="shared" ref="K201:K237" ca="1" si="12">I201-J201</f>
        <v>#VALUE!</v>
      </c>
      <c r="L201" s="245"/>
    </row>
    <row r="202" spans="2:12" customFormat="1">
      <c r="B202" s="122" t="s">
        <v>273</v>
      </c>
      <c r="C202" s="123" t="s">
        <v>274</v>
      </c>
      <c r="D202" s="210">
        <f t="shared" ca="1" si="11"/>
        <v>43706</v>
      </c>
      <c r="E202" s="253" t="e">
        <f t="array" aca="1" ref="E202:E238" ca="1">[2]!McyDF(D200,D202:D238)</f>
        <v>#VALUE!</v>
      </c>
      <c r="F202" s="237">
        <f ca="1"/>
        <v>0.99998764683871355</v>
      </c>
      <c r="G202" s="231" t="e">
        <f ca="1"/>
        <v>#VALUE!</v>
      </c>
      <c r="H202" s="66">
        <f ca="1"/>
        <v>4.5191122473702272E-3</v>
      </c>
      <c r="I202" s="244" t="e">
        <f ca="1"/>
        <v>#VALUE!</v>
      </c>
      <c r="J202" s="239">
        <f ca="1">_xll.qlYieldTSForwardRate2($F$199,D202,"3m","Actual/360","simple","annual")</f>
        <v>6.7873676564273143E-3</v>
      </c>
      <c r="K202" s="239" t="e">
        <f t="shared" ca="1" si="12"/>
        <v>#VALUE!</v>
      </c>
      <c r="L202" s="245"/>
    </row>
    <row r="203" spans="2:12" customFormat="1">
      <c r="B203" s="124" t="s">
        <v>328</v>
      </c>
      <c r="C203" s="125" t="e">
        <f ca="1">_xll.qlInterpolatedYieldCurve(,D201:D238,E201:E238,C200,C199,,,C201,C202)</f>
        <v>#NUM!</v>
      </c>
      <c r="D203" s="210">
        <f t="shared" ca="1" si="11"/>
        <v>43710</v>
      </c>
      <c r="E203" s="253" t="e">
        <f ca="1"/>
        <v>#VALUE!</v>
      </c>
      <c r="F203" s="237">
        <f ca="1"/>
        <v>0.99993823602404386</v>
      </c>
      <c r="G203" s="231" t="e">
        <f ca="1"/>
        <v>#VALUE!</v>
      </c>
      <c r="H203" s="66">
        <f ca="1"/>
        <v>4.5190899178364496E-3</v>
      </c>
      <c r="I203" s="244" t="e">
        <f ca="1"/>
        <v>#VALUE!</v>
      </c>
      <c r="J203" s="239">
        <f ca="1">_xll.qlYieldTSForwardRate2($F$199,D203,"3m","Actual/360","simple","annual")</f>
        <v>6.9242398032388743E-3</v>
      </c>
      <c r="K203" s="239" t="e">
        <f t="shared" ca="1" si="12"/>
        <v>#VALUE!</v>
      </c>
      <c r="L203" s="245"/>
    </row>
    <row r="204" spans="2:12" customFormat="1">
      <c r="B204" s="211" t="s">
        <v>441</v>
      </c>
      <c r="C204" s="232" t="e">
        <f ca="1">[2]!McyCreateIndex(B204)</f>
        <v>#VALUE!</v>
      </c>
      <c r="D204" s="210">
        <f t="shared" ca="1" si="11"/>
        <v>43714</v>
      </c>
      <c r="E204" s="253" t="e">
        <f ca="1"/>
        <v>#VALUE!</v>
      </c>
      <c r="F204" s="237">
        <f ca="1"/>
        <v>0.99989776712997036</v>
      </c>
      <c r="G204" s="231" t="e">
        <f ca="1"/>
        <v>#VALUE!</v>
      </c>
      <c r="H204" s="66">
        <f ca="1"/>
        <v>4.1549306781896167E-3</v>
      </c>
      <c r="I204" s="244" t="e">
        <f ca="1"/>
        <v>#VALUE!</v>
      </c>
      <c r="J204" s="239">
        <f ca="1">_xll.qlYieldTSForwardRate2($F$199,D204,"3m","Actual/360","simple","annual")</f>
        <v>7.1079965347631037E-3</v>
      </c>
      <c r="K204" s="239" t="e">
        <f t="shared" ca="1" si="12"/>
        <v>#VALUE!</v>
      </c>
      <c r="L204" s="245"/>
    </row>
    <row r="205" spans="2:12" customFormat="1">
      <c r="D205" s="210">
        <f t="shared" ca="1" si="11"/>
        <v>43738</v>
      </c>
      <c r="E205" s="253" t="e">
        <f ca="1"/>
        <v>#VALUE!</v>
      </c>
      <c r="F205" s="237">
        <f ca="1"/>
        <v>0.99945248217837113</v>
      </c>
      <c r="G205" s="231" t="e">
        <f ca="1"/>
        <v>#VALUE!</v>
      </c>
      <c r="H205" s="66">
        <f ca="1"/>
        <v>6.0759213738386109E-3</v>
      </c>
      <c r="I205" s="244" t="e">
        <f ca="1"/>
        <v>#VALUE!</v>
      </c>
      <c r="J205" s="239">
        <f ca="1">_xll.qlYieldTSForwardRate2($F$199,D205,"3m","Actual/360","simple","annual")</f>
        <v>7.4076535279513477E-3</v>
      </c>
      <c r="K205" s="239" t="e">
        <f t="shared" ca="1" si="12"/>
        <v>#VALUE!</v>
      </c>
      <c r="L205" s="245"/>
    </row>
    <row r="206" spans="2:12" customFormat="1">
      <c r="D206" s="210">
        <f t="shared" ca="1" si="11"/>
        <v>43769</v>
      </c>
      <c r="E206" s="253" t="e">
        <f ca="1"/>
        <v>#VALUE!</v>
      </c>
      <c r="F206" s="237">
        <f ca="1"/>
        <v>0.99883946196943874</v>
      </c>
      <c r="G206" s="231" t="e">
        <f ca="1"/>
        <v>#VALUE!</v>
      </c>
      <c r="H206" s="66">
        <f ca="1"/>
        <v>6.6445145396192284E-3</v>
      </c>
      <c r="I206" s="244" t="e">
        <f ca="1"/>
        <v>#VALUE!</v>
      </c>
      <c r="J206" s="239">
        <f ca="1">_xll.qlYieldTSForwardRate2($F$199,D206,"3m","Actual/360","simple","annual")</f>
        <v>7.8459056459261236E-3</v>
      </c>
      <c r="K206" s="239" t="e">
        <f t="shared" ca="1" si="12"/>
        <v>#VALUE!</v>
      </c>
      <c r="L206" s="245"/>
    </row>
    <row r="207" spans="2:12" customFormat="1">
      <c r="D207" s="210">
        <f t="shared" ca="1" si="11"/>
        <v>43798</v>
      </c>
      <c r="E207" s="253" t="e">
        <f ca="1"/>
        <v>#VALUE!</v>
      </c>
      <c r="F207" s="237">
        <f ca="1"/>
        <v>0.99825612216895654</v>
      </c>
      <c r="G207" s="231" t="e">
        <f ca="1"/>
        <v>#VALUE!</v>
      </c>
      <c r="H207" s="66">
        <f ca="1"/>
        <v>6.8737428870557782E-3</v>
      </c>
      <c r="I207" s="244" t="e">
        <f ca="1"/>
        <v>#VALUE!</v>
      </c>
      <c r="J207" s="239">
        <f ca="1">_xll.qlYieldTSForwardRate2($F$199,D207,"3m","Actual/360","simple","annual")</f>
        <v>8.2541691967905912E-3</v>
      </c>
      <c r="K207" s="239" t="e">
        <f t="shared" ca="1" si="12"/>
        <v>#VALUE!</v>
      </c>
      <c r="L207" s="245"/>
    </row>
    <row r="208" spans="2:12" customFormat="1">
      <c r="D208" s="210">
        <f t="shared" ca="1" si="11"/>
        <v>43830</v>
      </c>
      <c r="E208" s="253" t="e">
        <f ca="1"/>
        <v>#VALUE!</v>
      </c>
      <c r="F208" s="237">
        <f ca="1"/>
        <v>0.99756285772873521</v>
      </c>
      <c r="G208" s="231" t="e">
        <f ca="1"/>
        <v>#VALUE!</v>
      </c>
      <c r="H208" s="66">
        <f ca="1"/>
        <v>7.150585670545162E-3</v>
      </c>
      <c r="I208" s="244" t="e">
        <f ca="1"/>
        <v>#VALUE!</v>
      </c>
      <c r="J208" s="239">
        <f ca="1">_xll.qlYieldTSForwardRate2($F$199,D208,"3m","Actual/360","simple","annual")</f>
        <v>8.6002254980599071E-3</v>
      </c>
      <c r="K208" s="239" t="e">
        <f t="shared" ca="1" si="12"/>
        <v>#VALUE!</v>
      </c>
      <c r="L208" s="245"/>
    </row>
    <row r="209" spans="4:12" customFormat="1">
      <c r="D209" s="210">
        <f t="shared" ca="1" si="11"/>
        <v>43861</v>
      </c>
      <c r="E209" s="253" t="e">
        <f ca="1"/>
        <v>#VALUE!</v>
      </c>
      <c r="F209" s="237">
        <f ca="1"/>
        <v>0.99684073173078269</v>
      </c>
      <c r="G209" s="231" t="e">
        <f ca="1"/>
        <v>#VALUE!</v>
      </c>
      <c r="H209" s="66">
        <f ca="1"/>
        <v>7.4349740887407201E-3</v>
      </c>
      <c r="I209" s="244" t="e">
        <f ca="1"/>
        <v>#VALUE!</v>
      </c>
      <c r="J209" s="239">
        <f ca="1">_xll.qlYieldTSForwardRate2($F$199,D209,"3m","Actual/360","simple","annual")</f>
        <v>9.0279777999944244E-3</v>
      </c>
      <c r="K209" s="239" t="e">
        <f t="shared" ca="1" si="12"/>
        <v>#VALUE!</v>
      </c>
      <c r="L209" s="245"/>
    </row>
    <row r="210" spans="4:12" customFormat="1">
      <c r="D210" s="210">
        <f t="shared" ca="1" si="11"/>
        <v>43889</v>
      </c>
      <c r="E210" s="253" t="e">
        <f ca="1"/>
        <v>#VALUE!</v>
      </c>
      <c r="F210" s="237">
        <f ca="1"/>
        <v>0.99617922843380258</v>
      </c>
      <c r="G210" s="231" t="e">
        <f ca="1"/>
        <v>#VALUE!</v>
      </c>
      <c r="H210" s="66">
        <f ca="1"/>
        <v>7.6292656502121581E-3</v>
      </c>
      <c r="I210" s="244" t="e">
        <f ca="1"/>
        <v>#VALUE!</v>
      </c>
      <c r="J210" s="239">
        <f ca="1">_xll.qlYieldTSForwardRate2($F$199,D210,"3m","Actual/360","simple","annual")</f>
        <v>9.3506253489872293E-3</v>
      </c>
      <c r="K210" s="239" t="e">
        <f t="shared" ca="1" si="12"/>
        <v>#VALUE!</v>
      </c>
      <c r="L210" s="245"/>
    </row>
    <row r="211" spans="4:12" customFormat="1">
      <c r="D211" s="210">
        <f t="shared" ca="1" si="11"/>
        <v>43921</v>
      </c>
      <c r="E211" s="253" t="e">
        <f ca="1"/>
        <v>#VALUE!</v>
      </c>
      <c r="F211" s="237">
        <f ca="1"/>
        <v>0.99539891435018479</v>
      </c>
      <c r="G211" s="231" t="e">
        <f ca="1"/>
        <v>#VALUE!</v>
      </c>
      <c r="H211" s="66">
        <f ca="1"/>
        <v>7.8323196612477552E-3</v>
      </c>
      <c r="I211" s="244" t="e">
        <f ca="1"/>
        <v>#VALUE!</v>
      </c>
      <c r="J211" s="239">
        <f ca="1">_xll.qlYieldTSForwardRate2($F$199,D211,"3m","Actual/360","simple","annual")</f>
        <v>9.7430629555749233E-3</v>
      </c>
      <c r="K211" s="239" t="e">
        <f t="shared" ca="1" si="12"/>
        <v>#VALUE!</v>
      </c>
      <c r="L211" s="245"/>
    </row>
    <row r="212" spans="4:12" customFormat="1">
      <c r="D212" s="210">
        <f t="shared" ca="1" si="11"/>
        <v>43951</v>
      </c>
      <c r="E212" s="253" t="e">
        <f ca="1"/>
        <v>#VALUE!</v>
      </c>
      <c r="F212" s="237">
        <f ca="1"/>
        <v>0.99459593422724057</v>
      </c>
      <c r="G212" s="231" t="e">
        <f ca="1"/>
        <v>#VALUE!</v>
      </c>
      <c r="H212" s="66">
        <f ca="1"/>
        <v>8.0831955738602801E-3</v>
      </c>
      <c r="I212" s="244" t="e">
        <f ca="1"/>
        <v>#VALUE!</v>
      </c>
      <c r="J212" s="239">
        <f ca="1">_xll.qlYieldTSForwardRate2($F$199,D212,"3m","Actual/360","simple","annual")</f>
        <v>9.978242509398362E-3</v>
      </c>
      <c r="K212" s="239" t="e">
        <f t="shared" ca="1" si="12"/>
        <v>#VALUE!</v>
      </c>
      <c r="L212" s="245"/>
    </row>
    <row r="213" spans="4:12" customFormat="1">
      <c r="D213" s="210">
        <f t="shared" ca="1" si="11"/>
        <v>43980</v>
      </c>
      <c r="E213" s="253" t="e">
        <f ca="1"/>
        <v>#VALUE!</v>
      </c>
      <c r="F213" s="237">
        <f ca="1"/>
        <v>0.99382951644410567</v>
      </c>
      <c r="G213" s="231" t="e">
        <f ca="1"/>
        <v>#VALUE!</v>
      </c>
      <c r="H213" s="66">
        <f ca="1"/>
        <v>8.2614052034875041E-3</v>
      </c>
      <c r="I213" s="244" t="e">
        <f ca="1"/>
        <v>#VALUE!</v>
      </c>
      <c r="J213" s="239">
        <f ca="1">_xll.qlYieldTSForwardRate2($F$199,D213,"3m","Actual/360","simple","annual")</f>
        <v>1.0401466123916547E-2</v>
      </c>
      <c r="K213" s="239" t="e">
        <f t="shared" ca="1" si="12"/>
        <v>#VALUE!</v>
      </c>
      <c r="L213" s="245"/>
    </row>
    <row r="214" spans="4:12" customFormat="1">
      <c r="D214" s="210">
        <f t="shared" ca="1" si="11"/>
        <v>44012</v>
      </c>
      <c r="E214" s="253" t="e">
        <f ca="1"/>
        <v>#VALUE!</v>
      </c>
      <c r="F214" s="237">
        <f ca="1"/>
        <v>0.9929534390278939</v>
      </c>
      <c r="G214" s="231" t="e">
        <f ca="1"/>
        <v>#VALUE!</v>
      </c>
      <c r="H214" s="66">
        <f ca="1"/>
        <v>8.4566119399180906E-3</v>
      </c>
      <c r="I214" s="244" t="e">
        <f ca="1"/>
        <v>#VALUE!</v>
      </c>
      <c r="J214" s="239">
        <f ca="1">_xll.qlYieldTSForwardRate2($F$199,D214,"3m","Actual/360","simple","annual")</f>
        <v>1.075557033000513E-2</v>
      </c>
      <c r="K214" s="239" t="e">
        <f t="shared" ca="1" si="12"/>
        <v>#VALUE!</v>
      </c>
      <c r="L214" s="245"/>
    </row>
    <row r="215" spans="4:12" customFormat="1">
      <c r="D215" s="210">
        <f t="shared" ca="1" si="11"/>
        <v>44043</v>
      </c>
      <c r="E215" s="253" t="e">
        <f ca="1"/>
        <v>#VALUE!</v>
      </c>
      <c r="F215" s="237">
        <f ca="1"/>
        <v>0.99206494987472293</v>
      </c>
      <c r="G215" s="231" t="e">
        <f ca="1"/>
        <v>#VALUE!</v>
      </c>
      <c r="H215" s="66">
        <f ca="1"/>
        <v>8.6551026009336063E-3</v>
      </c>
      <c r="I215" s="244" t="e">
        <f ca="1"/>
        <v>#VALUE!</v>
      </c>
      <c r="J215" s="239">
        <f ca="1">_xll.qlYieldTSForwardRate2($F$199,D215,"3m","Actual/360","simple","annual")</f>
        <v>1.0938345534807577E-2</v>
      </c>
      <c r="K215" s="239" t="e">
        <f t="shared" ca="1" si="12"/>
        <v>#VALUE!</v>
      </c>
      <c r="L215" s="245"/>
    </row>
    <row r="216" spans="4:12" customFormat="1">
      <c r="D216" s="223">
        <f t="shared" ca="1" si="11"/>
        <v>44071</v>
      </c>
      <c r="E216" s="200" t="e">
        <f ca="1"/>
        <v>#VALUE!</v>
      </c>
      <c r="F216" s="199">
        <f ca="1"/>
        <v>0.99122488243092388</v>
      </c>
      <c r="G216" s="242" t="e">
        <f ca="1"/>
        <v>#VALUE!</v>
      </c>
      <c r="H216" s="221">
        <f ca="1"/>
        <v>8.8444232089845976E-3</v>
      </c>
      <c r="I216" s="225" t="e">
        <f ca="1"/>
        <v>#VALUE!</v>
      </c>
      <c r="J216" s="241">
        <f ca="1">_xll.qlYieldTSForwardRate2($F$199,D216,"3m","Actual/360","simple","annual")</f>
        <v>1.0952040479027971E-2</v>
      </c>
      <c r="K216" s="239" t="e">
        <f t="shared" ca="1" si="12"/>
        <v>#VALUE!</v>
      </c>
      <c r="L216" s="245"/>
    </row>
    <row r="217" spans="4:12" customFormat="1">
      <c r="D217" s="210">
        <f t="shared" ca="1" si="11"/>
        <v>44104</v>
      </c>
      <c r="E217" s="253" t="e">
        <f ca="1"/>
        <v>#VALUE!</v>
      </c>
      <c r="F217" s="237">
        <f ca="1"/>
        <v>0.99023164302977318</v>
      </c>
      <c r="G217" s="231" t="e">
        <f ca="1"/>
        <v>#VALUE!</v>
      </c>
      <c r="H217" s="66">
        <f ca="1"/>
        <v>9.0373076196321733E-3</v>
      </c>
      <c r="I217" s="244" t="e">
        <f ca="1"/>
        <v>#VALUE!</v>
      </c>
      <c r="J217" s="239">
        <f ca="1">_xll.qlYieldTSForwardRate2($F$199,D217,"3m","Actual/360","simple","annual")</f>
        <v>1.118942154971418E-2</v>
      </c>
      <c r="K217" s="239" t="e">
        <f t="shared" ca="1" si="12"/>
        <v>#VALUE!</v>
      </c>
      <c r="L217" s="245"/>
    </row>
    <row r="218" spans="4:12" customFormat="1">
      <c r="D218" s="210">
        <f t="shared" ca="1" si="11"/>
        <v>44134</v>
      </c>
      <c r="E218" s="253" t="e">
        <f ca="1"/>
        <v>#VALUE!</v>
      </c>
      <c r="F218" s="237">
        <f ca="1"/>
        <v>0.98932956179951659</v>
      </c>
      <c r="G218" s="231" t="e">
        <f ca="1"/>
        <v>#VALUE!</v>
      </c>
      <c r="H218" s="66">
        <f ca="1"/>
        <v>9.1869525651018247E-3</v>
      </c>
      <c r="I218" s="244" t="e">
        <f ca="1"/>
        <v>#VALUE!</v>
      </c>
      <c r="J218" s="239">
        <f ca="1">_xll.qlYieldTSForwardRate2($F$199,D218,"3m","Actual/360","simple","annual")</f>
        <v>1.1429832895634684E-2</v>
      </c>
      <c r="K218" s="239" t="e">
        <f t="shared" ca="1" si="12"/>
        <v>#VALUE!</v>
      </c>
      <c r="L218" s="245"/>
    </row>
    <row r="219" spans="4:12" customFormat="1">
      <c r="D219" s="210">
        <f t="shared" ca="1" si="11"/>
        <v>44165</v>
      </c>
      <c r="E219" s="253" t="e">
        <f ca="1"/>
        <v>#VALUE!</v>
      </c>
      <c r="F219" s="237">
        <f ca="1"/>
        <v>0.98839827450958562</v>
      </c>
      <c r="G219" s="231" t="e">
        <f ca="1"/>
        <v>#VALUE!</v>
      </c>
      <c r="H219" s="66">
        <f ca="1"/>
        <v>9.321114220715021E-3</v>
      </c>
      <c r="I219" s="244" t="e">
        <f ca="1"/>
        <v>#VALUE!</v>
      </c>
      <c r="J219" s="239">
        <f ca="1">_xll.qlYieldTSForwardRate2($F$199,D219,"3m","Actual/360","simple","annual")</f>
        <v>1.169142165431758E-2</v>
      </c>
      <c r="K219" s="239" t="e">
        <f t="shared" ca="1" si="12"/>
        <v>#VALUE!</v>
      </c>
      <c r="L219" s="245"/>
    </row>
    <row r="220" spans="4:12" customFormat="1">
      <c r="D220" s="210">
        <f t="shared" ca="1" si="11"/>
        <v>44253</v>
      </c>
      <c r="E220" s="253" t="e">
        <f ca="1"/>
        <v>#VALUE!</v>
      </c>
      <c r="F220" s="237">
        <f ca="1"/>
        <v>0.98558626488874368</v>
      </c>
      <c r="G220" s="231" t="e">
        <f ca="1"/>
        <v>#VALUE!</v>
      </c>
      <c r="H220" s="66">
        <f ca="1"/>
        <v>9.7350087097152205E-3</v>
      </c>
      <c r="I220" s="244" t="e">
        <f ca="1"/>
        <v>#VALUE!</v>
      </c>
      <c r="J220" s="239">
        <f ca="1">_xll.qlYieldTSForwardRate2($F$199,D220,"3m","Actual/360","simple","annual")</f>
        <v>1.2533102750260174E-2</v>
      </c>
      <c r="K220" s="239" t="e">
        <f t="shared" ca="1" si="12"/>
        <v>#VALUE!</v>
      </c>
      <c r="L220" s="245"/>
    </row>
    <row r="221" spans="4:12" customFormat="1">
      <c r="D221" s="210">
        <f t="shared" ca="1" si="11"/>
        <v>44347</v>
      </c>
      <c r="E221" s="253" t="e">
        <f ca="1"/>
        <v>#VALUE!</v>
      </c>
      <c r="F221" s="237">
        <f ca="1"/>
        <v>0.98237114397342984</v>
      </c>
      <c r="G221" s="231" t="e">
        <f ca="1"/>
        <v>#VALUE!</v>
      </c>
      <c r="H221" s="66">
        <f ca="1"/>
        <v>1.0179267433914729E-2</v>
      </c>
      <c r="I221" s="244" t="e">
        <f ca="1"/>
        <v>#VALUE!</v>
      </c>
      <c r="J221" s="239">
        <f ca="1">_xll.qlYieldTSForwardRate2($F$199,D221,"3m","Actual/360","simple","annual")</f>
        <v>1.2533756592498876E-2</v>
      </c>
      <c r="K221" s="239" t="e">
        <f t="shared" ca="1" si="12"/>
        <v>#VALUE!</v>
      </c>
      <c r="L221" s="245"/>
    </row>
    <row r="222" spans="4:12" customFormat="1">
      <c r="D222" s="210">
        <f t="shared" ca="1" si="11"/>
        <v>44438</v>
      </c>
      <c r="E222" s="253" t="e">
        <f ca="1"/>
        <v>#VALUE!</v>
      </c>
      <c r="F222" s="237">
        <f ca="1"/>
        <v>0.97926862507129464</v>
      </c>
      <c r="G222" s="231" t="e">
        <f ca="1"/>
        <v>#VALUE!</v>
      </c>
      <c r="H222" s="66">
        <f ca="1"/>
        <v>1.0500774384100131E-2</v>
      </c>
      <c r="I222" s="244" t="e">
        <f ca="1"/>
        <v>#VALUE!</v>
      </c>
      <c r="J222" s="239">
        <f ca="1">_xll.qlYieldTSForwardRate2($F$199,D222,"3m","Actual/360","simple","annual")</f>
        <v>1.3997050061995312E-2</v>
      </c>
      <c r="K222" s="239" t="e">
        <f t="shared" ca="1" si="12"/>
        <v>#VALUE!</v>
      </c>
      <c r="L222" s="245"/>
    </row>
    <row r="223" spans="4:12" customFormat="1">
      <c r="D223" s="210">
        <f t="shared" ca="1" si="11"/>
        <v>44530</v>
      </c>
      <c r="E223" s="253" t="e">
        <f ca="1"/>
        <v>#VALUE!</v>
      </c>
      <c r="F223" s="237">
        <f ca="1"/>
        <v>0.97577824297047178</v>
      </c>
      <c r="G223" s="231" t="e">
        <f ca="1"/>
        <v>#VALUE!</v>
      </c>
      <c r="H223" s="66">
        <f ca="1"/>
        <v>1.0920574954047968E-2</v>
      </c>
      <c r="I223" s="244" t="e">
        <f ca="1"/>
        <v>#VALUE!</v>
      </c>
      <c r="J223" s="239">
        <f ca="1">_xll.qlYieldTSForwardRate2($F$199,D223,"3m","Actual/360","simple","annual")</f>
        <v>1.4012588437267048E-2</v>
      </c>
      <c r="K223" s="239" t="e">
        <f t="shared" ca="1" si="12"/>
        <v>#VALUE!</v>
      </c>
      <c r="L223" s="245"/>
    </row>
    <row r="224" spans="4:12" customFormat="1">
      <c r="D224" s="210">
        <f t="shared" ca="1" si="11"/>
        <v>44803</v>
      </c>
      <c r="E224" s="253" t="e">
        <f ca="1"/>
        <v>#VALUE!</v>
      </c>
      <c r="F224" s="237">
        <f ca="1"/>
        <v>0.96548223978878123</v>
      </c>
      <c r="G224" s="231" t="e">
        <f ca="1"/>
        <v>#VALUE!</v>
      </c>
      <c r="H224" s="66">
        <f ca="1"/>
        <v>1.1756412767895297E-2</v>
      </c>
      <c r="I224" s="244" t="e">
        <f ca="1"/>
        <v>#VALUE!</v>
      </c>
      <c r="J224" s="239">
        <f ca="1">_xll.qlYieldTSForwardRate2($F$199,D224,"3m","Actual/360","simple","annual")</f>
        <v>1.5286461317691158E-2</v>
      </c>
      <c r="K224" s="239" t="e">
        <f t="shared" ca="1" si="12"/>
        <v>#VALUE!</v>
      </c>
      <c r="L224" s="245"/>
    </row>
    <row r="225" spans="4:12" customFormat="1">
      <c r="D225" s="210">
        <f t="shared" ca="1" si="11"/>
        <v>45168</v>
      </c>
      <c r="E225" s="253" t="e">
        <f ca="1"/>
        <v>#VALUE!</v>
      </c>
      <c r="F225" s="237">
        <f ca="1"/>
        <v>0.95066251739353536</v>
      </c>
      <c r="G225" s="231" t="e">
        <f ca="1"/>
        <v>#VALUE!</v>
      </c>
      <c r="H225" s="66">
        <f ca="1"/>
        <v>1.2711851270533314E-2</v>
      </c>
      <c r="I225" s="244" t="e">
        <f ca="1"/>
        <v>#VALUE!</v>
      </c>
      <c r="J225" s="239">
        <f ca="1">_xll.qlYieldTSForwardRate2($F$199,D225,"3m","Actual/360","simple","annual")</f>
        <v>1.7042037169275256E-2</v>
      </c>
      <c r="K225" s="239" t="e">
        <f t="shared" ca="1" si="12"/>
        <v>#VALUE!</v>
      </c>
      <c r="L225" s="245"/>
    </row>
    <row r="226" spans="4:12" customFormat="1">
      <c r="D226" s="210">
        <f t="shared" ca="1" si="11"/>
        <v>45534</v>
      </c>
      <c r="E226" s="253" t="e">
        <f ca="1"/>
        <v>#VALUE!</v>
      </c>
      <c r="F226" s="237">
        <f ca="1"/>
        <v>0.93436829169389446</v>
      </c>
      <c r="G226" s="231" t="e">
        <f ca="1"/>
        <v>#VALUE!</v>
      </c>
      <c r="H226" s="66">
        <f ca="1"/>
        <v>1.3651890907403486E-2</v>
      </c>
      <c r="I226" s="244" t="e">
        <f ca="1"/>
        <v>#VALUE!</v>
      </c>
      <c r="J226" s="239">
        <f ca="1">_xll.qlYieldTSForwardRate2($F$199,D226,"3m","Actual/360","simple","annual")</f>
        <v>1.7879513340566741E-2</v>
      </c>
      <c r="K226" s="239" t="e">
        <f t="shared" ca="1" si="12"/>
        <v>#VALUE!</v>
      </c>
      <c r="L226" s="245"/>
    </row>
    <row r="227" spans="4:12" customFormat="1">
      <c r="D227" s="210">
        <f t="shared" ca="1" si="11"/>
        <v>45898</v>
      </c>
      <c r="E227" s="253" t="e">
        <f ca="1"/>
        <v>#VALUE!</v>
      </c>
      <c r="F227" s="237">
        <f ca="1"/>
        <v>0.91766617307140042</v>
      </c>
      <c r="G227" s="231" t="e">
        <f ca="1"/>
        <v>#VALUE!</v>
      </c>
      <c r="H227" s="66">
        <f ca="1"/>
        <v>1.4416662752885445E-2</v>
      </c>
      <c r="I227" s="244" t="e">
        <f ca="1"/>
        <v>#VALUE!</v>
      </c>
      <c r="J227" s="239">
        <f ca="1">_xll.qlYieldTSForwardRate2($F$199,D227,"3m","Actual/360","simple","annual")</f>
        <v>2.0061829664804406E-2</v>
      </c>
      <c r="K227" s="239" t="e">
        <f t="shared" ca="1" si="12"/>
        <v>#VALUE!</v>
      </c>
      <c r="L227" s="245"/>
    </row>
    <row r="228" spans="4:12" customFormat="1">
      <c r="D228" s="210">
        <f t="shared" ca="1" si="11"/>
        <v>46265</v>
      </c>
      <c r="E228" s="253" t="e">
        <f ca="1"/>
        <v>#VALUE!</v>
      </c>
      <c r="F228" s="237">
        <f ca="1"/>
        <v>0.89913323298742454</v>
      </c>
      <c r="G228" s="231" t="e">
        <f ca="1"/>
        <v>#VALUE!</v>
      </c>
      <c r="H228" s="66">
        <f ca="1"/>
        <v>1.5287005835066481E-2</v>
      </c>
      <c r="I228" s="244" t="e">
        <f ca="1"/>
        <v>#VALUE!</v>
      </c>
      <c r="J228" s="239">
        <f ca="1">_xll.qlYieldTSForwardRate2($F$199,D228,"3m","Actual/360","simple","annual")</f>
        <v>2.0396827847291705E-2</v>
      </c>
      <c r="K228" s="239" t="e">
        <f t="shared" ca="1" si="12"/>
        <v>#VALUE!</v>
      </c>
      <c r="L228" s="245"/>
    </row>
    <row r="229" spans="4:12" customFormat="1">
      <c r="D229" s="210">
        <f t="shared" ca="1" si="11"/>
        <v>46629</v>
      </c>
      <c r="E229" s="253" t="e">
        <f ca="1"/>
        <v>#VALUE!</v>
      </c>
      <c r="F229" s="237">
        <f ca="1"/>
        <v>0.88082656883352495</v>
      </c>
      <c r="G229" s="231" t="e">
        <f ca="1"/>
        <v>#VALUE!</v>
      </c>
      <c r="H229" s="66">
        <f ca="1"/>
        <v>1.597725223973967E-2</v>
      </c>
      <c r="I229" s="244" t="e">
        <f ca="1"/>
        <v>#VALUE!</v>
      </c>
      <c r="J229" s="239">
        <f ca="1">_xll.qlYieldTSForwardRate2($F$199,D229,"3m","Actual/360","simple","annual")</f>
        <v>2.1893647508919988E-2</v>
      </c>
      <c r="K229" s="239" t="e">
        <f t="shared" ca="1" si="12"/>
        <v>#VALUE!</v>
      </c>
      <c r="L229" s="245"/>
    </row>
    <row r="230" spans="4:12" customFormat="1">
      <c r="D230" s="210">
        <f t="shared" ca="1" si="11"/>
        <v>46995</v>
      </c>
      <c r="E230" s="253" t="e">
        <f ca="1"/>
        <v>#VALUE!</v>
      </c>
      <c r="F230" s="237">
        <f ca="1"/>
        <v>0.8614799635886492</v>
      </c>
      <c r="G230" s="231" t="e">
        <f ca="1"/>
        <v>#VALUE!</v>
      </c>
      <c r="H230" s="66">
        <f ca="1"/>
        <v>1.6693064499994525E-2</v>
      </c>
      <c r="I230" s="244" t="e">
        <f ca="1"/>
        <v>#VALUE!</v>
      </c>
      <c r="J230" s="239">
        <f ca="1">_xll.qlYieldTSForwardRate2($F$199,D230,"3m","Actual/360","simple","annual")</f>
        <v>2.2769972619148576E-2</v>
      </c>
      <c r="K230" s="239" t="e">
        <f t="shared" ca="1" si="12"/>
        <v>#VALUE!</v>
      </c>
      <c r="L230" s="245"/>
    </row>
    <row r="231" spans="4:12" customFormat="1">
      <c r="D231" s="210">
        <f t="shared" ca="1" si="11"/>
        <v>47360</v>
      </c>
      <c r="E231" s="253" t="e">
        <f ca="1"/>
        <v>#VALUE!</v>
      </c>
      <c r="F231" s="237">
        <f ca="1"/>
        <v>0.84187579014206693</v>
      </c>
      <c r="G231" s="231" t="e">
        <f ca="1"/>
        <v>#VALUE!</v>
      </c>
      <c r="H231" s="66">
        <f ca="1"/>
        <v>1.7351674341872902E-2</v>
      </c>
      <c r="I231" s="244" t="e">
        <f ca="1"/>
        <v>#VALUE!</v>
      </c>
      <c r="J231" s="239">
        <f ca="1">_xll.qlYieldTSForwardRate2($F$199,D231,"3m","Actual/360","simple","annual")</f>
        <v>2.3569836034070573E-2</v>
      </c>
      <c r="K231" s="239" t="e">
        <f t="shared" ca="1" si="12"/>
        <v>#VALUE!</v>
      </c>
      <c r="L231" s="245"/>
    </row>
    <row r="232" spans="4:12" customFormat="1">
      <c r="D232" s="210">
        <f t="shared" ca="1" si="11"/>
        <v>48089</v>
      </c>
      <c r="E232" s="253" t="e">
        <f ca="1"/>
        <v>#VALUE!</v>
      </c>
      <c r="F232" s="237">
        <f ca="1"/>
        <v>0.80275273368173117</v>
      </c>
      <c r="G232" s="231" t="e">
        <f ca="1"/>
        <v>#VALUE!</v>
      </c>
      <c r="H232" s="66">
        <f ca="1"/>
        <v>1.8473426840386331E-2</v>
      </c>
      <c r="I232" s="244" t="e">
        <f ca="1"/>
        <v>#VALUE!</v>
      </c>
      <c r="J232" s="239">
        <f ca="1">_xll.qlYieldTSForwardRate2($F$199,D232,"3m","Actual/360","simple","annual")</f>
        <v>2.4316965854389392E-2</v>
      </c>
      <c r="K232" s="239" t="e">
        <f t="shared" ca="1" si="12"/>
        <v>#VALUE!</v>
      </c>
      <c r="L232" s="245"/>
    </row>
    <row r="233" spans="4:12" customFormat="1">
      <c r="D233" s="210">
        <f t="shared" ca="1" si="11"/>
        <v>49186</v>
      </c>
      <c r="E233" s="253" t="e">
        <f ca="1"/>
        <v>#VALUE!</v>
      </c>
      <c r="F233" s="237">
        <f ca="1"/>
        <v>0.74559072887871169</v>
      </c>
      <c r="G233" s="231" t="e">
        <f ca="1"/>
        <v>#VALUE!</v>
      </c>
      <c r="H233" s="66">
        <f ca="1"/>
        <v>1.9757393743945695E-2</v>
      </c>
      <c r="I233" s="244" t="e">
        <f ca="1"/>
        <v>#VALUE!</v>
      </c>
      <c r="J233" s="239">
        <f ca="1">_xll.qlYieldTSForwardRate2($F$199,D233,"3m","Actual/360","simple","annual")</f>
        <v>2.4596706939383185E-2</v>
      </c>
      <c r="K233" s="239" t="e">
        <f t="shared" ca="1" si="12"/>
        <v>#VALUE!</v>
      </c>
      <c r="L233" s="245"/>
    </row>
    <row r="234" spans="4:12" customFormat="1">
      <c r="D234" s="210">
        <f t="shared" ca="1" si="11"/>
        <v>51012</v>
      </c>
      <c r="E234" s="253" t="e">
        <f ca="1"/>
        <v>#VALUE!</v>
      </c>
      <c r="F234" s="237">
        <f ca="1"/>
        <v>0.65839650401331073</v>
      </c>
      <c r="G234" s="231" t="e">
        <f ca="1"/>
        <v>#VALUE!</v>
      </c>
      <c r="H234" s="66">
        <f ca="1"/>
        <v>2.1111431939467407E-2</v>
      </c>
      <c r="I234" s="244" t="e">
        <f ca="1"/>
        <v>#VALUE!</v>
      </c>
      <c r="J234" s="239">
        <f ca="1">_xll.qlYieldTSForwardRate2($F$199,D234,"3m","Actual/360","simple","annual")</f>
        <v>2.3925717614104568E-2</v>
      </c>
      <c r="K234" s="239" t="e">
        <f t="shared" ca="1" si="12"/>
        <v>#VALUE!</v>
      </c>
      <c r="L234" s="245"/>
    </row>
    <row r="235" spans="4:12" customFormat="1">
      <c r="D235" s="210">
        <f t="shared" ca="1" si="11"/>
        <v>52839</v>
      </c>
      <c r="E235" s="253" t="e">
        <f ca="1"/>
        <v>#VALUE!</v>
      </c>
      <c r="F235" s="237">
        <f ca="1"/>
        <v>0.58333056225097857</v>
      </c>
      <c r="G235" s="231" t="e">
        <f ca="1"/>
        <v>#VALUE!</v>
      </c>
      <c r="H235" s="66">
        <f ca="1"/>
        <v>2.178850232652696E-2</v>
      </c>
      <c r="I235" s="244" t="e">
        <f ca="1"/>
        <v>#VALUE!</v>
      </c>
      <c r="J235" s="239">
        <f ca="1">_xll.qlYieldTSForwardRate2($F$199,D235,"3m","Actual/360","simple","annual")</f>
        <v>2.3519868956259567E-2</v>
      </c>
      <c r="K235" s="239" t="e">
        <f t="shared" ca="1" si="12"/>
        <v>#VALUE!</v>
      </c>
      <c r="L235" s="245"/>
    </row>
    <row r="236" spans="4:12" customFormat="1">
      <c r="D236" s="210">
        <f t="shared" ca="1" si="11"/>
        <v>54665</v>
      </c>
      <c r="E236" s="253" t="e">
        <f ca="1"/>
        <v>#VALUE!</v>
      </c>
      <c r="F236" s="237">
        <f ca="1"/>
        <v>0.51791602948763638</v>
      </c>
      <c r="G236" s="231" t="e">
        <f ca="1"/>
        <v>#VALUE!</v>
      </c>
      <c r="H236" s="66">
        <f ca="1"/>
        <v>2.2169572434669771E-2</v>
      </c>
      <c r="I236" s="244" t="e">
        <f ca="1"/>
        <v>#VALUE!</v>
      </c>
      <c r="J236" s="239">
        <f ca="1">_xll.qlYieldTSForwardRate2($F$199,D236,"3m","Actual/360","simple","annual")</f>
        <v>2.2154278801884988E-2</v>
      </c>
      <c r="K236" s="239" t="e">
        <f t="shared" ca="1" si="12"/>
        <v>#VALUE!</v>
      </c>
      <c r="L236" s="245"/>
    </row>
    <row r="237" spans="4:12" customFormat="1">
      <c r="D237" s="210">
        <f t="shared" ca="1" si="11"/>
        <v>58316</v>
      </c>
      <c r="E237" s="253" t="e">
        <f ca="1"/>
        <v>#VALUE!</v>
      </c>
      <c r="F237" s="237">
        <f ca="1"/>
        <v>0.41401944894879605</v>
      </c>
      <c r="G237" s="231" t="e">
        <f ca="1"/>
        <v>#VALUE!</v>
      </c>
      <c r="H237" s="66">
        <f ca="1"/>
        <v>2.228932471014855E-2</v>
      </c>
      <c r="I237" s="244" t="e">
        <f ca="1"/>
        <v>#VALUE!</v>
      </c>
      <c r="J237" s="239">
        <f ca="1">_xll.qlYieldTSForwardRate2($F$199,D237,"3m","Actual/360","simple","annual")</f>
        <v>2.0316684520004766E-2</v>
      </c>
      <c r="K237" s="239" t="e">
        <f t="shared" ca="1" si="12"/>
        <v>#VALUE!</v>
      </c>
      <c r="L237" s="245"/>
    </row>
    <row r="238" spans="4:12" customFormat="1">
      <c r="D238" s="209">
        <f t="shared" ca="1" si="11"/>
        <v>61970</v>
      </c>
      <c r="E238" s="218" t="e">
        <f ca="1"/>
        <v>#VALUE!</v>
      </c>
      <c r="F238" s="217">
        <f ca="1"/>
        <v>0.33705027186798187</v>
      </c>
      <c r="G238" s="247" t="e">
        <f ca="1"/>
        <v>#VALUE!</v>
      </c>
      <c r="H238" s="86">
        <f ca="1"/>
        <v>2.1986293609093766E-2</v>
      </c>
      <c r="I238" s="201" t="e">
        <f ca="1"/>
        <v>#VALUE!</v>
      </c>
      <c r="J238" s="238"/>
      <c r="K238" s="238"/>
      <c r="L238" s="228"/>
    </row>
    <row r="240" spans="4:12" customFormat="1">
      <c r="D240" s="115"/>
      <c r="E240" s="115"/>
      <c r="F240" s="115"/>
      <c r="G240" s="115"/>
      <c r="H240" s="115"/>
      <c r="I240" s="115"/>
      <c r="J240" s="115"/>
      <c r="K240" s="115"/>
    </row>
    <row r="241" spans="2:11" customFormat="1">
      <c r="B241" s="118" t="s">
        <v>270</v>
      </c>
      <c r="C241" s="119" t="s">
        <v>280</v>
      </c>
      <c r="D241" s="139" t="s">
        <v>305</v>
      </c>
      <c r="E241" s="115"/>
      <c r="F241" s="115" t="str">
        <f ca="1">'USD 1m'!R4</f>
        <v>USD_SWAP_1M_QL#0000</v>
      </c>
      <c r="G241" s="115"/>
      <c r="H241" s="115"/>
      <c r="I241" s="115"/>
      <c r="J241" s="115"/>
      <c r="K241" s="115"/>
    </row>
    <row r="242" spans="2:11" customFormat="1">
      <c r="B242" s="120" t="s">
        <v>269</v>
      </c>
      <c r="C242" s="121" t="s">
        <v>251</v>
      </c>
      <c r="D242" s="116" t="e">
        <f ca="1">[2]!McyCreateRateCurve($F$4,D241)</f>
        <v>#VALUE!</v>
      </c>
      <c r="E242" s="116" t="s">
        <v>444</v>
      </c>
      <c r="F242" s="127" t="s">
        <v>734</v>
      </c>
      <c r="G242" s="116" t="s">
        <v>444</v>
      </c>
      <c r="H242" s="127" t="s">
        <v>734</v>
      </c>
      <c r="I242" s="140" t="s">
        <v>735</v>
      </c>
      <c r="J242" s="140" t="s">
        <v>736</v>
      </c>
      <c r="K242" s="127" t="s">
        <v>738</v>
      </c>
    </row>
    <row r="243" spans="2:11" customFormat="1">
      <c r="B243" s="120" t="s">
        <v>271</v>
      </c>
      <c r="C243" s="121" t="s">
        <v>272</v>
      </c>
      <c r="D243" s="233">
        <f t="shared" ref="D243:D280" ca="1" si="13">D159</f>
        <v>43705</v>
      </c>
      <c r="E243" s="252">
        <v>1</v>
      </c>
      <c r="F243" s="236">
        <f t="array" aca="1" ref="F243:F280" ca="1">_xll.qlYieldTSDiscount(F241,D243:D280)</f>
        <v>1</v>
      </c>
      <c r="G243" s="229" t="e">
        <f t="array" aca="1" ref="G243:G280" ca="1">_xll.qlYieldTSZeroRate(C245,D243:D280,"Actual/365","compounded","annual")</f>
        <v>#VALUE!</v>
      </c>
      <c r="H243" s="59">
        <f t="array" aca="1" ref="H243:H280" ca="1">_xll.qlYieldTSZeroRate(F241,D243:D280,"Actual/365","compounded","annual")</f>
        <v>3.1137875905415946E-3</v>
      </c>
      <c r="I243" s="204" t="e">
        <f t="array" aca="1" ref="I243:I280" ca="1">[2]!McyForward(D242,C246,D243:D280)</f>
        <v>#VALUE!</v>
      </c>
      <c r="J243" s="203">
        <f ca="1">_xll.qlYieldTSForwardRate2($F$241,D243,"1m","Actual/360","simple","annual")</f>
        <v>4.5510949710359317E-3</v>
      </c>
      <c r="K243" s="203" t="e">
        <f t="shared" ref="K243:K279" ca="1" si="14">I243-J243</f>
        <v>#VALUE!</v>
      </c>
    </row>
    <row r="244" spans="2:11" customFormat="1">
      <c r="B244" s="122" t="s">
        <v>273</v>
      </c>
      <c r="C244" s="123" t="s">
        <v>274</v>
      </c>
      <c r="D244" s="210">
        <f t="shared" ca="1" si="13"/>
        <v>43706</v>
      </c>
      <c r="E244" s="253" t="e">
        <f t="array" aca="1" ref="E244:E280" ca="1">[2]!McyDF(D242,D244:D280)</f>
        <v>#VALUE!</v>
      </c>
      <c r="F244" s="237">
        <f ca="1"/>
        <v>0.99999148236560631</v>
      </c>
      <c r="G244" s="231" t="e">
        <f ca="1"/>
        <v>#VALUE!</v>
      </c>
      <c r="H244" s="66">
        <f ca="1"/>
        <v>3.1137875907762957E-3</v>
      </c>
      <c r="I244" s="244" t="e">
        <f ca="1"/>
        <v>#VALUE!</v>
      </c>
      <c r="J244" s="239">
        <f ca="1">_xll.qlYieldTSForwardRate2($F$241,D244,"1m","Actual/360","simple","annual")</f>
        <v>4.6232970501308163E-3</v>
      </c>
      <c r="K244" s="239" t="e">
        <f t="shared" ca="1" si="14"/>
        <v>#VALUE!</v>
      </c>
    </row>
    <row r="245" spans="2:11" customFormat="1">
      <c r="B245" s="124" t="s">
        <v>328</v>
      </c>
      <c r="C245" s="125" t="e">
        <f ca="1">_xll.qlInterpolatedYieldCurve(,D243:D280,E243:E280,C242,C241,,,C243,C244)</f>
        <v>#NUM!</v>
      </c>
      <c r="D245" s="210">
        <f t="shared" ca="1" si="13"/>
        <v>43710</v>
      </c>
      <c r="E245" s="253" t="e">
        <f ca="1"/>
        <v>#VALUE!</v>
      </c>
      <c r="F245" s="237">
        <f ca="1"/>
        <v>0.99995741269882543</v>
      </c>
      <c r="G245" s="231" t="e">
        <f ca="1"/>
        <v>#VALUE!</v>
      </c>
      <c r="H245" s="66">
        <f ca="1"/>
        <v>3.1137769504514523E-3</v>
      </c>
      <c r="I245" s="244" t="e">
        <f ca="1"/>
        <v>#VALUE!</v>
      </c>
      <c r="J245" s="239">
        <f ca="1">_xll.qlYieldTSForwardRate2($F$241,D245,"1m","Actual/360","simple","annual")</f>
        <v>4.8883767541303413E-3</v>
      </c>
      <c r="K245" s="239" t="e">
        <f t="shared" ca="1" si="14"/>
        <v>#VALUE!</v>
      </c>
    </row>
    <row r="246" spans="2:11" customFormat="1">
      <c r="B246" s="211" t="s">
        <v>786</v>
      </c>
      <c r="C246" s="232" t="e">
        <f ca="1">[2]!McyCreateIndex(B246)</f>
        <v>#VALUE!</v>
      </c>
      <c r="D246" s="210">
        <f t="shared" ca="1" si="13"/>
        <v>43714</v>
      </c>
      <c r="E246" s="253" t="e">
        <f ca="1"/>
        <v>#VALUE!</v>
      </c>
      <c r="F246" s="237">
        <f ca="1"/>
        <v>0.99993229679320994</v>
      </c>
      <c r="G246" s="231" t="e">
        <f ca="1"/>
        <v>#VALUE!</v>
      </c>
      <c r="H246" s="66">
        <f ca="1"/>
        <v>2.7496073714854408E-3</v>
      </c>
      <c r="I246" s="244" t="e">
        <f ca="1"/>
        <v>#VALUE!</v>
      </c>
      <c r="J246" s="239">
        <f ca="1">_xll.qlYieldTSForwardRate2($F$241,D246,"1m","Actual/360","simple","annual")</f>
        <v>5.2730924292259118E-3</v>
      </c>
      <c r="K246" s="239" t="e">
        <f t="shared" ca="1" si="14"/>
        <v>#VALUE!</v>
      </c>
    </row>
    <row r="247" spans="2:11" customFormat="1">
      <c r="D247" s="210">
        <f t="shared" ca="1" si="13"/>
        <v>43738</v>
      </c>
      <c r="E247" s="253" t="e">
        <f ca="1"/>
        <v>#VALUE!</v>
      </c>
      <c r="F247" s="237">
        <f ca="1"/>
        <v>0.99957880042348124</v>
      </c>
      <c r="G247" s="231" t="e">
        <f ca="1"/>
        <v>#VALUE!</v>
      </c>
      <c r="H247" s="66">
        <f ca="1"/>
        <v>4.6705772932145173E-3</v>
      </c>
      <c r="I247" s="244" t="e">
        <f ca="1"/>
        <v>#VALUE!</v>
      </c>
      <c r="J247" s="239">
        <f ca="1">_xll.qlYieldTSForwardRate2($F$241,D247,"1m","Actual/360","simple","annual")</f>
        <v>5.1458055855286844E-3</v>
      </c>
      <c r="K247" s="239" t="e">
        <f t="shared" ca="1" si="14"/>
        <v>#VALUE!</v>
      </c>
    </row>
    <row r="248" spans="2:11" customFormat="1">
      <c r="D248" s="210">
        <f t="shared" ca="1" si="13"/>
        <v>43769</v>
      </c>
      <c r="E248" s="253" t="e">
        <f ca="1"/>
        <v>#VALUE!</v>
      </c>
      <c r="F248" s="237">
        <f ca="1"/>
        <v>0.99913606904057228</v>
      </c>
      <c r="G248" s="231" t="e">
        <f ca="1"/>
        <v>#VALUE!</v>
      </c>
      <c r="H248" s="66">
        <f ca="1"/>
        <v>4.9414044881679331E-3</v>
      </c>
      <c r="I248" s="244" t="e">
        <f ca="1"/>
        <v>#VALUE!</v>
      </c>
      <c r="J248" s="239">
        <f ca="1">_xll.qlYieldTSForwardRate2($F$241,D248,"1m","Actual/360","simple","annual")</f>
        <v>6.2407191554321173E-3</v>
      </c>
      <c r="K248" s="239" t="e">
        <f t="shared" ca="1" si="14"/>
        <v>#VALUE!</v>
      </c>
    </row>
    <row r="249" spans="2:11" customFormat="1">
      <c r="D249" s="210">
        <f t="shared" ca="1" si="13"/>
        <v>43798</v>
      </c>
      <c r="E249" s="253" t="e">
        <f ca="1"/>
        <v>#VALUE!</v>
      </c>
      <c r="F249" s="237">
        <f ca="1"/>
        <v>0.99863373412389544</v>
      </c>
      <c r="G249" s="231" t="e">
        <f ca="1"/>
        <v>#VALUE!</v>
      </c>
      <c r="H249" s="66">
        <f ca="1"/>
        <v>5.3803149281690388E-3</v>
      </c>
      <c r="I249" s="244" t="e">
        <f ca="1"/>
        <v>#VALUE!</v>
      </c>
      <c r="J249" s="239">
        <f ca="1">_xll.qlYieldTSForwardRate2($F$241,D249,"1m","Actual/360","simple","annual")</f>
        <v>6.1320205497770175E-3</v>
      </c>
      <c r="K249" s="239" t="e">
        <f t="shared" ca="1" si="14"/>
        <v>#VALUE!</v>
      </c>
    </row>
    <row r="250" spans="2:11" customFormat="1">
      <c r="D250" s="210">
        <f t="shared" ca="1" si="13"/>
        <v>43830</v>
      </c>
      <c r="E250" s="253" t="e">
        <f ca="1"/>
        <v>#VALUE!</v>
      </c>
      <c r="F250" s="237">
        <f ca="1"/>
        <v>0.99808969761107125</v>
      </c>
      <c r="G250" s="231" t="e">
        <f ca="1"/>
        <v>#VALUE!</v>
      </c>
      <c r="H250" s="66">
        <f ca="1"/>
        <v>5.5990340104521419E-3</v>
      </c>
      <c r="I250" s="244" t="e">
        <f ca="1"/>
        <v>#VALUE!</v>
      </c>
      <c r="J250" s="239">
        <f ca="1">_xll.qlYieldTSForwardRate2($F$241,D250,"1m","Actual/360","simple","annual")</f>
        <v>6.6917167532986079E-3</v>
      </c>
      <c r="K250" s="239" t="e">
        <f t="shared" ca="1" si="14"/>
        <v>#VALUE!</v>
      </c>
    </row>
    <row r="251" spans="2:11" customFormat="1">
      <c r="D251" s="210">
        <f t="shared" ca="1" si="13"/>
        <v>43861</v>
      </c>
      <c r="E251" s="253" t="e">
        <f ca="1"/>
        <v>#VALUE!</v>
      </c>
      <c r="F251" s="237">
        <f ca="1"/>
        <v>0.99751489843917118</v>
      </c>
      <c r="G251" s="231" t="e">
        <f ca="1"/>
        <v>#VALUE!</v>
      </c>
      <c r="H251" s="66">
        <f ca="1"/>
        <v>5.8417948994504698E-3</v>
      </c>
      <c r="I251" s="244" t="e">
        <f ca="1"/>
        <v>#VALUE!</v>
      </c>
      <c r="J251" s="239">
        <f ca="1">_xll.qlYieldTSForwardRate2($F$241,D251,"1m","Actual/360","simple","annual")</f>
        <v>7.0203943587414811E-3</v>
      </c>
      <c r="K251" s="239" t="e">
        <f t="shared" ca="1" si="14"/>
        <v>#VALUE!</v>
      </c>
    </row>
    <row r="252" spans="2:11" customFormat="1">
      <c r="D252" s="210">
        <f t="shared" ca="1" si="13"/>
        <v>43889</v>
      </c>
      <c r="E252" s="253" t="e">
        <f ca="1"/>
        <v>#VALUE!</v>
      </c>
      <c r="F252" s="237">
        <f ca="1"/>
        <v>0.9969712248967787</v>
      </c>
      <c r="G252" s="231" t="e">
        <f ca="1"/>
        <v>#VALUE!</v>
      </c>
      <c r="H252" s="66">
        <f ca="1"/>
        <v>6.0406435096376221E-3</v>
      </c>
      <c r="I252" s="244" t="e">
        <f ca="1"/>
        <v>#VALUE!</v>
      </c>
      <c r="J252" s="239">
        <f ca="1">_xll.qlYieldTSForwardRate2($F$241,D252,"1m","Actual/360","simple","annual")</f>
        <v>7.2724521294135315E-3</v>
      </c>
      <c r="K252" s="239" t="e">
        <f t="shared" ca="1" si="14"/>
        <v>#VALUE!</v>
      </c>
    </row>
    <row r="253" spans="2:11" customFormat="1">
      <c r="D253" s="210">
        <f t="shared" ca="1" si="13"/>
        <v>43921</v>
      </c>
      <c r="E253" s="253" t="e">
        <f ca="1"/>
        <v>#VALUE!</v>
      </c>
      <c r="F253" s="237">
        <f ca="1"/>
        <v>0.99632713947915352</v>
      </c>
      <c r="G253" s="231" t="e">
        <f ca="1"/>
        <v>#VALUE!</v>
      </c>
      <c r="H253" s="66">
        <f ca="1"/>
        <v>6.2443819067929951E-3</v>
      </c>
      <c r="I253" s="244" t="e">
        <f ca="1"/>
        <v>#VALUE!</v>
      </c>
      <c r="J253" s="239">
        <f ca="1">_xll.qlYieldTSForwardRate2($F$241,D253,"1m","Actual/360","simple","annual")</f>
        <v>7.7816812797877333E-3</v>
      </c>
      <c r="K253" s="239" t="e">
        <f t="shared" ca="1" si="14"/>
        <v>#VALUE!</v>
      </c>
    </row>
    <row r="254" spans="2:11" customFormat="1">
      <c r="D254" s="210">
        <f t="shared" ca="1" si="13"/>
        <v>43951</v>
      </c>
      <c r="E254" s="253" t="e">
        <f ca="1"/>
        <v>#VALUE!</v>
      </c>
      <c r="F254" s="237">
        <f ca="1"/>
        <v>0.9956814664934498</v>
      </c>
      <c r="G254" s="231" t="e">
        <f ca="1"/>
        <v>#VALUE!</v>
      </c>
      <c r="H254" s="66">
        <f ca="1"/>
        <v>6.4507427756888003E-3</v>
      </c>
      <c r="I254" s="244" t="e">
        <f ca="1"/>
        <v>#VALUE!</v>
      </c>
      <c r="J254" s="239">
        <f ca="1">_xll.qlYieldTSForwardRate2($F$241,D254,"1m","Actual/360","simple","annual")</f>
        <v>8.1451836382839815E-3</v>
      </c>
      <c r="K254" s="239" t="e">
        <f t="shared" ca="1" si="14"/>
        <v>#VALUE!</v>
      </c>
    </row>
    <row r="255" spans="2:11" customFormat="1">
      <c r="D255" s="210">
        <f t="shared" ca="1" si="13"/>
        <v>43980</v>
      </c>
      <c r="E255" s="253" t="e">
        <f ca="1"/>
        <v>#VALUE!</v>
      </c>
      <c r="F255" s="237">
        <f ca="1"/>
        <v>0.99502914774682671</v>
      </c>
      <c r="G255" s="231" t="e">
        <f ca="1"/>
        <v>#VALUE!</v>
      </c>
      <c r="H255" s="66">
        <f ca="1"/>
        <v>6.6459219123795599E-3</v>
      </c>
      <c r="I255" s="244" t="e">
        <f ca="1"/>
        <v>#VALUE!</v>
      </c>
      <c r="J255" s="239">
        <f ca="1">_xll.qlYieldTSForwardRate2($F$241,D255,"1m","Actual/360","simple","annual")</f>
        <v>8.3450312840992504E-3</v>
      </c>
      <c r="K255" s="239" t="e">
        <f t="shared" ca="1" si="14"/>
        <v>#VALUE!</v>
      </c>
    </row>
    <row r="256" spans="2:11" customFormat="1">
      <c r="D256" s="210">
        <f t="shared" ca="1" si="13"/>
        <v>44012</v>
      </c>
      <c r="E256" s="253" t="e">
        <f ca="1"/>
        <v>#VALUE!</v>
      </c>
      <c r="F256" s="237">
        <f ca="1"/>
        <v>0.99429159302713677</v>
      </c>
      <c r="G256" s="231" t="e">
        <f ca="1"/>
        <v>#VALUE!</v>
      </c>
      <c r="H256" s="66">
        <f ca="1"/>
        <v>6.8405857577293894E-3</v>
      </c>
      <c r="I256" s="244" t="e">
        <f ca="1"/>
        <v>#VALUE!</v>
      </c>
      <c r="J256" s="239">
        <f ca="1">_xll.qlYieldTSForwardRate2($F$241,D256,"1m","Actual/360","simple","annual")</f>
        <v>8.5586627869611576E-3</v>
      </c>
      <c r="K256" s="239" t="e">
        <f t="shared" ca="1" si="14"/>
        <v>#VALUE!</v>
      </c>
    </row>
    <row r="257" spans="4:11" customFormat="1">
      <c r="D257" s="210">
        <f t="shared" ca="1" si="13"/>
        <v>44043</v>
      </c>
      <c r="E257" s="253" t="e">
        <f ca="1"/>
        <v>#VALUE!</v>
      </c>
      <c r="F257" s="237">
        <f ca="1"/>
        <v>0.99355933510667649</v>
      </c>
      <c r="G257" s="231" t="e">
        <f ca="1"/>
        <v>#VALUE!</v>
      </c>
      <c r="H257" s="66">
        <f ca="1"/>
        <v>7.0141131125389666E-3</v>
      </c>
      <c r="I257" s="244" t="e">
        <f ca="1"/>
        <v>#VALUE!</v>
      </c>
      <c r="J257" s="239">
        <f ca="1">_xll.qlYieldTSForwardRate2($F$241,D257,"1m","Actual/360","simple","annual")</f>
        <v>9.2629748514919206E-3</v>
      </c>
      <c r="K257" s="239" t="e">
        <f t="shared" ca="1" si="14"/>
        <v>#VALUE!</v>
      </c>
    </row>
    <row r="258" spans="4:11" customFormat="1">
      <c r="D258" s="223">
        <f t="shared" ca="1" si="13"/>
        <v>44071</v>
      </c>
      <c r="E258" s="200" t="e">
        <f ca="1"/>
        <v>#VALUE!</v>
      </c>
      <c r="F258" s="199">
        <f ca="1"/>
        <v>0.9928442676496807</v>
      </c>
      <c r="G258" s="242" t="e">
        <f ca="1"/>
        <v>#VALUE!</v>
      </c>
      <c r="H258" s="221">
        <f ca="1"/>
        <v>7.2004900973530184E-3</v>
      </c>
      <c r="I258" s="244" t="e">
        <f ca="1"/>
        <v>#VALUE!</v>
      </c>
      <c r="J258" s="239">
        <f ca="1">_xll.qlYieldTSForwardRate2($F$241,D258,"1m","Actual/360","simple","annual")</f>
        <v>9.2875328949926228E-3</v>
      </c>
      <c r="K258" s="239" t="e">
        <f t="shared" ca="1" si="14"/>
        <v>#VALUE!</v>
      </c>
    </row>
    <row r="259" spans="4:11" customFormat="1">
      <c r="D259" s="210">
        <f t="shared" ca="1" si="13"/>
        <v>44104</v>
      </c>
      <c r="E259" s="253" t="e">
        <f ca="1"/>
        <v>#VALUE!</v>
      </c>
      <c r="F259" s="237">
        <f ca="1"/>
        <v>0.99199969979791414</v>
      </c>
      <c r="G259" s="231" t="e">
        <f ca="1"/>
        <v>#VALUE!</v>
      </c>
      <c r="H259" s="66">
        <f ca="1"/>
        <v>7.3889295229947471E-3</v>
      </c>
      <c r="I259" s="244" t="e">
        <f ca="1"/>
        <v>#VALUE!</v>
      </c>
      <c r="J259" s="239">
        <f ca="1">_xll.qlYieldTSForwardRate2($F$241,D259,"1m","Actual/360","simple","annual")</f>
        <v>9.2874131247988601E-3</v>
      </c>
      <c r="K259" s="239" t="e">
        <f t="shared" ca="1" si="14"/>
        <v>#VALUE!</v>
      </c>
    </row>
    <row r="260" spans="4:11" customFormat="1">
      <c r="D260" s="210">
        <f t="shared" ca="1" si="13"/>
        <v>44134</v>
      </c>
      <c r="E260" s="253" t="e">
        <f ca="1"/>
        <v>#VALUE!</v>
      </c>
      <c r="F260" s="237">
        <f ca="1"/>
        <v>0.9912325342938535</v>
      </c>
      <c r="G260" s="231" t="e">
        <f ca="1"/>
        <v>#VALUE!</v>
      </c>
      <c r="H260" s="66">
        <f ca="1"/>
        <v>7.5351253965856291E-3</v>
      </c>
      <c r="I260" s="244" t="e">
        <f ca="1"/>
        <v>#VALUE!</v>
      </c>
      <c r="J260" s="239">
        <f ca="1">_xll.qlYieldTSForwardRate2($F$241,D260,"1m","Actual/360","simple","annual")</f>
        <v>9.2875328949926228E-3</v>
      </c>
      <c r="K260" s="239" t="e">
        <f t="shared" ca="1" si="14"/>
        <v>#VALUE!</v>
      </c>
    </row>
    <row r="261" spans="4:11" customFormat="1">
      <c r="D261" s="210">
        <f t="shared" ca="1" si="13"/>
        <v>44165</v>
      </c>
      <c r="E261" s="253" t="e">
        <f ca="1"/>
        <v>#VALUE!</v>
      </c>
      <c r="F261" s="237">
        <f ca="1"/>
        <v>0.99044041988444687</v>
      </c>
      <c r="G261" s="231" t="e">
        <f ca="1"/>
        <v>#VALUE!</v>
      </c>
      <c r="H261" s="66">
        <f ca="1"/>
        <v>7.6661944496041468E-3</v>
      </c>
      <c r="I261" s="244" t="e">
        <f ca="1"/>
        <v>#VALUE!</v>
      </c>
      <c r="J261" s="239">
        <f ca="1">_xll.qlYieldTSForwardRate2($F$241,D261,"1m","Actual/360","simple","annual")</f>
        <v>1.0018373115707746E-2</v>
      </c>
      <c r="K261" s="239" t="e">
        <f t="shared" ca="1" si="14"/>
        <v>#VALUE!</v>
      </c>
    </row>
    <row r="262" spans="4:11" customFormat="1">
      <c r="D262" s="210">
        <f t="shared" ca="1" si="13"/>
        <v>44253</v>
      </c>
      <c r="E262" s="253" t="e">
        <f ca="1"/>
        <v>#VALUE!</v>
      </c>
      <c r="F262" s="237">
        <f ca="1"/>
        <v>0.98801887203911831</v>
      </c>
      <c r="G262" s="231" t="e">
        <f ca="1"/>
        <v>#VALUE!</v>
      </c>
      <c r="H262" s="66">
        <f ca="1"/>
        <v>8.075430450882326E-3</v>
      </c>
      <c r="I262" s="244" t="e">
        <f ca="1"/>
        <v>#VALUE!</v>
      </c>
      <c r="J262" s="239">
        <f ca="1">_xll.qlYieldTSForwardRate2($F$241,D262,"1m","Actual/360","simple","annual")</f>
        <v>1.091581425949054E-2</v>
      </c>
      <c r="K262" s="239" t="e">
        <f t="shared" ca="1" si="14"/>
        <v>#VALUE!</v>
      </c>
    </row>
    <row r="263" spans="4:11" customFormat="1">
      <c r="D263" s="210">
        <f t="shared" ca="1" si="13"/>
        <v>44347</v>
      </c>
      <c r="E263" s="253" t="e">
        <f ca="1"/>
        <v>#VALUE!</v>
      </c>
      <c r="F263" s="237">
        <f ca="1"/>
        <v>0.9852079815680439</v>
      </c>
      <c r="G263" s="231" t="e">
        <f ca="1"/>
        <v>#VALUE!</v>
      </c>
      <c r="H263" s="66">
        <f ca="1"/>
        <v>8.5219360762454066E-3</v>
      </c>
      <c r="I263" s="244" t="e">
        <f ca="1"/>
        <v>#VALUE!</v>
      </c>
      <c r="J263" s="239">
        <f ca="1">_xll.qlYieldTSForwardRate2($F$241,D263,"1m","Actual/360","simple","annual")</f>
        <v>1.0916145158660129E-2</v>
      </c>
      <c r="K263" s="239" t="e">
        <f t="shared" ca="1" si="14"/>
        <v>#VALUE!</v>
      </c>
    </row>
    <row r="264" spans="4:11" customFormat="1">
      <c r="D264" s="210">
        <f t="shared" ca="1" si="13"/>
        <v>44438</v>
      </c>
      <c r="E264" s="253" t="e">
        <f ca="1"/>
        <v>#VALUE!</v>
      </c>
      <c r="F264" s="237">
        <f ca="1"/>
        <v>0.98249441875691446</v>
      </c>
      <c r="G264" s="231" t="e">
        <f ca="1"/>
        <v>#VALUE!</v>
      </c>
      <c r="H264" s="66">
        <f ca="1"/>
        <v>8.8450699151201295E-3</v>
      </c>
      <c r="I264" s="244" t="e">
        <f ca="1"/>
        <v>#VALUE!</v>
      </c>
      <c r="J264" s="239">
        <f ca="1">_xll.qlYieldTSForwardRate2($F$241,D264,"1m","Actual/360","simple","annual")</f>
        <v>1.2445557436003016E-2</v>
      </c>
      <c r="K264" s="239" t="e">
        <f t="shared" ca="1" si="14"/>
        <v>#VALUE!</v>
      </c>
    </row>
    <row r="265" spans="4:11" customFormat="1">
      <c r="D265" s="210">
        <f t="shared" ca="1" si="13"/>
        <v>44530</v>
      </c>
      <c r="E265" s="253" t="e">
        <f ca="1"/>
        <v>#VALUE!</v>
      </c>
      <c r="F265" s="237">
        <f ca="1"/>
        <v>0.97936774575377505</v>
      </c>
      <c r="G265" s="231" t="e">
        <f ca="1"/>
        <v>#VALUE!</v>
      </c>
      <c r="H265" s="66">
        <f ca="1"/>
        <v>9.2776598003745381E-3</v>
      </c>
      <c r="I265" s="244" t="e">
        <f ca="1"/>
        <v>#VALUE!</v>
      </c>
      <c r="J265" s="239">
        <f ca="1">_xll.qlYieldTSForwardRate2($F$241,D265,"1m","Actual/360","simple","annual")</f>
        <v>1.2496318981530585E-2</v>
      </c>
      <c r="K265" s="239" t="e">
        <f t="shared" ca="1" si="14"/>
        <v>#VALUE!</v>
      </c>
    </row>
    <row r="266" spans="4:11" customFormat="1">
      <c r="D266" s="210">
        <f t="shared" ca="1" si="13"/>
        <v>44803</v>
      </c>
      <c r="E266" s="253" t="e">
        <f ca="1"/>
        <v>#VALUE!</v>
      </c>
      <c r="F266" s="237">
        <f ca="1"/>
        <v>0.97013550883974098</v>
      </c>
      <c r="G266" s="231" t="e">
        <f ca="1"/>
        <v>#VALUE!</v>
      </c>
      <c r="H266" s="66">
        <f ca="1"/>
        <v>1.0139136307187879E-2</v>
      </c>
      <c r="I266" s="244" t="e">
        <f ca="1"/>
        <v>#VALUE!</v>
      </c>
      <c r="J266" s="239">
        <f ca="1">_xll.qlYieldTSForwardRate2($F$241,D266,"1m","Actual/360","simple","annual")</f>
        <v>1.3972808894719252E-2</v>
      </c>
      <c r="K266" s="239" t="e">
        <f t="shared" ca="1" si="14"/>
        <v>#VALUE!</v>
      </c>
    </row>
    <row r="267" spans="4:11" customFormat="1">
      <c r="D267" s="210">
        <f t="shared" ca="1" si="13"/>
        <v>45168</v>
      </c>
      <c r="E267" s="253" t="e">
        <f ca="1"/>
        <v>#VALUE!</v>
      </c>
      <c r="F267" s="237">
        <f ca="1"/>
        <v>0.95649676040860465</v>
      </c>
      <c r="G267" s="231" t="e">
        <f ca="1"/>
        <v>#VALUE!</v>
      </c>
      <c r="H267" s="66">
        <f ca="1"/>
        <v>1.1166139053347734E-2</v>
      </c>
      <c r="I267" s="244" t="e">
        <f ca="1"/>
        <v>#VALUE!</v>
      </c>
      <c r="J267" s="239">
        <f ca="1">_xll.qlYieldTSForwardRate2($F$241,D267,"1m","Actual/360","simple","annual")</f>
        <v>1.5815678483015461E-2</v>
      </c>
      <c r="K267" s="239" t="e">
        <f t="shared" ca="1" si="14"/>
        <v>#VALUE!</v>
      </c>
    </row>
    <row r="268" spans="4:11" customFormat="1">
      <c r="D268" s="210">
        <f t="shared" ca="1" si="13"/>
        <v>45534</v>
      </c>
      <c r="E268" s="253" t="e">
        <f ca="1"/>
        <v>#VALUE!</v>
      </c>
      <c r="F268" s="237">
        <f ca="1"/>
        <v>0.94125027202967981</v>
      </c>
      <c r="G268" s="231" t="e">
        <f ca="1"/>
        <v>#VALUE!</v>
      </c>
      <c r="H268" s="66">
        <f ca="1"/>
        <v>1.2167168653158811E-2</v>
      </c>
      <c r="I268" s="244" t="e">
        <f ca="1"/>
        <v>#VALUE!</v>
      </c>
      <c r="J268" s="239">
        <f ca="1">_xll.qlYieldTSForwardRate2($F$241,D268,"1m","Actual/360","simple","annual")</f>
        <v>1.6962685472344342E-2</v>
      </c>
      <c r="K268" s="239" t="e">
        <f t="shared" ca="1" si="14"/>
        <v>#VALUE!</v>
      </c>
    </row>
    <row r="269" spans="4:11" customFormat="1">
      <c r="D269" s="210">
        <f t="shared" ca="1" si="13"/>
        <v>45898</v>
      </c>
      <c r="E269" s="253" t="e">
        <f ca="1"/>
        <v>#VALUE!</v>
      </c>
      <c r="F269" s="237">
        <f ca="1"/>
        <v>0.92525596886072381</v>
      </c>
      <c r="G269" s="231" t="e">
        <f ca="1"/>
        <v>#VALUE!</v>
      </c>
      <c r="H269" s="66">
        <f ca="1"/>
        <v>1.3025671216039258E-2</v>
      </c>
      <c r="I269" s="244" t="e">
        <f ca="1"/>
        <v>#VALUE!</v>
      </c>
      <c r="J269" s="239">
        <f ca="1">_xll.qlYieldTSForwardRate2($F$241,D269,"1m","Actual/360","simple","annual")</f>
        <v>1.9180830750536823E-2</v>
      </c>
      <c r="K269" s="239" t="e">
        <f t="shared" ca="1" si="14"/>
        <v>#VALUE!</v>
      </c>
    </row>
    <row r="270" spans="4:11" customFormat="1">
      <c r="D270" s="210">
        <f t="shared" ca="1" si="13"/>
        <v>46265</v>
      </c>
      <c r="E270" s="253" t="e">
        <f ca="1"/>
        <v>#VALUE!</v>
      </c>
      <c r="F270" s="237">
        <f ca="1"/>
        <v>0.90735110524284135</v>
      </c>
      <c r="G270" s="231" t="e">
        <f ca="1"/>
        <v>#VALUE!</v>
      </c>
      <c r="H270" s="66">
        <f ca="1"/>
        <v>1.3969788452622867E-2</v>
      </c>
      <c r="I270" s="244" t="e">
        <f ca="1"/>
        <v>#VALUE!</v>
      </c>
      <c r="J270" s="239">
        <f ca="1">_xll.qlYieldTSForwardRate2($F$241,D270,"1m","Actual/360","simple","annual")</f>
        <v>1.9574582739568136E-2</v>
      </c>
      <c r="K270" s="239" t="e">
        <f t="shared" ca="1" si="14"/>
        <v>#VALUE!</v>
      </c>
    </row>
    <row r="271" spans="4:11" customFormat="1">
      <c r="D271" s="210">
        <f t="shared" ca="1" si="13"/>
        <v>46629</v>
      </c>
      <c r="E271" s="253" t="e">
        <f ca="1"/>
        <v>#VALUE!</v>
      </c>
      <c r="F271" s="237">
        <f ca="1"/>
        <v>0.88958363574215937</v>
      </c>
      <c r="G271" s="231" t="e">
        <f ca="1"/>
        <v>#VALUE!</v>
      </c>
      <c r="H271" s="66">
        <f ca="1"/>
        <v>1.4722532801666688E-2</v>
      </c>
      <c r="I271" s="244" t="e">
        <f ca="1"/>
        <v>#VALUE!</v>
      </c>
      <c r="J271" s="239">
        <f ca="1">_xll.qlYieldTSForwardRate2($F$241,D271,"1m","Actual/360","simple","annual")</f>
        <v>2.106993165258577E-2</v>
      </c>
      <c r="K271" s="239" t="e">
        <f t="shared" ca="1" si="14"/>
        <v>#VALUE!</v>
      </c>
    </row>
    <row r="272" spans="4:11" customFormat="1">
      <c r="D272" s="210">
        <f t="shared" ca="1" si="13"/>
        <v>46995</v>
      </c>
      <c r="E272" s="253" t="e">
        <f ca="1"/>
        <v>#VALUE!</v>
      </c>
      <c r="F272" s="237">
        <f ca="1"/>
        <v>0.87070702526755428</v>
      </c>
      <c r="G272" s="231" t="e">
        <f ca="1"/>
        <v>#VALUE!</v>
      </c>
      <c r="H272" s="66">
        <f ca="1"/>
        <v>1.5491120662736169E-2</v>
      </c>
      <c r="I272" s="244" t="e">
        <f ca="1"/>
        <v>#VALUE!</v>
      </c>
      <c r="J272" s="239">
        <f ca="1">_xll.qlYieldTSForwardRate2($F$241,D272,"1m","Actual/360","simple","annual")</f>
        <v>2.1870765933356774E-2</v>
      </c>
      <c r="K272" s="239" t="e">
        <f t="shared" ca="1" si="14"/>
        <v>#VALUE!</v>
      </c>
    </row>
    <row r="273" spans="4:11" customFormat="1">
      <c r="D273" s="210">
        <f t="shared" ca="1" si="13"/>
        <v>47360</v>
      </c>
      <c r="E273" s="253" t="e">
        <f ca="1"/>
        <v>#VALUE!</v>
      </c>
      <c r="F273" s="237">
        <f ca="1"/>
        <v>0.85162976341182817</v>
      </c>
      <c r="G273" s="231" t="e">
        <f ca="1"/>
        <v>#VALUE!</v>
      </c>
      <c r="H273" s="66">
        <f ca="1"/>
        <v>1.6181062389193146E-2</v>
      </c>
      <c r="I273" s="244" t="e">
        <f ca="1"/>
        <v>#VALUE!</v>
      </c>
      <c r="J273" s="239">
        <f ca="1">_xll.qlYieldTSForwardRate2($F$241,D273,"1m","Actual/360","simple","annual")</f>
        <v>2.2636805215018714E-2</v>
      </c>
      <c r="K273" s="239" t="e">
        <f t="shared" ca="1" si="14"/>
        <v>#VALUE!</v>
      </c>
    </row>
    <row r="274" spans="4:11" customFormat="1">
      <c r="D274" s="210">
        <f t="shared" ca="1" si="13"/>
        <v>48089</v>
      </c>
      <c r="E274" s="253" t="e">
        <f ca="1"/>
        <v>#VALUE!</v>
      </c>
      <c r="F274" s="237">
        <f ca="1"/>
        <v>0.81350898455175469</v>
      </c>
      <c r="G274" s="231" t="e">
        <f ca="1"/>
        <v>#VALUE!</v>
      </c>
      <c r="H274" s="66">
        <f ca="1"/>
        <v>1.7344634178314777E-2</v>
      </c>
      <c r="I274" s="244" t="e">
        <f ca="1"/>
        <v>#VALUE!</v>
      </c>
      <c r="J274" s="239">
        <f ca="1">_xll.qlYieldTSForwardRate2($F$241,D274,"1m","Actual/360","simple","annual")</f>
        <v>2.3103529408433094E-2</v>
      </c>
      <c r="K274" s="239" t="e">
        <f t="shared" ca="1" si="14"/>
        <v>#VALUE!</v>
      </c>
    </row>
    <row r="275" spans="4:11" customFormat="1">
      <c r="D275" s="210">
        <f t="shared" ca="1" si="13"/>
        <v>49186</v>
      </c>
      <c r="E275" s="253" t="e">
        <f ca="1"/>
        <v>#VALUE!</v>
      </c>
      <c r="F275" s="237">
        <f ca="1"/>
        <v>0.75825923123512595</v>
      </c>
      <c r="G275" s="231" t="e">
        <f ca="1"/>
        <v>#VALUE!</v>
      </c>
      <c r="H275" s="66">
        <f ca="1"/>
        <v>1.8613029635043521E-2</v>
      </c>
      <c r="I275" s="244" t="e">
        <f ca="1"/>
        <v>#VALUE!</v>
      </c>
      <c r="J275" s="239">
        <f ca="1">_xll.qlYieldTSForwardRate2($F$241,D275,"1m","Actual/360","simple","annual")</f>
        <v>2.2869974846059272E-2</v>
      </c>
      <c r="K275" s="239" t="e">
        <f t="shared" ca="1" si="14"/>
        <v>#VALUE!</v>
      </c>
    </row>
    <row r="276" spans="4:11" customFormat="1">
      <c r="D276" s="210">
        <f t="shared" ca="1" si="13"/>
        <v>51012</v>
      </c>
      <c r="E276" s="253" t="e">
        <f ca="1"/>
        <v>#VALUE!</v>
      </c>
      <c r="F276" s="237">
        <f ca="1"/>
        <v>0.67528701026846694</v>
      </c>
      <c r="G276" s="231" t="e">
        <f ca="1"/>
        <v>#VALUE!</v>
      </c>
      <c r="H276" s="66">
        <f ca="1"/>
        <v>1.981934315506706E-2</v>
      </c>
      <c r="I276" s="244" t="e">
        <f ca="1"/>
        <v>#VALUE!</v>
      </c>
      <c r="J276" s="239">
        <f ca="1">_xll.qlYieldTSForwardRate2($F$241,D276,"1m","Actual/360","simple","annual")</f>
        <v>2.1714913861352676E-2</v>
      </c>
      <c r="K276" s="239" t="e">
        <f t="shared" ca="1" si="14"/>
        <v>#VALUE!</v>
      </c>
    </row>
    <row r="277" spans="4:11" customFormat="1">
      <c r="D277" s="210">
        <f t="shared" ca="1" si="13"/>
        <v>52839</v>
      </c>
      <c r="E277" s="253" t="e">
        <f ca="1"/>
        <v>#VALUE!</v>
      </c>
      <c r="F277" s="237">
        <f ca="1"/>
        <v>0.60488449291674207</v>
      </c>
      <c r="G277" s="231" t="e">
        <f ca="1"/>
        <v>#VALUE!</v>
      </c>
      <c r="H277" s="66">
        <f ca="1"/>
        <v>2.0306995226555991E-2</v>
      </c>
      <c r="I277" s="244" t="e">
        <f ca="1"/>
        <v>#VALUE!</v>
      </c>
      <c r="J277" s="239">
        <f ca="1">_xll.qlYieldTSForwardRate2($F$241,D277,"1m","Actual/360","simple","annual")</f>
        <v>2.11456627196135E-2</v>
      </c>
      <c r="K277" s="239" t="e">
        <f t="shared" ca="1" si="14"/>
        <v>#VALUE!</v>
      </c>
    </row>
    <row r="278" spans="4:11" customFormat="1">
      <c r="D278" s="210">
        <f t="shared" ca="1" si="13"/>
        <v>54665</v>
      </c>
      <c r="E278" s="253" t="e">
        <f ca="1"/>
        <v>#VALUE!</v>
      </c>
      <c r="F278" s="237">
        <f ca="1"/>
        <v>0.54341839592069574</v>
      </c>
      <c r="G278" s="231" t="e">
        <f ca="1"/>
        <v>#VALUE!</v>
      </c>
      <c r="H278" s="66">
        <f ca="1"/>
        <v>2.0533447730749055E-2</v>
      </c>
      <c r="I278" s="244" t="e">
        <f ca="1"/>
        <v>#VALUE!</v>
      </c>
      <c r="J278" s="239">
        <f ca="1">_xll.qlYieldTSForwardRate2($F$241,D278,"1m","Actual/360","simple","annual")</f>
        <v>2.0287240135194146E-2</v>
      </c>
      <c r="K278" s="239" t="e">
        <f t="shared" ca="1" si="14"/>
        <v>#VALUE!</v>
      </c>
    </row>
    <row r="279" spans="4:11" customFormat="1">
      <c r="D279" s="210">
        <f t="shared" ca="1" si="13"/>
        <v>58316</v>
      </c>
      <c r="E279" s="253" t="e">
        <f ca="1"/>
        <v>#VALUE!</v>
      </c>
      <c r="F279" s="237">
        <f ca="1"/>
        <v>0.44257053237336191</v>
      </c>
      <c r="G279" s="231" t="e">
        <f ca="1"/>
        <v>#VALUE!</v>
      </c>
      <c r="H279" s="66">
        <f ca="1"/>
        <v>2.0586528612687394E-2</v>
      </c>
      <c r="I279" s="244" t="e">
        <f ca="1"/>
        <v>#VALUE!</v>
      </c>
      <c r="J279" s="239">
        <f ca="1">_xll.qlYieldTSForwardRate2($F$241,D279,"1m","Actual/360","simple","annual")</f>
        <v>1.8485557892604858E-2</v>
      </c>
      <c r="K279" s="239" t="e">
        <f t="shared" ca="1" si="14"/>
        <v>#VALUE!</v>
      </c>
    </row>
    <row r="280" spans="4:11" customFormat="1">
      <c r="D280" s="209">
        <f t="shared" ca="1" si="13"/>
        <v>61970</v>
      </c>
      <c r="E280" s="218" t="e">
        <f ca="1"/>
        <v>#VALUE!</v>
      </c>
      <c r="F280" s="217">
        <f ca="1"/>
        <v>0.36691147653831435</v>
      </c>
      <c r="G280" s="247" t="e">
        <f ca="1"/>
        <v>#VALUE!</v>
      </c>
      <c r="H280" s="86">
        <f ca="1"/>
        <v>2.0252857468061602E-2</v>
      </c>
      <c r="I280" s="201" t="e">
        <f ca="1"/>
        <v>#VALUE!</v>
      </c>
      <c r="J280" s="238"/>
      <c r="K280" s="238"/>
    </row>
  </sheetData>
  <dataValidations disablePrompts="1" count="1">
    <dataValidation type="list" allowBlank="1" showInputMessage="1" showErrorMessage="1" sqref="G4">
      <formula1>"true,false"</formula1>
    </dataValidation>
  </dataValidation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BD280"/>
  <sheetViews>
    <sheetView topLeftCell="A67" zoomScale="85" zoomScaleNormal="85" workbookViewId="0">
      <selection activeCell="K80" sqref="K80"/>
    </sheetView>
  </sheetViews>
  <sheetFormatPr defaultRowHeight="15"/>
  <cols>
    <col min="1" max="1" width="12.5703125" style="115" bestFit="1" customWidth="1"/>
    <col min="2" max="2" width="14.5703125" style="115" bestFit="1" customWidth="1"/>
    <col min="3" max="3" width="9.140625" style="115"/>
    <col min="4" max="4" width="20.140625" style="115" bestFit="1" customWidth="1"/>
    <col min="5" max="5" width="18.5703125" style="115" bestFit="1" customWidth="1"/>
    <col min="6" max="6" width="19.85546875" style="115" bestFit="1" customWidth="1"/>
    <col min="7" max="7" width="27.140625" style="115" bestFit="1" customWidth="1"/>
    <col min="8" max="8" width="9.140625" style="115"/>
    <col min="9" max="9" width="17.28515625" style="115" bestFit="1" customWidth="1"/>
    <col min="10" max="10" width="15.140625" style="115" bestFit="1" customWidth="1"/>
    <col min="11" max="11" width="14.5703125" style="115" bestFit="1" customWidth="1"/>
    <col min="12" max="12" width="9.140625" style="115"/>
    <col min="13" max="13" width="20.42578125" style="115" bestFit="1" customWidth="1"/>
    <col min="14" max="14" width="17.5703125" style="115" customWidth="1"/>
    <col min="15" max="17" width="9.140625" style="115"/>
    <col min="18" max="18" width="17.28515625" style="115" bestFit="1" customWidth="1"/>
    <col min="19" max="20" width="17.28515625" style="115" customWidth="1"/>
    <col min="21" max="21" width="5.85546875" style="115" customWidth="1"/>
    <col min="22" max="27" width="17.28515625" style="115" customWidth="1"/>
    <col min="28" max="28" width="9.140625" style="115"/>
    <col min="29" max="29" width="10.7109375" style="115" bestFit="1" customWidth="1"/>
    <col min="30" max="33" width="9.140625" style="115"/>
    <col min="34" max="34" width="17.28515625" style="115" bestFit="1" customWidth="1"/>
    <col min="35" max="35" width="12.28515625" style="115" bestFit="1" customWidth="1"/>
    <col min="36" max="37" width="12.28515625" style="115" customWidth="1"/>
    <col min="38" max="38" width="10.7109375" style="115" bestFit="1" customWidth="1"/>
    <col min="39" max="42" width="9.140625" style="115"/>
    <col min="43" max="43" width="17.28515625" style="115" bestFit="1" customWidth="1"/>
    <col min="44" max="44" width="12.28515625" style="115" bestFit="1" customWidth="1"/>
    <col min="45" max="46" width="12.28515625" style="115" customWidth="1"/>
    <col min="47" max="47" width="10.7109375" style="115" bestFit="1" customWidth="1"/>
    <col min="48" max="51" width="9.140625" style="115"/>
    <col min="52" max="52" width="17.28515625" style="115" bestFit="1" customWidth="1"/>
    <col min="53" max="53" width="12.28515625" style="115" bestFit="1" customWidth="1"/>
    <col min="54" max="55" width="12.28515625" style="115" customWidth="1"/>
    <col min="56" max="56" width="10.7109375" style="115" bestFit="1" customWidth="1"/>
    <col min="57" max="60" width="9.140625" style="115"/>
    <col min="61" max="61" width="12.28515625" style="115" customWidth="1"/>
    <col min="62" max="16384" width="9.140625" style="115"/>
  </cols>
  <sheetData>
    <row r="1" spans="2:55">
      <c r="G1" s="117"/>
    </row>
    <row r="3" spans="2:55">
      <c r="D3" s="483" t="s">
        <v>442</v>
      </c>
      <c r="E3" s="484" t="s">
        <v>366</v>
      </c>
      <c r="F3" s="142" t="s">
        <v>443</v>
      </c>
      <c r="G3" s="140" t="s">
        <v>809</v>
      </c>
    </row>
    <row r="4" spans="2:55">
      <c r="D4" s="485">
        <v>42522</v>
      </c>
      <c r="E4" s="486">
        <v>42524</v>
      </c>
      <c r="F4" s="487" t="s">
        <v>828</v>
      </c>
      <c r="G4" s="50" t="b">
        <v>0</v>
      </c>
    </row>
    <row r="6" spans="2:55">
      <c r="B6" s="118" t="s">
        <v>270</v>
      </c>
      <c r="C6" s="119" t="s">
        <v>280</v>
      </c>
      <c r="D6" s="140" t="s">
        <v>301</v>
      </c>
      <c r="F6" s="115" t="s">
        <v>829</v>
      </c>
    </row>
    <row r="7" spans="2:55">
      <c r="B7" s="120" t="s">
        <v>269</v>
      </c>
      <c r="C7" s="121" t="s">
        <v>251</v>
      </c>
      <c r="D7" s="116" t="s">
        <v>830</v>
      </c>
      <c r="E7" s="116" t="s">
        <v>444</v>
      </c>
      <c r="F7" s="127" t="s">
        <v>734</v>
      </c>
      <c r="G7" s="116" t="s">
        <v>444</v>
      </c>
      <c r="H7" s="127" t="s">
        <v>734</v>
      </c>
      <c r="I7" s="140" t="s">
        <v>823</v>
      </c>
      <c r="J7" s="140" t="s">
        <v>850</v>
      </c>
      <c r="K7" s="127" t="s">
        <v>851</v>
      </c>
      <c r="U7" s="136"/>
      <c r="AT7" s="136"/>
      <c r="BC7" s="136"/>
    </row>
    <row r="8" spans="2:55">
      <c r="B8" s="120" t="s">
        <v>271</v>
      </c>
      <c r="C8" s="121" t="s">
        <v>272</v>
      </c>
      <c r="D8" s="233">
        <v>42522</v>
      </c>
      <c r="E8" s="252">
        <v>1</v>
      </c>
      <c r="F8" s="236">
        <v>1</v>
      </c>
      <c r="G8" s="229">
        <v>3.8592868235454381E-2</v>
      </c>
      <c r="H8" s="59">
        <v>3.8592868235454381E-2</v>
      </c>
      <c r="I8" s="204">
        <v>4.100000000311204E-2</v>
      </c>
      <c r="J8" s="203">
        <v>4.1000000000000245E-2</v>
      </c>
      <c r="K8" s="203">
        <v>3.1117955434645239E-12</v>
      </c>
      <c r="U8" s="245"/>
      <c r="AT8" s="245"/>
      <c r="BC8" s="245"/>
    </row>
    <row r="9" spans="2:55">
      <c r="B9" s="122" t="s">
        <v>273</v>
      </c>
      <c r="C9" s="123" t="s">
        <v>274</v>
      </c>
      <c r="D9" s="210">
        <v>42523</v>
      </c>
      <c r="E9" s="253">
        <v>0.99989626076294591</v>
      </c>
      <c r="F9" s="237">
        <v>0.99989626076294558</v>
      </c>
      <c r="G9" s="231">
        <v>3.8700622244964844E-2</v>
      </c>
      <c r="H9" s="66">
        <v>3.8700622245133598E-2</v>
      </c>
      <c r="I9" s="244">
        <v>4.1061702926077359E-2</v>
      </c>
      <c r="J9" s="239">
        <v>4.1190208338277259E-2</v>
      </c>
      <c r="K9" s="239">
        <v>-1.2850541219990019E-4</v>
      </c>
      <c r="L9" s="13" t="s">
        <v>206</v>
      </c>
      <c r="U9" s="245"/>
      <c r="AT9" s="245"/>
      <c r="BC9" s="245"/>
    </row>
    <row r="10" spans="2:55">
      <c r="B10" s="124" t="s">
        <v>328</v>
      </c>
      <c r="C10" s="125" t="s">
        <v>831</v>
      </c>
      <c r="D10" s="210">
        <v>42527</v>
      </c>
      <c r="E10" s="253">
        <v>0.99944158061776611</v>
      </c>
      <c r="F10" s="237">
        <v>0.99944010543331896</v>
      </c>
      <c r="G10" s="231">
        <v>4.1735128883709782E-2</v>
      </c>
      <c r="H10" s="66">
        <v>4.1847688106027459E-2</v>
      </c>
      <c r="I10" s="244">
        <v>4.1308517569737441E-2</v>
      </c>
      <c r="J10" s="239">
        <v>4.1417983463384163E-2</v>
      </c>
      <c r="K10" s="239">
        <v>-1.0946589364672216E-4</v>
      </c>
      <c r="L10" s="16" t="s">
        <v>276</v>
      </c>
      <c r="U10" s="245"/>
      <c r="AT10" s="245"/>
      <c r="BC10" s="245"/>
    </row>
    <row r="11" spans="2:55">
      <c r="B11" s="211" t="s">
        <v>807</v>
      </c>
      <c r="C11" s="232" t="s">
        <v>807</v>
      </c>
      <c r="D11" s="210">
        <v>42531</v>
      </c>
      <c r="E11" s="253">
        <v>0.99898710722806938</v>
      </c>
      <c r="F11" s="237">
        <v>0.99898415820296516</v>
      </c>
      <c r="G11" s="231">
        <v>4.2072843046076391E-2</v>
      </c>
      <c r="H11" s="66">
        <v>4.2197950143967544E-2</v>
      </c>
      <c r="I11" s="244">
        <v>4.1678748390769585E-2</v>
      </c>
      <c r="J11" s="239">
        <v>4.1645762610830667E-2</v>
      </c>
      <c r="K11" s="239">
        <v>3.2985779938918269E-5</v>
      </c>
      <c r="L11" s="16" t="s">
        <v>207</v>
      </c>
      <c r="U11" s="245"/>
      <c r="AT11" s="245"/>
      <c r="BC11" s="245"/>
    </row>
    <row r="12" spans="2:55">
      <c r="D12" s="210">
        <v>42555</v>
      </c>
      <c r="E12" s="253">
        <v>0.99624553975540242</v>
      </c>
      <c r="F12" s="237">
        <v>0.99623084865878309</v>
      </c>
      <c r="G12" s="231">
        <v>4.2601197617937681E-2</v>
      </c>
      <c r="H12" s="66">
        <v>4.2771731982628625E-2</v>
      </c>
      <c r="I12" s="244">
        <v>4.2727793428141779E-2</v>
      </c>
      <c r="J12" s="239">
        <v>4.2727768493490297E-2</v>
      </c>
      <c r="K12" s="239">
        <v>2.493465148245555E-8</v>
      </c>
      <c r="L12" s="16" t="s">
        <v>208</v>
      </c>
      <c r="U12" s="245"/>
      <c r="AT12" s="245"/>
      <c r="BC12" s="245"/>
    </row>
    <row r="13" spans="2:55">
      <c r="D13" s="210">
        <v>42585</v>
      </c>
      <c r="E13" s="253">
        <v>0.99271042682179478</v>
      </c>
      <c r="F13" s="237">
        <v>0.99269578991146068</v>
      </c>
      <c r="G13" s="231">
        <v>4.3420288537619811E-2</v>
      </c>
      <c r="H13" s="66">
        <v>4.3509670203394357E-2</v>
      </c>
      <c r="I13" s="244">
        <v>4.3688734179644202E-2</v>
      </c>
      <c r="J13" s="239">
        <v>4.3688674745580816E-2</v>
      </c>
      <c r="K13" s="239">
        <v>5.9434063386099023E-8</v>
      </c>
      <c r="L13" s="16" t="s">
        <v>209</v>
      </c>
      <c r="U13" s="245"/>
      <c r="AT13" s="245"/>
      <c r="BC13" s="245"/>
    </row>
    <row r="14" spans="2:55">
      <c r="D14" s="210">
        <v>42618</v>
      </c>
      <c r="E14" s="253">
        <v>0.9887205479454636</v>
      </c>
      <c r="F14" s="237">
        <v>0.98869545553022009</v>
      </c>
      <c r="G14" s="231">
        <v>4.4196066364741604E-2</v>
      </c>
      <c r="H14" s="66">
        <v>4.4297104967747858E-2</v>
      </c>
      <c r="I14" s="244">
        <v>4.6571985951467464E-2</v>
      </c>
      <c r="J14" s="239">
        <v>4.6571822988327342E-2</v>
      </c>
      <c r="K14" s="239">
        <v>1.6296314012120838E-7</v>
      </c>
      <c r="L14" s="16" t="s">
        <v>210</v>
      </c>
      <c r="U14" s="245"/>
      <c r="AT14" s="245"/>
      <c r="BC14" s="245"/>
    </row>
    <row r="15" spans="2:55">
      <c r="D15" s="210">
        <v>42646</v>
      </c>
      <c r="E15" s="253">
        <v>0.98515206553332424</v>
      </c>
      <c r="F15" s="237">
        <v>0.98512707612276029</v>
      </c>
      <c r="G15" s="231">
        <v>4.5143263051234062E-2</v>
      </c>
      <c r="H15" s="66">
        <v>4.5221517625363417E-2</v>
      </c>
      <c r="I15" s="244">
        <v>4.6571985951467464E-2</v>
      </c>
      <c r="J15" s="239">
        <v>4.6571822988327342E-2</v>
      </c>
      <c r="K15" s="239">
        <v>1.6296314012120838E-7</v>
      </c>
      <c r="L15" s="16" t="s">
        <v>226</v>
      </c>
      <c r="U15" s="245"/>
      <c r="AT15" s="245"/>
      <c r="BC15" s="245"/>
    </row>
    <row r="16" spans="2:55">
      <c r="D16" s="210">
        <v>42677</v>
      </c>
      <c r="E16" s="253">
        <v>0.98121626693892949</v>
      </c>
      <c r="F16" s="237">
        <v>0.98119139108330766</v>
      </c>
      <c r="G16" s="231">
        <v>4.5793265890492263E-2</v>
      </c>
      <c r="H16" s="66">
        <v>4.5855873485449949E-2</v>
      </c>
      <c r="I16" s="244">
        <v>4.8140725771821699E-2</v>
      </c>
      <c r="J16" s="239">
        <v>4.814054709537377E-2</v>
      </c>
      <c r="K16" s="239">
        <v>1.7867644792890491E-7</v>
      </c>
      <c r="L16" s="16" t="s">
        <v>227</v>
      </c>
      <c r="U16" s="245"/>
      <c r="AT16" s="245"/>
      <c r="BC16" s="245"/>
    </row>
    <row r="17" spans="4:55">
      <c r="D17" s="210">
        <v>42709</v>
      </c>
      <c r="E17" s="253">
        <v>0.97702746178237243</v>
      </c>
      <c r="F17" s="237">
        <v>0.97699478978230048</v>
      </c>
      <c r="G17" s="231">
        <v>4.6537181146561801E-2</v>
      </c>
      <c r="H17" s="66">
        <v>4.6605680199337307E-2</v>
      </c>
      <c r="I17" s="244">
        <v>4.9500454549996471E-2</v>
      </c>
      <c r="J17" s="239">
        <v>4.9500262252267301E-2</v>
      </c>
      <c r="K17" s="239">
        <v>1.9229772917073173E-7</v>
      </c>
      <c r="L17" s="16" t="s">
        <v>228</v>
      </c>
      <c r="U17" s="245"/>
      <c r="AT17" s="245"/>
      <c r="BC17" s="245"/>
    </row>
    <row r="18" spans="4:55">
      <c r="D18" s="210">
        <v>42738</v>
      </c>
      <c r="E18" s="253">
        <v>0.97314673708058042</v>
      </c>
      <c r="F18" s="237">
        <v>0.97311420986910235</v>
      </c>
      <c r="G18" s="231">
        <v>4.7202459499319005E-2</v>
      </c>
      <c r="H18" s="66">
        <v>4.7261770469747555E-2</v>
      </c>
      <c r="I18" s="244">
        <v>4.9500454549996471E-2</v>
      </c>
      <c r="J18" s="239">
        <v>4.9500262252267301E-2</v>
      </c>
      <c r="K18" s="239">
        <v>1.9229772917073173E-7</v>
      </c>
      <c r="L18" s="16" t="s">
        <v>229</v>
      </c>
      <c r="U18" s="245"/>
      <c r="AT18" s="245"/>
      <c r="BC18" s="245"/>
    </row>
    <row r="19" spans="4:55">
      <c r="D19" s="210">
        <v>42769</v>
      </c>
      <c r="E19" s="253">
        <v>0.96901541998181595</v>
      </c>
      <c r="F19" s="237">
        <v>0.96898304684250969</v>
      </c>
      <c r="G19" s="231">
        <v>4.7725515585280487E-2</v>
      </c>
      <c r="H19" s="66">
        <v>4.7777365117524395E-2</v>
      </c>
      <c r="I19" s="244">
        <v>5.0379073242497859E-2</v>
      </c>
      <c r="J19" s="239">
        <v>5.0277531036254493E-2</v>
      </c>
      <c r="K19" s="239">
        <v>1.0154220624336574E-4</v>
      </c>
      <c r="L19" s="16" t="s">
        <v>230</v>
      </c>
      <c r="U19" s="245"/>
      <c r="AT19" s="245"/>
      <c r="BC19" s="245"/>
    </row>
    <row r="20" spans="4:55">
      <c r="D20" s="210">
        <v>42797</v>
      </c>
      <c r="E20" s="253">
        <v>0.96524338524582376</v>
      </c>
      <c r="F20" s="237">
        <v>0.96520862300365751</v>
      </c>
      <c r="G20" s="231">
        <v>4.817683787130389E-2</v>
      </c>
      <c r="H20" s="66">
        <v>4.8227049957948243E-2</v>
      </c>
      <c r="I20" s="244">
        <v>5.0446661773132978E-2</v>
      </c>
      <c r="J20" s="239">
        <v>5.0446508704940572E-2</v>
      </c>
      <c r="K20" s="239">
        <v>1.5306819240584746E-7</v>
      </c>
      <c r="L20" s="16" t="s">
        <v>231</v>
      </c>
      <c r="U20" s="245"/>
      <c r="AT20" s="245"/>
      <c r="BC20" s="245"/>
    </row>
    <row r="21" spans="4:55">
      <c r="D21" s="210">
        <v>42828</v>
      </c>
      <c r="E21" s="253">
        <v>0.9610676136228532</v>
      </c>
      <c r="F21" s="237">
        <v>0.96103301438452871</v>
      </c>
      <c r="G21" s="231">
        <v>4.8601948138470075E-2</v>
      </c>
      <c r="H21" s="66">
        <v>4.8647065374962883E-2</v>
      </c>
      <c r="I21" s="244">
        <v>5.0446661773132978E-2</v>
      </c>
      <c r="J21" s="239">
        <v>5.0446508704940572E-2</v>
      </c>
      <c r="K21" s="239">
        <v>1.5306819240584746E-7</v>
      </c>
      <c r="L21" s="16" t="s">
        <v>232</v>
      </c>
      <c r="U21" s="245"/>
      <c r="AT21" s="245"/>
      <c r="BC21" s="245"/>
    </row>
    <row r="22" spans="4:55">
      <c r="D22" s="210">
        <v>42858</v>
      </c>
      <c r="E22" s="253">
        <v>0.9570437453450833</v>
      </c>
      <c r="F22" s="237">
        <v>0.95700930312898091</v>
      </c>
      <c r="G22" s="231">
        <v>4.8938649111293309E-2</v>
      </c>
      <c r="H22" s="66">
        <v>4.8979729609260447E-2</v>
      </c>
      <c r="I22" s="244">
        <v>5.0446661773132978E-2</v>
      </c>
      <c r="J22" s="239">
        <v>5.0446508704940572E-2</v>
      </c>
      <c r="K22" s="239">
        <v>1.5306819240584746E-7</v>
      </c>
      <c r="L22" s="16" t="s">
        <v>233</v>
      </c>
      <c r="U22" s="245"/>
      <c r="AT22" s="245"/>
      <c r="BC22" s="245"/>
    </row>
    <row r="23" spans="4:55">
      <c r="D23" s="223">
        <v>42891</v>
      </c>
      <c r="E23" s="200">
        <v>0.95261072648407752</v>
      </c>
      <c r="F23" s="199">
        <v>0.95256990918100459</v>
      </c>
      <c r="G23" s="242">
        <v>4.9274391872790035E-2</v>
      </c>
      <c r="H23" s="221">
        <v>4.9318936121786061E-2</v>
      </c>
      <c r="I23" s="244">
        <v>5.2933761487309799E-2</v>
      </c>
      <c r="J23" s="239">
        <v>5.2933102277745725E-2</v>
      </c>
      <c r="K23" s="239">
        <v>6.5920956407450326E-7</v>
      </c>
      <c r="L23" s="47" t="s">
        <v>234</v>
      </c>
      <c r="U23" s="245"/>
      <c r="AT23" s="245"/>
      <c r="BC23" s="245"/>
    </row>
    <row r="24" spans="4:55">
      <c r="D24" s="210">
        <v>42919</v>
      </c>
      <c r="E24" s="253">
        <v>0.94870484191998483</v>
      </c>
      <c r="F24" s="237">
        <v>0.94866424041593522</v>
      </c>
      <c r="G24" s="231">
        <v>4.9679122037355583E-2</v>
      </c>
      <c r="H24" s="66">
        <v>4.9720486546027898E-2</v>
      </c>
      <c r="I24" s="244">
        <v>5.2933761487309799E-2</v>
      </c>
      <c r="J24" s="239">
        <v>5.2933102277748577E-2</v>
      </c>
      <c r="K24" s="239">
        <v>6.5920956122261787E-7</v>
      </c>
      <c r="L24" s="19" t="s">
        <v>235</v>
      </c>
      <c r="U24" s="245"/>
      <c r="AT24" s="245"/>
      <c r="BC24" s="245"/>
    </row>
    <row r="25" spans="4:55">
      <c r="D25" s="210">
        <v>42950</v>
      </c>
      <c r="E25" s="253">
        <v>0.94439914759316768</v>
      </c>
      <c r="F25" s="237">
        <v>0.9443587837459142</v>
      </c>
      <c r="G25" s="231">
        <v>5.0065507242690321E-2</v>
      </c>
      <c r="H25" s="66">
        <v>5.010383499638893E-2</v>
      </c>
      <c r="I25" s="244">
        <v>5.2933761487309799E-2</v>
      </c>
      <c r="J25" s="239">
        <v>5.2933102277745725E-2</v>
      </c>
      <c r="K25" s="239">
        <v>6.5920956407450326E-7</v>
      </c>
      <c r="L25" s="19" t="s">
        <v>236</v>
      </c>
      <c r="U25" s="245"/>
      <c r="AT25" s="245"/>
      <c r="BC25" s="245"/>
    </row>
    <row r="26" spans="4:55">
      <c r="D26" s="210">
        <v>42982</v>
      </c>
      <c r="E26" s="253">
        <v>0.93997505599944897</v>
      </c>
      <c r="F26" s="237">
        <v>0.93993493608992018</v>
      </c>
      <c r="G26" s="231">
        <v>5.0409781718498303E-2</v>
      </c>
      <c r="H26" s="66">
        <v>5.0445402743729106E-2</v>
      </c>
      <c r="I26" s="244">
        <v>5.2933761487309799E-2</v>
      </c>
      <c r="J26" s="239">
        <v>5.2933102277748577E-2</v>
      </c>
      <c r="K26" s="239">
        <v>6.5920956122261787E-7</v>
      </c>
      <c r="L26" s="19" t="s">
        <v>237</v>
      </c>
      <c r="U26" s="245"/>
      <c r="AT26" s="245"/>
      <c r="BC26" s="245"/>
    </row>
    <row r="27" spans="4:55">
      <c r="D27" s="210">
        <v>43073</v>
      </c>
      <c r="E27" s="253">
        <v>0.92750698825553846</v>
      </c>
      <c r="F27" s="237">
        <v>0.92746755442018314</v>
      </c>
      <c r="G27" s="231">
        <v>5.1170430520374399E-2</v>
      </c>
      <c r="H27" s="66">
        <v>5.1200068096686868E-2</v>
      </c>
      <c r="I27" s="244">
        <v>5.2933761487309799E-2</v>
      </c>
      <c r="J27" s="239">
        <v>5.2933102277748577E-2</v>
      </c>
      <c r="K27" s="239">
        <v>6.5920956122261787E-7</v>
      </c>
      <c r="L27" s="19" t="s">
        <v>238</v>
      </c>
      <c r="U27" s="245"/>
      <c r="AT27" s="245"/>
      <c r="BC27" s="245"/>
    </row>
    <row r="28" spans="4:55">
      <c r="D28" s="210">
        <v>43164</v>
      </c>
      <c r="E28" s="253">
        <v>0.91520430012704923</v>
      </c>
      <c r="F28" s="237">
        <v>0.91516554122408267</v>
      </c>
      <c r="G28" s="231">
        <v>5.1715585642126971E-2</v>
      </c>
      <c r="H28" s="66">
        <v>5.1740932242213322E-2</v>
      </c>
      <c r="I28" s="244">
        <v>5.2933761487309799E-2</v>
      </c>
      <c r="J28" s="239">
        <v>5.2933102277745725E-2</v>
      </c>
      <c r="K28" s="239">
        <v>6.5920956407450326E-7</v>
      </c>
      <c r="L28" s="19" t="s">
        <v>239</v>
      </c>
      <c r="U28" s="245"/>
      <c r="AT28" s="245"/>
      <c r="BC28" s="245"/>
    </row>
    <row r="29" spans="4:55">
      <c r="D29" s="210">
        <v>43255</v>
      </c>
      <c r="E29" s="253">
        <v>0.90302104315498544</v>
      </c>
      <c r="F29" s="237">
        <v>0.90297200150725943</v>
      </c>
      <c r="G29" s="231">
        <v>5.2150865036276084E-2</v>
      </c>
      <c r="H29" s="66">
        <v>5.2179342304486731E-2</v>
      </c>
      <c r="I29" s="244">
        <v>5.7313196019684085E-2</v>
      </c>
      <c r="J29" s="239">
        <v>5.731338902415363E-2</v>
      </c>
      <c r="K29" s="239">
        <v>-1.9300446954528816E-7</v>
      </c>
      <c r="L29" s="19" t="s">
        <v>240</v>
      </c>
      <c r="U29" s="245"/>
      <c r="AT29" s="245"/>
      <c r="BC29" s="245"/>
    </row>
    <row r="30" spans="4:55">
      <c r="D30" s="210">
        <v>43346</v>
      </c>
      <c r="E30" s="253">
        <v>0.89006148908667337</v>
      </c>
      <c r="F30" s="237">
        <v>0.89001310802329114</v>
      </c>
      <c r="G30" s="231">
        <v>5.2981838383831636E-2</v>
      </c>
      <c r="H30" s="66">
        <v>5.3007211116726127E-2</v>
      </c>
      <c r="I30" s="244">
        <v>5.7313196019681226E-2</v>
      </c>
      <c r="J30" s="239">
        <v>5.731338902415363E-2</v>
      </c>
      <c r="K30" s="239">
        <v>-1.9300447240411245E-7</v>
      </c>
      <c r="L30" s="19" t="s">
        <v>241</v>
      </c>
      <c r="U30" s="245"/>
      <c r="AT30" s="245"/>
      <c r="BC30" s="245"/>
    </row>
    <row r="31" spans="4:55">
      <c r="D31" s="210">
        <v>43619</v>
      </c>
      <c r="E31" s="253">
        <v>0.85224954323974067</v>
      </c>
      <c r="F31" s="237">
        <v>0.85219344677314579</v>
      </c>
      <c r="G31" s="231">
        <v>5.466499517245671E-2</v>
      </c>
      <c r="H31" s="66">
        <v>5.4688106244432433E-2</v>
      </c>
      <c r="I31" s="244">
        <v>6.1404631965839167E-2</v>
      </c>
      <c r="J31" s="239">
        <v>6.1405314139291178E-2</v>
      </c>
      <c r="K31" s="239">
        <v>-6.8217345201154744E-7</v>
      </c>
      <c r="L31" s="19" t="s">
        <v>211</v>
      </c>
      <c r="U31" s="245"/>
      <c r="AT31" s="245"/>
      <c r="BC31" s="245"/>
    </row>
    <row r="32" spans="4:55">
      <c r="D32" s="210">
        <v>43985</v>
      </c>
      <c r="E32" s="253">
        <v>0.80072911048149198</v>
      </c>
      <c r="F32" s="237">
        <v>0.80066552065855445</v>
      </c>
      <c r="G32" s="231">
        <v>5.7050358922252187E-2</v>
      </c>
      <c r="H32" s="66">
        <v>5.7071317718808023E-2</v>
      </c>
      <c r="I32" s="244">
        <v>6.6061670002928494E-2</v>
      </c>
      <c r="J32" s="239">
        <v>6.6063985341103956E-2</v>
      </c>
      <c r="K32" s="239">
        <v>-2.315338175462589E-6</v>
      </c>
      <c r="L32" s="19" t="s">
        <v>212</v>
      </c>
      <c r="U32" s="245"/>
      <c r="AT32" s="245"/>
      <c r="BC32" s="245"/>
    </row>
    <row r="33" spans="2:56">
      <c r="D33" s="210">
        <v>44350</v>
      </c>
      <c r="E33" s="253">
        <v>0.74892327463167752</v>
      </c>
      <c r="F33" s="237">
        <v>0.74885375466311344</v>
      </c>
      <c r="G33" s="231">
        <v>5.9480760555534973E-2</v>
      </c>
      <c r="H33" s="66">
        <v>5.9500415998155143E-2</v>
      </c>
      <c r="I33" s="244">
        <v>7.0117765541397592E-2</v>
      </c>
      <c r="J33" s="239">
        <v>7.0114187800933703E-2</v>
      </c>
      <c r="K33" s="239">
        <v>3.5777404638892563E-6</v>
      </c>
      <c r="L33" s="19" t="s">
        <v>213</v>
      </c>
      <c r="U33" s="245"/>
      <c r="AT33" s="245"/>
      <c r="BC33" s="245"/>
    </row>
    <row r="34" spans="2:56">
      <c r="D34" s="210">
        <v>44715</v>
      </c>
      <c r="E34" s="253">
        <v>0.69766431893534642</v>
      </c>
      <c r="F34" s="237">
        <v>0.69760207393302076</v>
      </c>
      <c r="G34" s="231">
        <v>6.1798444520816176E-2</v>
      </c>
      <c r="H34" s="66">
        <v>6.1814223933567725E-2</v>
      </c>
      <c r="I34" s="244">
        <v>7.0117765541397592E-2</v>
      </c>
      <c r="J34" s="239">
        <v>7.0114187800933703E-2</v>
      </c>
      <c r="K34" s="239">
        <v>3.5777404638892563E-6</v>
      </c>
      <c r="L34" s="19" t="s">
        <v>214</v>
      </c>
      <c r="U34" s="245"/>
      <c r="AT34" s="245"/>
      <c r="BC34" s="245"/>
    </row>
    <row r="35" spans="2:56">
      <c r="D35" s="210">
        <v>45082</v>
      </c>
      <c r="E35" s="253">
        <v>0.64959371333976712</v>
      </c>
      <c r="F35" s="237">
        <v>0.64953186169302246</v>
      </c>
      <c r="G35" s="231">
        <v>6.3480975585894051E-2</v>
      </c>
      <c r="H35" s="66">
        <v>6.3495422817205327E-2</v>
      </c>
      <c r="I35" s="244">
        <v>7.3540425859955738E-2</v>
      </c>
      <c r="J35" s="239">
        <v>7.354198463694038E-2</v>
      </c>
      <c r="K35" s="239">
        <v>-1.5587769846420185E-6</v>
      </c>
      <c r="L35" s="19" t="s">
        <v>215</v>
      </c>
      <c r="U35" s="245"/>
      <c r="AT35" s="245"/>
      <c r="BC35" s="245"/>
    </row>
    <row r="36" spans="2:56">
      <c r="D36" s="210">
        <v>45446</v>
      </c>
      <c r="E36" s="253">
        <v>0.60317140945932257</v>
      </c>
      <c r="F36" s="237">
        <v>0.60311303279475115</v>
      </c>
      <c r="G36" s="231">
        <v>6.5187773425183337E-2</v>
      </c>
      <c r="H36" s="66">
        <v>6.5200651822214351E-2</v>
      </c>
      <c r="I36" s="244">
        <v>7.3540425859952893E-2</v>
      </c>
      <c r="J36" s="239">
        <v>7.354198463694038E-2</v>
      </c>
      <c r="K36" s="239">
        <v>-1.558776987486965E-6</v>
      </c>
      <c r="L36" s="19" t="s">
        <v>216</v>
      </c>
      <c r="U36" s="245"/>
      <c r="AT36" s="245"/>
      <c r="BC36" s="245"/>
    </row>
    <row r="37" spans="2:56">
      <c r="D37" s="210">
        <v>45811</v>
      </c>
      <c r="E37" s="253">
        <v>0.55995253818583801</v>
      </c>
      <c r="F37" s="237">
        <v>0.55989746452300893</v>
      </c>
      <c r="G37" s="231">
        <v>6.6525262764645765E-2</v>
      </c>
      <c r="H37" s="66">
        <v>6.6536913626205063E-2</v>
      </c>
      <c r="I37" s="244">
        <v>7.3540425859955738E-2</v>
      </c>
      <c r="J37" s="239">
        <v>7.354198463694038E-2</v>
      </c>
      <c r="K37" s="239">
        <v>-1.5587769846420185E-6</v>
      </c>
      <c r="L37" s="19" t="s">
        <v>217</v>
      </c>
      <c r="U37" s="245"/>
      <c r="AT37" s="245"/>
      <c r="BC37" s="245"/>
    </row>
    <row r="38" spans="2:56">
      <c r="D38" s="210">
        <v>46176</v>
      </c>
      <c r="E38" s="253">
        <v>0.51970552598417585</v>
      </c>
      <c r="F38" s="237">
        <v>0.5196438852062808</v>
      </c>
      <c r="G38" s="231">
        <v>6.7611514652384352E-2</v>
      </c>
      <c r="H38" s="66">
        <v>6.7624173203215898E-2</v>
      </c>
      <c r="I38" s="244">
        <v>8.0234162239902762E-2</v>
      </c>
      <c r="J38" s="239">
        <v>8.0240910751309596E-2</v>
      </c>
      <c r="K38" s="239">
        <v>-6.7485114068344121E-6</v>
      </c>
      <c r="L38" s="19" t="s">
        <v>218</v>
      </c>
      <c r="U38" s="245"/>
      <c r="AT38" s="245"/>
      <c r="BC38" s="245"/>
    </row>
    <row r="39" spans="2:56">
      <c r="D39" s="210">
        <v>46909</v>
      </c>
      <c r="E39" s="253">
        <v>0.44159826634842558</v>
      </c>
      <c r="F39" s="237">
        <v>0.44153986093368491</v>
      </c>
      <c r="G39" s="231">
        <v>7.0419807874241291E-2</v>
      </c>
      <c r="H39" s="66">
        <v>7.0431595718891682E-2</v>
      </c>
      <c r="I39" s="244">
        <v>8.030947504153213E-2</v>
      </c>
      <c r="J39" s="239">
        <v>8.0312226322166877E-2</v>
      </c>
      <c r="K39" s="239">
        <v>-2.7512806347468333E-6</v>
      </c>
      <c r="L39" s="19" t="s">
        <v>219</v>
      </c>
      <c r="U39" s="245"/>
      <c r="AT39" s="245"/>
      <c r="BC39" s="245"/>
    </row>
    <row r="40" spans="2:56">
      <c r="D40" s="210">
        <v>48002</v>
      </c>
      <c r="E40" s="253">
        <v>0.34626194533354732</v>
      </c>
      <c r="F40" s="237">
        <v>0.34621094301453681</v>
      </c>
      <c r="G40" s="231">
        <v>7.3243862080466959E-2</v>
      </c>
      <c r="H40" s="66">
        <v>7.3254399012527172E-2</v>
      </c>
      <c r="I40" s="244">
        <v>8.2881301079728492E-2</v>
      </c>
      <c r="J40" s="239">
        <v>8.2877471883362794E-2</v>
      </c>
      <c r="K40" s="239">
        <v>3.8291963656983397E-6</v>
      </c>
      <c r="L40" s="19" t="s">
        <v>220</v>
      </c>
      <c r="U40" s="245"/>
      <c r="AT40" s="245"/>
      <c r="BC40" s="245"/>
    </row>
    <row r="41" spans="2:56">
      <c r="D41" s="210">
        <v>49829</v>
      </c>
      <c r="E41" s="253">
        <v>0.22767254399948034</v>
      </c>
      <c r="F41" s="237">
        <v>0.22764375219868155</v>
      </c>
      <c r="G41" s="231">
        <v>7.6776799270500629E-2</v>
      </c>
      <c r="H41" s="66">
        <v>7.6783606400644189E-2</v>
      </c>
      <c r="I41" s="244">
        <v>8.3083412853114533E-2</v>
      </c>
      <c r="J41" s="239">
        <v>8.3051610024820838E-2</v>
      </c>
      <c r="K41" s="239">
        <v>3.1802828293694962E-5</v>
      </c>
      <c r="L41" s="19" t="s">
        <v>221</v>
      </c>
      <c r="U41" s="245"/>
      <c r="AT41" s="245"/>
      <c r="BC41" s="245"/>
    </row>
    <row r="42" spans="2:56">
      <c r="D42" s="210">
        <v>51655</v>
      </c>
      <c r="E42" s="253">
        <v>0.14958228229999668</v>
      </c>
      <c r="F42" s="237">
        <v>0.1495873391720543</v>
      </c>
      <c r="G42" s="231">
        <v>7.8945916028553054E-2</v>
      </c>
      <c r="H42" s="66">
        <v>7.8944457259678247E-2</v>
      </c>
      <c r="I42" s="244">
        <v>8.3083412853103111E-2</v>
      </c>
      <c r="J42" s="239">
        <v>8.3051610024820838E-2</v>
      </c>
      <c r="K42" s="239">
        <v>3.1802828282273543E-5</v>
      </c>
      <c r="L42" s="19" t="s">
        <v>222</v>
      </c>
      <c r="U42" s="245"/>
      <c r="AT42" s="245"/>
      <c r="BC42" s="245"/>
    </row>
    <row r="43" spans="2:56">
      <c r="D43" s="210">
        <v>53482</v>
      </c>
      <c r="E43" s="253">
        <v>9.9139362752244775E-2</v>
      </c>
      <c r="F43" s="237" t="e">
        <v>#NUM!</v>
      </c>
      <c r="G43" s="231">
        <v>8.0067962662067949E-2</v>
      </c>
      <c r="H43" s="66" t="e">
        <v>#NUM!</v>
      </c>
      <c r="I43" s="244">
        <v>0</v>
      </c>
      <c r="J43" s="239"/>
      <c r="K43" s="239"/>
      <c r="L43" s="19" t="s">
        <v>223</v>
      </c>
      <c r="U43" s="245"/>
      <c r="AT43" s="245"/>
      <c r="BC43" s="245"/>
    </row>
    <row r="44" spans="2:56">
      <c r="D44" s="210">
        <v>57136</v>
      </c>
      <c r="E44" s="253">
        <v>9.9139362752244775E-2</v>
      </c>
      <c r="F44" s="237" t="e">
        <v>#NUM!</v>
      </c>
      <c r="G44" s="231">
        <v>5.9465923170168855E-2</v>
      </c>
      <c r="H44" s="66" t="e">
        <v>#NUM!</v>
      </c>
      <c r="I44" s="244">
        <v>0</v>
      </c>
      <c r="J44" s="239"/>
      <c r="K44" s="239"/>
      <c r="L44" s="19" t="s">
        <v>224</v>
      </c>
      <c r="U44" s="245"/>
      <c r="AT44" s="245"/>
      <c r="BC44" s="245"/>
    </row>
    <row r="45" spans="2:56">
      <c r="D45" s="209">
        <v>60786</v>
      </c>
      <c r="E45" s="218">
        <v>9.9139362752244775E-2</v>
      </c>
      <c r="F45" s="217" t="e">
        <v>#NUM!</v>
      </c>
      <c r="G45" s="247">
        <v>4.7305829304326696E-2</v>
      </c>
      <c r="H45" s="86" t="e">
        <v>#NUM!</v>
      </c>
      <c r="I45" s="201">
        <v>0</v>
      </c>
      <c r="J45" s="238"/>
      <c r="K45" s="238"/>
      <c r="L45" s="49" t="s">
        <v>225</v>
      </c>
      <c r="U45" s="228"/>
      <c r="AT45" s="228"/>
      <c r="BC45" s="228"/>
    </row>
    <row r="46" spans="2:56">
      <c r="M46" s="92"/>
      <c r="AC46" s="92"/>
      <c r="AL46" s="92"/>
      <c r="AU46" s="92"/>
      <c r="BD46" s="92"/>
    </row>
    <row r="47" spans="2:56">
      <c r="M47" s="92"/>
    </row>
    <row r="48" spans="2:56">
      <c r="B48" s="118" t="s">
        <v>270</v>
      </c>
      <c r="C48" s="119" t="s">
        <v>280</v>
      </c>
      <c r="D48" s="140" t="s">
        <v>302</v>
      </c>
      <c r="F48" s="115" t="s">
        <v>832</v>
      </c>
      <c r="H48" s="115" t="s">
        <v>816</v>
      </c>
    </row>
    <row r="49" spans="2:10">
      <c r="B49" s="120" t="s">
        <v>269</v>
      </c>
      <c r="C49" s="121" t="s">
        <v>251</v>
      </c>
      <c r="D49" s="116" t="s">
        <v>833</v>
      </c>
      <c r="E49" s="116" t="s">
        <v>444</v>
      </c>
      <c r="F49" s="127" t="s">
        <v>734</v>
      </c>
      <c r="G49" s="116" t="s">
        <v>825</v>
      </c>
      <c r="H49" s="127" t="s">
        <v>827</v>
      </c>
      <c r="I49" s="127" t="s">
        <v>851</v>
      </c>
    </row>
    <row r="50" spans="2:10">
      <c r="B50" s="120" t="s">
        <v>271</v>
      </c>
      <c r="C50" s="121" t="s">
        <v>272</v>
      </c>
      <c r="D50" s="233">
        <v>42522</v>
      </c>
      <c r="E50" s="252">
        <v>1</v>
      </c>
      <c r="F50" s="236">
        <v>1</v>
      </c>
      <c r="G50" s="204">
        <v>3.7423137903933146E-2</v>
      </c>
      <c r="H50" s="490">
        <v>4.2637322993594351E-2</v>
      </c>
      <c r="I50" s="203">
        <v>5.2141850896612052E-3</v>
      </c>
    </row>
    <row r="51" spans="2:10">
      <c r="B51" s="122" t="s">
        <v>273</v>
      </c>
      <c r="C51" s="123" t="s">
        <v>274</v>
      </c>
      <c r="D51" s="210">
        <v>42523</v>
      </c>
      <c r="E51" s="380">
        <v>0.99989934784267309</v>
      </c>
      <c r="F51" s="378">
        <v>0.99988561369135476</v>
      </c>
      <c r="G51" s="244">
        <v>3.7527567291247177E-2</v>
      </c>
      <c r="H51" s="245">
        <v>4.2756600071065298E-2</v>
      </c>
      <c r="I51" s="239">
        <v>5.2290327798181213E-3</v>
      </c>
      <c r="J51" s="13" t="s">
        <v>206</v>
      </c>
    </row>
    <row r="52" spans="2:10">
      <c r="B52" s="124" t="s">
        <v>328</v>
      </c>
      <c r="C52" s="125" t="s">
        <v>834</v>
      </c>
      <c r="D52" s="210">
        <v>42527</v>
      </c>
      <c r="E52" s="253">
        <v>0.99945696486148239</v>
      </c>
      <c r="F52" s="237">
        <v>0.99942819928408422</v>
      </c>
      <c r="G52" s="244">
        <v>4.0562017798803307E-2</v>
      </c>
      <c r="H52" s="245">
        <v>4.2756600071030437E-2</v>
      </c>
      <c r="I52" s="239">
        <v>2.1945822722271302E-3</v>
      </c>
      <c r="J52" s="16" t="s">
        <v>276</v>
      </c>
    </row>
    <row r="53" spans="2:10">
      <c r="B53" s="211" t="s">
        <v>807</v>
      </c>
      <c r="C53" s="232" t="s">
        <v>807</v>
      </c>
      <c r="D53" s="210">
        <v>42531</v>
      </c>
      <c r="E53" s="253">
        <v>0.9990147776167968</v>
      </c>
      <c r="F53" s="237">
        <v>0.99897099412868917</v>
      </c>
      <c r="G53" s="244">
        <v>4.0899725724208746E-2</v>
      </c>
      <c r="H53" s="245">
        <v>4.2756600071031547E-2</v>
      </c>
      <c r="I53" s="239">
        <v>1.8568743468228011E-3</v>
      </c>
      <c r="J53" s="16" t="s">
        <v>207</v>
      </c>
    </row>
    <row r="54" spans="2:10">
      <c r="D54" s="210">
        <v>42555</v>
      </c>
      <c r="E54" s="253">
        <v>0.99634667268153176</v>
      </c>
      <c r="F54" s="237">
        <v>0.9962321521281261</v>
      </c>
      <c r="G54" s="244">
        <v>4.1428070542329998E-2</v>
      </c>
      <c r="H54" s="245">
        <v>4.2756600071032214E-2</v>
      </c>
      <c r="I54" s="239">
        <v>1.3285295287022159E-3</v>
      </c>
      <c r="J54" s="16" t="s">
        <v>208</v>
      </c>
    </row>
    <row r="55" spans="2:10">
      <c r="D55" s="210">
        <v>42585</v>
      </c>
      <c r="E55" s="253">
        <v>0.9929026738921829</v>
      </c>
      <c r="F55" s="237">
        <v>0.99281915671997667</v>
      </c>
      <c r="G55" s="244">
        <v>4.2247146350715692E-2</v>
      </c>
      <c r="H55" s="245">
        <v>4.2756600071031547E-2</v>
      </c>
      <c r="I55" s="239">
        <v>5.0945372031585556E-4</v>
      </c>
      <c r="J55" s="16" t="s">
        <v>209</v>
      </c>
    </row>
    <row r="56" spans="2:10">
      <c r="D56" s="210">
        <v>42618</v>
      </c>
      <c r="E56" s="253">
        <v>0.9890520479215259</v>
      </c>
      <c r="F56" s="237">
        <v>0.98902284756947378</v>
      </c>
      <c r="G56" s="244">
        <v>4.2862386616932868E-2</v>
      </c>
      <c r="H56" s="245">
        <v>4.2979778116569722E-2</v>
      </c>
      <c r="I56" s="239">
        <v>1.1739149963685414E-4</v>
      </c>
      <c r="J56" s="16" t="s">
        <v>210</v>
      </c>
    </row>
    <row r="57" spans="2:10">
      <c r="D57" s="210">
        <v>42646</v>
      </c>
      <c r="E57" s="253">
        <v>0.98572217334762391</v>
      </c>
      <c r="F57" s="237">
        <v>0.98573096069555932</v>
      </c>
      <c r="G57" s="244">
        <v>4.3360093805236533E-2</v>
      </c>
      <c r="H57" s="245">
        <v>4.3332640839411241E-2</v>
      </c>
      <c r="I57" s="239">
        <v>-2.7452965825291997E-5</v>
      </c>
      <c r="J57" s="16" t="s">
        <v>226</v>
      </c>
    </row>
    <row r="58" spans="2:10">
      <c r="D58" s="210">
        <v>42677</v>
      </c>
      <c r="E58" s="253">
        <v>0.98212395069735758</v>
      </c>
      <c r="F58" s="237">
        <v>0.98209915073279153</v>
      </c>
      <c r="G58" s="244">
        <v>4.3512449949608678E-2</v>
      </c>
      <c r="H58" s="245">
        <v>4.3574672844332696E-2</v>
      </c>
      <c r="I58" s="239">
        <v>6.2222894724017763E-5</v>
      </c>
      <c r="J58" s="16" t="s">
        <v>227</v>
      </c>
    </row>
    <row r="59" spans="2:10">
      <c r="D59" s="210">
        <v>42709</v>
      </c>
      <c r="E59" s="253">
        <v>0.97843836591885003</v>
      </c>
      <c r="F59" s="237">
        <v>0.97845548420059736</v>
      </c>
      <c r="G59" s="244">
        <v>4.3585575482569361E-2</v>
      </c>
      <c r="H59" s="245">
        <v>4.354984136941864E-2</v>
      </c>
      <c r="I59" s="239">
        <v>-3.5734113150720503E-5</v>
      </c>
      <c r="J59" s="16" t="s">
        <v>228</v>
      </c>
    </row>
    <row r="60" spans="2:10">
      <c r="D60" s="210">
        <v>42738</v>
      </c>
      <c r="E60" s="253">
        <v>0.97517343406038659</v>
      </c>
      <c r="F60" s="237">
        <v>0.97522149293558635</v>
      </c>
      <c r="G60" s="244">
        <v>4.3517435085108858E-2</v>
      </c>
      <c r="H60" s="245">
        <v>4.3430302834088774E-2</v>
      </c>
      <c r="I60" s="239">
        <v>-8.7132251020083373E-5</v>
      </c>
      <c r="J60" s="16" t="s">
        <v>229</v>
      </c>
    </row>
    <row r="61" spans="2:10">
      <c r="D61" s="210">
        <v>42769</v>
      </c>
      <c r="E61" s="253">
        <v>0.97181490386444225</v>
      </c>
      <c r="F61" s="237">
        <v>0.97177628705715935</v>
      </c>
      <c r="G61" s="244">
        <v>4.3258002368517179E-2</v>
      </c>
      <c r="H61" s="245">
        <v>4.3319411243117667E-2</v>
      </c>
      <c r="I61" s="239">
        <v>6.1408874600488161E-5</v>
      </c>
      <c r="J61" s="16" t="s">
        <v>230</v>
      </c>
    </row>
    <row r="62" spans="2:10">
      <c r="D62" s="210">
        <v>42797</v>
      </c>
      <c r="E62" s="253">
        <v>0.96875477034591118</v>
      </c>
      <c r="F62" s="237">
        <v>0.96878063881273635</v>
      </c>
      <c r="G62" s="244">
        <v>4.3126463131583748E-2</v>
      </c>
      <c r="H62" s="245">
        <v>4.3089415126306152E-2</v>
      </c>
      <c r="I62" s="239">
        <v>-3.7048005277595664E-5</v>
      </c>
      <c r="J62" s="16" t="s">
        <v>231</v>
      </c>
    </row>
    <row r="63" spans="2:10">
      <c r="D63" s="210">
        <v>42828</v>
      </c>
      <c r="E63" s="253">
        <v>0.96542215490470706</v>
      </c>
      <c r="F63" s="237">
        <v>0.96550015102138986</v>
      </c>
      <c r="G63" s="244">
        <v>4.2951973114426112E-2</v>
      </c>
      <c r="H63" s="245">
        <v>4.2851283750798164E-2</v>
      </c>
      <c r="I63" s="239">
        <v>-1.0068936362794823E-4</v>
      </c>
      <c r="J63" s="16" t="s">
        <v>232</v>
      </c>
    </row>
    <row r="64" spans="2:10">
      <c r="D64" s="210">
        <v>42858</v>
      </c>
      <c r="E64" s="253">
        <v>0.96229734751648299</v>
      </c>
      <c r="F64" s="237">
        <v>0.9623360624760291</v>
      </c>
      <c r="G64" s="244">
        <v>4.2708431375767297E-2</v>
      </c>
      <c r="H64" s="245">
        <v>4.2662783123079917E-2</v>
      </c>
      <c r="I64" s="239">
        <v>-4.5648252687380264E-5</v>
      </c>
      <c r="J64" s="16" t="s">
        <v>233</v>
      </c>
    </row>
    <row r="65" spans="4:10">
      <c r="D65" s="223">
        <v>42891</v>
      </c>
      <c r="E65" s="200">
        <v>0.95890851338740091</v>
      </c>
      <c r="F65" s="199">
        <v>0.95882574586533142</v>
      </c>
      <c r="G65" s="244">
        <v>4.2446787990188861E-2</v>
      </c>
      <c r="H65" s="245">
        <v>4.2535939600915063E-2</v>
      </c>
      <c r="I65" s="239">
        <v>8.9151610726201369E-5</v>
      </c>
      <c r="J65" s="47" t="s">
        <v>234</v>
      </c>
    </row>
    <row r="66" spans="4:10">
      <c r="D66" s="210">
        <v>42919</v>
      </c>
      <c r="E66" s="253">
        <v>0.95561194803238592</v>
      </c>
      <c r="F66" s="237">
        <v>0.95565939197182781</v>
      </c>
      <c r="G66" s="244">
        <v>4.2691357518097828E-2</v>
      </c>
      <c r="H66" s="245">
        <v>4.2643695031678863E-2</v>
      </c>
      <c r="I66" s="239">
        <v>-4.7662486418964534E-5</v>
      </c>
      <c r="J66" s="19" t="s">
        <v>235</v>
      </c>
    </row>
    <row r="67" spans="4:10">
      <c r="D67" s="210">
        <v>42950</v>
      </c>
      <c r="E67" s="253">
        <v>0.95200154702009099</v>
      </c>
      <c r="F67" s="237">
        <v>0.95216598126295615</v>
      </c>
      <c r="G67" s="244">
        <v>4.2900343007373332E-2</v>
      </c>
      <c r="H67" s="245">
        <v>4.2746537924443384E-2</v>
      </c>
      <c r="I67" s="239">
        <v>-1.5380508292994755E-4</v>
      </c>
      <c r="J67" s="19" t="s">
        <v>236</v>
      </c>
    </row>
    <row r="68" spans="4:10">
      <c r="D68" s="210">
        <v>42982</v>
      </c>
      <c r="E68" s="253">
        <v>0.94831770734497522</v>
      </c>
      <c r="F68" s="237">
        <v>0.94857327406881953</v>
      </c>
      <c r="G68" s="244">
        <v>4.3061425365478634E-2</v>
      </c>
      <c r="H68" s="245">
        <v>4.283814900728089E-2</v>
      </c>
      <c r="I68" s="239">
        <v>-2.2327635819774372E-4</v>
      </c>
      <c r="J68" s="19" t="s">
        <v>237</v>
      </c>
    </row>
    <row r="69" spans="4:10">
      <c r="D69" s="210">
        <v>43073</v>
      </c>
      <c r="E69" s="253">
        <v>0.93807729245337901</v>
      </c>
      <c r="F69" s="237">
        <v>0.93843042925968423</v>
      </c>
      <c r="G69" s="244">
        <v>4.3300842624052871E-2</v>
      </c>
      <c r="H69" s="245">
        <v>4.3040478969872842E-2</v>
      </c>
      <c r="I69" s="239">
        <v>-2.6036365418002916E-4</v>
      </c>
      <c r="J69" s="19" t="s">
        <v>238</v>
      </c>
    </row>
    <row r="70" spans="4:10">
      <c r="D70" s="210">
        <v>43164</v>
      </c>
      <c r="E70" s="253">
        <v>0.92817858383110308</v>
      </c>
      <c r="F70" s="237">
        <v>0.92839603922535074</v>
      </c>
      <c r="G70" s="244">
        <v>4.3324491898360185E-2</v>
      </c>
      <c r="H70" s="245">
        <v>4.3185422435145115E-2</v>
      </c>
      <c r="I70" s="239">
        <v>-1.3906946321506908E-4</v>
      </c>
      <c r="J70" s="19" t="s">
        <v>239</v>
      </c>
    </row>
    <row r="71" spans="4:10">
      <c r="D71" s="210">
        <v>43255</v>
      </c>
      <c r="E71" s="253">
        <v>0.91855459011163776</v>
      </c>
      <c r="F71" s="237">
        <v>0.91842927677132113</v>
      </c>
      <c r="G71" s="244">
        <v>4.3245882729890717E-2</v>
      </c>
      <c r="H71" s="245">
        <v>4.3316817450181233E-2</v>
      </c>
      <c r="I71" s="239">
        <v>7.0934720290516395E-5</v>
      </c>
      <c r="J71" s="19" t="s">
        <v>240</v>
      </c>
    </row>
    <row r="72" spans="4:10">
      <c r="D72" s="210">
        <v>43346</v>
      </c>
      <c r="E72" s="253">
        <v>0.90783891806486083</v>
      </c>
      <c r="F72" s="237">
        <v>0.90789482067645233</v>
      </c>
      <c r="G72" s="244">
        <v>4.3791318597449447E-2</v>
      </c>
      <c r="H72" s="245">
        <v>4.3762828652193386E-2</v>
      </c>
      <c r="I72" s="239">
        <v>-2.8489945256060523E-5</v>
      </c>
      <c r="J72" s="19" t="s">
        <v>241</v>
      </c>
    </row>
    <row r="73" spans="4:10">
      <c r="D73" s="210">
        <v>43619</v>
      </c>
      <c r="E73" s="253">
        <v>0.87711029867212009</v>
      </c>
      <c r="F73" s="237">
        <v>0.87698449337580198</v>
      </c>
      <c r="G73" s="244">
        <v>4.4617812895298314E-2</v>
      </c>
      <c r="H73" s="245">
        <v>4.4667696914268307E-2</v>
      </c>
      <c r="I73" s="239">
        <v>4.9884018969992283E-5</v>
      </c>
      <c r="J73" s="19" t="s">
        <v>211</v>
      </c>
    </row>
    <row r="74" spans="4:10">
      <c r="D74" s="210">
        <v>43985</v>
      </c>
      <c r="E74" s="253">
        <v>0.83545117041952699</v>
      </c>
      <c r="F74" s="237">
        <v>0.83533844704762672</v>
      </c>
      <c r="G74" s="244">
        <v>4.5907078269755042E-2</v>
      </c>
      <c r="H74" s="245">
        <v>4.5942312901129823E-2</v>
      </c>
      <c r="I74" s="239">
        <v>3.5234631374780889E-5</v>
      </c>
      <c r="J74" s="19" t="s">
        <v>212</v>
      </c>
    </row>
    <row r="75" spans="4:10">
      <c r="D75" s="210">
        <v>44350</v>
      </c>
      <c r="E75" s="253">
        <v>0.79390081371236887</v>
      </c>
      <c r="F75" s="237">
        <v>0.79378633842685065</v>
      </c>
      <c r="G75" s="244">
        <v>4.720381629663839E-2</v>
      </c>
      <c r="H75" s="245">
        <v>4.7233995488302094E-2</v>
      </c>
      <c r="I75" s="239">
        <v>3.0179191663703975E-5</v>
      </c>
      <c r="J75" s="19" t="s">
        <v>213</v>
      </c>
    </row>
    <row r="76" spans="4:10">
      <c r="D76" s="210">
        <v>44715</v>
      </c>
      <c r="E76" s="253">
        <v>0.75272552274750959</v>
      </c>
      <c r="F76" s="237">
        <v>0.75329216632032969</v>
      </c>
      <c r="G76" s="244">
        <v>4.8448930147150016E-2</v>
      </c>
      <c r="H76" s="245">
        <v>4.8317529304627183E-2</v>
      </c>
      <c r="I76" s="239">
        <v>-1.3140084252283302E-4</v>
      </c>
      <c r="J76" s="19" t="s">
        <v>214</v>
      </c>
    </row>
    <row r="77" spans="4:10">
      <c r="D77" s="210">
        <v>45082</v>
      </c>
      <c r="E77" s="253">
        <v>0.71476718068448408</v>
      </c>
      <c r="F77" s="237">
        <v>0.71453019816162766</v>
      </c>
      <c r="G77" s="244">
        <v>4.9073258437696499E-2</v>
      </c>
      <c r="H77" s="245">
        <v>4.9122890421168464E-2</v>
      </c>
      <c r="I77" s="239">
        <v>4.9631983471964958E-5</v>
      </c>
      <c r="J77" s="19" t="s">
        <v>215</v>
      </c>
    </row>
    <row r="78" spans="4:10">
      <c r="D78" s="210">
        <v>45446</v>
      </c>
      <c r="E78" s="253">
        <v>0.67432817707573545</v>
      </c>
      <c r="F78" s="237">
        <v>0.67448761701391291</v>
      </c>
      <c r="G78" s="244">
        <v>5.045266006952831E-2</v>
      </c>
      <c r="H78" s="245">
        <v>5.0421638911238853E-2</v>
      </c>
      <c r="I78" s="239">
        <v>-3.1021158289457063E-5</v>
      </c>
      <c r="J78" s="19" t="s">
        <v>216</v>
      </c>
    </row>
    <row r="79" spans="4:10">
      <c r="D79" s="210">
        <v>45811</v>
      </c>
      <c r="E79" s="253">
        <v>0.63646672272923954</v>
      </c>
      <c r="F79" s="237">
        <v>0.63658817077791274</v>
      </c>
      <c r="G79" s="244">
        <v>5.1461342911610419E-2</v>
      </c>
      <c r="H79" s="245">
        <v>5.1439062021473303E-2</v>
      </c>
      <c r="I79" s="239">
        <v>-2.2280890137116316E-5</v>
      </c>
      <c r="J79" s="19" t="s">
        <v>217</v>
      </c>
    </row>
    <row r="80" spans="4:10">
      <c r="D80" s="210">
        <v>46176</v>
      </c>
      <c r="E80" s="253">
        <v>0.60096328525558118</v>
      </c>
      <c r="F80" s="237">
        <v>0.60070707099977994</v>
      </c>
      <c r="G80" s="244">
        <v>5.2220197877157259E-2</v>
      </c>
      <c r="H80" s="245">
        <v>5.2265051287403441E-2</v>
      </c>
      <c r="I80" s="239">
        <v>4.4853410246181724E-5</v>
      </c>
      <c r="J80" s="19" t="s">
        <v>218</v>
      </c>
    </row>
    <row r="81" spans="2:11">
      <c r="D81" s="210">
        <v>46909</v>
      </c>
      <c r="E81" s="253">
        <v>0.52998579780264166</v>
      </c>
      <c r="F81" s="237">
        <v>0.52972369508540129</v>
      </c>
      <c r="G81" s="244">
        <v>5.4282681732972016E-2</v>
      </c>
      <c r="H81" s="245">
        <v>5.4326103162827932E-2</v>
      </c>
      <c r="I81" s="239">
        <v>4.3421429855916571E-5</v>
      </c>
      <c r="J81" s="19" t="s">
        <v>219</v>
      </c>
    </row>
    <row r="82" spans="2:11">
      <c r="D82" s="210">
        <v>48002</v>
      </c>
      <c r="E82" s="253">
        <v>0.44127817364892696</v>
      </c>
      <c r="F82" s="237">
        <v>0.4410499155919721</v>
      </c>
      <c r="G82" s="244">
        <v>5.6038412554421768E-2</v>
      </c>
      <c r="H82" s="245">
        <v>5.6074830019219979E-2</v>
      </c>
      <c r="I82" s="239">
        <v>3.641746479821073E-5</v>
      </c>
      <c r="J82" s="19" t="s">
        <v>220</v>
      </c>
    </row>
    <row r="83" spans="2:11">
      <c r="D83" s="210">
        <v>49829</v>
      </c>
      <c r="E83" s="253">
        <v>0.3244798147099493</v>
      </c>
      <c r="F83" s="237">
        <v>0.32420784602854147</v>
      </c>
      <c r="G83" s="244">
        <v>5.7873991343267317E-2</v>
      </c>
      <c r="H83" s="245">
        <v>5.7918332567769237E-2</v>
      </c>
      <c r="I83" s="239">
        <v>4.4341224501920351E-5</v>
      </c>
      <c r="J83" s="19" t="s">
        <v>221</v>
      </c>
    </row>
    <row r="84" spans="2:11">
      <c r="D84" s="210">
        <v>51655</v>
      </c>
      <c r="E84" s="253">
        <v>0.24336632562532545</v>
      </c>
      <c r="F84" s="237">
        <v>0.24478731087398461</v>
      </c>
      <c r="G84" s="244">
        <v>5.8146436005470425E-2</v>
      </c>
      <c r="H84" s="245">
        <v>5.7900086262332895E-2</v>
      </c>
      <c r="I84" s="239">
        <v>-2.4634974313753055E-4</v>
      </c>
      <c r="J84" s="19" t="s">
        <v>222</v>
      </c>
    </row>
    <row r="85" spans="2:11">
      <c r="D85" s="210">
        <v>53482</v>
      </c>
      <c r="E85" s="253">
        <v>0.18684542278428656</v>
      </c>
      <c r="F85" s="237" t="e">
        <v>#NUM!</v>
      </c>
      <c r="G85" s="231">
        <v>5.7495584387513121E-2</v>
      </c>
      <c r="H85" s="66" t="e">
        <v>#NUM!</v>
      </c>
      <c r="I85" s="239"/>
      <c r="J85" s="19" t="s">
        <v>223</v>
      </c>
    </row>
    <row r="86" spans="2:11">
      <c r="D86" s="210">
        <v>57136</v>
      </c>
      <c r="E86" s="253">
        <v>0.18684542278428656</v>
      </c>
      <c r="F86" s="237" t="e">
        <v>#NUM!</v>
      </c>
      <c r="G86" s="231">
        <v>4.2816666581659613E-2</v>
      </c>
      <c r="H86" s="66" t="e">
        <v>#NUM!</v>
      </c>
      <c r="I86" s="239"/>
      <c r="J86" s="19" t="s">
        <v>224</v>
      </c>
    </row>
    <row r="87" spans="2:11">
      <c r="D87" s="209">
        <v>60786</v>
      </c>
      <c r="E87" s="218">
        <v>0.18684542278428656</v>
      </c>
      <c r="F87" s="217" t="e">
        <v>#NUM!</v>
      </c>
      <c r="G87" s="247">
        <v>3.4115912449091512E-2</v>
      </c>
      <c r="H87" s="86" t="e">
        <v>#NUM!</v>
      </c>
      <c r="I87" s="238"/>
      <c r="J87" s="49" t="s">
        <v>225</v>
      </c>
    </row>
    <row r="90" spans="2:11">
      <c r="B90" s="118" t="s">
        <v>270</v>
      </c>
      <c r="C90" s="119" t="s">
        <v>280</v>
      </c>
      <c r="E90" s="182" t="s">
        <v>310</v>
      </c>
      <c r="G90" s="126" t="s">
        <v>835</v>
      </c>
    </row>
    <row r="91" spans="2:11">
      <c r="B91" s="120" t="s">
        <v>269</v>
      </c>
      <c r="C91" s="121" t="s">
        <v>251</v>
      </c>
      <c r="E91" s="235" t="s">
        <v>836</v>
      </c>
      <c r="F91" s="116" t="s">
        <v>444</v>
      </c>
      <c r="G91" s="127" t="s">
        <v>445</v>
      </c>
      <c r="H91" s="61" t="s">
        <v>825</v>
      </c>
      <c r="I91" s="127" t="s">
        <v>827</v>
      </c>
      <c r="J91" s="212" t="s">
        <v>851</v>
      </c>
    </row>
    <row r="92" spans="2:11">
      <c r="B92" s="120" t="s">
        <v>271</v>
      </c>
      <c r="C92" s="121" t="s">
        <v>272</v>
      </c>
      <c r="D92" s="148"/>
      <c r="E92" s="249">
        <v>42522</v>
      </c>
      <c r="F92" s="216">
        <v>1</v>
      </c>
      <c r="G92" s="236">
        <v>1</v>
      </c>
      <c r="H92" s="381">
        <v>-8.0068020154031583E-3</v>
      </c>
      <c r="I92" s="379">
        <v>-7.9434037355545772E-3</v>
      </c>
      <c r="J92" s="257">
        <v>-6.3398279848581041E-5</v>
      </c>
    </row>
    <row r="93" spans="2:11">
      <c r="B93" s="122" t="s">
        <v>273</v>
      </c>
      <c r="C93" s="123" t="s">
        <v>274</v>
      </c>
      <c r="D93" s="251"/>
      <c r="E93" s="234">
        <v>42618</v>
      </c>
      <c r="F93" s="215">
        <v>1.0021166115092981</v>
      </c>
      <c r="G93" s="237">
        <v>1.0020997674066818</v>
      </c>
      <c r="H93" s="377">
        <v>-8.0286501623531015E-3</v>
      </c>
      <c r="I93" s="376">
        <v>-7.9650795837705735E-3</v>
      </c>
      <c r="J93" s="258">
        <v>-6.3570578582528015E-5</v>
      </c>
      <c r="K93" s="115" t="s">
        <v>210</v>
      </c>
    </row>
    <row r="94" spans="2:11">
      <c r="B94" s="124" t="s">
        <v>328</v>
      </c>
      <c r="C94" s="205" t="s">
        <v>837</v>
      </c>
      <c r="D94" s="251"/>
      <c r="E94" s="234">
        <v>42709</v>
      </c>
      <c r="F94" s="215">
        <v>1.0042442067376527</v>
      </c>
      <c r="G94" s="237">
        <v>1.0042150009208033</v>
      </c>
      <c r="H94" s="377">
        <v>-8.255003649490944E-3</v>
      </c>
      <c r="I94" s="376">
        <v>-8.198550497550694E-3</v>
      </c>
      <c r="J94" s="258">
        <v>-5.6453151940250024E-5</v>
      </c>
      <c r="K94" s="115" t="s">
        <v>228</v>
      </c>
    </row>
    <row r="95" spans="2:11">
      <c r="D95" s="251"/>
      <c r="E95" s="234">
        <v>42797</v>
      </c>
      <c r="F95" s="215">
        <v>1.0065389973050007</v>
      </c>
      <c r="G95" s="237">
        <v>1.0064927014617606</v>
      </c>
      <c r="H95" s="377">
        <v>-8.6317428371011085E-3</v>
      </c>
      <c r="I95" s="376">
        <v>-8.5710895675474852E-3</v>
      </c>
      <c r="J95" s="258">
        <v>-6.0653269553623268E-5</v>
      </c>
      <c r="K95" s="115" t="s">
        <v>231</v>
      </c>
    </row>
    <row r="96" spans="2:11">
      <c r="D96" s="251"/>
      <c r="E96" s="234">
        <v>42891</v>
      </c>
      <c r="F96" s="215">
        <v>1.0090086287268116</v>
      </c>
      <c r="G96" s="237">
        <v>1.0089668481603236</v>
      </c>
      <c r="H96" s="377">
        <v>-8.8457984713564697E-3</v>
      </c>
      <c r="I96" s="376">
        <v>-8.8051359994434364E-3</v>
      </c>
      <c r="J96" s="258">
        <v>-4.0662471913033293E-5</v>
      </c>
      <c r="K96" s="115" t="s">
        <v>332</v>
      </c>
    </row>
    <row r="97" spans="4:11">
      <c r="D97" s="251"/>
      <c r="E97" s="234">
        <v>43255</v>
      </c>
      <c r="F97" s="215">
        <v>1.0190545769893506</v>
      </c>
      <c r="G97" s="237">
        <v>1.0189847540068748</v>
      </c>
      <c r="H97" s="377">
        <v>-9.3624302963778439E-3</v>
      </c>
      <c r="I97" s="376">
        <v>-9.3286025164893704E-3</v>
      </c>
      <c r="J97" s="258">
        <v>-3.3827779888473408E-5</v>
      </c>
      <c r="K97" s="115" t="s">
        <v>240</v>
      </c>
    </row>
    <row r="98" spans="4:11">
      <c r="D98" s="251"/>
      <c r="E98" s="234">
        <v>43619</v>
      </c>
      <c r="F98" s="215">
        <v>1.0332247953401372</v>
      </c>
      <c r="G98" s="237">
        <v>1.0331610992752491</v>
      </c>
      <c r="H98" s="377">
        <v>-1.0821880729454447E-2</v>
      </c>
      <c r="I98" s="376">
        <v>-1.0801579239875236E-2</v>
      </c>
      <c r="J98" s="258">
        <v>-2.0301489579210852E-5</v>
      </c>
      <c r="K98" s="115" t="s">
        <v>211</v>
      </c>
    </row>
    <row r="99" spans="4:11">
      <c r="D99" s="251"/>
      <c r="E99" s="234">
        <v>43985</v>
      </c>
      <c r="F99" s="215">
        <v>1.0406811405910739</v>
      </c>
      <c r="G99" s="237">
        <v>1.0405877191362796</v>
      </c>
      <c r="H99" s="377">
        <v>-9.9058707566551663E-3</v>
      </c>
      <c r="I99" s="376">
        <v>-9.8836797551433708E-3</v>
      </c>
      <c r="J99" s="258">
        <v>-2.2191001511795427E-5</v>
      </c>
      <c r="K99" s="115" t="s">
        <v>212</v>
      </c>
    </row>
    <row r="100" spans="4:11">
      <c r="D100" s="251"/>
      <c r="E100" s="234">
        <v>44350</v>
      </c>
      <c r="F100" s="215">
        <v>1.0451099113886515</v>
      </c>
      <c r="G100" s="237">
        <v>1.0450120279506814</v>
      </c>
      <c r="H100" s="377">
        <v>-8.7788127656386328E-3</v>
      </c>
      <c r="I100" s="376">
        <v>-8.7602588509432255E-3</v>
      </c>
      <c r="J100" s="258">
        <v>-1.8553914695407236E-5</v>
      </c>
      <c r="K100" s="115" t="s">
        <v>213</v>
      </c>
    </row>
    <row r="101" spans="4:11">
      <c r="D101" s="251"/>
      <c r="E101" s="234">
        <v>44715</v>
      </c>
      <c r="F101" s="215">
        <v>1.0461322650914333</v>
      </c>
      <c r="G101" s="237">
        <v>1.0460218226972082</v>
      </c>
      <c r="H101" s="377">
        <v>-7.4836369132041947E-3</v>
      </c>
      <c r="I101" s="376">
        <v>-7.4661834421304585E-3</v>
      </c>
      <c r="J101" s="258">
        <v>-1.7453471073736182E-5</v>
      </c>
      <c r="K101" s="115" t="s">
        <v>214</v>
      </c>
    </row>
    <row r="102" spans="4:11">
      <c r="D102" s="251"/>
      <c r="E102" s="234">
        <v>45082</v>
      </c>
      <c r="F102" s="215">
        <v>1.043868184307482</v>
      </c>
      <c r="G102" s="237">
        <v>1.0438277793319712</v>
      </c>
      <c r="H102" s="377">
        <v>-6.1064094168330474E-3</v>
      </c>
      <c r="I102" s="376">
        <v>-6.1009208304743101E-3</v>
      </c>
      <c r="J102" s="258">
        <v>-5.4885863587372796E-6</v>
      </c>
      <c r="K102" s="115" t="s">
        <v>215</v>
      </c>
    </row>
    <row r="103" spans="4:11">
      <c r="D103" s="251"/>
      <c r="E103" s="234">
        <v>45446</v>
      </c>
      <c r="F103" s="215">
        <v>1.0389177771347482</v>
      </c>
      <c r="G103" s="237">
        <v>1.038840048202724</v>
      </c>
      <c r="H103" s="377">
        <v>-4.7578343893309727E-3</v>
      </c>
      <c r="I103" s="376">
        <v>-4.7485326956812068E-3</v>
      </c>
      <c r="J103" s="258">
        <v>-9.301693649765852E-6</v>
      </c>
      <c r="K103" s="115" t="s">
        <v>216</v>
      </c>
    </row>
    <row r="104" spans="4:11">
      <c r="D104" s="251"/>
      <c r="E104" s="234">
        <v>45811</v>
      </c>
      <c r="F104" s="215">
        <v>1.0319021431697868</v>
      </c>
      <c r="G104" s="237">
        <v>1.0318023628419217</v>
      </c>
      <c r="H104" s="377">
        <v>-3.4817375275388862E-3</v>
      </c>
      <c r="I104" s="376">
        <v>-3.47103502289281E-3</v>
      </c>
      <c r="J104" s="258">
        <v>-1.070250464607625E-5</v>
      </c>
      <c r="K104" s="115" t="s">
        <v>217</v>
      </c>
    </row>
    <row r="105" spans="4:11">
      <c r="D105" s="251"/>
      <c r="E105" s="234">
        <v>46176</v>
      </c>
      <c r="F105" s="215">
        <v>1.0231996436295818</v>
      </c>
      <c r="G105" s="237">
        <v>1.0230782442369899</v>
      </c>
      <c r="H105" s="377">
        <v>-2.2899474065553038E-3</v>
      </c>
      <c r="I105" s="376">
        <v>-2.2781137092652282E-3</v>
      </c>
      <c r="J105" s="258">
        <v>-1.1833697290075662E-5</v>
      </c>
      <c r="K105" s="115" t="s">
        <v>218</v>
      </c>
    </row>
    <row r="106" spans="4:11">
      <c r="D106" s="251"/>
      <c r="E106" s="234">
        <v>46909</v>
      </c>
      <c r="F106" s="215">
        <v>1.0033687194078931</v>
      </c>
      <c r="G106" s="237">
        <v>1.0033591399019393</v>
      </c>
      <c r="H106" s="377">
        <v>-2.79960626728748E-4</v>
      </c>
      <c r="I106" s="376">
        <v>-2.7916595712917935E-4</v>
      </c>
      <c r="J106" s="258">
        <v>-7.9466959956864258E-7</v>
      </c>
      <c r="K106" s="115" t="s">
        <v>219</v>
      </c>
    </row>
    <row r="107" spans="4:11">
      <c r="D107" s="251"/>
      <c r="E107" s="234">
        <v>48002</v>
      </c>
      <c r="F107" s="215">
        <v>0.97134771718730739</v>
      </c>
      <c r="G107" s="237">
        <v>0.97124193898387567</v>
      </c>
      <c r="H107" s="377">
        <v>1.9394289123080277E-3</v>
      </c>
      <c r="I107" s="376">
        <v>1.9467014276106642E-3</v>
      </c>
      <c r="J107" s="258">
        <v>-7.2725153026365064E-6</v>
      </c>
      <c r="K107" s="115" t="s">
        <v>220</v>
      </c>
    </row>
    <row r="108" spans="4:11">
      <c r="D108" s="251"/>
      <c r="E108" s="234">
        <v>49829</v>
      </c>
      <c r="F108" s="215">
        <v>0.92383327193828779</v>
      </c>
      <c r="G108" s="237">
        <v>0.92373222343539307</v>
      </c>
      <c r="H108" s="377">
        <v>3.9679528294096489E-3</v>
      </c>
      <c r="I108" s="376">
        <v>3.973442324930021E-3</v>
      </c>
      <c r="J108" s="258">
        <v>-5.4894955203721452E-6</v>
      </c>
      <c r="K108" s="61" t="s">
        <v>221</v>
      </c>
    </row>
    <row r="109" spans="4:11">
      <c r="D109" s="251"/>
      <c r="E109" s="234">
        <v>51655</v>
      </c>
      <c r="F109" s="215">
        <v>0.8898866617968294</v>
      </c>
      <c r="G109" s="237">
        <v>0.88979391568482769</v>
      </c>
      <c r="H109" s="377">
        <v>4.6766246001963552E-3</v>
      </c>
      <c r="I109" s="376">
        <v>4.680812569480608E-3</v>
      </c>
      <c r="J109" s="258">
        <v>-4.1879692842528016E-6</v>
      </c>
      <c r="K109" s="115" t="s">
        <v>222</v>
      </c>
    </row>
    <row r="110" spans="4:11">
      <c r="D110" s="251"/>
      <c r="E110" s="234">
        <v>53482</v>
      </c>
      <c r="F110" s="215">
        <v>0.86392304145682974</v>
      </c>
      <c r="G110" s="237">
        <v>0.86414503116098751</v>
      </c>
      <c r="H110" s="377">
        <v>4.8865447320609601E-3</v>
      </c>
      <c r="I110" s="376">
        <v>4.8779407376982054E-3</v>
      </c>
      <c r="J110" s="258">
        <v>8.6039943627547188E-6</v>
      </c>
      <c r="K110" s="115" t="s">
        <v>223</v>
      </c>
    </row>
    <row r="111" spans="4:11">
      <c r="D111" s="251"/>
      <c r="E111" s="234">
        <v>57136</v>
      </c>
      <c r="F111" s="215">
        <v>0.83268438093333708</v>
      </c>
      <c r="G111" s="237">
        <v>0.83301128783345968</v>
      </c>
      <c r="H111" s="377">
        <v>4.586751821312296E-3</v>
      </c>
      <c r="I111" s="376">
        <v>4.5768966287675905E-3</v>
      </c>
      <c r="J111" s="258">
        <v>9.85519254470546E-6</v>
      </c>
      <c r="K111" s="115" t="s">
        <v>224</v>
      </c>
    </row>
    <row r="112" spans="4:11">
      <c r="D112" s="213"/>
      <c r="E112" s="250">
        <v>60786</v>
      </c>
      <c r="F112" s="214">
        <v>1.0359049124669342</v>
      </c>
      <c r="G112" s="217">
        <v>1.0358112818153957</v>
      </c>
      <c r="H112" s="201">
        <v>-7.0520364444404127E-4</v>
      </c>
      <c r="I112" s="238">
        <v>-7.033972686034673E-4</v>
      </c>
      <c r="J112" s="259">
        <v>-1.8063758405739705E-6</v>
      </c>
      <c r="K112" s="115" t="s">
        <v>225</v>
      </c>
    </row>
    <row r="115" spans="2:12">
      <c r="B115" s="118" t="s">
        <v>270</v>
      </c>
      <c r="C115" s="119" t="s">
        <v>280</v>
      </c>
      <c r="D115" s="115" t="s">
        <v>318</v>
      </c>
      <c r="F115" s="115" t="s">
        <v>838</v>
      </c>
    </row>
    <row r="116" spans="2:12">
      <c r="B116" s="120" t="s">
        <v>269</v>
      </c>
      <c r="C116" s="121" t="s">
        <v>251</v>
      </c>
      <c r="D116" s="116" t="s">
        <v>839</v>
      </c>
      <c r="E116" s="116" t="s">
        <v>444</v>
      </c>
      <c r="F116" s="127" t="s">
        <v>734</v>
      </c>
      <c r="G116" s="116" t="s">
        <v>444</v>
      </c>
      <c r="H116" s="127" t="s">
        <v>734</v>
      </c>
      <c r="I116" s="127" t="s">
        <v>735</v>
      </c>
      <c r="J116" s="127" t="s">
        <v>736</v>
      </c>
      <c r="K116" s="127" t="s">
        <v>738</v>
      </c>
    </row>
    <row r="117" spans="2:12">
      <c r="B117" s="120" t="s">
        <v>271</v>
      </c>
      <c r="C117" s="121" t="s">
        <v>272</v>
      </c>
      <c r="D117" s="233">
        <v>42522</v>
      </c>
      <c r="E117" s="252">
        <v>1</v>
      </c>
      <c r="F117" s="236">
        <v>1</v>
      </c>
      <c r="G117" s="229">
        <v>-2.5684599072595127E-3</v>
      </c>
      <c r="H117" s="248">
        <v>-2.5684599072595127E-3</v>
      </c>
      <c r="I117" s="206">
        <v>-2.6099999998924323E-3</v>
      </c>
      <c r="J117" s="206">
        <v>-2.5827501431493435E-3</v>
      </c>
      <c r="K117" s="206">
        <v>2.7249856743088822E-5</v>
      </c>
    </row>
    <row r="118" spans="2:12">
      <c r="B118" s="122" t="s">
        <v>273</v>
      </c>
      <c r="C118" s="123" t="s">
        <v>274</v>
      </c>
      <c r="D118" s="210">
        <v>42523</v>
      </c>
      <c r="E118" s="253">
        <v>1.0000070459537536</v>
      </c>
      <c r="F118" s="237">
        <v>1.0000070459537536</v>
      </c>
      <c r="G118" s="231">
        <v>-2.5754877147157185E-3</v>
      </c>
      <c r="H118" s="208">
        <v>-2.5754877147157185E-3</v>
      </c>
      <c r="I118" s="246">
        <v>-2.6128765184663602E-3</v>
      </c>
      <c r="J118" s="246">
        <v>-2.584524842008083E-3</v>
      </c>
      <c r="K118" s="246">
        <v>2.8351676458277224E-5</v>
      </c>
      <c r="L118" s="13" t="s">
        <v>206</v>
      </c>
    </row>
    <row r="119" spans="2:12">
      <c r="B119" s="124" t="s">
        <v>328</v>
      </c>
      <c r="C119" s="125" t="s">
        <v>840</v>
      </c>
      <c r="D119" s="210">
        <v>42527</v>
      </c>
      <c r="E119" s="253">
        <v>1.0000352302652253</v>
      </c>
      <c r="F119" s="237">
        <v>1.0000352305631115</v>
      </c>
      <c r="G119" s="231">
        <v>-2.575487714653879E-3</v>
      </c>
      <c r="H119" s="208">
        <v>-2.5755094629954511E-3</v>
      </c>
      <c r="I119" s="246">
        <v>-2.6153610164793345E-3</v>
      </c>
      <c r="J119" s="246">
        <v>-2.5914460554647871E-3</v>
      </c>
      <c r="K119" s="246">
        <v>2.3914961014547334E-5</v>
      </c>
      <c r="L119" s="16" t="s">
        <v>276</v>
      </c>
    </row>
    <row r="120" spans="2:12">
      <c r="B120" s="211" t="s">
        <v>446</v>
      </c>
      <c r="C120" s="232" t="s">
        <v>446</v>
      </c>
      <c r="D120" s="210">
        <v>42531</v>
      </c>
      <c r="E120" s="253">
        <v>1.0000634153710473</v>
      </c>
      <c r="F120" s="237">
        <v>1.0000634161406161</v>
      </c>
      <c r="G120" s="231">
        <v>-2.5754877146603183E-3</v>
      </c>
      <c r="H120" s="208">
        <v>-2.5755189278787727E-3</v>
      </c>
      <c r="I120" s="246">
        <v>-2.6232046124207782E-3</v>
      </c>
      <c r="J120" s="246">
        <v>-2.5978373507577939E-3</v>
      </c>
      <c r="K120" s="246">
        <v>2.5367261662984347E-5</v>
      </c>
      <c r="L120" s="16" t="s">
        <v>207</v>
      </c>
    </row>
    <row r="121" spans="2:12">
      <c r="D121" s="210">
        <v>42555</v>
      </c>
      <c r="E121" s="253">
        <v>1.0002319439775547</v>
      </c>
      <c r="F121" s="237">
        <v>1.0002325612377034</v>
      </c>
      <c r="G121" s="231">
        <v>-2.5688660828573351E-3</v>
      </c>
      <c r="H121" s="208">
        <v>-2.5756928637508114E-3</v>
      </c>
      <c r="I121" s="246">
        <v>-2.6546580871016747E-3</v>
      </c>
      <c r="J121" s="246">
        <v>-2.6358326336047315E-3</v>
      </c>
      <c r="K121" s="246">
        <v>1.8825453496943215E-5</v>
      </c>
      <c r="L121" s="16" t="s">
        <v>208</v>
      </c>
    </row>
    <row r="122" spans="2:12">
      <c r="D122" s="210">
        <v>42585</v>
      </c>
      <c r="E122" s="253">
        <v>1.0004529277672523</v>
      </c>
      <c r="F122" s="237">
        <v>1.0004428589812793</v>
      </c>
      <c r="G122" s="231">
        <v>-2.6272416784005603E-3</v>
      </c>
      <c r="H122" s="208">
        <v>-2.5689249207607734E-3</v>
      </c>
      <c r="I122" s="246">
        <v>-2.7033700720893077E-3</v>
      </c>
      <c r="J122" s="246">
        <v>-2.6794669723313072E-3</v>
      </c>
      <c r="K122" s="246">
        <v>2.3903099758000503E-5</v>
      </c>
      <c r="L122" s="16" t="s">
        <v>209</v>
      </c>
    </row>
    <row r="123" spans="2:12">
      <c r="D123" s="210">
        <v>42618</v>
      </c>
      <c r="E123" s="253">
        <v>1.0006960663263256</v>
      </c>
      <c r="F123" s="237">
        <v>1.0006904913978851</v>
      </c>
      <c r="G123" s="231">
        <v>-2.6493140602461551E-3</v>
      </c>
      <c r="H123" s="208">
        <v>-2.6281304162367736E-3</v>
      </c>
      <c r="I123" s="246">
        <v>-2.7512248018360052E-3</v>
      </c>
      <c r="J123" s="246">
        <v>-2.7228739653571135E-3</v>
      </c>
      <c r="K123" s="246">
        <v>2.8350836478891698E-5</v>
      </c>
      <c r="L123" s="16" t="s">
        <v>210</v>
      </c>
    </row>
    <row r="124" spans="2:12">
      <c r="D124" s="210">
        <v>42646</v>
      </c>
      <c r="E124" s="253">
        <v>1.0009024120475984</v>
      </c>
      <c r="F124" s="237">
        <v>1.0008993875399015</v>
      </c>
      <c r="G124" s="231">
        <v>-2.6588289832351064E-3</v>
      </c>
      <c r="H124" s="208">
        <v>-2.6499335173426619E-3</v>
      </c>
      <c r="I124" s="246">
        <v>-2.763143750084178E-3</v>
      </c>
      <c r="J124" s="246">
        <v>-2.771153822839695E-3</v>
      </c>
      <c r="K124" s="246">
        <v>-8.010072755517024E-6</v>
      </c>
      <c r="L124" s="16" t="s">
        <v>226</v>
      </c>
    </row>
    <row r="125" spans="2:12">
      <c r="D125" s="210">
        <v>42677</v>
      </c>
      <c r="E125" s="253">
        <v>1.0011432390115202</v>
      </c>
      <c r="F125" s="237">
        <v>1.0011283843161602</v>
      </c>
      <c r="G125" s="231">
        <v>-2.6943410217328267E-3</v>
      </c>
      <c r="H125" s="208">
        <v>-2.6593983561703505E-3</v>
      </c>
      <c r="I125" s="246">
        <v>-2.835518517699278E-3</v>
      </c>
      <c r="J125" s="246">
        <v>-2.7792917248054719E-3</v>
      </c>
      <c r="K125" s="246">
        <v>5.62267928938061E-5</v>
      </c>
      <c r="L125" s="16" t="s">
        <v>227</v>
      </c>
    </row>
    <row r="126" spans="2:12">
      <c r="D126" s="210">
        <v>42709</v>
      </c>
      <c r="E126" s="253">
        <v>1.0013923194966696</v>
      </c>
      <c r="F126" s="237">
        <v>1.0013797230666104</v>
      </c>
      <c r="G126" s="231">
        <v>-2.7194747057257551E-3</v>
      </c>
      <c r="H126" s="208">
        <v>-2.6949215047711306E-3</v>
      </c>
      <c r="I126" s="246">
        <v>-2.9002026338074138E-3</v>
      </c>
      <c r="J126" s="246">
        <v>-2.8587947609102216E-3</v>
      </c>
      <c r="K126" s="246">
        <v>4.1407872897192277E-5</v>
      </c>
      <c r="L126" s="16" t="s">
        <v>228</v>
      </c>
    </row>
    <row r="127" spans="2:12">
      <c r="D127" s="210">
        <v>42738</v>
      </c>
      <c r="E127" s="253">
        <v>1.0016085586644119</v>
      </c>
      <c r="F127" s="237">
        <v>1.0016087105573099</v>
      </c>
      <c r="G127" s="231">
        <v>-2.7196494348888933E-3</v>
      </c>
      <c r="H127" s="208">
        <v>-2.7199056902333929E-3</v>
      </c>
      <c r="I127" s="246">
        <v>-2.9927204114170713E-3</v>
      </c>
      <c r="J127" s="246">
        <v>-2.9103872062559155E-3</v>
      </c>
      <c r="K127" s="246">
        <v>8.2333205161155831E-5</v>
      </c>
      <c r="L127" s="16" t="s">
        <v>229</v>
      </c>
    </row>
    <row r="128" spans="2:12">
      <c r="D128" s="210">
        <v>42769</v>
      </c>
      <c r="E128" s="253">
        <v>1.0018670249277164</v>
      </c>
      <c r="F128" s="237">
        <v>1.0018399546094356</v>
      </c>
      <c r="G128" s="231">
        <v>-2.7591186766195985E-3</v>
      </c>
      <c r="H128" s="208">
        <v>-2.7192048740022345E-3</v>
      </c>
      <c r="I128" s="246">
        <v>-2.9872329071176651E-3</v>
      </c>
      <c r="J128" s="246">
        <v>-3.0282613864282826E-3</v>
      </c>
      <c r="K128" s="246">
        <v>-4.1028479310617483E-5</v>
      </c>
      <c r="L128" s="16" t="s">
        <v>230</v>
      </c>
    </row>
    <row r="129" spans="4:12">
      <c r="D129" s="210">
        <v>42797</v>
      </c>
      <c r="E129" s="253">
        <v>1.0021005356532986</v>
      </c>
      <c r="F129" s="237">
        <v>1.0020792260855103</v>
      </c>
      <c r="G129" s="231">
        <v>-2.7871026021758505E-3</v>
      </c>
      <c r="H129" s="208">
        <v>-2.758896275256606E-3</v>
      </c>
      <c r="I129" s="246">
        <v>-2.985480048085376E-3</v>
      </c>
      <c r="J129" s="246">
        <v>-2.9997703430036408E-3</v>
      </c>
      <c r="K129" s="246">
        <v>-1.4290294918264859E-5</v>
      </c>
      <c r="L129" s="16" t="s">
        <v>231</v>
      </c>
    </row>
    <row r="130" spans="4:12">
      <c r="D130" s="210">
        <v>42828</v>
      </c>
      <c r="E130" s="253">
        <v>1.0023585867549902</v>
      </c>
      <c r="F130" s="237">
        <v>1.0023380084863707</v>
      </c>
      <c r="G130" s="231">
        <v>-2.811454475155406E-3</v>
      </c>
      <c r="H130" s="208">
        <v>-2.7869878055112318E-3</v>
      </c>
      <c r="I130" s="246">
        <v>-3.018884762989324E-3</v>
      </c>
      <c r="J130" s="246">
        <v>-3.0996881726647234E-3</v>
      </c>
      <c r="K130" s="246">
        <v>-8.0803409675399458E-5</v>
      </c>
      <c r="L130" s="16" t="s">
        <v>232</v>
      </c>
    </row>
    <row r="131" spans="4:12">
      <c r="D131" s="210">
        <v>42858</v>
      </c>
      <c r="E131" s="253">
        <v>1.0026076503090346</v>
      </c>
      <c r="F131" s="237">
        <v>1.0025905475413663</v>
      </c>
      <c r="G131" s="231">
        <v>-2.8299481259991266E-3</v>
      </c>
      <c r="H131" s="208">
        <v>-2.8114374474720316E-3</v>
      </c>
      <c r="I131" s="246">
        <v>-3.0231627407289424E-3</v>
      </c>
      <c r="J131" s="246">
        <v>-3.0901873081212732E-3</v>
      </c>
      <c r="K131" s="246">
        <v>-6.7024567392330765E-5</v>
      </c>
      <c r="L131" s="16" t="s">
        <v>233</v>
      </c>
    </row>
    <row r="132" spans="4:12">
      <c r="D132" s="210">
        <v>42891</v>
      </c>
      <c r="E132" s="253">
        <v>1.0028816916969068</v>
      </c>
      <c r="F132" s="237">
        <v>1.0028646306022029</v>
      </c>
      <c r="G132" s="231">
        <v>-2.8468121316318484E-3</v>
      </c>
      <c r="H132" s="208">
        <v>-2.8300054631803517E-3</v>
      </c>
      <c r="I132" s="246">
        <v>-3.0282850149685749E-3</v>
      </c>
      <c r="J132" s="246">
        <v>-3.0957802087495513E-3</v>
      </c>
      <c r="K132" s="246">
        <v>-6.749519378097639E-5</v>
      </c>
      <c r="L132" s="47" t="s">
        <v>234</v>
      </c>
    </row>
    <row r="133" spans="4:12">
      <c r="D133" s="210">
        <v>42919</v>
      </c>
      <c r="E133" s="253">
        <v>1.0031239882917145</v>
      </c>
      <c r="F133" s="237">
        <v>1.0031239885203342</v>
      </c>
      <c r="G133" s="231">
        <v>-2.8678133758176516E-3</v>
      </c>
      <c r="H133" s="208">
        <v>-2.8678135850622732E-3</v>
      </c>
      <c r="I133" s="246">
        <v>-3.0167233905355256E-3</v>
      </c>
      <c r="J133" s="246">
        <v>-3.0153258446760528E-3</v>
      </c>
      <c r="K133" s="246">
        <v>1.3975458594728436E-6</v>
      </c>
      <c r="L133" s="19" t="s">
        <v>235</v>
      </c>
    </row>
    <row r="134" spans="4:12">
      <c r="D134" s="210">
        <v>42950</v>
      </c>
      <c r="E134" s="253">
        <v>1.0033829383960382</v>
      </c>
      <c r="F134" s="237">
        <v>1.0033829336275182</v>
      </c>
      <c r="G134" s="231">
        <v>-2.8798987058735737E-3</v>
      </c>
      <c r="H134" s="208">
        <v>-2.8798946591162E-3</v>
      </c>
      <c r="I134" s="246">
        <v>-3.0392922897041741E-3</v>
      </c>
      <c r="J134" s="246">
        <v>-3.0364492900993084E-3</v>
      </c>
      <c r="K134" s="246">
        <v>2.842999604865757E-6</v>
      </c>
      <c r="L134" s="19" t="s">
        <v>236</v>
      </c>
    </row>
    <row r="135" spans="4:12">
      <c r="D135" s="210">
        <v>42982</v>
      </c>
      <c r="E135" s="253">
        <v>1.0036501417106585</v>
      </c>
      <c r="F135" s="237">
        <v>1.0036501376529081</v>
      </c>
      <c r="G135" s="231">
        <v>-2.8905287412086533E-3</v>
      </c>
      <c r="H135" s="208">
        <v>-2.8905255383835371E-3</v>
      </c>
      <c r="I135" s="246">
        <v>-3.0583923076589179E-3</v>
      </c>
      <c r="J135" s="246">
        <v>-3.0589069457532558E-3</v>
      </c>
      <c r="K135" s="246">
        <v>-5.1463809433785479E-7</v>
      </c>
      <c r="L135" s="19" t="s">
        <v>237</v>
      </c>
    </row>
    <row r="136" spans="4:12">
      <c r="D136" s="210">
        <v>43073</v>
      </c>
      <c r="E136" s="253">
        <v>1.0044268028595973</v>
      </c>
      <c r="F136" s="237">
        <v>1.0044267842475805</v>
      </c>
      <c r="G136" s="231">
        <v>-2.9248066370777259E-3</v>
      </c>
      <c r="H136" s="208">
        <v>-2.9247943851217206E-3</v>
      </c>
      <c r="I136" s="246">
        <v>-3.0319014654076604E-3</v>
      </c>
      <c r="J136" s="246">
        <v>-3.0328433928037413E-3</v>
      </c>
      <c r="K136" s="246">
        <v>-9.4192739608089937E-7</v>
      </c>
      <c r="L136" s="19" t="s">
        <v>238</v>
      </c>
    </row>
    <row r="137" spans="4:12">
      <c r="D137" s="210">
        <v>43164</v>
      </c>
      <c r="E137" s="253">
        <v>1.0051974479907484</v>
      </c>
      <c r="F137" s="237">
        <v>1.0051974009254869</v>
      </c>
      <c r="G137" s="231">
        <v>-2.9456226177841938E-3</v>
      </c>
      <c r="H137" s="208">
        <v>-2.9455960520692326E-3</v>
      </c>
      <c r="I137" s="246">
        <v>-3.4581991098306519E-3</v>
      </c>
      <c r="J137" s="246">
        <v>-3.1114562559485673E-3</v>
      </c>
      <c r="K137" s="246">
        <v>3.4674285388208454E-4</v>
      </c>
      <c r="L137" s="19" t="s">
        <v>239</v>
      </c>
    </row>
    <row r="138" spans="4:12">
      <c r="D138" s="210">
        <v>43255</v>
      </c>
      <c r="E138" s="253">
        <v>1.00594455011248</v>
      </c>
      <c r="F138" s="237">
        <v>1.0059444994690812</v>
      </c>
      <c r="G138" s="231">
        <v>-2.9493448923585408E-3</v>
      </c>
      <c r="H138" s="208">
        <v>-2.949319877301515E-3</v>
      </c>
      <c r="I138" s="246">
        <v>-1.8316353690067341E-2</v>
      </c>
      <c r="J138" s="246">
        <v>-1.8676721014896949E-2</v>
      </c>
      <c r="K138" s="246">
        <v>-3.6036732482960798E-4</v>
      </c>
      <c r="L138" s="19" t="s">
        <v>240</v>
      </c>
    </row>
    <row r="139" spans="4:12">
      <c r="D139" s="210">
        <v>43346</v>
      </c>
      <c r="E139" s="253">
        <v>1.0107625155845281</v>
      </c>
      <c r="F139" s="237">
        <v>1.0107625088566956</v>
      </c>
      <c r="G139" s="231">
        <v>-4.7340307260252956E-3</v>
      </c>
      <c r="H139" s="208">
        <v>-4.7340277894635241E-3</v>
      </c>
      <c r="I139" s="246">
        <v>-2.2537723971805955E-3</v>
      </c>
      <c r="J139" s="246">
        <v>-2.2536884063851779E-3</v>
      </c>
      <c r="K139" s="246">
        <v>8.3990795417612785E-8</v>
      </c>
      <c r="L139" s="19" t="s">
        <v>241</v>
      </c>
    </row>
    <row r="140" spans="4:12">
      <c r="D140" s="210">
        <v>43619</v>
      </c>
      <c r="E140" s="253">
        <v>1.0124919908521477</v>
      </c>
      <c r="F140" s="237">
        <v>1.0124919195873741</v>
      </c>
      <c r="G140" s="231">
        <v>-4.1243329411015939E-3</v>
      </c>
      <c r="H140" s="208">
        <v>-4.1243096061861495E-3</v>
      </c>
      <c r="I140" s="246">
        <v>5.6362941893706164E-4</v>
      </c>
      <c r="J140" s="246">
        <v>5.6360981731847252E-4</v>
      </c>
      <c r="K140" s="246">
        <v>-1.9601618589121933E-8</v>
      </c>
      <c r="L140" s="19" t="s">
        <v>211</v>
      </c>
    </row>
    <row r="141" spans="4:12">
      <c r="D141" s="210">
        <v>43985</v>
      </c>
      <c r="E141" s="253">
        <v>1.0119120173617613</v>
      </c>
      <c r="F141" s="237">
        <v>1.0119119663006033</v>
      </c>
      <c r="G141" s="231">
        <v>-2.952002422579092E-3</v>
      </c>
      <c r="H141" s="208">
        <v>-2.9519898619584373E-3</v>
      </c>
      <c r="I141" s="246">
        <v>3.8427275119747293E-3</v>
      </c>
      <c r="J141" s="246">
        <v>3.8426636736127694E-3</v>
      </c>
      <c r="K141" s="246">
        <v>-6.3838361959948214E-8</v>
      </c>
      <c r="L141" s="19" t="s">
        <v>212</v>
      </c>
    </row>
    <row r="142" spans="4:12">
      <c r="D142" s="210">
        <v>44350</v>
      </c>
      <c r="E142" s="253">
        <v>1.0079791473854474</v>
      </c>
      <c r="F142" s="237">
        <v>1.007979119835875</v>
      </c>
      <c r="G142" s="231">
        <v>-1.5870041278747138E-3</v>
      </c>
      <c r="H142" s="208">
        <v>-1.5869986744806441E-3</v>
      </c>
      <c r="I142" s="246">
        <v>6.9672009733399449E-3</v>
      </c>
      <c r="J142" s="246">
        <v>6.9671769951466008E-3</v>
      </c>
      <c r="K142" s="246">
        <v>-2.3978193344070808E-8</v>
      </c>
      <c r="L142" s="19" t="s">
        <v>213</v>
      </c>
    </row>
    <row r="143" spans="4:12">
      <c r="D143" s="210">
        <v>44715</v>
      </c>
      <c r="E143" s="253">
        <v>1.0008901919167392</v>
      </c>
      <c r="F143" s="237">
        <v>1.0008901888505353</v>
      </c>
      <c r="G143" s="231">
        <v>-1.4819256279041682E-4</v>
      </c>
      <c r="H143" s="208">
        <v>-1.4819205261629165E-4</v>
      </c>
      <c r="I143" s="246">
        <v>9.9229826736968937E-3</v>
      </c>
      <c r="J143" s="246">
        <v>9.9229582784458575E-3</v>
      </c>
      <c r="K143" s="246">
        <v>-2.4395251036271604E-8</v>
      </c>
      <c r="L143" s="19" t="s">
        <v>214</v>
      </c>
    </row>
    <row r="144" spans="4:12">
      <c r="D144" s="210">
        <v>45082</v>
      </c>
      <c r="E144" s="253">
        <v>0.99082898375539086</v>
      </c>
      <c r="F144" s="237">
        <v>0.99082900529920304</v>
      </c>
      <c r="G144" s="231">
        <v>1.3152970713026235E-3</v>
      </c>
      <c r="H144" s="208">
        <v>1.3152939651950302E-3</v>
      </c>
      <c r="I144" s="246">
        <v>1.2359321481800457E-2</v>
      </c>
      <c r="J144" s="246">
        <v>1.2359297375115982E-2</v>
      </c>
      <c r="K144" s="246">
        <v>-2.4106684475000417E-8</v>
      </c>
      <c r="L144" s="19" t="s">
        <v>215</v>
      </c>
    </row>
    <row r="145" spans="2:12">
      <c r="D145" s="210">
        <v>45446</v>
      </c>
      <c r="E145" s="253">
        <v>0.97854326023338833</v>
      </c>
      <c r="F145" s="237">
        <v>0.97854330528651079</v>
      </c>
      <c r="G145" s="231">
        <v>2.713108423268995E-3</v>
      </c>
      <c r="H145" s="208">
        <v>2.7131026564672922E-3</v>
      </c>
      <c r="I145" s="246">
        <v>1.4222968943272638E-2</v>
      </c>
      <c r="J145" s="246">
        <v>1.4222945351692644E-2</v>
      </c>
      <c r="K145" s="246">
        <v>-2.3591579993362255E-8</v>
      </c>
      <c r="L145" s="19" t="s">
        <v>216</v>
      </c>
    </row>
    <row r="146" spans="2:12">
      <c r="D146" s="210">
        <v>45811</v>
      </c>
      <c r="E146" s="253">
        <v>0.96455864174702466</v>
      </c>
      <c r="F146" s="237">
        <v>0.96455870914423736</v>
      </c>
      <c r="G146" s="231">
        <v>4.01572019605001E-3</v>
      </c>
      <c r="H146" s="208">
        <v>4.0157124044937209E-3</v>
      </c>
      <c r="I146" s="246">
        <v>1.5351704287540431E-2</v>
      </c>
      <c r="J146" s="246">
        <v>1.5351681699627154E-2</v>
      </c>
      <c r="K146" s="246">
        <v>-2.2587913277652416E-8</v>
      </c>
      <c r="L146" s="19" t="s">
        <v>217</v>
      </c>
    </row>
    <row r="147" spans="2:12">
      <c r="D147" s="210">
        <v>46176</v>
      </c>
      <c r="E147" s="253">
        <v>0.94969051789277448</v>
      </c>
      <c r="F147" s="237">
        <v>0.94969060591556909</v>
      </c>
      <c r="G147" s="231">
        <v>5.1732463035534249E-3</v>
      </c>
      <c r="H147" s="208">
        <v>5.1732369906394293E-3</v>
      </c>
      <c r="I147" s="246">
        <v>1.6043579147788502E-2</v>
      </c>
      <c r="J147" s="246">
        <v>1.6042845612366387E-2</v>
      </c>
      <c r="K147" s="246">
        <v>-7.3353542211565537E-7</v>
      </c>
      <c r="L147" s="19" t="s">
        <v>218</v>
      </c>
    </row>
    <row r="148" spans="2:12">
      <c r="D148" s="210">
        <v>46909</v>
      </c>
      <c r="E148" s="253">
        <v>0.91923139733482906</v>
      </c>
      <c r="F148" s="237">
        <v>0.91923151899990341</v>
      </c>
      <c r="G148" s="231">
        <v>7.0363701418458824E-3</v>
      </c>
      <c r="H148" s="208">
        <v>7.0363590447430902E-3</v>
      </c>
      <c r="I148" s="246">
        <v>1.65312049993744E-2</v>
      </c>
      <c r="J148" s="246">
        <v>1.6531194421317709E-2</v>
      </c>
      <c r="K148" s="246">
        <v>-1.0578056690996318E-8</v>
      </c>
      <c r="L148" s="19" t="s">
        <v>219</v>
      </c>
    </row>
    <row r="149" spans="2:12">
      <c r="D149" s="210">
        <v>48002</v>
      </c>
      <c r="E149" s="253">
        <v>0.87432575967278281</v>
      </c>
      <c r="F149" s="237">
        <v>0.87432590335621674</v>
      </c>
      <c r="G149" s="231">
        <v>8.9913509550723081E-3</v>
      </c>
      <c r="H149" s="208">
        <v>8.9913399036718467E-3</v>
      </c>
      <c r="I149" s="246">
        <v>1.5162520135612808E-2</v>
      </c>
      <c r="J149" s="246">
        <v>1.5162513272783373E-2</v>
      </c>
      <c r="K149" s="246">
        <v>-6.8628294349476482E-9</v>
      </c>
      <c r="L149" s="19" t="s">
        <v>220</v>
      </c>
    </row>
    <row r="150" spans="2:12">
      <c r="D150" s="210">
        <v>49829</v>
      </c>
      <c r="E150" s="253">
        <v>0.80969039024066725</v>
      </c>
      <c r="F150" s="237">
        <v>0.80969055139391344</v>
      </c>
      <c r="G150" s="231">
        <v>1.0608155493562421E-2</v>
      </c>
      <c r="H150" s="208">
        <v>1.0608145439207961E-2</v>
      </c>
      <c r="I150" s="246">
        <v>1.2208862271986689E-2</v>
      </c>
      <c r="J150" s="246">
        <v>1.2208860333822277E-2</v>
      </c>
      <c r="K150" s="246">
        <v>-1.9381644119492725E-9</v>
      </c>
      <c r="L150" s="19" t="s">
        <v>221</v>
      </c>
    </row>
    <row r="151" spans="2:12">
      <c r="D151" s="210">
        <v>51655</v>
      </c>
      <c r="E151" s="253">
        <v>0.76114378584310194</v>
      </c>
      <c r="F151" s="237">
        <v>0.76114394479346259</v>
      </c>
      <c r="G151" s="231">
        <v>1.097541961266324E-2</v>
      </c>
      <c r="H151" s="208">
        <v>1.0975411169056315E-2</v>
      </c>
      <c r="I151" s="246">
        <v>1.1387750937580812E-2</v>
      </c>
      <c r="J151" s="246">
        <v>1.1387750307876697E-2</v>
      </c>
      <c r="K151" s="246">
        <v>-6.2970411524032599E-10</v>
      </c>
      <c r="L151" s="19" t="s">
        <v>222</v>
      </c>
    </row>
    <row r="152" spans="2:12">
      <c r="D152" s="210">
        <v>53482</v>
      </c>
      <c r="E152" s="253">
        <v>0.7184624043356368</v>
      </c>
      <c r="F152" s="237">
        <v>0.71846255666216763</v>
      </c>
      <c r="G152" s="231">
        <v>1.1079898561278778E-2</v>
      </c>
      <c r="H152" s="208">
        <v>1.1079891417304255E-2</v>
      </c>
      <c r="I152" s="246">
        <v>1.1597645452098536E-2</v>
      </c>
      <c r="J152" s="246">
        <v>1.1597645099054855E-2</v>
      </c>
      <c r="K152" s="246">
        <v>-3.5304368109501105E-10</v>
      </c>
      <c r="L152" s="19" t="s">
        <v>223</v>
      </c>
    </row>
    <row r="153" spans="2:12">
      <c r="D153" s="210">
        <v>57136</v>
      </c>
      <c r="E153" s="253">
        <v>0.63878720071096973</v>
      </c>
      <c r="F153" s="237">
        <v>0.63878733842723423</v>
      </c>
      <c r="G153" s="231">
        <v>1.1264509076865492E-2</v>
      </c>
      <c r="H153" s="208">
        <v>1.1264503627886668E-2</v>
      </c>
      <c r="I153" s="246">
        <v>8.7246387277507415E-3</v>
      </c>
      <c r="J153" s="246">
        <v>8.7246394011181901E-3</v>
      </c>
      <c r="K153" s="246">
        <v>6.7336744860591047E-10</v>
      </c>
      <c r="L153" s="19" t="s">
        <v>224</v>
      </c>
    </row>
    <row r="154" spans="2:12">
      <c r="D154" s="209">
        <v>60786</v>
      </c>
      <c r="E154" s="218">
        <v>0.5847659637080842</v>
      </c>
      <c r="F154" s="217">
        <v>0.58476608579446954</v>
      </c>
      <c r="G154" s="247">
        <v>1.0787812678509701E-2</v>
      </c>
      <c r="H154" s="230">
        <v>1.0787808458228243E-2</v>
      </c>
      <c r="I154" s="207">
        <v>0</v>
      </c>
      <c r="J154" s="207"/>
      <c r="K154" s="207"/>
      <c r="L154" s="49" t="s">
        <v>225</v>
      </c>
    </row>
    <row r="157" spans="2:12">
      <c r="B157" s="118" t="s">
        <v>270</v>
      </c>
      <c r="C157" s="119" t="s">
        <v>280</v>
      </c>
      <c r="D157" s="115" t="s">
        <v>303</v>
      </c>
      <c r="F157" s="115" t="s">
        <v>841</v>
      </c>
    </row>
    <row r="158" spans="2:12">
      <c r="B158" s="120" t="s">
        <v>269</v>
      </c>
      <c r="C158" s="121" t="s">
        <v>251</v>
      </c>
      <c r="D158" s="116" t="s">
        <v>842</v>
      </c>
      <c r="E158" s="116" t="s">
        <v>444</v>
      </c>
      <c r="F158" s="127" t="s">
        <v>734</v>
      </c>
      <c r="G158" s="116" t="s">
        <v>444</v>
      </c>
      <c r="H158" s="127" t="s">
        <v>734</v>
      </c>
      <c r="I158" s="127" t="s">
        <v>738</v>
      </c>
    </row>
    <row r="159" spans="2:12">
      <c r="B159" s="120" t="s">
        <v>271</v>
      </c>
      <c r="C159" s="121" t="s">
        <v>272</v>
      </c>
      <c r="D159" s="233">
        <v>42522</v>
      </c>
      <c r="E159" s="252">
        <v>1</v>
      </c>
      <c r="F159" s="236">
        <v>1</v>
      </c>
      <c r="G159" s="204">
        <v>4.0128251076654298E-3</v>
      </c>
      <c r="H159" s="203">
        <v>4.0128251477939969E-3</v>
      </c>
      <c r="I159" s="206">
        <v>4.0128567135866433E-11</v>
      </c>
    </row>
    <row r="160" spans="2:12">
      <c r="B160" s="122" t="s">
        <v>273</v>
      </c>
      <c r="C160" s="123" t="s">
        <v>274</v>
      </c>
      <c r="D160" s="210">
        <v>42523</v>
      </c>
      <c r="E160" s="253">
        <v>0.99998902801855094</v>
      </c>
      <c r="F160" s="237">
        <v>0.99998902801844125</v>
      </c>
      <c r="G160" s="244">
        <v>4.0238412382318511E-3</v>
      </c>
      <c r="H160" s="239">
        <v>4.0238412785393862E-3</v>
      </c>
      <c r="I160" s="246">
        <v>4.0307535087436008E-11</v>
      </c>
    </row>
    <row r="161" spans="2:9">
      <c r="B161" s="124" t="s">
        <v>328</v>
      </c>
      <c r="C161" s="125" t="s">
        <v>843</v>
      </c>
      <c r="D161" s="210">
        <v>42527</v>
      </c>
      <c r="E161" s="253">
        <v>0.99994514129658529</v>
      </c>
      <c r="F161" s="237">
        <v>0.99994514129653733</v>
      </c>
      <c r="G161" s="244">
        <v>4.0238412382676003E-3</v>
      </c>
      <c r="H161" s="239">
        <v>4.0238412417921143E-3</v>
      </c>
      <c r="I161" s="246">
        <v>3.524514013975022E-12</v>
      </c>
    </row>
    <row r="162" spans="2:9">
      <c r="B162" s="211"/>
      <c r="C162" s="232"/>
      <c r="D162" s="210">
        <v>42531</v>
      </c>
      <c r="E162" s="253">
        <v>0.99991020114022566</v>
      </c>
      <c r="F162" s="237">
        <v>0.99990906541466307</v>
      </c>
      <c r="G162" s="244">
        <v>3.6586608916819863E-3</v>
      </c>
      <c r="H162" s="239">
        <v>3.7050213041418534E-3</v>
      </c>
      <c r="I162" s="246">
        <v>4.6360412459867106E-5</v>
      </c>
    </row>
    <row r="163" spans="2:9">
      <c r="D163" s="210">
        <v>42555</v>
      </c>
      <c r="E163" s="253">
        <v>0.9996341358427574</v>
      </c>
      <c r="F163" s="237">
        <v>0.99963068822574508</v>
      </c>
      <c r="G163" s="244">
        <v>4.066755483184803E-3</v>
      </c>
      <c r="H163" s="239">
        <v>4.1051630438697639E-3</v>
      </c>
      <c r="I163" s="246">
        <v>3.8407560684960984E-5</v>
      </c>
    </row>
    <row r="164" spans="2:9">
      <c r="D164" s="210">
        <v>42585</v>
      </c>
      <c r="E164" s="253">
        <v>0.99927198722583677</v>
      </c>
      <c r="F164" s="237">
        <v>0.99926420322874798</v>
      </c>
      <c r="G164" s="244">
        <v>4.2399109201898266E-3</v>
      </c>
      <c r="H164" s="239">
        <v>4.2853582616770858E-3</v>
      </c>
      <c r="I164" s="246">
        <v>4.5447341487259152E-5</v>
      </c>
    </row>
    <row r="165" spans="2:9">
      <c r="D165" s="210">
        <v>42618</v>
      </c>
      <c r="E165" s="253">
        <v>0.99878821897165104</v>
      </c>
      <c r="F165" s="237">
        <v>0.99877466820632821</v>
      </c>
      <c r="G165" s="244">
        <v>4.6334178343392374E-3</v>
      </c>
      <c r="H165" s="239">
        <v>4.6853841663681006E-3</v>
      </c>
      <c r="I165" s="246">
        <v>5.1966332028863249E-5</v>
      </c>
    </row>
    <row r="166" spans="2:9">
      <c r="D166" s="210">
        <v>42646</v>
      </c>
      <c r="E166" s="253">
        <v>0.99836757832384759</v>
      </c>
      <c r="F166" s="237">
        <v>0.99836312818671979</v>
      </c>
      <c r="G166" s="244">
        <v>4.8338594828924997E-3</v>
      </c>
      <c r="H166" s="239">
        <v>4.8470797555022482E-3</v>
      </c>
      <c r="I166" s="246">
        <v>1.3220272609748562E-5</v>
      </c>
    </row>
    <row r="167" spans="2:9">
      <c r="D167" s="210">
        <v>42677</v>
      </c>
      <c r="E167" s="253">
        <v>0.99787453663410086</v>
      </c>
      <c r="F167" s="237">
        <v>0.99786394106509713</v>
      </c>
      <c r="G167" s="244">
        <v>5.0368196652392783E-3</v>
      </c>
      <c r="H167" s="239">
        <v>5.0620189058563358E-3</v>
      </c>
      <c r="I167" s="246">
        <v>2.5199240617057583E-5</v>
      </c>
    </row>
    <row r="168" spans="2:9">
      <c r="D168" s="210">
        <v>42709</v>
      </c>
      <c r="E168" s="253">
        <v>0.9973590190774716</v>
      </c>
      <c r="F168" s="237">
        <v>0.99734038494624011</v>
      </c>
      <c r="G168" s="244">
        <v>5.1892340089183531E-3</v>
      </c>
      <c r="H168" s="239">
        <v>5.2259924373629918E-3</v>
      </c>
      <c r="I168" s="246">
        <v>3.6758428444638724E-5</v>
      </c>
    </row>
    <row r="169" spans="2:9">
      <c r="D169" s="210">
        <v>42738</v>
      </c>
      <c r="E169" s="253">
        <v>0.99684927855460381</v>
      </c>
      <c r="F169" s="237">
        <v>0.99684200452965066</v>
      </c>
      <c r="G169" s="244">
        <v>5.3613357258295302E-3</v>
      </c>
      <c r="H169" s="239">
        <v>5.3737662102439909E-3</v>
      </c>
      <c r="I169" s="246">
        <v>1.2430484414460707E-5</v>
      </c>
    </row>
    <row r="170" spans="2:9">
      <c r="D170" s="210">
        <v>42769</v>
      </c>
      <c r="E170" s="253">
        <v>0.99626255032297328</v>
      </c>
      <c r="F170" s="237">
        <v>0.99624560296357423</v>
      </c>
      <c r="G170" s="244">
        <v>5.5618380552815427E-3</v>
      </c>
      <c r="H170" s="239">
        <v>5.587175999541838E-3</v>
      </c>
      <c r="I170" s="246">
        <v>2.5337944260295231E-5</v>
      </c>
    </row>
    <row r="171" spans="2:9">
      <c r="D171" s="210">
        <v>42797</v>
      </c>
      <c r="E171" s="253">
        <v>0.99571936443427644</v>
      </c>
      <c r="F171" s="237">
        <v>0.99570198896234074</v>
      </c>
      <c r="G171" s="244">
        <v>5.722207428619619E-3</v>
      </c>
      <c r="H171" s="239">
        <v>5.7455512024724431E-3</v>
      </c>
      <c r="I171" s="246">
        <v>2.3343773852824157E-5</v>
      </c>
    </row>
    <row r="172" spans="2:9">
      <c r="D172" s="210">
        <v>42828</v>
      </c>
      <c r="E172" s="253">
        <v>0.99510425664045121</v>
      </c>
      <c r="F172" s="237">
        <v>0.99509418566467467</v>
      </c>
      <c r="G172" s="244">
        <v>5.8824769429521861E-3</v>
      </c>
      <c r="H172" s="239">
        <v>5.89464320336619E-3</v>
      </c>
      <c r="I172" s="246">
        <v>1.2166260414003816E-5</v>
      </c>
    </row>
    <row r="173" spans="2:9">
      <c r="D173" s="210">
        <v>42858</v>
      </c>
      <c r="E173" s="253">
        <v>0.99446985338137017</v>
      </c>
      <c r="F173" s="237">
        <v>0.99444853853919335</v>
      </c>
      <c r="G173" s="244">
        <v>6.0528698235724487E-3</v>
      </c>
      <c r="H173" s="239">
        <v>6.0763353886441607E-3</v>
      </c>
      <c r="I173" s="246">
        <v>2.3465565071711936E-5</v>
      </c>
    </row>
    <row r="174" spans="2:9">
      <c r="D174" s="210">
        <v>42891</v>
      </c>
      <c r="E174" s="253">
        <v>0.99376780788891506</v>
      </c>
      <c r="F174" s="237">
        <v>0.99373313124421392</v>
      </c>
      <c r="G174" s="244">
        <v>6.2129594110176267E-3</v>
      </c>
      <c r="H174" s="239">
        <v>6.2477460396912488E-3</v>
      </c>
      <c r="I174" s="246">
        <v>3.4786628673622033E-5</v>
      </c>
    </row>
    <row r="175" spans="2:9">
      <c r="D175" s="210">
        <v>42919</v>
      </c>
      <c r="E175" s="253">
        <v>0.9931369739390804</v>
      </c>
      <c r="F175" s="237">
        <v>0.99310252545544808</v>
      </c>
      <c r="G175" s="244">
        <v>6.3610720146309863E-3</v>
      </c>
      <c r="H175" s="239">
        <v>6.3932139268965127E-3</v>
      </c>
      <c r="I175" s="246">
        <v>3.2141912265526429E-5</v>
      </c>
    </row>
    <row r="176" spans="2:9">
      <c r="D176" s="210">
        <v>42950</v>
      </c>
      <c r="E176" s="253">
        <v>0.99243901773008247</v>
      </c>
      <c r="F176" s="237">
        <v>0.9924048215318223</v>
      </c>
      <c r="G176" s="244">
        <v>6.502438263662258E-3</v>
      </c>
      <c r="H176" s="239">
        <v>6.532055566016437E-3</v>
      </c>
      <c r="I176" s="246">
        <v>2.9617302354179031E-5</v>
      </c>
    </row>
    <row r="177" spans="4:9">
      <c r="D177" s="210">
        <v>42982</v>
      </c>
      <c r="E177" s="253">
        <v>0.99171906129955023</v>
      </c>
      <c r="F177" s="237">
        <v>0.99168075756661822</v>
      </c>
      <c r="G177" s="244">
        <v>6.628370420448837E-3</v>
      </c>
      <c r="H177" s="239">
        <v>6.6592608584536972E-3</v>
      </c>
      <c r="I177" s="246">
        <v>3.0890438004860243E-5</v>
      </c>
    </row>
    <row r="178" spans="4:9">
      <c r="D178" s="210">
        <v>43073</v>
      </c>
      <c r="E178" s="253">
        <v>0.98953789603901898</v>
      </c>
      <c r="F178" s="237">
        <v>0.98949936382069914</v>
      </c>
      <c r="G178" s="244">
        <v>6.9987184027893168E-3</v>
      </c>
      <c r="H178" s="239">
        <v>7.0247222094745876E-3</v>
      </c>
      <c r="I178" s="246">
        <v>2.6003806685270803E-5</v>
      </c>
    </row>
    <row r="179" spans="4:9">
      <c r="D179" s="210">
        <v>43164</v>
      </c>
      <c r="E179" s="253">
        <v>0.98720728283408343</v>
      </c>
      <c r="F179" s="237">
        <v>0.98715914674336025</v>
      </c>
      <c r="G179" s="244">
        <v>7.353618901067227E-3</v>
      </c>
      <c r="H179" s="239">
        <v>7.3815710099880416E-3</v>
      </c>
      <c r="I179" s="246">
        <v>2.7952108920814567E-5</v>
      </c>
    </row>
    <row r="180" spans="4:9">
      <c r="D180" s="210">
        <v>43255</v>
      </c>
      <c r="E180" s="253">
        <v>0.984751449601864</v>
      </c>
      <c r="F180" s="237">
        <v>0.98470455840337301</v>
      </c>
      <c r="G180" s="244">
        <v>7.6870610597115085E-3</v>
      </c>
      <c r="H180" s="239">
        <v>7.7109744601153718E-3</v>
      </c>
      <c r="I180" s="246">
        <v>2.391340040386325E-5</v>
      </c>
    </row>
    <row r="181" spans="4:9">
      <c r="D181" s="210">
        <v>43346</v>
      </c>
      <c r="E181" s="253">
        <v>0.98204341837780784</v>
      </c>
      <c r="F181" s="237">
        <v>0.98200205285991005</v>
      </c>
      <c r="G181" s="244">
        <v>8.0643917066338666E-3</v>
      </c>
      <c r="H181" s="239">
        <v>8.0832144614026991E-3</v>
      </c>
      <c r="I181" s="246">
        <v>1.8822754768832439E-5</v>
      </c>
    </row>
    <row r="182" spans="4:9">
      <c r="D182" s="210">
        <v>43619</v>
      </c>
      <c r="E182" s="253">
        <v>0.97396392477952032</v>
      </c>
      <c r="F182" s="237">
        <v>0.97393895675562769</v>
      </c>
      <c r="G182" s="244">
        <v>8.8209978772277875E-3</v>
      </c>
      <c r="H182" s="239">
        <v>8.8296074303531036E-3</v>
      </c>
      <c r="I182" s="246">
        <v>8.6095531253160829E-6</v>
      </c>
    </row>
    <row r="183" spans="4:9">
      <c r="D183" s="210">
        <v>43985</v>
      </c>
      <c r="E183" s="253">
        <v>0.96212401800214775</v>
      </c>
      <c r="F183" s="237">
        <v>0.96207194217481951</v>
      </c>
      <c r="G183" s="244">
        <v>9.686423440169234E-3</v>
      </c>
      <c r="H183" s="239">
        <v>9.7000678087191261E-3</v>
      </c>
      <c r="I183" s="246">
        <v>1.364436854989215E-5</v>
      </c>
    </row>
    <row r="184" spans="4:9">
      <c r="D184" s="210">
        <v>44350</v>
      </c>
      <c r="E184" s="253">
        <v>0.94882991464199284</v>
      </c>
      <c r="F184" s="237">
        <v>0.94877471033144234</v>
      </c>
      <c r="G184" s="244">
        <v>1.055229078637554E-2</v>
      </c>
      <c r="H184" s="239">
        <v>1.0564041166045479E-2</v>
      </c>
      <c r="I184" s="246">
        <v>1.1750379669939193E-5</v>
      </c>
    </row>
    <row r="185" spans="4:9">
      <c r="D185" s="210">
        <v>44715</v>
      </c>
      <c r="E185" s="253">
        <v>0.93496751218812812</v>
      </c>
      <c r="F185" s="237">
        <v>0.93490192825554874</v>
      </c>
      <c r="G185" s="244">
        <v>1.1262966302345356E-2</v>
      </c>
      <c r="H185" s="239">
        <v>1.1274781771793307E-2</v>
      </c>
      <c r="I185" s="246">
        <v>1.1815469447951088E-5</v>
      </c>
    </row>
    <row r="186" spans="4:9">
      <c r="D186" s="210">
        <v>45082</v>
      </c>
      <c r="E186" s="253">
        <v>0.91917506192682696</v>
      </c>
      <c r="F186" s="237">
        <v>0.91908278586580838</v>
      </c>
      <c r="G186" s="244">
        <v>1.209631531710964E-2</v>
      </c>
      <c r="H186" s="239">
        <v>1.2110811691259826E-2</v>
      </c>
      <c r="I186" s="246">
        <v>1.4496374150185787E-5</v>
      </c>
    </row>
    <row r="187" spans="4:9">
      <c r="D187" s="210">
        <v>45446</v>
      </c>
      <c r="E187" s="253">
        <v>0.90351125699559198</v>
      </c>
      <c r="F187" s="237">
        <v>0.9034703996245621</v>
      </c>
      <c r="G187" s="244">
        <v>1.2755345352850611E-2</v>
      </c>
      <c r="H187" s="239">
        <v>1.2761066273263788E-2</v>
      </c>
      <c r="I187" s="246">
        <v>5.7209204131769553E-6</v>
      </c>
    </row>
    <row r="188" spans="4:9">
      <c r="D188" s="210">
        <v>45811</v>
      </c>
      <c r="E188" s="253">
        <v>0.88675828417481417</v>
      </c>
      <c r="F188" s="237">
        <v>0.88669867038314165</v>
      </c>
      <c r="G188" s="244">
        <v>1.3437379352168932E-2</v>
      </c>
      <c r="H188" s="239">
        <v>1.344494637510385E-2</v>
      </c>
      <c r="I188" s="246">
        <v>7.5670229349178442E-6</v>
      </c>
    </row>
    <row r="189" spans="4:9">
      <c r="D189" s="210">
        <v>46176</v>
      </c>
      <c r="E189" s="253">
        <v>0.86942538506148681</v>
      </c>
      <c r="F189" s="237">
        <v>0.8693477695091314</v>
      </c>
      <c r="G189" s="244">
        <v>1.4085126467189291E-2</v>
      </c>
      <c r="H189" s="239">
        <v>1.4094176367731137E-2</v>
      </c>
      <c r="I189" s="246">
        <v>9.0499005418465117E-6</v>
      </c>
    </row>
    <row r="190" spans="4:9">
      <c r="D190" s="210">
        <v>46909</v>
      </c>
      <c r="E190" s="253">
        <v>0.83449378691703868</v>
      </c>
      <c r="F190" s="237">
        <v>0.83438686745832402</v>
      </c>
      <c r="G190" s="244">
        <v>1.5177809721876434E-2</v>
      </c>
      <c r="H190" s="239">
        <v>1.5188639742949928E-2</v>
      </c>
      <c r="I190" s="246">
        <v>1.0830021073493512E-5</v>
      </c>
    </row>
    <row r="191" spans="4:9">
      <c r="D191" s="210">
        <v>48002</v>
      </c>
      <c r="E191" s="253">
        <v>0.78308799580266464</v>
      </c>
      <c r="F191" s="237">
        <v>0.78302706729614047</v>
      </c>
      <c r="G191" s="244">
        <v>1.6429979452968979E-2</v>
      </c>
      <c r="H191" s="239">
        <v>1.643525056131967E-2</v>
      </c>
      <c r="I191" s="246">
        <v>5.2711083506906675E-6</v>
      </c>
    </row>
    <row r="192" spans="4:9">
      <c r="D192" s="210">
        <v>49829</v>
      </c>
      <c r="E192" s="253">
        <v>0.70290222126234414</v>
      </c>
      <c r="F192" s="237">
        <v>0.70284663176499729</v>
      </c>
      <c r="G192" s="244">
        <v>1.7778244035220769E-2</v>
      </c>
      <c r="H192" s="239">
        <v>1.7782267686993647E-2</v>
      </c>
      <c r="I192" s="246">
        <v>4.0236517728775567E-6</v>
      </c>
    </row>
    <row r="193" spans="2:12">
      <c r="D193" s="210">
        <v>51655</v>
      </c>
      <c r="E193" s="253">
        <v>0.6331800800458911</v>
      </c>
      <c r="F193" s="237">
        <v>0.63313425052407368</v>
      </c>
      <c r="G193" s="244">
        <v>1.8445231558069208E-2</v>
      </c>
      <c r="H193" s="239">
        <v>1.8448179811038301E-2</v>
      </c>
      <c r="I193" s="246">
        <v>2.948252969092735E-6</v>
      </c>
    </row>
    <row r="194" spans="2:12">
      <c r="D194" s="210">
        <v>53482</v>
      </c>
      <c r="E194" s="253">
        <v>0.5718281350249681</v>
      </c>
      <c r="F194" s="237">
        <v>0.57177996716635704</v>
      </c>
      <c r="G194" s="244">
        <v>1.8801005766453605E-2</v>
      </c>
      <c r="H194" s="239">
        <v>1.8803865878502579E-2</v>
      </c>
      <c r="I194" s="246">
        <v>2.8601120489746279E-6</v>
      </c>
    </row>
    <row r="195" spans="2:12">
      <c r="D195" s="210">
        <v>57136</v>
      </c>
      <c r="E195" s="253">
        <v>0.47230965156548071</v>
      </c>
      <c r="F195" s="237">
        <v>0.47227870814155282</v>
      </c>
      <c r="G195" s="244">
        <v>1.8924734407366861E-2</v>
      </c>
      <c r="H195" s="239">
        <v>1.8926402881965787E-2</v>
      </c>
      <c r="I195" s="246">
        <v>1.6684745989259397E-6</v>
      </c>
    </row>
    <row r="196" spans="2:12">
      <c r="D196" s="209">
        <v>60786</v>
      </c>
      <c r="E196" s="218">
        <v>0.39746924587121985</v>
      </c>
      <c r="F196" s="217">
        <v>0.39743930493577462</v>
      </c>
      <c r="G196" s="202">
        <v>1.8622600900144892E-2</v>
      </c>
      <c r="H196" s="243">
        <v>1.8624135475235004E-2</v>
      </c>
      <c r="I196" s="207"/>
    </row>
    <row r="199" spans="2:12">
      <c r="B199" s="118" t="s">
        <v>270</v>
      </c>
      <c r="C199" s="119" t="s">
        <v>280</v>
      </c>
      <c r="D199" s="139" t="s">
        <v>304</v>
      </c>
      <c r="F199" s="115" t="s">
        <v>844</v>
      </c>
    </row>
    <row r="200" spans="2:12">
      <c r="B200" s="120" t="s">
        <v>269</v>
      </c>
      <c r="C200" s="121" t="s">
        <v>251</v>
      </c>
      <c r="D200" s="116" t="s">
        <v>845</v>
      </c>
      <c r="E200" s="116" t="s">
        <v>444</v>
      </c>
      <c r="F200" s="127" t="s">
        <v>734</v>
      </c>
      <c r="G200" s="116" t="s">
        <v>444</v>
      </c>
      <c r="H200" s="127" t="s">
        <v>734</v>
      </c>
      <c r="I200" s="140" t="s">
        <v>735</v>
      </c>
      <c r="J200" s="140" t="s">
        <v>736</v>
      </c>
      <c r="K200" s="127" t="s">
        <v>738</v>
      </c>
      <c r="L200" s="136"/>
    </row>
    <row r="201" spans="2:12">
      <c r="B201" s="120" t="s">
        <v>271</v>
      </c>
      <c r="C201" s="121" t="s">
        <v>272</v>
      </c>
      <c r="D201" s="233">
        <v>42522</v>
      </c>
      <c r="E201" s="252">
        <v>1</v>
      </c>
      <c r="F201" s="236">
        <v>1</v>
      </c>
      <c r="G201" s="229">
        <v>4.5191125084884654E-3</v>
      </c>
      <c r="H201" s="59">
        <v>4.5191122475223278E-3</v>
      </c>
      <c r="I201" s="204">
        <v>6.8129999968465386E-3</v>
      </c>
      <c r="J201" s="203">
        <v>6.7411268753692086E-3</v>
      </c>
      <c r="K201" s="203">
        <v>7.1873121477330007E-5</v>
      </c>
      <c r="L201" s="245"/>
    </row>
    <row r="202" spans="2:12">
      <c r="B202" s="122" t="s">
        <v>273</v>
      </c>
      <c r="C202" s="123" t="s">
        <v>274</v>
      </c>
      <c r="D202" s="210">
        <v>42523</v>
      </c>
      <c r="E202" s="253">
        <v>0.9999876468380009</v>
      </c>
      <c r="F202" s="237">
        <v>0.99998764683871355</v>
      </c>
      <c r="G202" s="231">
        <v>4.5315216493213573E-3</v>
      </c>
      <c r="H202" s="66">
        <v>4.5315213872711979E-3</v>
      </c>
      <c r="I202" s="244">
        <v>6.8898887353144918E-3</v>
      </c>
      <c r="J202" s="239">
        <v>6.770878798171143E-3</v>
      </c>
      <c r="K202" s="239">
        <v>1.1900993714334882E-4</v>
      </c>
      <c r="L202" s="245"/>
    </row>
    <row r="203" spans="2:12">
      <c r="B203" s="124" t="s">
        <v>328</v>
      </c>
      <c r="C203" s="125" t="s">
        <v>846</v>
      </c>
      <c r="D203" s="210">
        <v>42527</v>
      </c>
      <c r="E203" s="253">
        <v>0.9999382357159905</v>
      </c>
      <c r="F203" s="237">
        <v>0.99993823571887042</v>
      </c>
      <c r="G203" s="231">
        <v>4.5315216493824195E-3</v>
      </c>
      <c r="H203" s="66">
        <v>4.5315214375976076E-3</v>
      </c>
      <c r="I203" s="244">
        <v>6.9846506483501013E-3</v>
      </c>
      <c r="J203" s="239">
        <v>6.8898887449424422E-3</v>
      </c>
      <c r="K203" s="239">
        <v>9.4761903407659075E-5</v>
      </c>
      <c r="L203" s="245"/>
    </row>
    <row r="204" spans="2:12">
      <c r="B204" s="211" t="s">
        <v>441</v>
      </c>
      <c r="C204" s="232" t="s">
        <v>441</v>
      </c>
      <c r="D204" s="210">
        <v>42531</v>
      </c>
      <c r="E204" s="253">
        <v>0.99989776705485689</v>
      </c>
      <c r="F204" s="237">
        <v>0.99989776705367994</v>
      </c>
      <c r="G204" s="231">
        <v>4.1663407982388545E-3</v>
      </c>
      <c r="H204" s="66">
        <v>4.1663408463004092E-3</v>
      </c>
      <c r="I204" s="244">
        <v>7.1376406952828736E-3</v>
      </c>
      <c r="J204" s="239">
        <v>7.0794147935097623E-3</v>
      </c>
      <c r="K204" s="239">
        <v>5.8225901773111335E-5</v>
      </c>
      <c r="L204" s="245"/>
    </row>
    <row r="205" spans="2:12">
      <c r="D205" s="210">
        <v>42555</v>
      </c>
      <c r="E205" s="253">
        <v>0.99945410782247313</v>
      </c>
      <c r="F205" s="237">
        <v>0.99945410783740796</v>
      </c>
      <c r="G205" s="231">
        <v>6.0744688623288745E-3</v>
      </c>
      <c r="H205" s="66">
        <v>6.0744686955909177E-3</v>
      </c>
      <c r="I205" s="244">
        <v>7.4655073780331409E-3</v>
      </c>
      <c r="J205" s="239">
        <v>7.4332159226834765E-3</v>
      </c>
      <c r="K205" s="239">
        <v>3.2291455349664488E-5</v>
      </c>
      <c r="L205" s="245"/>
    </row>
    <row r="206" spans="2:12">
      <c r="D206" s="210">
        <v>42585</v>
      </c>
      <c r="E206" s="253">
        <v>0.99885776122305581</v>
      </c>
      <c r="F206" s="237">
        <v>0.99885776128961812</v>
      </c>
      <c r="G206" s="231">
        <v>6.6617475122372483E-3</v>
      </c>
      <c r="H206" s="66">
        <v>6.661747122520767E-3</v>
      </c>
      <c r="I206" s="244">
        <v>7.8763071660940195E-3</v>
      </c>
      <c r="J206" s="239">
        <v>7.8379285281319749E-3</v>
      </c>
      <c r="K206" s="239">
        <v>3.8378637962044673E-5</v>
      </c>
      <c r="L206" s="245"/>
    </row>
    <row r="207" spans="2:12">
      <c r="D207" s="210">
        <v>42618</v>
      </c>
      <c r="E207" s="253">
        <v>0.99820059703729813</v>
      </c>
      <c r="F207" s="237">
        <v>0.99820059703966546</v>
      </c>
      <c r="G207" s="231">
        <v>6.8900311588846463E-3</v>
      </c>
      <c r="H207" s="66">
        <v>6.8900311497805955E-3</v>
      </c>
      <c r="I207" s="244">
        <v>8.305386204456866E-3</v>
      </c>
      <c r="J207" s="239">
        <v>8.2753418208552157E-3</v>
      </c>
      <c r="K207" s="239">
        <v>3.0044383601650348E-5</v>
      </c>
      <c r="L207" s="245"/>
    </row>
    <row r="208" spans="2:12">
      <c r="D208" s="210">
        <v>42646</v>
      </c>
      <c r="E208" s="253">
        <v>0.9975824239311939</v>
      </c>
      <c r="F208" s="237">
        <v>0.99758242402163833</v>
      </c>
      <c r="G208" s="231">
        <v>7.1699702823060374E-3</v>
      </c>
      <c r="H208" s="66">
        <v>7.1699700127827448E-3</v>
      </c>
      <c r="I208" s="244">
        <v>8.6103927280927594E-3</v>
      </c>
      <c r="J208" s="239">
        <v>8.5836627449163167E-3</v>
      </c>
      <c r="K208" s="239">
        <v>2.6729983176442679E-5</v>
      </c>
      <c r="L208" s="245"/>
    </row>
    <row r="209" spans="4:12">
      <c r="D209" s="210">
        <v>42677</v>
      </c>
      <c r="E209" s="253">
        <v>0.99686102246611852</v>
      </c>
      <c r="F209" s="237">
        <v>0.99686102256418707</v>
      </c>
      <c r="G209" s="231">
        <v>7.4513187213365306E-3</v>
      </c>
      <c r="H209" s="66">
        <v>7.4513184873077343E-3</v>
      </c>
      <c r="I209" s="244">
        <v>9.0514833461852184E-3</v>
      </c>
      <c r="J209" s="239">
        <v>8.9980157715418164E-3</v>
      </c>
      <c r="K209" s="239">
        <v>5.3467574643402058E-5</v>
      </c>
      <c r="L209" s="245"/>
    </row>
    <row r="210" spans="4:12">
      <c r="D210" s="210">
        <v>42709</v>
      </c>
      <c r="E210" s="253">
        <v>0.99611689717634044</v>
      </c>
      <c r="F210" s="237">
        <v>0.99611689728552766</v>
      </c>
      <c r="G210" s="231">
        <v>7.6439447812310934E-3</v>
      </c>
      <c r="H210" s="66">
        <v>7.6439445650551274E-3</v>
      </c>
      <c r="I210" s="244">
        <v>9.4512867576961312E-3</v>
      </c>
      <c r="J210" s="239">
        <v>9.4284945130445053E-3</v>
      </c>
      <c r="K210" s="239">
        <v>2.2792244651625992E-5</v>
      </c>
      <c r="L210" s="245"/>
    </row>
    <row r="211" spans="4:12">
      <c r="D211" s="210">
        <v>42738</v>
      </c>
      <c r="E211" s="253">
        <v>0.99539891448530993</v>
      </c>
      <c r="F211" s="237">
        <v>0.99539891427423755</v>
      </c>
      <c r="G211" s="231">
        <v>7.8446860250640515E-3</v>
      </c>
      <c r="H211" s="66">
        <v>7.8446863871772798E-3</v>
      </c>
      <c r="I211" s="244">
        <v>9.7773948177533043E-3</v>
      </c>
      <c r="J211" s="239">
        <v>9.7590002280032451E-3</v>
      </c>
      <c r="K211" s="239">
        <v>1.8394589750059254E-5</v>
      </c>
      <c r="L211" s="245"/>
    </row>
    <row r="212" spans="4:12">
      <c r="D212" s="210">
        <v>42769</v>
      </c>
      <c r="E212" s="253">
        <v>0.99457400673175655</v>
      </c>
      <c r="F212" s="237">
        <v>0.99457400667801754</v>
      </c>
      <c r="G212" s="231">
        <v>8.0916397297943199E-3</v>
      </c>
      <c r="H212" s="66">
        <v>8.0916398104766696E-3</v>
      </c>
      <c r="I212" s="244">
        <v>1.0080911517515112E-2</v>
      </c>
      <c r="J212" s="239">
        <v>1.0039226907555855E-2</v>
      </c>
      <c r="K212" s="239">
        <v>4.168460995925688E-5</v>
      </c>
      <c r="L212" s="245"/>
    </row>
    <row r="213" spans="4:12">
      <c r="D213" s="210">
        <v>42797</v>
      </c>
      <c r="E213" s="253">
        <v>0.99382951635879047</v>
      </c>
      <c r="F213" s="237">
        <v>0.99382951636827821</v>
      </c>
      <c r="G213" s="231">
        <v>8.266773959758833E-3</v>
      </c>
      <c r="H213" s="66">
        <v>8.2667739469557411E-3</v>
      </c>
      <c r="I213" s="244">
        <v>1.0338251796607311E-2</v>
      </c>
      <c r="J213" s="239">
        <v>1.0335359560382012E-2</v>
      </c>
      <c r="K213" s="239">
        <v>2.8922362252988693E-6</v>
      </c>
      <c r="L213" s="245"/>
    </row>
    <row r="214" spans="4:12">
      <c r="D214" s="210">
        <v>42828</v>
      </c>
      <c r="E214" s="253">
        <v>0.99297630040628693</v>
      </c>
      <c r="F214" s="237">
        <v>0.99297630028900707</v>
      </c>
      <c r="G214" s="231">
        <v>8.4591768989765725E-3</v>
      </c>
      <c r="H214" s="66">
        <v>8.4591770413224854E-3</v>
      </c>
      <c r="I214" s="244">
        <v>1.0646213879064708E-2</v>
      </c>
      <c r="J214" s="239">
        <v>1.0672282383796269E-2</v>
      </c>
      <c r="K214" s="239">
        <v>-2.6068504731560985E-5</v>
      </c>
      <c r="L214" s="245"/>
    </row>
    <row r="215" spans="4:12">
      <c r="D215" s="210">
        <v>42858</v>
      </c>
      <c r="E215" s="253">
        <v>0.99211166502840975</v>
      </c>
      <c r="F215" s="237">
        <v>0.99211166490905289</v>
      </c>
      <c r="G215" s="231">
        <v>8.6553907088178228E-3</v>
      </c>
      <c r="H215" s="66">
        <v>8.6553908408681934E-3</v>
      </c>
      <c r="I215" s="244">
        <v>1.0831431173792355E-2</v>
      </c>
      <c r="J215" s="239">
        <v>1.0859484610193589E-2</v>
      </c>
      <c r="K215" s="239">
        <v>-2.8053436401234699E-5</v>
      </c>
      <c r="L215" s="245"/>
    </row>
    <row r="216" spans="4:12">
      <c r="D216" s="223">
        <v>42891</v>
      </c>
      <c r="E216" s="200">
        <v>0.99116143566269665</v>
      </c>
      <c r="F216" s="199">
        <v>0.99115342159573105</v>
      </c>
      <c r="G216" s="242">
        <v>8.8343507893702267E-3</v>
      </c>
      <c r="H216" s="221">
        <v>8.8424321992417454E-3</v>
      </c>
      <c r="I216" s="225">
        <v>1.102335620285432E-2</v>
      </c>
      <c r="J216" s="241">
        <v>1.1035470184127202E-2</v>
      </c>
      <c r="K216" s="239">
        <v>-1.2113981272881755E-5</v>
      </c>
      <c r="L216" s="245"/>
    </row>
    <row r="217" spans="4:12">
      <c r="D217" s="210">
        <v>42919</v>
      </c>
      <c r="E217" s="253">
        <v>0.99031422414153814</v>
      </c>
      <c r="F217" s="237">
        <v>0.99030473952183151</v>
      </c>
      <c r="G217" s="231">
        <v>9.0019397436833515E-3</v>
      </c>
      <c r="H217" s="66">
        <v>9.0108375993496193E-3</v>
      </c>
      <c r="I217" s="244">
        <v>1.1210152807905219E-2</v>
      </c>
      <c r="J217" s="239">
        <v>1.1209665188701944E-2</v>
      </c>
      <c r="K217" s="239">
        <v>4.8761920327586306E-7</v>
      </c>
      <c r="L217" s="245"/>
    </row>
    <row r="218" spans="4:12">
      <c r="D218" s="210">
        <v>42950</v>
      </c>
      <c r="E218" s="253">
        <v>0.9893770846402874</v>
      </c>
      <c r="F218" s="237">
        <v>0.98936597485029809</v>
      </c>
      <c r="G218" s="231">
        <v>9.1618981758920803E-3</v>
      </c>
      <c r="H218" s="66">
        <v>9.17157543049818E-3</v>
      </c>
      <c r="I218" s="244">
        <v>1.1430317365219133E-2</v>
      </c>
      <c r="J218" s="239">
        <v>1.1402532963673552E-2</v>
      </c>
      <c r="K218" s="239">
        <v>2.7784401545580956E-5</v>
      </c>
      <c r="L218" s="245"/>
    </row>
    <row r="219" spans="4:12">
      <c r="D219" s="210">
        <v>42982</v>
      </c>
      <c r="E219" s="253">
        <v>0.988410645015111</v>
      </c>
      <c r="F219" s="237">
        <v>0.98839786086792314</v>
      </c>
      <c r="G219" s="231">
        <v>9.3043950897258032E-3</v>
      </c>
      <c r="H219" s="66">
        <v>9.3147667662176747E-3</v>
      </c>
      <c r="I219" s="244">
        <v>1.1644795149392467E-2</v>
      </c>
      <c r="J219" s="239">
        <v>1.160144546736208E-2</v>
      </c>
      <c r="K219" s="239">
        <v>4.3349682030386846E-5</v>
      </c>
      <c r="L219" s="245"/>
    </row>
    <row r="220" spans="4:12">
      <c r="D220" s="210">
        <v>43073</v>
      </c>
      <c r="E220" s="253">
        <v>0.98551668779355872</v>
      </c>
      <c r="F220" s="237">
        <v>0.98550777298896375</v>
      </c>
      <c r="G220" s="231">
        <v>9.7215816779323561E-3</v>
      </c>
      <c r="H220" s="66">
        <v>9.7276386436824236E-3</v>
      </c>
      <c r="I220" s="244">
        <v>1.2587071258836957E-2</v>
      </c>
      <c r="J220" s="239">
        <v>1.2594968934445561E-2</v>
      </c>
      <c r="K220" s="239">
        <v>-7.8976756086035493E-6</v>
      </c>
      <c r="L220" s="245"/>
    </row>
    <row r="221" spans="4:12">
      <c r="D221" s="210">
        <v>43164</v>
      </c>
      <c r="E221" s="253">
        <v>0.98239092864898214</v>
      </c>
      <c r="F221" s="237">
        <v>0.98238008709018187</v>
      </c>
      <c r="G221" s="231">
        <v>1.0161066210908176E-2</v>
      </c>
      <c r="H221" s="66">
        <v>1.0167410096190155E-2</v>
      </c>
      <c r="I221" s="244">
        <v>1.2633764464967426E-2</v>
      </c>
      <c r="J221" s="239">
        <v>1.2610780735197604E-2</v>
      </c>
      <c r="K221" s="239">
        <v>2.2983729769821687E-5</v>
      </c>
      <c r="L221" s="245"/>
    </row>
    <row r="222" spans="4:12">
      <c r="D222" s="210">
        <v>43255</v>
      </c>
      <c r="E222" s="253">
        <v>0.97927508346157233</v>
      </c>
      <c r="F222" s="237">
        <v>0.97926232746428143</v>
      </c>
      <c r="G222" s="231">
        <v>1.0491467847164149E-2</v>
      </c>
      <c r="H222" s="66">
        <v>1.0498027518180297E-2</v>
      </c>
      <c r="I222" s="244">
        <v>1.4006201384955603E-2</v>
      </c>
      <c r="J222" s="239">
        <v>1.4009848720056502E-2</v>
      </c>
      <c r="K222" s="239">
        <v>-3.6473351008991378E-6</v>
      </c>
      <c r="L222" s="245"/>
    </row>
    <row r="223" spans="4:12">
      <c r="D223" s="210">
        <v>43346</v>
      </c>
      <c r="E223" s="253">
        <v>0.97582030129734609</v>
      </c>
      <c r="F223" s="237">
        <v>0.97580669385076113</v>
      </c>
      <c r="G223" s="231">
        <v>1.0909057350649398E-2</v>
      </c>
      <c r="H223" s="66">
        <v>1.0915306158621574E-2</v>
      </c>
      <c r="I223" s="244">
        <v>1.4005929249540063E-2</v>
      </c>
      <c r="J223" s="239">
        <v>1.4009576442975237E-2</v>
      </c>
      <c r="K223" s="239">
        <v>-3.6471934351748475E-6</v>
      </c>
      <c r="L223" s="245"/>
    </row>
    <row r="224" spans="4:12">
      <c r="D224" s="210">
        <v>43619</v>
      </c>
      <c r="E224" s="253">
        <v>0.96552891166776578</v>
      </c>
      <c r="F224" s="237">
        <v>0.96551278674517826</v>
      </c>
      <c r="G224" s="231">
        <v>1.1746437526348963E-2</v>
      </c>
      <c r="H224" s="66">
        <v>1.1752062579755806E-2</v>
      </c>
      <c r="I224" s="244">
        <v>1.5276029523667772E-2</v>
      </c>
      <c r="J224" s="239">
        <v>1.5275863654472003E-2</v>
      </c>
      <c r="K224" s="239">
        <v>1.6586919576906667E-7</v>
      </c>
      <c r="L224" s="245"/>
    </row>
    <row r="225" spans="4:12">
      <c r="D225" s="210">
        <v>43985</v>
      </c>
      <c r="E225" s="253">
        <v>0.9506782263178567</v>
      </c>
      <c r="F225" s="237">
        <v>0.9506625091010843</v>
      </c>
      <c r="G225" s="231">
        <v>1.270772127481945E-2</v>
      </c>
      <c r="H225" s="66">
        <v>1.2711901289609306E-2</v>
      </c>
      <c r="I225" s="244">
        <v>1.7053544416918278E-2</v>
      </c>
      <c r="J225" s="239">
        <v>1.7052346019016926E-2</v>
      </c>
      <c r="K225" s="239">
        <v>1.1983979013516222E-6</v>
      </c>
      <c r="L225" s="245"/>
    </row>
    <row r="226" spans="4:12">
      <c r="D226" s="210">
        <v>44350</v>
      </c>
      <c r="E226" s="253">
        <v>0.93441815574514442</v>
      </c>
      <c r="F226" s="237">
        <v>0.93440269650702568</v>
      </c>
      <c r="G226" s="231">
        <v>1.3648030320325022E-2</v>
      </c>
      <c r="H226" s="66">
        <v>1.3651381761782044E-2</v>
      </c>
      <c r="I226" s="244">
        <v>1.786669588984334E-2</v>
      </c>
      <c r="J226" s="239">
        <v>1.7866633000315841E-2</v>
      </c>
      <c r="K226" s="239">
        <v>6.2889527498860565E-8</v>
      </c>
      <c r="L226" s="245"/>
    </row>
    <row r="227" spans="4:12">
      <c r="D227" s="210">
        <v>44715</v>
      </c>
      <c r="E227" s="253">
        <v>0.91768154351867293</v>
      </c>
      <c r="F227" s="237">
        <v>0.91766641942228511</v>
      </c>
      <c r="G227" s="231">
        <v>1.4411081054932939E-2</v>
      </c>
      <c r="H227" s="66">
        <v>1.4413865661055292E-2</v>
      </c>
      <c r="I227" s="244">
        <v>2.0018098201174058E-2</v>
      </c>
      <c r="J227" s="239">
        <v>2.0018660166153827E-2</v>
      </c>
      <c r="K227" s="239">
        <v>-5.6196497976931936E-7</v>
      </c>
      <c r="L227" s="245"/>
    </row>
    <row r="228" spans="4:12">
      <c r="D228" s="210">
        <v>45082</v>
      </c>
      <c r="E228" s="253">
        <v>0.8991906769165291</v>
      </c>
      <c r="F228" s="237">
        <v>0.89917534505513808</v>
      </c>
      <c r="G228" s="231">
        <v>1.527525180306788E-2</v>
      </c>
      <c r="H228" s="66">
        <v>1.5277721552763301E-2</v>
      </c>
      <c r="I228" s="244">
        <v>2.0453670963336956E-2</v>
      </c>
      <c r="J228" s="239">
        <v>2.045826137008298E-2</v>
      </c>
      <c r="K228" s="239">
        <v>-4.5904067460245113E-6</v>
      </c>
      <c r="L228" s="245"/>
    </row>
    <row r="229" spans="4:12">
      <c r="D229" s="210">
        <v>45446</v>
      </c>
      <c r="E229" s="253">
        <v>0.88083299012070582</v>
      </c>
      <c r="F229" s="237">
        <v>0.88081390430296935</v>
      </c>
      <c r="G229" s="231">
        <v>1.5976357174142253E-2</v>
      </c>
      <c r="H229" s="66">
        <v>1.5979107090976274E-2</v>
      </c>
      <c r="I229" s="244">
        <v>2.1908080724311538E-2</v>
      </c>
      <c r="J229" s="239">
        <v>2.1907952052330641E-2</v>
      </c>
      <c r="K229" s="239">
        <v>1.2867198089655529E-7</v>
      </c>
      <c r="L229" s="245"/>
    </row>
    <row r="230" spans="4:12">
      <c r="D230" s="210">
        <v>45811</v>
      </c>
      <c r="E230" s="253">
        <v>0.86153667762974495</v>
      </c>
      <c r="F230" s="237">
        <v>0.86151812169005348</v>
      </c>
      <c r="G230" s="231">
        <v>1.6690360798101267E-2</v>
      </c>
      <c r="H230" s="66">
        <v>1.669279285372971E-2</v>
      </c>
      <c r="I230" s="244">
        <v>2.2767904103373388E-2</v>
      </c>
      <c r="J230" s="239">
        <v>2.2767886392458043E-2</v>
      </c>
      <c r="K230" s="239">
        <v>1.7710915345414691E-8</v>
      </c>
      <c r="L230" s="245"/>
    </row>
    <row r="231" spans="4:12">
      <c r="D231" s="210">
        <v>46176</v>
      </c>
      <c r="E231" s="253">
        <v>0.84193296909945536</v>
      </c>
      <c r="F231" s="237">
        <v>0.84191485041886671</v>
      </c>
      <c r="G231" s="231">
        <v>1.7347570044310423E-2</v>
      </c>
      <c r="H231" s="66">
        <v>1.7349758587786424E-2</v>
      </c>
      <c r="I231" s="244">
        <v>2.3538494153797555E-2</v>
      </c>
      <c r="J231" s="239">
        <v>2.3536311561680266E-2</v>
      </c>
      <c r="K231" s="239">
        <v>2.1825921172891061E-6</v>
      </c>
      <c r="L231" s="245"/>
    </row>
    <row r="232" spans="4:12">
      <c r="D232" s="210">
        <v>46909</v>
      </c>
      <c r="E232" s="253">
        <v>0.80265232436204825</v>
      </c>
      <c r="F232" s="237">
        <v>0.80263485432377557</v>
      </c>
      <c r="G232" s="231">
        <v>1.8471322744004537E-2</v>
      </c>
      <c r="H232" s="66">
        <v>1.8473168370070958E-2</v>
      </c>
      <c r="I232" s="244">
        <v>2.4340276306235566E-2</v>
      </c>
      <c r="J232" s="239">
        <v>2.4340847794084783E-2</v>
      </c>
      <c r="K232" s="239">
        <v>-5.7148784921717821E-7</v>
      </c>
      <c r="L232" s="245"/>
    </row>
    <row r="233" spans="4:12">
      <c r="D233" s="210">
        <v>48002</v>
      </c>
      <c r="E233" s="253">
        <v>0.74564585061187771</v>
      </c>
      <c r="F233" s="237">
        <v>0.74562833559805342</v>
      </c>
      <c r="G233" s="231">
        <v>1.9754499305912221E-2</v>
      </c>
      <c r="H233" s="66">
        <v>1.9756095829866815E-2</v>
      </c>
      <c r="I233" s="244">
        <v>2.4592982569152703E-2</v>
      </c>
      <c r="J233" s="239">
        <v>2.4593298956967782E-2</v>
      </c>
      <c r="K233" s="239">
        <v>-3.1638781507886682E-7</v>
      </c>
      <c r="L233" s="245"/>
    </row>
    <row r="234" spans="4:12">
      <c r="D234" s="210">
        <v>49829</v>
      </c>
      <c r="E234" s="253">
        <v>0.65841270098086346</v>
      </c>
      <c r="F234" s="237">
        <v>0.65839618448555171</v>
      </c>
      <c r="G234" s="231">
        <v>2.1110192264052641E-2</v>
      </c>
      <c r="H234" s="66">
        <v>2.1111472675033438E-2</v>
      </c>
      <c r="I234" s="244">
        <v>2.3927485056228531E-2</v>
      </c>
      <c r="J234" s="239">
        <v>2.3927444789187523E-2</v>
      </c>
      <c r="K234" s="239">
        <v>4.026704100712486E-8</v>
      </c>
      <c r="L234" s="245"/>
    </row>
    <row r="235" spans="4:12">
      <c r="D235" s="210">
        <v>51655</v>
      </c>
      <c r="E235" s="253">
        <v>0.58337836693581646</v>
      </c>
      <c r="F235" s="237">
        <v>0.58336385112506761</v>
      </c>
      <c r="G235" s="231">
        <v>2.1787382122913757E-2</v>
      </c>
      <c r="H235" s="66">
        <v>2.1788398956232857E-2</v>
      </c>
      <c r="I235" s="244">
        <v>2.3520003427443321E-2</v>
      </c>
      <c r="J235" s="239">
        <v>2.3519528743412978E-2</v>
      </c>
      <c r="K235" s="239">
        <v>4.7468403034309214E-7</v>
      </c>
      <c r="L235" s="245"/>
    </row>
    <row r="236" spans="4:12">
      <c r="D236" s="210">
        <v>53482</v>
      </c>
      <c r="E236" s="253">
        <v>0.51792438465390234</v>
      </c>
      <c r="F236" s="237">
        <v>0.51791273769749002</v>
      </c>
      <c r="G236" s="231">
        <v>2.2168173007149683E-2</v>
      </c>
      <c r="H236" s="66">
        <v>2.2168939055978276E-2</v>
      </c>
      <c r="I236" s="244">
        <v>2.2138006337846145E-2</v>
      </c>
      <c r="J236" s="239">
        <v>2.2138179696536156E-2</v>
      </c>
      <c r="K236" s="239">
        <v>-1.7335869001086635E-7</v>
      </c>
      <c r="L236" s="245"/>
    </row>
    <row r="237" spans="4:12">
      <c r="D237" s="210">
        <v>57136</v>
      </c>
      <c r="E237" s="253">
        <v>0.41395684352691042</v>
      </c>
      <c r="F237" s="237">
        <v>0.41394681028706443</v>
      </c>
      <c r="G237" s="231">
        <v>2.2288576015307759E-2</v>
      </c>
      <c r="H237" s="66">
        <v>2.2289195294367348E-2</v>
      </c>
      <c r="I237" s="244">
        <v>2.0315641030674174E-2</v>
      </c>
      <c r="J237" s="239">
        <v>2.0315775978309848E-2</v>
      </c>
      <c r="K237" s="239">
        <v>-1.3494763567364898E-7</v>
      </c>
      <c r="L237" s="245"/>
    </row>
    <row r="238" spans="4:12">
      <c r="D238" s="209">
        <v>60786</v>
      </c>
      <c r="E238" s="218">
        <v>0.33707873930877968</v>
      </c>
      <c r="F238" s="217">
        <v>0.33707011059065667</v>
      </c>
      <c r="G238" s="247">
        <v>2.1985279502820587E-2</v>
      </c>
      <c r="H238" s="86">
        <v>2.1985802695367207E-2</v>
      </c>
      <c r="I238" s="201">
        <v>0</v>
      </c>
      <c r="J238" s="238"/>
      <c r="K238" s="238"/>
      <c r="L238" s="228"/>
    </row>
    <row r="241" spans="2:11">
      <c r="B241" s="118" t="s">
        <v>270</v>
      </c>
      <c r="C241" s="119" t="s">
        <v>280</v>
      </c>
      <c r="D241" s="139" t="s">
        <v>305</v>
      </c>
      <c r="F241" s="115" t="s">
        <v>847</v>
      </c>
    </row>
    <row r="242" spans="2:11">
      <c r="B242" s="120" t="s">
        <v>269</v>
      </c>
      <c r="C242" s="121" t="s">
        <v>251</v>
      </c>
      <c r="D242" s="116" t="s">
        <v>848</v>
      </c>
      <c r="E242" s="116" t="s">
        <v>444</v>
      </c>
      <c r="F242" s="127" t="s">
        <v>734</v>
      </c>
      <c r="G242" s="116" t="s">
        <v>444</v>
      </c>
      <c r="H242" s="127" t="s">
        <v>734</v>
      </c>
      <c r="I242" s="140" t="s">
        <v>735</v>
      </c>
      <c r="J242" s="140" t="s">
        <v>736</v>
      </c>
      <c r="K242" s="127" t="s">
        <v>738</v>
      </c>
    </row>
    <row r="243" spans="2:11">
      <c r="B243" s="120" t="s">
        <v>271</v>
      </c>
      <c r="C243" s="121" t="s">
        <v>272</v>
      </c>
      <c r="D243" s="233">
        <v>42522</v>
      </c>
      <c r="E243" s="252">
        <v>1</v>
      </c>
      <c r="F243" s="236">
        <v>1</v>
      </c>
      <c r="G243" s="229">
        <v>3.1137876083604521E-3</v>
      </c>
      <c r="H243" s="59">
        <v>3.1137875905415946E-3</v>
      </c>
      <c r="I243" s="204">
        <v>4.6955000000531433E-3</v>
      </c>
      <c r="J243" s="203">
        <v>4.5088479821684402E-3</v>
      </c>
      <c r="K243" s="203">
        <v>1.8665201788470309E-4</v>
      </c>
    </row>
    <row r="244" spans="2:11">
      <c r="B244" s="122" t="s">
        <v>273</v>
      </c>
      <c r="C244" s="123" t="s">
        <v>274</v>
      </c>
      <c r="D244" s="210">
        <v>42523</v>
      </c>
      <c r="E244" s="253">
        <v>0.99999148236555724</v>
      </c>
      <c r="F244" s="237">
        <v>0.99999148236560631</v>
      </c>
      <c r="G244" s="231">
        <v>3.1223318380670939E-3</v>
      </c>
      <c r="H244" s="66">
        <v>3.1223318200510608E-3</v>
      </c>
      <c r="I244" s="244">
        <v>4.8741115503574406E-3</v>
      </c>
      <c r="J244" s="239">
        <v>4.5826417204697378E-3</v>
      </c>
      <c r="K244" s="239">
        <v>2.9146982988770276E-4</v>
      </c>
    </row>
    <row r="245" spans="2:11">
      <c r="B245" s="124" t="s">
        <v>328</v>
      </c>
      <c r="C245" s="125" t="s">
        <v>849</v>
      </c>
      <c r="D245" s="210">
        <v>42527</v>
      </c>
      <c r="E245" s="253">
        <v>0.99995741255327997</v>
      </c>
      <c r="F245" s="237">
        <v>0.99995741255352633</v>
      </c>
      <c r="G245" s="231">
        <v>3.1223318381263798E-3</v>
      </c>
      <c r="H245" s="66">
        <v>3.1223318200455097E-3</v>
      </c>
      <c r="I245" s="244">
        <v>5.0680281445156794E-3</v>
      </c>
      <c r="J245" s="239">
        <v>4.8741115522146217E-3</v>
      </c>
      <c r="K245" s="239">
        <v>1.9391659230105773E-4</v>
      </c>
    </row>
    <row r="246" spans="2:11">
      <c r="B246" s="211" t="s">
        <v>786</v>
      </c>
      <c r="C246" s="232" t="s">
        <v>786</v>
      </c>
      <c r="D246" s="210">
        <v>42531</v>
      </c>
      <c r="E246" s="253">
        <v>0.99993229675716144</v>
      </c>
      <c r="F246" s="237">
        <v>0.999932296756886</v>
      </c>
      <c r="G246" s="231">
        <v>2.7571523880063342E-3</v>
      </c>
      <c r="H246" s="66">
        <v>2.7571523992424574E-3</v>
      </c>
      <c r="I246" s="244">
        <v>5.2471087709129449E-3</v>
      </c>
      <c r="J246" s="239">
        <v>5.261947867264638E-3</v>
      </c>
      <c r="K246" s="239">
        <v>-1.4839096351693115E-5</v>
      </c>
    </row>
    <row r="247" spans="2:11">
      <c r="D247" s="210">
        <v>42555</v>
      </c>
      <c r="E247" s="253">
        <v>0.99958042682437209</v>
      </c>
      <c r="F247" s="237">
        <v>0.99958042682446147</v>
      </c>
      <c r="G247" s="231">
        <v>4.6652731103731249E-3</v>
      </c>
      <c r="H247" s="66">
        <v>4.6652731093763666E-3</v>
      </c>
      <c r="I247" s="244">
        <v>5.3101810365491732E-3</v>
      </c>
      <c r="J247" s="239">
        <v>5.2028208436056969E-3</v>
      </c>
      <c r="K247" s="239">
        <v>1.0736019294347622E-4</v>
      </c>
    </row>
    <row r="248" spans="2:11">
      <c r="D248" s="210">
        <v>42585</v>
      </c>
      <c r="E248" s="253">
        <v>0.99914971723219193</v>
      </c>
      <c r="F248" s="237">
        <v>0.99914971723191603</v>
      </c>
      <c r="G248" s="231">
        <v>4.9540702899286693E-3</v>
      </c>
      <c r="H248" s="66">
        <v>4.9540702915411572E-3</v>
      </c>
      <c r="I248" s="244">
        <v>6.0990121253354235E-3</v>
      </c>
      <c r="J248" s="239">
        <v>6.0989605640459112E-3</v>
      </c>
      <c r="K248" s="239">
        <v>5.1561289512308539E-8</v>
      </c>
    </row>
    <row r="249" spans="2:11">
      <c r="D249" s="210">
        <v>42618</v>
      </c>
      <c r="E249" s="253">
        <v>0.99859142389360367</v>
      </c>
      <c r="F249" s="237">
        <v>0.99859142388482813</v>
      </c>
      <c r="G249" s="231">
        <v>5.388447869428159E-3</v>
      </c>
      <c r="H249" s="66">
        <v>5.3884479031134358E-3</v>
      </c>
      <c r="I249" s="244">
        <v>6.3264307534964814E-3</v>
      </c>
      <c r="J249" s="239">
        <v>6.293154602488471E-3</v>
      </c>
      <c r="K249" s="239">
        <v>3.3276151008010402E-5</v>
      </c>
    </row>
    <row r="250" spans="2:11">
      <c r="D250" s="210">
        <v>42646</v>
      </c>
      <c r="E250" s="253">
        <v>0.99810506108322217</v>
      </c>
      <c r="F250" s="237">
        <v>0.99810506108534125</v>
      </c>
      <c r="G250" s="231">
        <v>5.6141326850724926E-3</v>
      </c>
      <c r="H250" s="66">
        <v>5.6141326787706447E-3</v>
      </c>
      <c r="I250" s="244">
        <v>6.7074701989821121E-3</v>
      </c>
      <c r="J250" s="239">
        <v>6.6843498224577668E-3</v>
      </c>
      <c r="K250" s="239">
        <v>2.3120376524345294E-5</v>
      </c>
    </row>
    <row r="251" spans="2:11">
      <c r="D251" s="210">
        <v>42677</v>
      </c>
      <c r="E251" s="253">
        <v>0.9975308854990339</v>
      </c>
      <c r="F251" s="237">
        <v>0.99753088550944957</v>
      </c>
      <c r="G251" s="231">
        <v>5.8545773205607166E-3</v>
      </c>
      <c r="H251" s="66">
        <v>5.8545772957612208E-3</v>
      </c>
      <c r="I251" s="244">
        <v>6.9096262706498379E-3</v>
      </c>
      <c r="J251" s="239">
        <v>6.8739974905049905E-3</v>
      </c>
      <c r="K251" s="239">
        <v>3.5628780144847383E-5</v>
      </c>
    </row>
    <row r="252" spans="2:11">
      <c r="D252" s="210">
        <v>42709</v>
      </c>
      <c r="E252" s="253">
        <v>0.99692173278784957</v>
      </c>
      <c r="F252" s="237">
        <v>0.99692173277015572</v>
      </c>
      <c r="G252" s="231">
        <v>6.0523780336505517E-3</v>
      </c>
      <c r="H252" s="66">
        <v>6.0523780685981521E-3</v>
      </c>
      <c r="I252" s="244">
        <v>7.4681295772888691E-3</v>
      </c>
      <c r="J252" s="239">
        <v>7.4296173472425892E-3</v>
      </c>
      <c r="K252" s="239">
        <v>3.8512230046279863E-5</v>
      </c>
    </row>
    <row r="253" spans="2:11">
      <c r="D253" s="210">
        <v>42738</v>
      </c>
      <c r="E253" s="253">
        <v>0.99632713945465567</v>
      </c>
      <c r="F253" s="237">
        <v>0.99632713944296025</v>
      </c>
      <c r="G253" s="231">
        <v>6.2542335464079724E-3</v>
      </c>
      <c r="H253" s="66">
        <v>6.2542335664219628E-3</v>
      </c>
      <c r="I253" s="244">
        <v>7.7793666032574538E-3</v>
      </c>
      <c r="J253" s="239">
        <v>7.7355204860726327E-3</v>
      </c>
      <c r="K253" s="239">
        <v>4.3846117184821037E-5</v>
      </c>
    </row>
    <row r="254" spans="2:11">
      <c r="D254" s="210">
        <v>42769</v>
      </c>
      <c r="E254" s="253">
        <v>0.9956639135371762</v>
      </c>
      <c r="F254" s="237">
        <v>0.99566391350794448</v>
      </c>
      <c r="G254" s="231">
        <v>6.4575068199208552E-3</v>
      </c>
      <c r="H254" s="66">
        <v>6.4575068636893995E-3</v>
      </c>
      <c r="I254" s="244">
        <v>8.2299205912041342E-3</v>
      </c>
      <c r="J254" s="239">
        <v>8.2020456938623545E-3</v>
      </c>
      <c r="K254" s="239">
        <v>2.7874897341779656E-5</v>
      </c>
    </row>
    <row r="255" spans="2:11">
      <c r="D255" s="210">
        <v>42797</v>
      </c>
      <c r="E255" s="253">
        <v>0.99502914769552808</v>
      </c>
      <c r="F255" s="237">
        <v>0.99502914771068085</v>
      </c>
      <c r="G255" s="231">
        <v>6.6502373479391252E-3</v>
      </c>
      <c r="H255" s="66">
        <v>6.6502373275492133E-3</v>
      </c>
      <c r="I255" s="244">
        <v>8.4247657009824707E-3</v>
      </c>
      <c r="J255" s="239">
        <v>8.3974617120288128E-3</v>
      </c>
      <c r="K255" s="239">
        <v>2.7303988953657904E-5</v>
      </c>
    </row>
    <row r="256" spans="2:11">
      <c r="D256" s="210">
        <v>42828</v>
      </c>
      <c r="E256" s="253">
        <v>0.99431014736758505</v>
      </c>
      <c r="F256" s="237">
        <v>0.99431014736855683</v>
      </c>
      <c r="G256" s="231">
        <v>6.842632363579737E-3</v>
      </c>
      <c r="H256" s="66">
        <v>6.8426323624037888E-3</v>
      </c>
      <c r="I256" s="244">
        <v>8.6271654323306635E-3</v>
      </c>
      <c r="J256" s="239">
        <v>8.6089672610727419E-3</v>
      </c>
      <c r="K256" s="239">
        <v>1.8198171257921558E-5</v>
      </c>
    </row>
    <row r="257" spans="4:11">
      <c r="D257" s="210">
        <v>42858</v>
      </c>
      <c r="E257" s="253">
        <v>0.99359732677560431</v>
      </c>
      <c r="F257" s="237">
        <v>0.99359732679713308</v>
      </c>
      <c r="G257" s="231">
        <v>7.014295856747621E-3</v>
      </c>
      <c r="H257" s="66">
        <v>7.0142958330037253E-3</v>
      </c>
      <c r="I257" s="244">
        <v>8.8820487888659431E-3</v>
      </c>
      <c r="J257" s="239">
        <v>8.9152652110954713E-3</v>
      </c>
      <c r="K257" s="239">
        <v>-3.3216422229528225E-5</v>
      </c>
    </row>
    <row r="258" spans="4:11">
      <c r="D258" s="223">
        <v>42891</v>
      </c>
      <c r="E258" s="200">
        <v>0.99278899014792221</v>
      </c>
      <c r="F258" s="199">
        <v>0.99278596960626642</v>
      </c>
      <c r="G258" s="242">
        <v>7.1958111456469354E-3</v>
      </c>
      <c r="H258" s="221">
        <v>7.1988471214734506E-3</v>
      </c>
      <c r="I258" s="244">
        <v>9.3415744097677944E-3</v>
      </c>
      <c r="J258" s="239">
        <v>9.3623318411681922E-3</v>
      </c>
      <c r="K258" s="239">
        <v>-2.0757431400397763E-5</v>
      </c>
    </row>
    <row r="259" spans="4:11">
      <c r="D259" s="210">
        <v>42919</v>
      </c>
      <c r="E259" s="253">
        <v>0.99206820492796477</v>
      </c>
      <c r="F259" s="237">
        <v>0.99206358617142787</v>
      </c>
      <c r="G259" s="231">
        <v>7.359277781366691E-3</v>
      </c>
      <c r="H259" s="66">
        <v>7.3635960765670028E-3</v>
      </c>
      <c r="I259" s="244">
        <v>9.3419379290995228E-3</v>
      </c>
      <c r="J259" s="239">
        <v>9.3624535512109239E-3</v>
      </c>
      <c r="K259" s="239">
        <v>-2.0515622111401052E-5</v>
      </c>
    </row>
    <row r="260" spans="4:11">
      <c r="D260" s="210">
        <v>42950</v>
      </c>
      <c r="E260" s="253">
        <v>0.99127080311544946</v>
      </c>
      <c r="F260" s="237">
        <v>0.99126441761844297</v>
      </c>
      <c r="G260" s="231">
        <v>7.5153010062964931E-3</v>
      </c>
      <c r="H260" s="66">
        <v>7.5208434263109858E-3</v>
      </c>
      <c r="I260" s="244">
        <v>9.382395863652325E-3</v>
      </c>
      <c r="J260" s="239">
        <v>9.3624535512109239E-3</v>
      </c>
      <c r="K260" s="239">
        <v>1.99423124414011E-5</v>
      </c>
    </row>
    <row r="261" spans="4:11">
      <c r="D261" s="210">
        <v>42982</v>
      </c>
      <c r="E261" s="253">
        <v>0.99044835093779104</v>
      </c>
      <c r="F261" s="237">
        <v>0.99044014469412711</v>
      </c>
      <c r="G261" s="231">
        <v>7.6542918120467984E-3</v>
      </c>
      <c r="H261" s="66">
        <v>7.6609248849692779E-3</v>
      </c>
      <c r="I261" s="244">
        <v>9.9724278951969225E-3</v>
      </c>
      <c r="J261" s="239">
        <v>9.9485264275411822E-3</v>
      </c>
      <c r="K261" s="239">
        <v>2.3901467655740305E-5</v>
      </c>
    </row>
    <row r="262" spans="4:11">
      <c r="D262" s="210">
        <v>43073</v>
      </c>
      <c r="E262" s="253">
        <v>0.9879575290227226</v>
      </c>
      <c r="F262" s="237">
        <v>0.98795357756642332</v>
      </c>
      <c r="G262" s="231">
        <v>8.0666268503897243E-3</v>
      </c>
      <c r="H262" s="66">
        <v>8.0693005459575584E-3</v>
      </c>
      <c r="I262" s="244">
        <v>1.0967256694349524E-2</v>
      </c>
      <c r="J262" s="239">
        <v>1.0978043811617613E-2</v>
      </c>
      <c r="K262" s="239">
        <v>-1.0787117268089286E-5</v>
      </c>
    </row>
    <row r="263" spans="4:11">
      <c r="D263" s="210">
        <v>43164</v>
      </c>
      <c r="E263" s="253">
        <v>0.98522380033502455</v>
      </c>
      <c r="F263" s="237">
        <v>0.98521709281049052</v>
      </c>
      <c r="G263" s="231">
        <v>8.5071803198497609E-3</v>
      </c>
      <c r="H263" s="66">
        <v>8.5110874892264654E-3</v>
      </c>
      <c r="I263" s="244">
        <v>1.0967256694349524E-2</v>
      </c>
      <c r="J263" s="239">
        <v>1.0978043811617613E-2</v>
      </c>
      <c r="K263" s="239">
        <v>-1.0787117268089286E-5</v>
      </c>
    </row>
    <row r="264" spans="4:11">
      <c r="D264" s="210">
        <v>43255</v>
      </c>
      <c r="E264" s="253">
        <v>0.98249763601352491</v>
      </c>
      <c r="F264" s="237">
        <v>0.98248818771112212</v>
      </c>
      <c r="G264" s="231">
        <v>8.8383860902538913E-3</v>
      </c>
      <c r="H264" s="66">
        <v>8.8432209341280377E-3</v>
      </c>
      <c r="I264" s="244">
        <v>1.2492757102088525E-2</v>
      </c>
      <c r="J264" s="239">
        <v>1.2492946928584381E-2</v>
      </c>
      <c r="K264" s="239">
        <v>-1.8982649585552736E-7</v>
      </c>
    </row>
    <row r="265" spans="4:11">
      <c r="D265" s="210">
        <v>43346</v>
      </c>
      <c r="E265" s="253">
        <v>0.97940151772126949</v>
      </c>
      <c r="F265" s="237">
        <v>0.97939205224685044</v>
      </c>
      <c r="G265" s="231">
        <v>9.2688510642491284E-3</v>
      </c>
      <c r="H265" s="66">
        <v>9.2731748627237209E-3</v>
      </c>
      <c r="I265" s="244">
        <v>1.2492757102088525E-2</v>
      </c>
      <c r="J265" s="239">
        <v>1.2492946928584381E-2</v>
      </c>
      <c r="K265" s="239">
        <v>-1.8982649585552736E-7</v>
      </c>
    </row>
    <row r="266" spans="4:11">
      <c r="D266" s="210">
        <v>43619</v>
      </c>
      <c r="E266" s="253">
        <v>0.97017158024135397</v>
      </c>
      <c r="F266" s="237">
        <v>0.97016206445881703</v>
      </c>
      <c r="G266" s="231">
        <v>1.0132067468563211E-2</v>
      </c>
      <c r="H266" s="66">
        <v>1.0135365803343399E-2</v>
      </c>
      <c r="I266" s="244">
        <v>1.3951784406038392E-2</v>
      </c>
      <c r="J266" s="239">
        <v>1.3961215263733173E-2</v>
      </c>
      <c r="K266" s="239">
        <v>-9.4308576947810252E-6</v>
      </c>
    </row>
    <row r="267" spans="4:11">
      <c r="D267" s="210">
        <v>43985</v>
      </c>
      <c r="E267" s="253">
        <v>0.9565153796648117</v>
      </c>
      <c r="F267" s="237">
        <v>0.9564968375083388</v>
      </c>
      <c r="G267" s="231">
        <v>1.1161266930067137E-2</v>
      </c>
      <c r="H267" s="66">
        <v>1.1166160672243963E-2</v>
      </c>
      <c r="I267" s="244">
        <v>1.5823448385053358E-2</v>
      </c>
      <c r="J267" s="239">
        <v>1.5826237461997295E-2</v>
      </c>
      <c r="K267" s="239">
        <v>-2.7890769439369023E-6</v>
      </c>
    </row>
    <row r="268" spans="4:11">
      <c r="D268" s="210">
        <v>44350</v>
      </c>
      <c r="E268" s="253">
        <v>0.94130251414575439</v>
      </c>
      <c r="F268" s="237">
        <v>0.94128127733816691</v>
      </c>
      <c r="G268" s="231">
        <v>1.216213144955125E-2</v>
      </c>
      <c r="H268" s="66">
        <v>1.2166695067759692E-2</v>
      </c>
      <c r="I268" s="244">
        <v>1.6947814693747176E-2</v>
      </c>
      <c r="J268" s="239">
        <v>1.6947928139797064E-2</v>
      </c>
      <c r="K268" s="239">
        <v>-1.1344604988750007E-7</v>
      </c>
    </row>
    <row r="269" spans="4:11">
      <c r="D269" s="210">
        <v>44715</v>
      </c>
      <c r="E269" s="253">
        <v>0.92527731365557764</v>
      </c>
      <c r="F269" s="237">
        <v>0.92525633211946767</v>
      </c>
      <c r="G269" s="231">
        <v>1.3019294334785325E-2</v>
      </c>
      <c r="H269" s="66">
        <v>1.3023120440831537E-2</v>
      </c>
      <c r="I269" s="244">
        <v>1.9133536155404585E-2</v>
      </c>
      <c r="J269" s="239">
        <v>1.9133817539176867E-2</v>
      </c>
      <c r="K269" s="239">
        <v>-2.8138377228259515E-7</v>
      </c>
    </row>
    <row r="270" spans="4:11">
      <c r="D270" s="210">
        <v>45082</v>
      </c>
      <c r="E270" s="253">
        <v>0.90741822140716633</v>
      </c>
      <c r="F270" s="237">
        <v>0.90739738496556277</v>
      </c>
      <c r="G270" s="231">
        <v>1.3956805122749882E-2</v>
      </c>
      <c r="H270" s="66">
        <v>1.3960126842816001E-2</v>
      </c>
      <c r="I270" s="244">
        <v>1.963975074674007E-2</v>
      </c>
      <c r="J270" s="239">
        <v>1.9640490988437342E-2</v>
      </c>
      <c r="K270" s="239">
        <v>-7.4024169727238132E-7</v>
      </c>
    </row>
    <row r="271" spans="4:11">
      <c r="D271" s="210">
        <v>45446</v>
      </c>
      <c r="E271" s="253">
        <v>0.88959091434334203</v>
      </c>
      <c r="F271" s="237">
        <v>0.88956982253273276</v>
      </c>
      <c r="G271" s="231">
        <v>1.47215234379654E-2</v>
      </c>
      <c r="H271" s="66">
        <v>1.4724528750573507E-2</v>
      </c>
      <c r="I271" s="244">
        <v>2.1111181274191537E-2</v>
      </c>
      <c r="J271" s="239">
        <v>2.1116848598273563E-2</v>
      </c>
      <c r="K271" s="239">
        <v>-5.6673240820259707E-6</v>
      </c>
    </row>
    <row r="272" spans="4:11">
      <c r="D272" s="210">
        <v>45811</v>
      </c>
      <c r="E272" s="253">
        <v>0.87076847300615801</v>
      </c>
      <c r="F272" s="237">
        <v>0.87074283292048005</v>
      </c>
      <c r="G272" s="231">
        <v>1.5487548166267739E-2</v>
      </c>
      <c r="H272" s="66">
        <v>1.5490869166475241E-2</v>
      </c>
      <c r="I272" s="244">
        <v>2.1865158545302243E-2</v>
      </c>
      <c r="J272" s="239">
        <v>2.1867894027692181E-2</v>
      </c>
      <c r="K272" s="239">
        <v>-2.7354823899372605E-6</v>
      </c>
    </row>
    <row r="273" spans="4:11">
      <c r="D273" s="210">
        <v>46176</v>
      </c>
      <c r="E273" s="253">
        <v>0.8516952697504766</v>
      </c>
      <c r="F273" s="237">
        <v>0.8516666896332139</v>
      </c>
      <c r="G273" s="231">
        <v>1.6175861306949146E-2</v>
      </c>
      <c r="H273" s="66">
        <v>1.6179270003130242E-2</v>
      </c>
      <c r="I273" s="244">
        <v>2.2601835474454796E-2</v>
      </c>
      <c r="J273" s="239">
        <v>2.2601504579697007E-2</v>
      </c>
      <c r="K273" s="239">
        <v>3.3089475778846911E-7</v>
      </c>
    </row>
    <row r="274" spans="4:11">
      <c r="D274" s="210">
        <v>46909</v>
      </c>
      <c r="E274" s="253">
        <v>0.81342495704782736</v>
      </c>
      <c r="F274" s="237">
        <v>0.81339703608048541</v>
      </c>
      <c r="G274" s="231">
        <v>1.7341455670504491E-2</v>
      </c>
      <c r="H274" s="66">
        <v>1.734436311334564E-2</v>
      </c>
      <c r="I274" s="244">
        <v>2.3126268438709019E-2</v>
      </c>
      <c r="J274" s="239">
        <v>2.3126336132476943E-2</v>
      </c>
      <c r="K274" s="239">
        <v>-6.7693767924481563E-8</v>
      </c>
    </row>
    <row r="275" spans="4:11">
      <c r="D275" s="210">
        <v>48002</v>
      </c>
      <c r="E275" s="253">
        <v>0.75832141473865022</v>
      </c>
      <c r="F275" s="237">
        <v>0.75829522966146912</v>
      </c>
      <c r="G275" s="231">
        <v>1.860946796617946E-2</v>
      </c>
      <c r="H275" s="66">
        <v>1.8611812263729988E-2</v>
      </c>
      <c r="I275" s="244">
        <v>2.2868842585551663E-2</v>
      </c>
      <c r="J275" s="239">
        <v>2.286618557150355E-2</v>
      </c>
      <c r="K275" s="239">
        <v>2.6570140481130267E-6</v>
      </c>
    </row>
    <row r="276" spans="4:11">
      <c r="D276" s="210">
        <v>49829</v>
      </c>
      <c r="E276" s="253">
        <v>0.67530588552387139</v>
      </c>
      <c r="F276" s="237">
        <v>0.67528668987727691</v>
      </c>
      <c r="G276" s="231">
        <v>1.9817933271387034E-2</v>
      </c>
      <c r="H276" s="66">
        <v>1.9819382319139045E-2</v>
      </c>
      <c r="I276" s="244">
        <v>2.1716521455136251E-2</v>
      </c>
      <c r="J276" s="239">
        <v>2.1715570173951093E-2</v>
      </c>
      <c r="K276" s="239">
        <v>9.5128118515752647E-7</v>
      </c>
    </row>
    <row r="277" spans="4:11">
      <c r="D277" s="210">
        <v>51655</v>
      </c>
      <c r="E277" s="253">
        <v>0.60493493576296131</v>
      </c>
      <c r="F277" s="237">
        <v>0.6049166444371793</v>
      </c>
      <c r="G277" s="231">
        <v>2.0305668036507907E-2</v>
      </c>
      <c r="H277" s="66">
        <v>2.0306901897638729E-2</v>
      </c>
      <c r="I277" s="244">
        <v>2.1144516876139718E-2</v>
      </c>
      <c r="J277" s="239">
        <v>2.1144811321303969E-2</v>
      </c>
      <c r="K277" s="239">
        <v>-2.9444516425058964E-7</v>
      </c>
    </row>
    <row r="278" spans="4:11">
      <c r="D278" s="210">
        <v>53482</v>
      </c>
      <c r="E278" s="253">
        <v>0.54343326689952465</v>
      </c>
      <c r="F278" s="237">
        <v>0.54341602458651606</v>
      </c>
      <c r="G278" s="231">
        <v>2.053173049303969E-2</v>
      </c>
      <c r="H278" s="66">
        <v>2.053280960348669E-2</v>
      </c>
      <c r="I278" s="244">
        <v>2.0256960253134615E-2</v>
      </c>
      <c r="J278" s="239">
        <v>2.0257294759762345E-2</v>
      </c>
      <c r="K278" s="239">
        <v>-3.3450662773049089E-7</v>
      </c>
    </row>
    <row r="279" spans="4:11">
      <c r="D279" s="210">
        <v>57136</v>
      </c>
      <c r="E279" s="253">
        <v>0.44251400555005388</v>
      </c>
      <c r="F279" s="237">
        <v>0.44249846539195337</v>
      </c>
      <c r="G279" s="231">
        <v>2.05855301390514E-2</v>
      </c>
      <c r="H279" s="66">
        <v>2.0586425930682051E-2</v>
      </c>
      <c r="I279" s="244">
        <v>1.8488172513981382E-2</v>
      </c>
      <c r="J279" s="239">
        <v>1.8483898709020785E-2</v>
      </c>
      <c r="K279" s="239">
        <v>4.2738049605972606E-6</v>
      </c>
    </row>
    <row r="280" spans="4:11">
      <c r="D280" s="209">
        <v>60786</v>
      </c>
      <c r="E280" s="218">
        <v>0.36692843896704236</v>
      </c>
      <c r="F280" s="217">
        <v>0.36693142815340929</v>
      </c>
      <c r="G280" s="247">
        <v>2.0252569574710666E-2</v>
      </c>
      <c r="H280" s="86">
        <v>2.0252403358326676E-2</v>
      </c>
      <c r="I280" s="201">
        <v>0</v>
      </c>
      <c r="J280" s="238"/>
      <c r="K280" s="238"/>
    </row>
  </sheetData>
  <dataValidations count="1">
    <dataValidation type="list" allowBlank="1" showInputMessage="1" showErrorMessage="1" sqref="G4">
      <formula1>"true,false"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2730"/>
  <sheetViews>
    <sheetView zoomScale="85" zoomScaleNormal="85" workbookViewId="0">
      <selection activeCell="B5" sqref="B5"/>
    </sheetView>
  </sheetViews>
  <sheetFormatPr defaultRowHeight="15"/>
  <cols>
    <col min="1" max="1" width="9.140625" style="115"/>
    <col min="2" max="2" width="15" style="115" bestFit="1" customWidth="1"/>
    <col min="3" max="4" width="9.140625" style="115"/>
    <col min="5" max="5" width="10.7109375" style="115" bestFit="1" customWidth="1"/>
    <col min="6" max="6" width="12.140625" style="115" customWidth="1"/>
    <col min="7" max="7" width="23.7109375" style="115" bestFit="1" customWidth="1"/>
    <col min="8" max="12" width="9.140625" style="115"/>
    <col min="13" max="13" width="20.42578125" style="115" bestFit="1" customWidth="1"/>
    <col min="14" max="14" width="26.42578125" style="115" bestFit="1" customWidth="1"/>
    <col min="15" max="15" width="9.140625" style="115"/>
    <col min="16" max="16" width="10.7109375" style="115" bestFit="1" customWidth="1"/>
    <col min="17" max="18" width="9.140625" style="115"/>
    <col min="19" max="19" width="10.7109375" style="115" bestFit="1" customWidth="1"/>
    <col min="20" max="21" width="9.140625" style="115"/>
    <col min="22" max="22" width="10.7109375" style="115" bestFit="1" customWidth="1"/>
    <col min="23" max="23" width="30.5703125" style="115" bestFit="1" customWidth="1"/>
    <col min="24" max="16384" width="9.140625" style="115"/>
  </cols>
  <sheetData>
    <row r="1" spans="1:26">
      <c r="G1" s="117"/>
    </row>
    <row r="3" spans="1:26">
      <c r="A3" s="181" t="s">
        <v>442</v>
      </c>
      <c r="B3" s="180">
        <f>'CCS EUR_USD col USD'!C2</f>
        <v>43705</v>
      </c>
      <c r="E3" s="118" t="s">
        <v>270</v>
      </c>
      <c r="F3" s="119" t="s">
        <v>280</v>
      </c>
      <c r="M3" s="118" t="s">
        <v>270</v>
      </c>
      <c r="N3" s="119" t="s">
        <v>280</v>
      </c>
      <c r="P3" s="118" t="s">
        <v>270</v>
      </c>
      <c r="Q3" s="119" t="s">
        <v>280</v>
      </c>
      <c r="S3" s="118" t="s">
        <v>270</v>
      </c>
      <c r="T3" s="119" t="s">
        <v>280</v>
      </c>
      <c r="V3" s="118" t="s">
        <v>270</v>
      </c>
      <c r="W3" s="119" t="s">
        <v>280</v>
      </c>
    </row>
    <row r="4" spans="1:26">
      <c r="A4" s="181" t="s">
        <v>366</v>
      </c>
      <c r="B4" s="180">
        <f>'CCS EUR_USD col USD'!C3</f>
        <v>43707</v>
      </c>
      <c r="E4" s="120" t="s">
        <v>269</v>
      </c>
      <c r="F4" s="121" t="s">
        <v>251</v>
      </c>
      <c r="M4" s="120" t="s">
        <v>269</v>
      </c>
      <c r="N4" s="121" t="s">
        <v>251</v>
      </c>
      <c r="P4" s="120" t="s">
        <v>269</v>
      </c>
      <c r="Q4" s="121" t="s">
        <v>251</v>
      </c>
      <c r="S4" s="120" t="s">
        <v>269</v>
      </c>
      <c r="T4" s="121" t="s">
        <v>251</v>
      </c>
      <c r="V4" s="120" t="s">
        <v>269</v>
      </c>
      <c r="W4" s="121" t="s">
        <v>251</v>
      </c>
    </row>
    <row r="5" spans="1:26">
      <c r="A5" s="115" t="s">
        <v>443</v>
      </c>
      <c r="B5" s="179" t="e">
        <f ca="1">MercuryChecks!F4</f>
        <v>#VALUE!</v>
      </c>
      <c r="E5" s="120" t="s">
        <v>271</v>
      </c>
      <c r="F5" s="121" t="s">
        <v>272</v>
      </c>
      <c r="M5" s="120" t="s">
        <v>271</v>
      </c>
      <c r="N5" s="121" t="s">
        <v>272</v>
      </c>
      <c r="P5" s="120" t="s">
        <v>271</v>
      </c>
      <c r="Q5" s="121" t="s">
        <v>272</v>
      </c>
      <c r="S5" s="120" t="s">
        <v>271</v>
      </c>
      <c r="T5" s="121" t="s">
        <v>272</v>
      </c>
      <c r="V5" s="120" t="s">
        <v>271</v>
      </c>
      <c r="W5" s="121" t="s">
        <v>272</v>
      </c>
    </row>
    <row r="6" spans="1:26">
      <c r="E6" s="122" t="s">
        <v>273</v>
      </c>
      <c r="F6" s="123" t="s">
        <v>274</v>
      </c>
      <c r="M6" s="122" t="s">
        <v>273</v>
      </c>
      <c r="N6" s="123" t="s">
        <v>274</v>
      </c>
      <c r="P6" s="122" t="s">
        <v>273</v>
      </c>
      <c r="Q6" s="123" t="s">
        <v>274</v>
      </c>
      <c r="S6" s="122" t="s">
        <v>273</v>
      </c>
      <c r="T6" s="123" t="s">
        <v>274</v>
      </c>
      <c r="V6" s="122" t="s">
        <v>273</v>
      </c>
      <c r="W6" s="123" t="s">
        <v>274</v>
      </c>
    </row>
    <row r="7" spans="1:26">
      <c r="E7" s="124" t="s">
        <v>328</v>
      </c>
      <c r="M7" s="124" t="s">
        <v>328</v>
      </c>
      <c r="N7" s="125" t="e">
        <f ca="1">_xll.qlInterpolatedYieldCurve(M10&amp;"_mcy",M12:M2730,N12:N2730,N4,N3,,,N5,N6)</f>
        <v>#NUM!</v>
      </c>
      <c r="P7" s="124" t="s">
        <v>328</v>
      </c>
      <c r="Q7" s="125" t="e">
        <f ca="1">_xll.qlInterpolatedYieldCurve(P10&amp;"_mcy",P12:P2730,Q12:Q2730,Q4,Q3,,,Q5,Q6)</f>
        <v>#NUM!</v>
      </c>
      <c r="S7" s="124" t="s">
        <v>328</v>
      </c>
      <c r="T7" s="125" t="e">
        <f ca="1">_xll.qlInterpolatedYieldCurve(S10&amp;"_mcy",S12:S2730,T12:T2730,T4,T3,,,T5,T6)</f>
        <v>#NUM!</v>
      </c>
      <c r="V7" s="124" t="s">
        <v>328</v>
      </c>
      <c r="W7" s="125" t="e">
        <f ca="1">_xll.qlInterpolatedYieldCurve(V10&amp;"_mcy",V12:V2730,W12:W2730,W4,W3,,,W5,W6)</f>
        <v>#NUM!</v>
      </c>
    </row>
    <row r="9" spans="1:26">
      <c r="E9" s="115" t="s">
        <v>444</v>
      </c>
      <c r="G9" s="115" t="s">
        <v>445</v>
      </c>
      <c r="H9" s="115" t="s">
        <v>444</v>
      </c>
      <c r="I9" s="115" t="s">
        <v>445</v>
      </c>
      <c r="M9" s="174" t="s">
        <v>446</v>
      </c>
      <c r="N9" s="115" t="e">
        <f ca="1">[2]!McyCreateIndex(M9)</f>
        <v>#VALUE!</v>
      </c>
      <c r="V9" s="174" t="s">
        <v>441</v>
      </c>
      <c r="W9" s="115" t="e">
        <f ca="1">[2]!McyCreateIndex(V9)</f>
        <v>#VALUE!</v>
      </c>
    </row>
    <row r="10" spans="1:26">
      <c r="E10" s="182" t="s">
        <v>310</v>
      </c>
      <c r="G10" s="115" t="str">
        <f ca="1">'CCS EUR_USD col USD'!G11</f>
        <v>EURBASTRACOLUSD_QL#0000</v>
      </c>
      <c r="H10" s="125" t="e">
        <f ca="1">_xll.qlInterpolatedYieldCurve(,E12:E32,F12:F32,F4,F3,,,F5,F6)</f>
        <v>#NUM!</v>
      </c>
      <c r="M10" s="115" t="s">
        <v>318</v>
      </c>
      <c r="P10" s="115" t="s">
        <v>303</v>
      </c>
      <c r="S10" s="115" t="s">
        <v>362</v>
      </c>
      <c r="V10" s="139" t="s">
        <v>304</v>
      </c>
      <c r="X10" s="115" t="str">
        <f ca="1">'USD 3m'!R4</f>
        <v>USD_DEPOSWAP_3M_QL#0000</v>
      </c>
    </row>
    <row r="11" spans="1:26">
      <c r="E11" s="115" t="e">
        <f ca="1">[2]!McyCreateRateCurve($B$5,E10)</f>
        <v>#VALUE!</v>
      </c>
      <c r="M11" s="115" t="e">
        <f ca="1">[2]!McyCreateRateCurve($B$5,M10)</f>
        <v>#VALUE!</v>
      </c>
      <c r="P11" s="115" t="e">
        <f ca="1">[2]!McyCreateRateCurve($B$5,P10)</f>
        <v>#VALUE!</v>
      </c>
      <c r="S11" s="115" t="e">
        <f ca="1">[2]!McyCreateRateCurve($B$5,S10)</f>
        <v>#VALUE!</v>
      </c>
      <c r="V11" s="115" t="e">
        <f ca="1">[2]!McyCreateRateCurve($B$5,V10)</f>
        <v>#VALUE!</v>
      </c>
    </row>
    <row r="12" spans="1:26">
      <c r="E12" s="92">
        <f ca="1">B3</f>
        <v>43705</v>
      </c>
      <c r="F12" s="115">
        <v>1</v>
      </c>
      <c r="M12" s="92">
        <f>$B$3</f>
        <v>43705</v>
      </c>
      <c r="N12" s="115" t="e">
        <f t="array" aca="1" ref="N12:N2730" ca="1">[2]!McyDF(M11,M12:M2730)</f>
        <v>#VALUE!</v>
      </c>
      <c r="P12" s="92">
        <f ca="1">$B$3</f>
        <v>43705</v>
      </c>
      <c r="Q12" s="115" t="e">
        <f t="array" aca="1" ref="Q12:Q2730" ca="1">[2]!McyDF(P11,P12:P2730)</f>
        <v>#VALUE!</v>
      </c>
      <c r="S12" s="92">
        <f ca="1">$B$3</f>
        <v>43705</v>
      </c>
      <c r="T12" s="115" t="e">
        <f t="array" aca="1" ref="T12:T2730" ca="1">[2]!McyDF(S11,S12:S2730)</f>
        <v>#VALUE!</v>
      </c>
      <c r="V12" s="92">
        <f ca="1">$B$3</f>
        <v>43705</v>
      </c>
      <c r="W12" s="115" t="e">
        <f t="array" aca="1" ref="W12:W2730" ca="1">[2]!McyDF(V11,V12:V2730)</f>
        <v>#VALUE!</v>
      </c>
    </row>
    <row r="13" spans="1:26">
      <c r="D13" s="185" t="s">
        <v>210</v>
      </c>
      <c r="E13" s="92">
        <f ca="1">'CCS EUR_USD col USD'!Q20</f>
        <v>43801</v>
      </c>
      <c r="F13" s="115" t="e">
        <f t="array" aca="1" ref="F13:F32" ca="1">[2]!McyDF(E11,E13:E32)</f>
        <v>#VALUE!</v>
      </c>
      <c r="G13" s="115">
        <f t="array" aca="1" ref="G13:G32" ca="1">_xll.qlYieldTSDiscount(G10,E13:E32)</f>
        <v>1.0020997674066818</v>
      </c>
      <c r="H13" s="177" t="e">
        <f t="array" aca="1" ref="H13:H32" ca="1">_xll.qlYieldTSZeroRate(H10,E13:E32,"Actual/365","compounded","annual")</f>
        <v>#VALUE!</v>
      </c>
      <c r="I13" s="177">
        <f t="array" aca="1" ref="I13:I32" ca="1">_xll.qlYieldTSZeroRate(G10,E13:E32,"Actual/365","compounded","annual")</f>
        <v>-7.9434037355469167E-3</v>
      </c>
      <c r="J13" s="178" t="e">
        <f ca="1">H13-I13</f>
        <v>#VALUE!</v>
      </c>
      <c r="M13" s="92">
        <f t="shared" ref="M13:M76" si="0">M12+7</f>
        <v>43712</v>
      </c>
      <c r="N13" s="115" t="e">
        <f ca="1"/>
        <v>#VALUE!</v>
      </c>
      <c r="P13" s="92">
        <f t="shared" ref="P13:P76" ca="1" si="1">P12+7</f>
        <v>43712</v>
      </c>
      <c r="Q13" s="115" t="e">
        <f ca="1"/>
        <v>#VALUE!</v>
      </c>
      <c r="S13" s="92">
        <f t="shared" ref="S13:S76" ca="1" si="2">S12+7</f>
        <v>43712</v>
      </c>
      <c r="T13" s="115" t="e">
        <f ca="1"/>
        <v>#VALUE!</v>
      </c>
      <c r="V13" s="92">
        <f t="shared" ref="V13:V76" ca="1" si="3">V12+7</f>
        <v>43712</v>
      </c>
      <c r="W13" s="115" t="e">
        <f ca="1"/>
        <v>#VALUE!</v>
      </c>
      <c r="Y13" s="177"/>
      <c r="Z13" s="177"/>
    </row>
    <row r="14" spans="1:26">
      <c r="D14" s="185" t="s">
        <v>228</v>
      </c>
      <c r="E14" s="92">
        <f ca="1">'CCS EUR_USD col USD'!Q21</f>
        <v>43892</v>
      </c>
      <c r="F14" s="115" t="e">
        <f ca="1"/>
        <v>#VALUE!</v>
      </c>
      <c r="G14" s="115">
        <f ca="1"/>
        <v>1.0042150009208033</v>
      </c>
      <c r="H14" s="177" t="e">
        <f ca="1"/>
        <v>#VALUE!</v>
      </c>
      <c r="I14" s="177">
        <f ca="1"/>
        <v>-8.1835056909128623E-3</v>
      </c>
      <c r="J14" s="178" t="e">
        <f t="shared" ref="J14:J32" ca="1" si="4">H14-I14</f>
        <v>#VALUE!</v>
      </c>
      <c r="M14" s="92">
        <f t="shared" si="0"/>
        <v>43719</v>
      </c>
      <c r="N14" s="115" t="e">
        <f ca="1"/>
        <v>#VALUE!</v>
      </c>
      <c r="P14" s="92">
        <f t="shared" ca="1" si="1"/>
        <v>43719</v>
      </c>
      <c r="Q14" s="115" t="e">
        <f ca="1"/>
        <v>#VALUE!</v>
      </c>
      <c r="S14" s="92">
        <f t="shared" ca="1" si="2"/>
        <v>43719</v>
      </c>
      <c r="T14" s="115" t="e">
        <f ca="1"/>
        <v>#VALUE!</v>
      </c>
      <c r="V14" s="92">
        <f t="shared" ca="1" si="3"/>
        <v>43719</v>
      </c>
      <c r="W14" s="115" t="e">
        <f ca="1"/>
        <v>#VALUE!</v>
      </c>
      <c r="Y14" s="177"/>
      <c r="Z14" s="177"/>
    </row>
    <row r="15" spans="1:26">
      <c r="D15" s="185" t="s">
        <v>231</v>
      </c>
      <c r="E15" s="92">
        <f ca="1">'CCS EUR_USD col USD'!Q22</f>
        <v>43983</v>
      </c>
      <c r="F15" s="115" t="e">
        <f ca="1"/>
        <v>#VALUE!</v>
      </c>
      <c r="G15" s="115">
        <f ca="1"/>
        <v>1.0064927014617606</v>
      </c>
      <c r="H15" s="177" t="e">
        <f ca="1"/>
        <v>#VALUE!</v>
      </c>
      <c r="I15" s="177">
        <f ca="1"/>
        <v>-8.4736426279417021E-3</v>
      </c>
      <c r="J15" s="178" t="e">
        <f t="shared" ca="1" si="4"/>
        <v>#VALUE!</v>
      </c>
      <c r="M15" s="92">
        <f t="shared" si="0"/>
        <v>43726</v>
      </c>
      <c r="N15" s="115" t="e">
        <f ca="1"/>
        <v>#VALUE!</v>
      </c>
      <c r="P15" s="92">
        <f t="shared" ca="1" si="1"/>
        <v>43726</v>
      </c>
      <c r="Q15" s="115" t="e">
        <f ca="1"/>
        <v>#VALUE!</v>
      </c>
      <c r="S15" s="92">
        <f t="shared" ca="1" si="2"/>
        <v>43726</v>
      </c>
      <c r="T15" s="115" t="e">
        <f ca="1"/>
        <v>#VALUE!</v>
      </c>
      <c r="V15" s="92">
        <f t="shared" ca="1" si="3"/>
        <v>43726</v>
      </c>
      <c r="W15" s="115" t="e">
        <f ca="1"/>
        <v>#VALUE!</v>
      </c>
      <c r="Y15" s="177"/>
      <c r="Z15" s="177"/>
    </row>
    <row r="16" spans="1:26">
      <c r="D16" s="185" t="s">
        <v>332</v>
      </c>
      <c r="E16" s="92">
        <f ca="1">'CCS EUR_USD col USD'!Q23</f>
        <v>44074</v>
      </c>
      <c r="F16" s="115" t="e">
        <f ca="1"/>
        <v>#VALUE!</v>
      </c>
      <c r="G16" s="115">
        <f ca="1"/>
        <v>1.0089668481603236</v>
      </c>
      <c r="H16" s="177" t="e">
        <f ca="1"/>
        <v>#VALUE!</v>
      </c>
      <c r="I16" s="177">
        <f ca="1"/>
        <v>-8.8070217594846678E-3</v>
      </c>
      <c r="J16" s="178" t="e">
        <f t="shared" ca="1" si="4"/>
        <v>#VALUE!</v>
      </c>
      <c r="M16" s="92">
        <f t="shared" si="0"/>
        <v>43733</v>
      </c>
      <c r="N16" s="115" t="e">
        <f ca="1"/>
        <v>#VALUE!</v>
      </c>
      <c r="P16" s="92">
        <f t="shared" ca="1" si="1"/>
        <v>43733</v>
      </c>
      <c r="Q16" s="115" t="e">
        <f ca="1"/>
        <v>#VALUE!</v>
      </c>
      <c r="S16" s="92">
        <f t="shared" ca="1" si="2"/>
        <v>43733</v>
      </c>
      <c r="T16" s="115" t="e">
        <f ca="1"/>
        <v>#VALUE!</v>
      </c>
      <c r="V16" s="92">
        <f t="shared" ca="1" si="3"/>
        <v>43733</v>
      </c>
      <c r="W16" s="115" t="e">
        <f ca="1"/>
        <v>#VALUE!</v>
      </c>
      <c r="Y16" s="177"/>
      <c r="Z16" s="177"/>
    </row>
    <row r="17" spans="4:26">
      <c r="D17" s="185" t="s">
        <v>240</v>
      </c>
      <c r="E17" s="92">
        <f ca="1">'CCS EUR_USD col USD'!Q24</f>
        <v>44438</v>
      </c>
      <c r="F17" s="115" t="e">
        <f ca="1"/>
        <v>#VALUE!</v>
      </c>
      <c r="G17" s="115">
        <f ca="1"/>
        <v>1.0189847540068748</v>
      </c>
      <c r="H17" s="177" t="e">
        <f ca="1"/>
        <v>#VALUE!</v>
      </c>
      <c r="I17" s="177">
        <f ca="1"/>
        <v>-9.333870326193483E-3</v>
      </c>
      <c r="J17" s="178" t="e">
        <f t="shared" ca="1" si="4"/>
        <v>#VALUE!</v>
      </c>
      <c r="M17" s="92">
        <f t="shared" si="0"/>
        <v>43740</v>
      </c>
      <c r="N17" s="115" t="e">
        <f ca="1"/>
        <v>#VALUE!</v>
      </c>
      <c r="P17" s="92">
        <f t="shared" ca="1" si="1"/>
        <v>43740</v>
      </c>
      <c r="Q17" s="115" t="e">
        <f ca="1"/>
        <v>#VALUE!</v>
      </c>
      <c r="S17" s="92">
        <f t="shared" ca="1" si="2"/>
        <v>43740</v>
      </c>
      <c r="T17" s="115" t="e">
        <f ca="1"/>
        <v>#VALUE!</v>
      </c>
      <c r="V17" s="92">
        <f t="shared" ca="1" si="3"/>
        <v>43740</v>
      </c>
      <c r="W17" s="115" t="e">
        <f ca="1"/>
        <v>#VALUE!</v>
      </c>
      <c r="Y17" s="177"/>
      <c r="Z17" s="177"/>
    </row>
    <row r="18" spans="4:26">
      <c r="D18" s="185" t="s">
        <v>211</v>
      </c>
      <c r="E18" s="92">
        <f ca="1">'CCS EUR_USD col USD'!Q25</f>
        <v>44803</v>
      </c>
      <c r="F18" s="115" t="e">
        <f ca="1"/>
        <v>#VALUE!</v>
      </c>
      <c r="G18" s="115">
        <f ca="1"/>
        <v>1.0331610992752491</v>
      </c>
      <c r="H18" s="177" t="e">
        <f ca="1"/>
        <v>#VALUE!</v>
      </c>
      <c r="I18" s="177">
        <f ca="1"/>
        <v>-1.0795853202925643E-2</v>
      </c>
      <c r="J18" s="178" t="e">
        <f t="shared" ca="1" si="4"/>
        <v>#VALUE!</v>
      </c>
      <c r="M18" s="92">
        <f t="shared" si="0"/>
        <v>43747</v>
      </c>
      <c r="N18" s="115" t="e">
        <f ca="1"/>
        <v>#VALUE!</v>
      </c>
      <c r="P18" s="92">
        <f t="shared" ca="1" si="1"/>
        <v>43747</v>
      </c>
      <c r="Q18" s="115" t="e">
        <f ca="1"/>
        <v>#VALUE!</v>
      </c>
      <c r="S18" s="92">
        <f t="shared" ca="1" si="2"/>
        <v>43747</v>
      </c>
      <c r="T18" s="115" t="e">
        <f ca="1"/>
        <v>#VALUE!</v>
      </c>
      <c r="V18" s="92">
        <f t="shared" ca="1" si="3"/>
        <v>43747</v>
      </c>
      <c r="W18" s="115" t="e">
        <f ca="1"/>
        <v>#VALUE!</v>
      </c>
      <c r="Y18" s="177"/>
      <c r="Z18" s="177"/>
    </row>
    <row r="19" spans="4:26">
      <c r="D19" s="185" t="s">
        <v>212</v>
      </c>
      <c r="E19" s="92">
        <f ca="1">'CCS EUR_USD col USD'!Q26</f>
        <v>45168</v>
      </c>
      <c r="F19" s="115" t="e">
        <f ca="1"/>
        <v>#VALUE!</v>
      </c>
      <c r="G19" s="115">
        <f ca="1"/>
        <v>1.0405877191362796</v>
      </c>
      <c r="H19" s="177" t="e">
        <f ca="1"/>
        <v>#VALUE!</v>
      </c>
      <c r="I19" s="177">
        <f ca="1"/>
        <v>-9.8836429963256034E-3</v>
      </c>
      <c r="J19" s="178" t="e">
        <f t="shared" ca="1" si="4"/>
        <v>#VALUE!</v>
      </c>
      <c r="M19" s="92">
        <f t="shared" si="0"/>
        <v>43754</v>
      </c>
      <c r="N19" s="115" t="e">
        <f ca="1"/>
        <v>#VALUE!</v>
      </c>
      <c r="P19" s="92">
        <f t="shared" ca="1" si="1"/>
        <v>43754</v>
      </c>
      <c r="Q19" s="115" t="e">
        <f ca="1"/>
        <v>#VALUE!</v>
      </c>
      <c r="S19" s="92">
        <f t="shared" ca="1" si="2"/>
        <v>43754</v>
      </c>
      <c r="T19" s="115" t="e">
        <f ca="1"/>
        <v>#VALUE!</v>
      </c>
      <c r="V19" s="92">
        <f t="shared" ca="1" si="3"/>
        <v>43754</v>
      </c>
      <c r="W19" s="115" t="e">
        <f ca="1"/>
        <v>#VALUE!</v>
      </c>
      <c r="Y19" s="177"/>
      <c r="Z19" s="177"/>
    </row>
    <row r="20" spans="4:26">
      <c r="D20" s="185" t="s">
        <v>213</v>
      </c>
      <c r="E20" s="92">
        <f ca="1">'CCS EUR_USD col USD'!Q27</f>
        <v>45534</v>
      </c>
      <c r="F20" s="115" t="e">
        <f ca="1"/>
        <v>#VALUE!</v>
      </c>
      <c r="G20" s="115">
        <f ca="1"/>
        <v>1.0450120279506814</v>
      </c>
      <c r="H20" s="177" t="e">
        <f ca="1"/>
        <v>#VALUE!</v>
      </c>
      <c r="I20" s="177">
        <f ca="1"/>
        <v>-8.7558510457103056E-3</v>
      </c>
      <c r="J20" s="178" t="e">
        <f t="shared" ca="1" si="4"/>
        <v>#VALUE!</v>
      </c>
      <c r="M20" s="92">
        <f t="shared" si="0"/>
        <v>43761</v>
      </c>
      <c r="N20" s="115" t="e">
        <f ca="1"/>
        <v>#VALUE!</v>
      </c>
      <c r="P20" s="92">
        <f t="shared" ca="1" si="1"/>
        <v>43761</v>
      </c>
      <c r="Q20" s="115" t="e">
        <f ca="1"/>
        <v>#VALUE!</v>
      </c>
      <c r="S20" s="92">
        <f t="shared" ca="1" si="2"/>
        <v>43761</v>
      </c>
      <c r="T20" s="115" t="e">
        <f ca="1"/>
        <v>#VALUE!</v>
      </c>
      <c r="V20" s="92">
        <f t="shared" ca="1" si="3"/>
        <v>43761</v>
      </c>
      <c r="W20" s="115" t="e">
        <f ca="1"/>
        <v>#VALUE!</v>
      </c>
      <c r="Y20" s="177"/>
      <c r="Z20" s="177"/>
    </row>
    <row r="21" spans="4:26">
      <c r="D21" s="185" t="s">
        <v>214</v>
      </c>
      <c r="E21" s="92">
        <f ca="1">'CCS EUR_USD col USD'!Q28</f>
        <v>45901</v>
      </c>
      <c r="F21" s="115" t="e">
        <f ca="1"/>
        <v>#VALUE!</v>
      </c>
      <c r="G21" s="115">
        <f ca="1"/>
        <v>1.0460218226972082</v>
      </c>
      <c r="H21" s="177" t="e">
        <f ca="1"/>
        <v>#VALUE!</v>
      </c>
      <c r="I21" s="177">
        <f ca="1"/>
        <v>-7.4574205868147558E-3</v>
      </c>
      <c r="J21" s="178" t="e">
        <f t="shared" ca="1" si="4"/>
        <v>#VALUE!</v>
      </c>
      <c r="M21" s="92">
        <f t="shared" si="0"/>
        <v>43768</v>
      </c>
      <c r="N21" s="115" t="e">
        <f ca="1"/>
        <v>#VALUE!</v>
      </c>
      <c r="P21" s="92">
        <f t="shared" ca="1" si="1"/>
        <v>43768</v>
      </c>
      <c r="Q21" s="115" t="e">
        <f ca="1"/>
        <v>#VALUE!</v>
      </c>
      <c r="S21" s="92">
        <f t="shared" ca="1" si="2"/>
        <v>43768</v>
      </c>
      <c r="T21" s="115" t="e">
        <f ca="1"/>
        <v>#VALUE!</v>
      </c>
      <c r="V21" s="92">
        <f t="shared" ca="1" si="3"/>
        <v>43768</v>
      </c>
      <c r="W21" s="115" t="e">
        <f ca="1"/>
        <v>#VALUE!</v>
      </c>
      <c r="Y21" s="177"/>
      <c r="Z21" s="177"/>
    </row>
    <row r="22" spans="4:26">
      <c r="D22" s="185" t="s">
        <v>215</v>
      </c>
      <c r="E22" s="92">
        <f ca="1">'CCS EUR_USD col USD'!Q29</f>
        <v>46265</v>
      </c>
      <c r="F22" s="115" t="e">
        <f ca="1"/>
        <v>#VALUE!</v>
      </c>
      <c r="G22" s="115">
        <f ca="1"/>
        <v>1.0438277793319712</v>
      </c>
      <c r="H22" s="177" t="e">
        <f ca="1"/>
        <v>#VALUE!</v>
      </c>
      <c r="I22" s="177">
        <f ca="1"/>
        <v>-6.1019083088691417E-3</v>
      </c>
      <c r="J22" s="178" t="e">
        <f t="shared" ca="1" si="4"/>
        <v>#VALUE!</v>
      </c>
      <c r="M22" s="92">
        <f t="shared" si="0"/>
        <v>43775</v>
      </c>
      <c r="N22" s="115" t="e">
        <f ca="1"/>
        <v>#VALUE!</v>
      </c>
      <c r="P22" s="92">
        <f t="shared" ca="1" si="1"/>
        <v>43775</v>
      </c>
      <c r="Q22" s="115" t="e">
        <f ca="1"/>
        <v>#VALUE!</v>
      </c>
      <c r="S22" s="92">
        <f t="shared" ca="1" si="2"/>
        <v>43775</v>
      </c>
      <c r="T22" s="115" t="e">
        <f ca="1"/>
        <v>#VALUE!</v>
      </c>
      <c r="V22" s="92">
        <f t="shared" ca="1" si="3"/>
        <v>43775</v>
      </c>
      <c r="W22" s="115" t="e">
        <f ca="1"/>
        <v>#VALUE!</v>
      </c>
      <c r="Y22" s="177"/>
      <c r="Z22" s="177"/>
    </row>
    <row r="23" spans="4:26">
      <c r="D23" s="185" t="s">
        <v>216</v>
      </c>
      <c r="E23" s="92">
        <f ca="1">'CCS EUR_USD col USD'!Q30</f>
        <v>46629</v>
      </c>
      <c r="F23" s="115" t="e">
        <f ca="1"/>
        <v>#VALUE!</v>
      </c>
      <c r="G23" s="115">
        <f ca="1"/>
        <v>1.038840048202724</v>
      </c>
      <c r="H23" s="177" t="e">
        <f ca="1"/>
        <v>#VALUE!</v>
      </c>
      <c r="I23" s="177">
        <f ca="1"/>
        <v>-4.7485238364887161E-3</v>
      </c>
      <c r="J23" s="178" t="e">
        <f t="shared" ca="1" si="4"/>
        <v>#VALUE!</v>
      </c>
      <c r="M23" s="92">
        <f t="shared" si="0"/>
        <v>43782</v>
      </c>
      <c r="N23" s="115" t="e">
        <f ca="1"/>
        <v>#VALUE!</v>
      </c>
      <c r="P23" s="92">
        <f t="shared" ca="1" si="1"/>
        <v>43782</v>
      </c>
      <c r="Q23" s="115" t="e">
        <f ca="1"/>
        <v>#VALUE!</v>
      </c>
      <c r="S23" s="92">
        <f t="shared" ca="1" si="2"/>
        <v>43782</v>
      </c>
      <c r="T23" s="115" t="e">
        <f ca="1"/>
        <v>#VALUE!</v>
      </c>
      <c r="V23" s="92">
        <f t="shared" ca="1" si="3"/>
        <v>43782</v>
      </c>
      <c r="W23" s="115" t="e">
        <f ca="1"/>
        <v>#VALUE!</v>
      </c>
      <c r="Y23" s="177"/>
      <c r="Z23" s="177"/>
    </row>
    <row r="24" spans="4:26">
      <c r="D24" s="185" t="s">
        <v>217</v>
      </c>
      <c r="E24" s="92">
        <f ca="1">'CCS EUR_USD col USD'!Q31</f>
        <v>46995</v>
      </c>
      <c r="F24" s="115" t="e">
        <f ca="1"/>
        <v>#VALUE!</v>
      </c>
      <c r="G24" s="115">
        <f ca="1"/>
        <v>1.0318023628419217</v>
      </c>
      <c r="H24" s="177" t="e">
        <f ca="1"/>
        <v>#VALUE!</v>
      </c>
      <c r="I24" s="177">
        <f ca="1"/>
        <v>-3.4700616144656138E-3</v>
      </c>
      <c r="J24" s="178" t="e">
        <f t="shared" ca="1" si="4"/>
        <v>#VALUE!</v>
      </c>
      <c r="M24" s="92">
        <f t="shared" si="0"/>
        <v>43789</v>
      </c>
      <c r="N24" s="115" t="e">
        <f ca="1"/>
        <v>#VALUE!</v>
      </c>
      <c r="P24" s="92">
        <f t="shared" ca="1" si="1"/>
        <v>43789</v>
      </c>
      <c r="Q24" s="115" t="e">
        <f ca="1"/>
        <v>#VALUE!</v>
      </c>
      <c r="S24" s="92">
        <f t="shared" ca="1" si="2"/>
        <v>43789</v>
      </c>
      <c r="T24" s="115" t="e">
        <f ca="1"/>
        <v>#VALUE!</v>
      </c>
      <c r="V24" s="92">
        <f t="shared" ca="1" si="3"/>
        <v>43789</v>
      </c>
      <c r="W24" s="115" t="e">
        <f ca="1"/>
        <v>#VALUE!</v>
      </c>
      <c r="Y24" s="177"/>
      <c r="Z24" s="177"/>
    </row>
    <row r="25" spans="4:26">
      <c r="D25" s="185" t="s">
        <v>218</v>
      </c>
      <c r="E25" s="92">
        <f ca="1">'CCS EUR_USD col USD'!Q32</f>
        <v>47360</v>
      </c>
      <c r="F25" s="115" t="e">
        <f ca="1"/>
        <v>#VALUE!</v>
      </c>
      <c r="G25" s="115">
        <f ca="1"/>
        <v>1.0230782442369899</v>
      </c>
      <c r="H25" s="177" t="e">
        <f ca="1"/>
        <v>#VALUE!</v>
      </c>
      <c r="I25" s="177">
        <f ca="1"/>
        <v>-2.2777493900721923E-3</v>
      </c>
      <c r="J25" s="178" t="e">
        <f t="shared" ca="1" si="4"/>
        <v>#VALUE!</v>
      </c>
      <c r="M25" s="92">
        <f t="shared" si="0"/>
        <v>43796</v>
      </c>
      <c r="N25" s="115" t="e">
        <f ca="1"/>
        <v>#VALUE!</v>
      </c>
      <c r="P25" s="92">
        <f t="shared" ca="1" si="1"/>
        <v>43796</v>
      </c>
      <c r="Q25" s="115" t="e">
        <f ca="1"/>
        <v>#VALUE!</v>
      </c>
      <c r="S25" s="92">
        <f t="shared" ca="1" si="2"/>
        <v>43796</v>
      </c>
      <c r="T25" s="115" t="e">
        <f ca="1"/>
        <v>#VALUE!</v>
      </c>
      <c r="V25" s="92">
        <f t="shared" ca="1" si="3"/>
        <v>43796</v>
      </c>
      <c r="W25" s="115" t="e">
        <f ca="1"/>
        <v>#VALUE!</v>
      </c>
      <c r="Y25" s="177"/>
      <c r="Z25" s="177"/>
    </row>
    <row r="26" spans="4:26">
      <c r="D26" s="185" t="s">
        <v>219</v>
      </c>
      <c r="E26" s="92">
        <f ca="1">'CCS EUR_USD col USD'!Q33</f>
        <v>48092</v>
      </c>
      <c r="F26" s="115" t="e">
        <f ca="1"/>
        <v>#VALUE!</v>
      </c>
      <c r="G26" s="115">
        <f ca="1"/>
        <v>1.0033591399019393</v>
      </c>
      <c r="H26" s="177" t="e">
        <f ca="1"/>
        <v>#VALUE!</v>
      </c>
      <c r="I26" s="177">
        <f ca="1"/>
        <v>-2.7916526128790586E-4</v>
      </c>
      <c r="J26" s="178" t="e">
        <f t="shared" ca="1" si="4"/>
        <v>#VALUE!</v>
      </c>
      <c r="M26" s="92">
        <f t="shared" si="0"/>
        <v>43803</v>
      </c>
      <c r="N26" s="115" t="e">
        <f ca="1"/>
        <v>#VALUE!</v>
      </c>
      <c r="P26" s="92">
        <f t="shared" ca="1" si="1"/>
        <v>43803</v>
      </c>
      <c r="Q26" s="115" t="e">
        <f ca="1"/>
        <v>#VALUE!</v>
      </c>
      <c r="S26" s="92">
        <f t="shared" ca="1" si="2"/>
        <v>43803</v>
      </c>
      <c r="T26" s="115" t="e">
        <f ca="1"/>
        <v>#VALUE!</v>
      </c>
      <c r="V26" s="92">
        <f t="shared" ca="1" si="3"/>
        <v>43803</v>
      </c>
      <c r="W26" s="115" t="e">
        <f ca="1"/>
        <v>#VALUE!</v>
      </c>
      <c r="Y26" s="177"/>
      <c r="Z26" s="177"/>
    </row>
    <row r="27" spans="4:26">
      <c r="D27" s="185" t="s">
        <v>220</v>
      </c>
      <c r="E27" s="92">
        <f ca="1">'CCS EUR_USD col USD'!Q34</f>
        <v>49186</v>
      </c>
      <c r="F27" s="115" t="e">
        <f ca="1"/>
        <v>#VALUE!</v>
      </c>
      <c r="G27" s="115">
        <f ca="1"/>
        <v>0.97124193898387567</v>
      </c>
      <c r="H27" s="177" t="e">
        <f ca="1"/>
        <v>#VALUE!</v>
      </c>
      <c r="I27" s="177">
        <f ca="1"/>
        <v>1.9464934045458904E-3</v>
      </c>
      <c r="J27" s="178" t="e">
        <f t="shared" ca="1" si="4"/>
        <v>#VALUE!</v>
      </c>
      <c r="M27" s="92">
        <f t="shared" si="0"/>
        <v>43810</v>
      </c>
      <c r="N27" s="115" t="e">
        <f ca="1"/>
        <v>#VALUE!</v>
      </c>
      <c r="P27" s="92">
        <f t="shared" ca="1" si="1"/>
        <v>43810</v>
      </c>
      <c r="Q27" s="115" t="e">
        <f ca="1"/>
        <v>#VALUE!</v>
      </c>
      <c r="S27" s="92">
        <f t="shared" ca="1" si="2"/>
        <v>43810</v>
      </c>
      <c r="T27" s="115" t="e">
        <f ca="1"/>
        <v>#VALUE!</v>
      </c>
      <c r="V27" s="92">
        <f t="shared" ca="1" si="3"/>
        <v>43810</v>
      </c>
      <c r="W27" s="115" t="e">
        <f ca="1"/>
        <v>#VALUE!</v>
      </c>
      <c r="Y27" s="177"/>
      <c r="Z27" s="177"/>
    </row>
    <row r="28" spans="4:26">
      <c r="D28" s="186" t="s">
        <v>221</v>
      </c>
      <c r="E28" s="92">
        <f ca="1">'CCS EUR_USD col USD'!Q35</f>
        <v>51012</v>
      </c>
      <c r="F28" s="115" t="e">
        <f ca="1"/>
        <v>#VALUE!</v>
      </c>
      <c r="G28" s="115">
        <f ca="1"/>
        <v>0.92373222343539307</v>
      </c>
      <c r="H28" s="177" t="e">
        <f ca="1"/>
        <v>#VALUE!</v>
      </c>
      <c r="I28" s="177">
        <f ca="1"/>
        <v>3.9734393454888828E-3</v>
      </c>
      <c r="J28" s="178" t="e">
        <f t="shared" ca="1" si="4"/>
        <v>#VALUE!</v>
      </c>
      <c r="M28" s="92">
        <f t="shared" si="0"/>
        <v>43817</v>
      </c>
      <c r="N28" s="115" t="e">
        <f ca="1"/>
        <v>#VALUE!</v>
      </c>
      <c r="P28" s="92">
        <f t="shared" ca="1" si="1"/>
        <v>43817</v>
      </c>
      <c r="Q28" s="115" t="e">
        <f ca="1"/>
        <v>#VALUE!</v>
      </c>
      <c r="S28" s="92">
        <f t="shared" ca="1" si="2"/>
        <v>43817</v>
      </c>
      <c r="T28" s="115" t="e">
        <f ca="1"/>
        <v>#VALUE!</v>
      </c>
      <c r="V28" s="92">
        <f t="shared" ca="1" si="3"/>
        <v>43817</v>
      </c>
      <c r="W28" s="115" t="e">
        <f ca="1"/>
        <v>#VALUE!</v>
      </c>
      <c r="Y28" s="177"/>
      <c r="Z28" s="177"/>
    </row>
    <row r="29" spans="4:26">
      <c r="D29" s="185" t="s">
        <v>222</v>
      </c>
      <c r="E29" s="92">
        <f ca="1">'CCS EUR_USD col USD'!Q36</f>
        <v>52839</v>
      </c>
      <c r="F29" s="115" t="e">
        <f ca="1"/>
        <v>#VALUE!</v>
      </c>
      <c r="G29" s="115">
        <f ca="1"/>
        <v>0.88979391568482769</v>
      </c>
      <c r="H29" s="177" t="e">
        <f ca="1"/>
        <v>#VALUE!</v>
      </c>
      <c r="I29" s="177">
        <f ca="1"/>
        <v>4.6803378618074376E-3</v>
      </c>
      <c r="J29" s="178" t="e">
        <f t="shared" ca="1" si="4"/>
        <v>#VALUE!</v>
      </c>
      <c r="M29" s="92">
        <f t="shared" si="0"/>
        <v>43824</v>
      </c>
      <c r="N29" s="115" t="e">
        <f ca="1"/>
        <v>#VALUE!</v>
      </c>
      <c r="P29" s="92">
        <f t="shared" ca="1" si="1"/>
        <v>43824</v>
      </c>
      <c r="Q29" s="115" t="e">
        <f ca="1"/>
        <v>#VALUE!</v>
      </c>
      <c r="S29" s="92">
        <f t="shared" ca="1" si="2"/>
        <v>43824</v>
      </c>
      <c r="T29" s="115" t="e">
        <f ca="1"/>
        <v>#VALUE!</v>
      </c>
      <c r="V29" s="92">
        <f t="shared" ca="1" si="3"/>
        <v>43824</v>
      </c>
      <c r="W29" s="115" t="e">
        <f ca="1"/>
        <v>#VALUE!</v>
      </c>
      <c r="Y29" s="177"/>
      <c r="Z29" s="177"/>
    </row>
    <row r="30" spans="4:26">
      <c r="D30" s="185" t="s">
        <v>223</v>
      </c>
      <c r="E30" s="92">
        <f ca="1">'CCS EUR_USD col USD'!Q37</f>
        <v>54665</v>
      </c>
      <c r="F30" s="115" t="e">
        <f ca="1"/>
        <v>#VALUE!</v>
      </c>
      <c r="G30" s="115">
        <f ca="1"/>
        <v>0.86414503116098751</v>
      </c>
      <c r="H30" s="177" t="e">
        <f ca="1"/>
        <v>#VALUE!</v>
      </c>
      <c r="I30" s="177">
        <f ca="1"/>
        <v>4.8781261599517567E-3</v>
      </c>
      <c r="J30" s="178" t="e">
        <f t="shared" ca="1" si="4"/>
        <v>#VALUE!</v>
      </c>
      <c r="M30" s="92">
        <f t="shared" si="0"/>
        <v>43831</v>
      </c>
      <c r="N30" s="115" t="e">
        <f ca="1"/>
        <v>#VALUE!</v>
      </c>
      <c r="P30" s="92">
        <f t="shared" ca="1" si="1"/>
        <v>43831</v>
      </c>
      <c r="Q30" s="115" t="e">
        <f ca="1"/>
        <v>#VALUE!</v>
      </c>
      <c r="S30" s="92">
        <f t="shared" ca="1" si="2"/>
        <v>43831</v>
      </c>
      <c r="T30" s="115" t="e">
        <f ca="1"/>
        <v>#VALUE!</v>
      </c>
      <c r="V30" s="92">
        <f t="shared" ca="1" si="3"/>
        <v>43831</v>
      </c>
      <c r="W30" s="115" t="e">
        <f ca="1"/>
        <v>#VALUE!</v>
      </c>
      <c r="Y30" s="177"/>
      <c r="Z30" s="177"/>
    </row>
    <row r="31" spans="4:26">
      <c r="D31" s="185" t="s">
        <v>224</v>
      </c>
      <c r="E31" s="92">
        <f ca="1">'CCS EUR_USD col USD'!Q38</f>
        <v>58319</v>
      </c>
      <c r="F31" s="115" t="e">
        <f ca="1"/>
        <v>#VALUE!</v>
      </c>
      <c r="G31" s="115">
        <f ca="1"/>
        <v>0.83301128783345968</v>
      </c>
      <c r="H31" s="177" t="e">
        <f ca="1"/>
        <v>#VALUE!</v>
      </c>
      <c r="I31" s="177">
        <f ca="1"/>
        <v>4.5768931958023451E-3</v>
      </c>
      <c r="J31" s="178" t="e">
        <f t="shared" ca="1" si="4"/>
        <v>#VALUE!</v>
      </c>
      <c r="M31" s="92">
        <f t="shared" si="0"/>
        <v>43838</v>
      </c>
      <c r="N31" s="115" t="e">
        <f ca="1"/>
        <v>#VALUE!</v>
      </c>
      <c r="P31" s="92">
        <f t="shared" ca="1" si="1"/>
        <v>43838</v>
      </c>
      <c r="Q31" s="115" t="e">
        <f ca="1"/>
        <v>#VALUE!</v>
      </c>
      <c r="S31" s="92">
        <f t="shared" ca="1" si="2"/>
        <v>43838</v>
      </c>
      <c r="T31" s="115" t="e">
        <f ca="1"/>
        <v>#VALUE!</v>
      </c>
      <c r="V31" s="92">
        <f t="shared" ca="1" si="3"/>
        <v>43838</v>
      </c>
      <c r="W31" s="115" t="e">
        <f ca="1"/>
        <v>#VALUE!</v>
      </c>
      <c r="Y31" s="177"/>
      <c r="Z31" s="177"/>
    </row>
    <row r="32" spans="4:26">
      <c r="D32" s="185" t="s">
        <v>225</v>
      </c>
      <c r="E32" s="92">
        <f ca="1">'CCS EUR_USD col USD'!Q39</f>
        <v>61970</v>
      </c>
      <c r="F32" s="115" t="e">
        <f ca="1"/>
        <v>#VALUE!</v>
      </c>
      <c r="G32" s="115">
        <f ca="1"/>
        <v>1.0358112818153957</v>
      </c>
      <c r="H32" s="177" t="e">
        <f ca="1"/>
        <v>#VALUE!</v>
      </c>
      <c r="I32" s="177">
        <f ca="1"/>
        <v>-7.0337474332826666E-4</v>
      </c>
      <c r="J32" s="178" t="e">
        <f t="shared" ca="1" si="4"/>
        <v>#VALUE!</v>
      </c>
      <c r="M32" s="92">
        <f t="shared" si="0"/>
        <v>43845</v>
      </c>
      <c r="N32" s="115" t="e">
        <f ca="1"/>
        <v>#VALUE!</v>
      </c>
      <c r="P32" s="92">
        <f t="shared" ca="1" si="1"/>
        <v>43845</v>
      </c>
      <c r="Q32" s="115" t="e">
        <f ca="1"/>
        <v>#VALUE!</v>
      </c>
      <c r="S32" s="92">
        <f t="shared" ca="1" si="2"/>
        <v>43845</v>
      </c>
      <c r="T32" s="115" t="e">
        <f ca="1"/>
        <v>#VALUE!</v>
      </c>
      <c r="V32" s="92">
        <f t="shared" ca="1" si="3"/>
        <v>43845</v>
      </c>
      <c r="W32" s="115" t="e">
        <f ca="1"/>
        <v>#VALUE!</v>
      </c>
      <c r="Y32" s="177"/>
      <c r="Z32" s="177"/>
    </row>
    <row r="33" spans="13:26">
      <c r="M33" s="92">
        <f t="shared" si="0"/>
        <v>43852</v>
      </c>
      <c r="N33" s="115" t="e">
        <f ca="1"/>
        <v>#VALUE!</v>
      </c>
      <c r="P33" s="92">
        <f t="shared" ca="1" si="1"/>
        <v>43852</v>
      </c>
      <c r="Q33" s="115" t="e">
        <f ca="1"/>
        <v>#VALUE!</v>
      </c>
      <c r="S33" s="92">
        <f t="shared" ca="1" si="2"/>
        <v>43852</v>
      </c>
      <c r="T33" s="115" t="e">
        <f ca="1"/>
        <v>#VALUE!</v>
      </c>
      <c r="V33" s="92">
        <f t="shared" ca="1" si="3"/>
        <v>43852</v>
      </c>
      <c r="W33" s="115" t="e">
        <f ca="1"/>
        <v>#VALUE!</v>
      </c>
      <c r="Y33" s="177"/>
      <c r="Z33" s="177"/>
    </row>
    <row r="34" spans="13:26">
      <c r="M34" s="92">
        <f t="shared" si="0"/>
        <v>43859</v>
      </c>
      <c r="N34" s="115" t="e">
        <f ca="1"/>
        <v>#VALUE!</v>
      </c>
      <c r="P34" s="92">
        <f t="shared" ca="1" si="1"/>
        <v>43859</v>
      </c>
      <c r="Q34" s="115" t="e">
        <f ca="1"/>
        <v>#VALUE!</v>
      </c>
      <c r="S34" s="92">
        <f t="shared" ca="1" si="2"/>
        <v>43859</v>
      </c>
      <c r="T34" s="115" t="e">
        <f ca="1"/>
        <v>#VALUE!</v>
      </c>
      <c r="V34" s="92">
        <f t="shared" ca="1" si="3"/>
        <v>43859</v>
      </c>
      <c r="W34" s="115" t="e">
        <f ca="1"/>
        <v>#VALUE!</v>
      </c>
      <c r="Y34" s="177"/>
      <c r="Z34" s="177"/>
    </row>
    <row r="35" spans="13:26">
      <c r="M35" s="92">
        <f t="shared" si="0"/>
        <v>43866</v>
      </c>
      <c r="N35" s="115" t="e">
        <f ca="1"/>
        <v>#VALUE!</v>
      </c>
      <c r="P35" s="92">
        <f t="shared" ca="1" si="1"/>
        <v>43866</v>
      </c>
      <c r="Q35" s="115" t="e">
        <f ca="1"/>
        <v>#VALUE!</v>
      </c>
      <c r="S35" s="92">
        <f t="shared" ca="1" si="2"/>
        <v>43866</v>
      </c>
      <c r="T35" s="115" t="e">
        <f ca="1"/>
        <v>#VALUE!</v>
      </c>
      <c r="V35" s="92">
        <f t="shared" ca="1" si="3"/>
        <v>43866</v>
      </c>
      <c r="W35" s="115" t="e">
        <f ca="1"/>
        <v>#VALUE!</v>
      </c>
      <c r="Y35" s="177"/>
      <c r="Z35" s="177"/>
    </row>
    <row r="36" spans="13:26">
      <c r="M36" s="92">
        <f t="shared" si="0"/>
        <v>43873</v>
      </c>
      <c r="N36" s="115" t="e">
        <f ca="1"/>
        <v>#VALUE!</v>
      </c>
      <c r="P36" s="92">
        <f t="shared" ca="1" si="1"/>
        <v>43873</v>
      </c>
      <c r="Q36" s="115" t="e">
        <f ca="1"/>
        <v>#VALUE!</v>
      </c>
      <c r="S36" s="92">
        <f t="shared" ca="1" si="2"/>
        <v>43873</v>
      </c>
      <c r="T36" s="115" t="e">
        <f ca="1"/>
        <v>#VALUE!</v>
      </c>
      <c r="V36" s="92">
        <f t="shared" ca="1" si="3"/>
        <v>43873</v>
      </c>
      <c r="W36" s="115" t="e">
        <f ca="1"/>
        <v>#VALUE!</v>
      </c>
      <c r="Y36" s="177"/>
      <c r="Z36" s="177"/>
    </row>
    <row r="37" spans="13:26">
      <c r="M37" s="92">
        <f t="shared" si="0"/>
        <v>43880</v>
      </c>
      <c r="N37" s="115" t="e">
        <f ca="1"/>
        <v>#VALUE!</v>
      </c>
      <c r="P37" s="92">
        <f t="shared" ca="1" si="1"/>
        <v>43880</v>
      </c>
      <c r="Q37" s="115" t="e">
        <f ca="1"/>
        <v>#VALUE!</v>
      </c>
      <c r="S37" s="92">
        <f t="shared" ca="1" si="2"/>
        <v>43880</v>
      </c>
      <c r="T37" s="115" t="e">
        <f ca="1"/>
        <v>#VALUE!</v>
      </c>
      <c r="V37" s="92">
        <f t="shared" ca="1" si="3"/>
        <v>43880</v>
      </c>
      <c r="W37" s="115" t="e">
        <f ca="1"/>
        <v>#VALUE!</v>
      </c>
      <c r="Y37" s="177"/>
      <c r="Z37" s="177"/>
    </row>
    <row r="38" spans="13:26">
      <c r="M38" s="92">
        <f t="shared" si="0"/>
        <v>43887</v>
      </c>
      <c r="N38" s="115" t="e">
        <f ca="1"/>
        <v>#VALUE!</v>
      </c>
      <c r="P38" s="92">
        <f t="shared" ca="1" si="1"/>
        <v>43887</v>
      </c>
      <c r="Q38" s="115" t="e">
        <f ca="1"/>
        <v>#VALUE!</v>
      </c>
      <c r="S38" s="92">
        <f t="shared" ca="1" si="2"/>
        <v>43887</v>
      </c>
      <c r="T38" s="115" t="e">
        <f ca="1"/>
        <v>#VALUE!</v>
      </c>
      <c r="V38" s="92">
        <f t="shared" ca="1" si="3"/>
        <v>43887</v>
      </c>
      <c r="W38" s="115" t="e">
        <f ca="1"/>
        <v>#VALUE!</v>
      </c>
      <c r="Y38" s="177"/>
      <c r="Z38" s="177"/>
    </row>
    <row r="39" spans="13:26">
      <c r="M39" s="92">
        <f t="shared" si="0"/>
        <v>43894</v>
      </c>
      <c r="N39" s="115" t="e">
        <f ca="1"/>
        <v>#VALUE!</v>
      </c>
      <c r="P39" s="92">
        <f t="shared" ca="1" si="1"/>
        <v>43894</v>
      </c>
      <c r="Q39" s="115" t="e">
        <f ca="1"/>
        <v>#VALUE!</v>
      </c>
      <c r="S39" s="92">
        <f t="shared" ca="1" si="2"/>
        <v>43894</v>
      </c>
      <c r="T39" s="115" t="e">
        <f ca="1"/>
        <v>#VALUE!</v>
      </c>
      <c r="V39" s="92">
        <f t="shared" ca="1" si="3"/>
        <v>43894</v>
      </c>
      <c r="W39" s="115" t="e">
        <f ca="1"/>
        <v>#VALUE!</v>
      </c>
      <c r="Y39" s="177"/>
      <c r="Z39" s="177"/>
    </row>
    <row r="40" spans="13:26">
      <c r="M40" s="92">
        <f t="shared" si="0"/>
        <v>43901</v>
      </c>
      <c r="N40" s="115" t="e">
        <f ca="1"/>
        <v>#VALUE!</v>
      </c>
      <c r="P40" s="92">
        <f t="shared" ca="1" si="1"/>
        <v>43901</v>
      </c>
      <c r="Q40" s="115" t="e">
        <f ca="1"/>
        <v>#VALUE!</v>
      </c>
      <c r="S40" s="92">
        <f t="shared" ca="1" si="2"/>
        <v>43901</v>
      </c>
      <c r="T40" s="115" t="e">
        <f ca="1"/>
        <v>#VALUE!</v>
      </c>
      <c r="V40" s="92">
        <f t="shared" ca="1" si="3"/>
        <v>43901</v>
      </c>
      <c r="W40" s="115" t="e">
        <f ca="1"/>
        <v>#VALUE!</v>
      </c>
      <c r="Y40" s="177"/>
      <c r="Z40" s="177"/>
    </row>
    <row r="41" spans="13:26">
      <c r="M41" s="92">
        <f t="shared" si="0"/>
        <v>43908</v>
      </c>
      <c r="N41" s="115" t="e">
        <f ca="1"/>
        <v>#VALUE!</v>
      </c>
      <c r="P41" s="92">
        <f t="shared" ca="1" si="1"/>
        <v>43908</v>
      </c>
      <c r="Q41" s="115" t="e">
        <f ca="1"/>
        <v>#VALUE!</v>
      </c>
      <c r="S41" s="92">
        <f t="shared" ca="1" si="2"/>
        <v>43908</v>
      </c>
      <c r="T41" s="115" t="e">
        <f ca="1"/>
        <v>#VALUE!</v>
      </c>
      <c r="V41" s="92">
        <f t="shared" ca="1" si="3"/>
        <v>43908</v>
      </c>
      <c r="W41" s="115" t="e">
        <f ca="1"/>
        <v>#VALUE!</v>
      </c>
      <c r="Y41" s="177"/>
      <c r="Z41" s="177"/>
    </row>
    <row r="42" spans="13:26">
      <c r="M42" s="92">
        <f t="shared" si="0"/>
        <v>43915</v>
      </c>
      <c r="N42" s="115" t="e">
        <f ca="1"/>
        <v>#VALUE!</v>
      </c>
      <c r="P42" s="92">
        <f t="shared" ca="1" si="1"/>
        <v>43915</v>
      </c>
      <c r="Q42" s="115" t="e">
        <f ca="1"/>
        <v>#VALUE!</v>
      </c>
      <c r="S42" s="92">
        <f t="shared" ca="1" si="2"/>
        <v>43915</v>
      </c>
      <c r="T42" s="115" t="e">
        <f ca="1"/>
        <v>#VALUE!</v>
      </c>
      <c r="V42" s="92">
        <f t="shared" ca="1" si="3"/>
        <v>43915</v>
      </c>
      <c r="W42" s="115" t="e">
        <f ca="1"/>
        <v>#VALUE!</v>
      </c>
      <c r="Y42" s="177"/>
      <c r="Z42" s="177"/>
    </row>
    <row r="43" spans="13:26">
      <c r="M43" s="92">
        <f t="shared" si="0"/>
        <v>43922</v>
      </c>
      <c r="N43" s="115" t="e">
        <f ca="1"/>
        <v>#VALUE!</v>
      </c>
      <c r="P43" s="92">
        <f t="shared" ca="1" si="1"/>
        <v>43922</v>
      </c>
      <c r="Q43" s="115" t="e">
        <f ca="1"/>
        <v>#VALUE!</v>
      </c>
      <c r="S43" s="92">
        <f t="shared" ca="1" si="2"/>
        <v>43922</v>
      </c>
      <c r="T43" s="115" t="e">
        <f ca="1"/>
        <v>#VALUE!</v>
      </c>
      <c r="V43" s="92">
        <f t="shared" ca="1" si="3"/>
        <v>43922</v>
      </c>
      <c r="W43" s="115" t="e">
        <f ca="1"/>
        <v>#VALUE!</v>
      </c>
      <c r="Y43" s="177"/>
      <c r="Z43" s="177"/>
    </row>
    <row r="44" spans="13:26">
      <c r="M44" s="92">
        <f t="shared" si="0"/>
        <v>43929</v>
      </c>
      <c r="N44" s="115" t="e">
        <f ca="1"/>
        <v>#VALUE!</v>
      </c>
      <c r="P44" s="92">
        <f t="shared" ca="1" si="1"/>
        <v>43929</v>
      </c>
      <c r="Q44" s="115" t="e">
        <f ca="1"/>
        <v>#VALUE!</v>
      </c>
      <c r="S44" s="92">
        <f t="shared" ca="1" si="2"/>
        <v>43929</v>
      </c>
      <c r="T44" s="115" t="e">
        <f ca="1"/>
        <v>#VALUE!</v>
      </c>
      <c r="V44" s="92">
        <f t="shared" ca="1" si="3"/>
        <v>43929</v>
      </c>
      <c r="W44" s="115" t="e">
        <f ca="1"/>
        <v>#VALUE!</v>
      </c>
      <c r="Y44" s="177"/>
      <c r="Z44" s="177"/>
    </row>
    <row r="45" spans="13:26">
      <c r="M45" s="92">
        <f t="shared" si="0"/>
        <v>43936</v>
      </c>
      <c r="N45" s="115" t="e">
        <f ca="1"/>
        <v>#VALUE!</v>
      </c>
      <c r="P45" s="92">
        <f t="shared" ca="1" si="1"/>
        <v>43936</v>
      </c>
      <c r="Q45" s="115" t="e">
        <f ca="1"/>
        <v>#VALUE!</v>
      </c>
      <c r="S45" s="92">
        <f t="shared" ca="1" si="2"/>
        <v>43936</v>
      </c>
      <c r="T45" s="115" t="e">
        <f ca="1"/>
        <v>#VALUE!</v>
      </c>
      <c r="V45" s="92">
        <f t="shared" ca="1" si="3"/>
        <v>43936</v>
      </c>
      <c r="W45" s="115" t="e">
        <f ca="1"/>
        <v>#VALUE!</v>
      </c>
      <c r="Y45" s="177"/>
      <c r="Z45" s="177"/>
    </row>
    <row r="46" spans="13:26">
      <c r="M46" s="92">
        <f t="shared" si="0"/>
        <v>43943</v>
      </c>
      <c r="N46" s="115" t="e">
        <f ca="1"/>
        <v>#VALUE!</v>
      </c>
      <c r="P46" s="92">
        <f t="shared" ca="1" si="1"/>
        <v>43943</v>
      </c>
      <c r="Q46" s="115" t="e">
        <f ca="1"/>
        <v>#VALUE!</v>
      </c>
      <c r="S46" s="92">
        <f t="shared" ca="1" si="2"/>
        <v>43943</v>
      </c>
      <c r="T46" s="115" t="e">
        <f ca="1"/>
        <v>#VALUE!</v>
      </c>
      <c r="V46" s="92">
        <f t="shared" ca="1" si="3"/>
        <v>43943</v>
      </c>
      <c r="W46" s="115" t="e">
        <f ca="1"/>
        <v>#VALUE!</v>
      </c>
      <c r="Y46" s="177"/>
      <c r="Z46" s="177"/>
    </row>
    <row r="47" spans="13:26">
      <c r="M47" s="92">
        <f t="shared" si="0"/>
        <v>43950</v>
      </c>
      <c r="N47" s="115" t="e">
        <f ca="1"/>
        <v>#VALUE!</v>
      </c>
      <c r="P47" s="92">
        <f t="shared" ca="1" si="1"/>
        <v>43950</v>
      </c>
      <c r="Q47" s="115" t="e">
        <f ca="1"/>
        <v>#VALUE!</v>
      </c>
      <c r="S47" s="92">
        <f t="shared" ca="1" si="2"/>
        <v>43950</v>
      </c>
      <c r="T47" s="115" t="e">
        <f ca="1"/>
        <v>#VALUE!</v>
      </c>
      <c r="V47" s="92">
        <f t="shared" ca="1" si="3"/>
        <v>43950</v>
      </c>
      <c r="W47" s="115" t="e">
        <f ca="1"/>
        <v>#VALUE!</v>
      </c>
      <c r="Y47" s="177"/>
      <c r="Z47" s="177"/>
    </row>
    <row r="48" spans="13:26">
      <c r="M48" s="92">
        <f t="shared" si="0"/>
        <v>43957</v>
      </c>
      <c r="N48" s="115" t="e">
        <f ca="1"/>
        <v>#VALUE!</v>
      </c>
      <c r="P48" s="92">
        <f t="shared" ca="1" si="1"/>
        <v>43957</v>
      </c>
      <c r="Q48" s="115" t="e">
        <f ca="1"/>
        <v>#VALUE!</v>
      </c>
      <c r="S48" s="92">
        <f t="shared" ca="1" si="2"/>
        <v>43957</v>
      </c>
      <c r="T48" s="115" t="e">
        <f ca="1"/>
        <v>#VALUE!</v>
      </c>
      <c r="V48" s="92">
        <f t="shared" ca="1" si="3"/>
        <v>43957</v>
      </c>
      <c r="W48" s="115" t="e">
        <f ca="1"/>
        <v>#VALUE!</v>
      </c>
      <c r="Y48" s="177"/>
      <c r="Z48" s="177"/>
    </row>
    <row r="49" spans="13:26">
      <c r="M49" s="92">
        <f t="shared" si="0"/>
        <v>43964</v>
      </c>
      <c r="N49" s="115" t="e">
        <f ca="1"/>
        <v>#VALUE!</v>
      </c>
      <c r="P49" s="92">
        <f t="shared" ca="1" si="1"/>
        <v>43964</v>
      </c>
      <c r="Q49" s="115" t="e">
        <f ca="1"/>
        <v>#VALUE!</v>
      </c>
      <c r="S49" s="92">
        <f t="shared" ca="1" si="2"/>
        <v>43964</v>
      </c>
      <c r="T49" s="115" t="e">
        <f ca="1"/>
        <v>#VALUE!</v>
      </c>
      <c r="V49" s="92">
        <f t="shared" ca="1" si="3"/>
        <v>43964</v>
      </c>
      <c r="W49" s="115" t="e">
        <f ca="1"/>
        <v>#VALUE!</v>
      </c>
      <c r="Y49" s="177"/>
      <c r="Z49" s="177"/>
    </row>
    <row r="50" spans="13:26">
      <c r="M50" s="92">
        <f t="shared" si="0"/>
        <v>43971</v>
      </c>
      <c r="N50" s="115" t="e">
        <f ca="1"/>
        <v>#VALUE!</v>
      </c>
      <c r="P50" s="92">
        <f t="shared" ca="1" si="1"/>
        <v>43971</v>
      </c>
      <c r="Q50" s="115" t="e">
        <f ca="1"/>
        <v>#VALUE!</v>
      </c>
      <c r="S50" s="92">
        <f t="shared" ca="1" si="2"/>
        <v>43971</v>
      </c>
      <c r="T50" s="115" t="e">
        <f ca="1"/>
        <v>#VALUE!</v>
      </c>
      <c r="V50" s="92">
        <f t="shared" ca="1" si="3"/>
        <v>43971</v>
      </c>
      <c r="W50" s="115" t="e">
        <f ca="1"/>
        <v>#VALUE!</v>
      </c>
    </row>
    <row r="51" spans="13:26">
      <c r="M51" s="92">
        <f t="shared" si="0"/>
        <v>43978</v>
      </c>
      <c r="N51" s="115" t="e">
        <f ca="1"/>
        <v>#VALUE!</v>
      </c>
      <c r="P51" s="92">
        <f t="shared" ca="1" si="1"/>
        <v>43978</v>
      </c>
      <c r="Q51" s="115" t="e">
        <f ca="1"/>
        <v>#VALUE!</v>
      </c>
      <c r="S51" s="92">
        <f t="shared" ca="1" si="2"/>
        <v>43978</v>
      </c>
      <c r="T51" s="115" t="e">
        <f ca="1"/>
        <v>#VALUE!</v>
      </c>
      <c r="V51" s="92">
        <f t="shared" ca="1" si="3"/>
        <v>43978</v>
      </c>
      <c r="W51" s="115" t="e">
        <f ca="1"/>
        <v>#VALUE!</v>
      </c>
    </row>
    <row r="52" spans="13:26">
      <c r="M52" s="92">
        <f t="shared" si="0"/>
        <v>43985</v>
      </c>
      <c r="N52" s="115" t="e">
        <f ca="1"/>
        <v>#VALUE!</v>
      </c>
      <c r="P52" s="92">
        <f t="shared" ca="1" si="1"/>
        <v>43985</v>
      </c>
      <c r="Q52" s="115" t="e">
        <f ca="1"/>
        <v>#VALUE!</v>
      </c>
      <c r="S52" s="92">
        <f t="shared" ca="1" si="2"/>
        <v>43985</v>
      </c>
      <c r="T52" s="115" t="e">
        <f ca="1"/>
        <v>#VALUE!</v>
      </c>
      <c r="V52" s="92">
        <f t="shared" ca="1" si="3"/>
        <v>43985</v>
      </c>
      <c r="W52" s="115" t="e">
        <f ca="1"/>
        <v>#VALUE!</v>
      </c>
    </row>
    <row r="53" spans="13:26">
      <c r="M53" s="92">
        <f t="shared" si="0"/>
        <v>43992</v>
      </c>
      <c r="N53" s="115" t="e">
        <f ca="1"/>
        <v>#VALUE!</v>
      </c>
      <c r="P53" s="92">
        <f t="shared" ca="1" si="1"/>
        <v>43992</v>
      </c>
      <c r="Q53" s="115" t="e">
        <f ca="1"/>
        <v>#VALUE!</v>
      </c>
      <c r="S53" s="92">
        <f t="shared" ca="1" si="2"/>
        <v>43992</v>
      </c>
      <c r="T53" s="115" t="e">
        <f ca="1"/>
        <v>#VALUE!</v>
      </c>
      <c r="V53" s="92">
        <f t="shared" ca="1" si="3"/>
        <v>43992</v>
      </c>
      <c r="W53" s="115" t="e">
        <f ca="1"/>
        <v>#VALUE!</v>
      </c>
    </row>
    <row r="54" spans="13:26">
      <c r="M54" s="92">
        <f t="shared" si="0"/>
        <v>43999</v>
      </c>
      <c r="N54" s="115" t="e">
        <f ca="1"/>
        <v>#VALUE!</v>
      </c>
      <c r="P54" s="92">
        <f t="shared" ca="1" si="1"/>
        <v>43999</v>
      </c>
      <c r="Q54" s="115" t="e">
        <f ca="1"/>
        <v>#VALUE!</v>
      </c>
      <c r="S54" s="92">
        <f t="shared" ca="1" si="2"/>
        <v>43999</v>
      </c>
      <c r="T54" s="115" t="e">
        <f ca="1"/>
        <v>#VALUE!</v>
      </c>
      <c r="V54" s="92">
        <f t="shared" ca="1" si="3"/>
        <v>43999</v>
      </c>
      <c r="W54" s="115" t="e">
        <f ca="1"/>
        <v>#VALUE!</v>
      </c>
    </row>
    <row r="55" spans="13:26">
      <c r="M55" s="92">
        <f t="shared" si="0"/>
        <v>44006</v>
      </c>
      <c r="N55" s="115" t="e">
        <f ca="1"/>
        <v>#VALUE!</v>
      </c>
      <c r="P55" s="92">
        <f t="shared" ca="1" si="1"/>
        <v>44006</v>
      </c>
      <c r="Q55" s="115" t="e">
        <f ca="1"/>
        <v>#VALUE!</v>
      </c>
      <c r="S55" s="92">
        <f t="shared" ca="1" si="2"/>
        <v>44006</v>
      </c>
      <c r="T55" s="115" t="e">
        <f ca="1"/>
        <v>#VALUE!</v>
      </c>
      <c r="V55" s="92">
        <f t="shared" ca="1" si="3"/>
        <v>44006</v>
      </c>
      <c r="W55" s="115" t="e">
        <f ca="1"/>
        <v>#VALUE!</v>
      </c>
    </row>
    <row r="56" spans="13:26">
      <c r="M56" s="92">
        <f t="shared" si="0"/>
        <v>44013</v>
      </c>
      <c r="N56" s="115" t="e">
        <f ca="1"/>
        <v>#VALUE!</v>
      </c>
      <c r="P56" s="92">
        <f t="shared" ca="1" si="1"/>
        <v>44013</v>
      </c>
      <c r="Q56" s="115" t="e">
        <f ca="1"/>
        <v>#VALUE!</v>
      </c>
      <c r="S56" s="92">
        <f t="shared" ca="1" si="2"/>
        <v>44013</v>
      </c>
      <c r="T56" s="115" t="e">
        <f ca="1"/>
        <v>#VALUE!</v>
      </c>
      <c r="V56" s="92">
        <f t="shared" ca="1" si="3"/>
        <v>44013</v>
      </c>
      <c r="W56" s="115" t="e">
        <f ca="1"/>
        <v>#VALUE!</v>
      </c>
    </row>
    <row r="57" spans="13:26">
      <c r="M57" s="92">
        <f t="shared" si="0"/>
        <v>44020</v>
      </c>
      <c r="N57" s="115" t="e">
        <f ca="1"/>
        <v>#VALUE!</v>
      </c>
      <c r="P57" s="92">
        <f t="shared" ca="1" si="1"/>
        <v>44020</v>
      </c>
      <c r="Q57" s="115" t="e">
        <f ca="1"/>
        <v>#VALUE!</v>
      </c>
      <c r="S57" s="92">
        <f t="shared" ca="1" si="2"/>
        <v>44020</v>
      </c>
      <c r="T57" s="115" t="e">
        <f ca="1"/>
        <v>#VALUE!</v>
      </c>
      <c r="V57" s="92">
        <f t="shared" ca="1" si="3"/>
        <v>44020</v>
      </c>
      <c r="W57" s="115" t="e">
        <f ca="1"/>
        <v>#VALUE!</v>
      </c>
    </row>
    <row r="58" spans="13:26">
      <c r="M58" s="92">
        <f t="shared" si="0"/>
        <v>44027</v>
      </c>
      <c r="N58" s="115" t="e">
        <f ca="1"/>
        <v>#VALUE!</v>
      </c>
      <c r="P58" s="92">
        <f t="shared" ca="1" si="1"/>
        <v>44027</v>
      </c>
      <c r="Q58" s="115" t="e">
        <f ca="1"/>
        <v>#VALUE!</v>
      </c>
      <c r="S58" s="92">
        <f t="shared" ca="1" si="2"/>
        <v>44027</v>
      </c>
      <c r="T58" s="115" t="e">
        <f ca="1"/>
        <v>#VALUE!</v>
      </c>
      <c r="V58" s="92">
        <f t="shared" ca="1" si="3"/>
        <v>44027</v>
      </c>
      <c r="W58" s="115" t="e">
        <f ca="1"/>
        <v>#VALUE!</v>
      </c>
    </row>
    <row r="59" spans="13:26">
      <c r="M59" s="92">
        <f t="shared" si="0"/>
        <v>44034</v>
      </c>
      <c r="N59" s="115" t="e">
        <f ca="1"/>
        <v>#VALUE!</v>
      </c>
      <c r="P59" s="92">
        <f t="shared" ca="1" si="1"/>
        <v>44034</v>
      </c>
      <c r="Q59" s="115" t="e">
        <f ca="1"/>
        <v>#VALUE!</v>
      </c>
      <c r="S59" s="92">
        <f t="shared" ca="1" si="2"/>
        <v>44034</v>
      </c>
      <c r="T59" s="115" t="e">
        <f ca="1"/>
        <v>#VALUE!</v>
      </c>
      <c r="V59" s="92">
        <f t="shared" ca="1" si="3"/>
        <v>44034</v>
      </c>
      <c r="W59" s="115" t="e">
        <f ca="1"/>
        <v>#VALUE!</v>
      </c>
    </row>
    <row r="60" spans="13:26">
      <c r="M60" s="92">
        <f t="shared" si="0"/>
        <v>44041</v>
      </c>
      <c r="N60" s="115" t="e">
        <f ca="1"/>
        <v>#VALUE!</v>
      </c>
      <c r="P60" s="92">
        <f t="shared" ca="1" si="1"/>
        <v>44041</v>
      </c>
      <c r="Q60" s="115" t="e">
        <f ca="1"/>
        <v>#VALUE!</v>
      </c>
      <c r="S60" s="92">
        <f t="shared" ca="1" si="2"/>
        <v>44041</v>
      </c>
      <c r="T60" s="115" t="e">
        <f ca="1"/>
        <v>#VALUE!</v>
      </c>
      <c r="V60" s="92">
        <f t="shared" ca="1" si="3"/>
        <v>44041</v>
      </c>
      <c r="W60" s="115" t="e">
        <f ca="1"/>
        <v>#VALUE!</v>
      </c>
    </row>
    <row r="61" spans="13:26">
      <c r="M61" s="92">
        <f t="shared" si="0"/>
        <v>44048</v>
      </c>
      <c r="N61" s="115" t="e">
        <f ca="1"/>
        <v>#VALUE!</v>
      </c>
      <c r="P61" s="92">
        <f t="shared" ca="1" si="1"/>
        <v>44048</v>
      </c>
      <c r="Q61" s="115" t="e">
        <f ca="1"/>
        <v>#VALUE!</v>
      </c>
      <c r="S61" s="92">
        <f t="shared" ca="1" si="2"/>
        <v>44048</v>
      </c>
      <c r="T61" s="115" t="e">
        <f ca="1"/>
        <v>#VALUE!</v>
      </c>
      <c r="V61" s="92">
        <f t="shared" ca="1" si="3"/>
        <v>44048</v>
      </c>
      <c r="W61" s="115" t="e">
        <f ca="1"/>
        <v>#VALUE!</v>
      </c>
    </row>
    <row r="62" spans="13:26">
      <c r="M62" s="92">
        <f t="shared" si="0"/>
        <v>44055</v>
      </c>
      <c r="N62" s="115" t="e">
        <f ca="1"/>
        <v>#VALUE!</v>
      </c>
      <c r="P62" s="92">
        <f t="shared" ca="1" si="1"/>
        <v>44055</v>
      </c>
      <c r="Q62" s="115" t="e">
        <f ca="1"/>
        <v>#VALUE!</v>
      </c>
      <c r="S62" s="92">
        <f t="shared" ca="1" si="2"/>
        <v>44055</v>
      </c>
      <c r="T62" s="115" t="e">
        <f ca="1"/>
        <v>#VALUE!</v>
      </c>
      <c r="V62" s="92">
        <f t="shared" ca="1" si="3"/>
        <v>44055</v>
      </c>
      <c r="W62" s="115" t="e">
        <f ca="1"/>
        <v>#VALUE!</v>
      </c>
    </row>
    <row r="63" spans="13:26">
      <c r="M63" s="92">
        <f t="shared" si="0"/>
        <v>44062</v>
      </c>
      <c r="N63" s="115" t="e">
        <f ca="1"/>
        <v>#VALUE!</v>
      </c>
      <c r="P63" s="92">
        <f t="shared" ca="1" si="1"/>
        <v>44062</v>
      </c>
      <c r="Q63" s="115" t="e">
        <f ca="1"/>
        <v>#VALUE!</v>
      </c>
      <c r="S63" s="92">
        <f t="shared" ca="1" si="2"/>
        <v>44062</v>
      </c>
      <c r="T63" s="115" t="e">
        <f ca="1"/>
        <v>#VALUE!</v>
      </c>
      <c r="V63" s="92">
        <f t="shared" ca="1" si="3"/>
        <v>44062</v>
      </c>
      <c r="W63" s="115" t="e">
        <f ca="1"/>
        <v>#VALUE!</v>
      </c>
    </row>
    <row r="64" spans="13:26">
      <c r="M64" s="92">
        <f t="shared" si="0"/>
        <v>44069</v>
      </c>
      <c r="N64" s="115" t="e">
        <f ca="1"/>
        <v>#VALUE!</v>
      </c>
      <c r="P64" s="92">
        <f t="shared" ca="1" si="1"/>
        <v>44069</v>
      </c>
      <c r="Q64" s="115" t="e">
        <f ca="1"/>
        <v>#VALUE!</v>
      </c>
      <c r="S64" s="92">
        <f t="shared" ca="1" si="2"/>
        <v>44069</v>
      </c>
      <c r="T64" s="115" t="e">
        <f ca="1"/>
        <v>#VALUE!</v>
      </c>
      <c r="V64" s="92">
        <f t="shared" ca="1" si="3"/>
        <v>44069</v>
      </c>
      <c r="W64" s="115" t="e">
        <f ca="1"/>
        <v>#VALUE!</v>
      </c>
    </row>
    <row r="65" spans="13:23">
      <c r="M65" s="92">
        <f t="shared" si="0"/>
        <v>44076</v>
      </c>
      <c r="N65" s="115" t="e">
        <f ca="1"/>
        <v>#VALUE!</v>
      </c>
      <c r="P65" s="92">
        <f t="shared" ca="1" si="1"/>
        <v>44076</v>
      </c>
      <c r="Q65" s="115" t="e">
        <f ca="1"/>
        <v>#VALUE!</v>
      </c>
      <c r="S65" s="92">
        <f t="shared" ca="1" si="2"/>
        <v>44076</v>
      </c>
      <c r="T65" s="115" t="e">
        <f ca="1"/>
        <v>#VALUE!</v>
      </c>
      <c r="V65" s="92">
        <f t="shared" ca="1" si="3"/>
        <v>44076</v>
      </c>
      <c r="W65" s="115" t="e">
        <f ca="1"/>
        <v>#VALUE!</v>
      </c>
    </row>
    <row r="66" spans="13:23">
      <c r="M66" s="92">
        <f t="shared" si="0"/>
        <v>44083</v>
      </c>
      <c r="N66" s="115" t="e">
        <f ca="1"/>
        <v>#VALUE!</v>
      </c>
      <c r="P66" s="92">
        <f t="shared" ca="1" si="1"/>
        <v>44083</v>
      </c>
      <c r="Q66" s="115" t="e">
        <f ca="1"/>
        <v>#VALUE!</v>
      </c>
      <c r="S66" s="92">
        <f t="shared" ca="1" si="2"/>
        <v>44083</v>
      </c>
      <c r="T66" s="115" t="e">
        <f ca="1"/>
        <v>#VALUE!</v>
      </c>
      <c r="V66" s="92">
        <f t="shared" ca="1" si="3"/>
        <v>44083</v>
      </c>
      <c r="W66" s="115" t="e">
        <f ca="1"/>
        <v>#VALUE!</v>
      </c>
    </row>
    <row r="67" spans="13:23">
      <c r="M67" s="92">
        <f t="shared" si="0"/>
        <v>44090</v>
      </c>
      <c r="N67" s="115" t="e">
        <f ca="1"/>
        <v>#VALUE!</v>
      </c>
      <c r="P67" s="92">
        <f t="shared" ca="1" si="1"/>
        <v>44090</v>
      </c>
      <c r="Q67" s="115" t="e">
        <f ca="1"/>
        <v>#VALUE!</v>
      </c>
      <c r="S67" s="92">
        <f t="shared" ca="1" si="2"/>
        <v>44090</v>
      </c>
      <c r="T67" s="115" t="e">
        <f ca="1"/>
        <v>#VALUE!</v>
      </c>
      <c r="V67" s="92">
        <f t="shared" ca="1" si="3"/>
        <v>44090</v>
      </c>
      <c r="W67" s="115" t="e">
        <f ca="1"/>
        <v>#VALUE!</v>
      </c>
    </row>
    <row r="68" spans="13:23">
      <c r="M68" s="92">
        <f t="shared" si="0"/>
        <v>44097</v>
      </c>
      <c r="N68" s="115" t="e">
        <f ca="1"/>
        <v>#VALUE!</v>
      </c>
      <c r="P68" s="92">
        <f t="shared" ca="1" si="1"/>
        <v>44097</v>
      </c>
      <c r="Q68" s="115" t="e">
        <f ca="1"/>
        <v>#VALUE!</v>
      </c>
      <c r="S68" s="92">
        <f t="shared" ca="1" si="2"/>
        <v>44097</v>
      </c>
      <c r="T68" s="115" t="e">
        <f ca="1"/>
        <v>#VALUE!</v>
      </c>
      <c r="V68" s="92">
        <f t="shared" ca="1" si="3"/>
        <v>44097</v>
      </c>
      <c r="W68" s="115" t="e">
        <f ca="1"/>
        <v>#VALUE!</v>
      </c>
    </row>
    <row r="69" spans="13:23">
      <c r="M69" s="92">
        <f t="shared" si="0"/>
        <v>44104</v>
      </c>
      <c r="N69" s="115" t="e">
        <f ca="1"/>
        <v>#VALUE!</v>
      </c>
      <c r="P69" s="92">
        <f t="shared" ca="1" si="1"/>
        <v>44104</v>
      </c>
      <c r="Q69" s="115" t="e">
        <f ca="1"/>
        <v>#VALUE!</v>
      </c>
      <c r="S69" s="92">
        <f t="shared" ca="1" si="2"/>
        <v>44104</v>
      </c>
      <c r="T69" s="115" t="e">
        <f ca="1"/>
        <v>#VALUE!</v>
      </c>
      <c r="V69" s="92">
        <f t="shared" ca="1" si="3"/>
        <v>44104</v>
      </c>
      <c r="W69" s="115" t="e">
        <f ca="1"/>
        <v>#VALUE!</v>
      </c>
    </row>
    <row r="70" spans="13:23">
      <c r="M70" s="92">
        <f t="shared" si="0"/>
        <v>44111</v>
      </c>
      <c r="N70" s="115" t="e">
        <f ca="1"/>
        <v>#VALUE!</v>
      </c>
      <c r="P70" s="92">
        <f t="shared" ca="1" si="1"/>
        <v>44111</v>
      </c>
      <c r="Q70" s="115" t="e">
        <f ca="1"/>
        <v>#VALUE!</v>
      </c>
      <c r="S70" s="92">
        <f t="shared" ca="1" si="2"/>
        <v>44111</v>
      </c>
      <c r="T70" s="115" t="e">
        <f ca="1"/>
        <v>#VALUE!</v>
      </c>
      <c r="V70" s="92">
        <f t="shared" ca="1" si="3"/>
        <v>44111</v>
      </c>
      <c r="W70" s="115" t="e">
        <f ca="1"/>
        <v>#VALUE!</v>
      </c>
    </row>
    <row r="71" spans="13:23">
      <c r="M71" s="92">
        <f t="shared" si="0"/>
        <v>44118</v>
      </c>
      <c r="N71" s="115" t="e">
        <f ca="1"/>
        <v>#VALUE!</v>
      </c>
      <c r="P71" s="92">
        <f t="shared" ca="1" si="1"/>
        <v>44118</v>
      </c>
      <c r="Q71" s="115" t="e">
        <f ca="1"/>
        <v>#VALUE!</v>
      </c>
      <c r="S71" s="92">
        <f t="shared" ca="1" si="2"/>
        <v>44118</v>
      </c>
      <c r="T71" s="115" t="e">
        <f ca="1"/>
        <v>#VALUE!</v>
      </c>
      <c r="V71" s="92">
        <f t="shared" ca="1" si="3"/>
        <v>44118</v>
      </c>
      <c r="W71" s="115" t="e">
        <f ca="1"/>
        <v>#VALUE!</v>
      </c>
    </row>
    <row r="72" spans="13:23">
      <c r="M72" s="92">
        <f t="shared" si="0"/>
        <v>44125</v>
      </c>
      <c r="N72" s="115" t="e">
        <f ca="1"/>
        <v>#VALUE!</v>
      </c>
      <c r="P72" s="92">
        <f t="shared" ca="1" si="1"/>
        <v>44125</v>
      </c>
      <c r="Q72" s="115" t="e">
        <f ca="1"/>
        <v>#VALUE!</v>
      </c>
      <c r="S72" s="92">
        <f t="shared" ca="1" si="2"/>
        <v>44125</v>
      </c>
      <c r="T72" s="115" t="e">
        <f ca="1"/>
        <v>#VALUE!</v>
      </c>
      <c r="V72" s="92">
        <f t="shared" ca="1" si="3"/>
        <v>44125</v>
      </c>
      <c r="W72" s="115" t="e">
        <f ca="1"/>
        <v>#VALUE!</v>
      </c>
    </row>
    <row r="73" spans="13:23">
      <c r="M73" s="92">
        <f t="shared" si="0"/>
        <v>44132</v>
      </c>
      <c r="N73" s="115" t="e">
        <f ca="1"/>
        <v>#VALUE!</v>
      </c>
      <c r="P73" s="92">
        <f t="shared" ca="1" si="1"/>
        <v>44132</v>
      </c>
      <c r="Q73" s="115" t="e">
        <f ca="1"/>
        <v>#VALUE!</v>
      </c>
      <c r="S73" s="92">
        <f t="shared" ca="1" si="2"/>
        <v>44132</v>
      </c>
      <c r="T73" s="115" t="e">
        <f ca="1"/>
        <v>#VALUE!</v>
      </c>
      <c r="V73" s="92">
        <f t="shared" ca="1" si="3"/>
        <v>44132</v>
      </c>
      <c r="W73" s="115" t="e">
        <f ca="1"/>
        <v>#VALUE!</v>
      </c>
    </row>
    <row r="74" spans="13:23">
      <c r="M74" s="92">
        <f t="shared" si="0"/>
        <v>44139</v>
      </c>
      <c r="N74" s="115" t="e">
        <f ca="1"/>
        <v>#VALUE!</v>
      </c>
      <c r="P74" s="92">
        <f t="shared" ca="1" si="1"/>
        <v>44139</v>
      </c>
      <c r="Q74" s="115" t="e">
        <f ca="1"/>
        <v>#VALUE!</v>
      </c>
      <c r="S74" s="92">
        <f t="shared" ca="1" si="2"/>
        <v>44139</v>
      </c>
      <c r="T74" s="115" t="e">
        <f ca="1"/>
        <v>#VALUE!</v>
      </c>
      <c r="V74" s="92">
        <f t="shared" ca="1" si="3"/>
        <v>44139</v>
      </c>
      <c r="W74" s="115" t="e">
        <f ca="1"/>
        <v>#VALUE!</v>
      </c>
    </row>
    <row r="75" spans="13:23">
      <c r="M75" s="92">
        <f t="shared" si="0"/>
        <v>44146</v>
      </c>
      <c r="N75" s="115" t="e">
        <f ca="1"/>
        <v>#VALUE!</v>
      </c>
      <c r="P75" s="92">
        <f t="shared" ca="1" si="1"/>
        <v>44146</v>
      </c>
      <c r="Q75" s="115" t="e">
        <f ca="1"/>
        <v>#VALUE!</v>
      </c>
      <c r="S75" s="92">
        <f t="shared" ca="1" si="2"/>
        <v>44146</v>
      </c>
      <c r="T75" s="115" t="e">
        <f ca="1"/>
        <v>#VALUE!</v>
      </c>
      <c r="V75" s="92">
        <f t="shared" ca="1" si="3"/>
        <v>44146</v>
      </c>
      <c r="W75" s="115" t="e">
        <f ca="1"/>
        <v>#VALUE!</v>
      </c>
    </row>
    <row r="76" spans="13:23">
      <c r="M76" s="92">
        <f t="shared" si="0"/>
        <v>44153</v>
      </c>
      <c r="N76" s="115" t="e">
        <f ca="1"/>
        <v>#VALUE!</v>
      </c>
      <c r="P76" s="92">
        <f t="shared" ca="1" si="1"/>
        <v>44153</v>
      </c>
      <c r="Q76" s="115" t="e">
        <f ca="1"/>
        <v>#VALUE!</v>
      </c>
      <c r="S76" s="92">
        <f t="shared" ca="1" si="2"/>
        <v>44153</v>
      </c>
      <c r="T76" s="115" t="e">
        <f ca="1"/>
        <v>#VALUE!</v>
      </c>
      <c r="V76" s="92">
        <f t="shared" ca="1" si="3"/>
        <v>44153</v>
      </c>
      <c r="W76" s="115" t="e">
        <f ca="1"/>
        <v>#VALUE!</v>
      </c>
    </row>
    <row r="77" spans="13:23">
      <c r="M77" s="92">
        <f t="shared" ref="M77:M140" ca="1" si="5">M76+7</f>
        <v>44160</v>
      </c>
      <c r="N77" s="115" t="e">
        <f ca="1"/>
        <v>#VALUE!</v>
      </c>
      <c r="P77" s="92">
        <f t="shared" ref="P77:P140" ca="1" si="6">P76+7</f>
        <v>44160</v>
      </c>
      <c r="Q77" s="115" t="e">
        <f ca="1"/>
        <v>#VALUE!</v>
      </c>
      <c r="S77" s="92">
        <f t="shared" ref="S77:S140" ca="1" si="7">S76+7</f>
        <v>44160</v>
      </c>
      <c r="T77" s="115" t="e">
        <f ca="1"/>
        <v>#VALUE!</v>
      </c>
      <c r="V77" s="92">
        <f t="shared" ref="V77:V140" ca="1" si="8">V76+7</f>
        <v>44160</v>
      </c>
      <c r="W77" s="115" t="e">
        <f ca="1"/>
        <v>#VALUE!</v>
      </c>
    </row>
    <row r="78" spans="13:23">
      <c r="M78" s="92">
        <f t="shared" ca="1" si="5"/>
        <v>44167</v>
      </c>
      <c r="N78" s="115" t="e">
        <f ca="1"/>
        <v>#VALUE!</v>
      </c>
      <c r="P78" s="92">
        <f t="shared" ca="1" si="6"/>
        <v>44167</v>
      </c>
      <c r="Q78" s="115" t="e">
        <f ca="1"/>
        <v>#VALUE!</v>
      </c>
      <c r="S78" s="92">
        <f t="shared" ca="1" si="7"/>
        <v>44167</v>
      </c>
      <c r="T78" s="115" t="e">
        <f ca="1"/>
        <v>#VALUE!</v>
      </c>
      <c r="V78" s="92">
        <f t="shared" ca="1" si="8"/>
        <v>44167</v>
      </c>
      <c r="W78" s="115" t="e">
        <f ca="1"/>
        <v>#VALUE!</v>
      </c>
    </row>
    <row r="79" spans="13:23">
      <c r="M79" s="92">
        <f t="shared" ca="1" si="5"/>
        <v>44174</v>
      </c>
      <c r="N79" s="115" t="e">
        <f ca="1"/>
        <v>#VALUE!</v>
      </c>
      <c r="P79" s="92">
        <f t="shared" ca="1" si="6"/>
        <v>44174</v>
      </c>
      <c r="Q79" s="115" t="e">
        <f ca="1"/>
        <v>#VALUE!</v>
      </c>
      <c r="S79" s="92">
        <f t="shared" ca="1" si="7"/>
        <v>44174</v>
      </c>
      <c r="T79" s="115" t="e">
        <f ca="1"/>
        <v>#VALUE!</v>
      </c>
      <c r="V79" s="92">
        <f t="shared" ca="1" si="8"/>
        <v>44174</v>
      </c>
      <c r="W79" s="115" t="e">
        <f ca="1"/>
        <v>#VALUE!</v>
      </c>
    </row>
    <row r="80" spans="13:23">
      <c r="M80" s="92">
        <f t="shared" ca="1" si="5"/>
        <v>44181</v>
      </c>
      <c r="N80" s="115" t="e">
        <f ca="1"/>
        <v>#VALUE!</v>
      </c>
      <c r="P80" s="92">
        <f t="shared" ca="1" si="6"/>
        <v>44181</v>
      </c>
      <c r="Q80" s="115" t="e">
        <f ca="1"/>
        <v>#VALUE!</v>
      </c>
      <c r="S80" s="92">
        <f t="shared" ca="1" si="7"/>
        <v>44181</v>
      </c>
      <c r="T80" s="115" t="e">
        <f ca="1"/>
        <v>#VALUE!</v>
      </c>
      <c r="V80" s="92">
        <f t="shared" ca="1" si="8"/>
        <v>44181</v>
      </c>
      <c r="W80" s="115" t="e">
        <f ca="1"/>
        <v>#VALUE!</v>
      </c>
    </row>
    <row r="81" spans="13:23">
      <c r="M81" s="92">
        <f t="shared" ca="1" si="5"/>
        <v>44188</v>
      </c>
      <c r="N81" s="115" t="e">
        <f ca="1"/>
        <v>#VALUE!</v>
      </c>
      <c r="P81" s="92">
        <f t="shared" ca="1" si="6"/>
        <v>44188</v>
      </c>
      <c r="Q81" s="115" t="e">
        <f ca="1"/>
        <v>#VALUE!</v>
      </c>
      <c r="S81" s="92">
        <f t="shared" ca="1" si="7"/>
        <v>44188</v>
      </c>
      <c r="T81" s="115" t="e">
        <f ca="1"/>
        <v>#VALUE!</v>
      </c>
      <c r="V81" s="92">
        <f t="shared" ca="1" si="8"/>
        <v>44188</v>
      </c>
      <c r="W81" s="115" t="e">
        <f ca="1"/>
        <v>#VALUE!</v>
      </c>
    </row>
    <row r="82" spans="13:23">
      <c r="M82" s="92">
        <f t="shared" ca="1" si="5"/>
        <v>44195</v>
      </c>
      <c r="N82" s="115" t="e">
        <f ca="1"/>
        <v>#VALUE!</v>
      </c>
      <c r="P82" s="92">
        <f t="shared" ca="1" si="6"/>
        <v>44195</v>
      </c>
      <c r="Q82" s="115" t="e">
        <f ca="1"/>
        <v>#VALUE!</v>
      </c>
      <c r="S82" s="92">
        <f t="shared" ca="1" si="7"/>
        <v>44195</v>
      </c>
      <c r="T82" s="115" t="e">
        <f ca="1"/>
        <v>#VALUE!</v>
      </c>
      <c r="V82" s="92">
        <f t="shared" ca="1" si="8"/>
        <v>44195</v>
      </c>
      <c r="W82" s="115" t="e">
        <f ca="1"/>
        <v>#VALUE!</v>
      </c>
    </row>
    <row r="83" spans="13:23">
      <c r="M83" s="92">
        <f t="shared" ca="1" si="5"/>
        <v>44202</v>
      </c>
      <c r="N83" s="115" t="e">
        <f ca="1"/>
        <v>#VALUE!</v>
      </c>
      <c r="P83" s="92">
        <f t="shared" ca="1" si="6"/>
        <v>44202</v>
      </c>
      <c r="Q83" s="115" t="e">
        <f ca="1"/>
        <v>#VALUE!</v>
      </c>
      <c r="S83" s="92">
        <f t="shared" ca="1" si="7"/>
        <v>44202</v>
      </c>
      <c r="T83" s="115" t="e">
        <f ca="1"/>
        <v>#VALUE!</v>
      </c>
      <c r="V83" s="92">
        <f t="shared" ca="1" si="8"/>
        <v>44202</v>
      </c>
      <c r="W83" s="115" t="e">
        <f ca="1"/>
        <v>#VALUE!</v>
      </c>
    </row>
    <row r="84" spans="13:23">
      <c r="M84" s="92">
        <f t="shared" ca="1" si="5"/>
        <v>44209</v>
      </c>
      <c r="N84" s="115" t="e">
        <f ca="1"/>
        <v>#VALUE!</v>
      </c>
      <c r="P84" s="92">
        <f t="shared" ca="1" si="6"/>
        <v>44209</v>
      </c>
      <c r="Q84" s="115" t="e">
        <f ca="1"/>
        <v>#VALUE!</v>
      </c>
      <c r="S84" s="92">
        <f t="shared" ca="1" si="7"/>
        <v>44209</v>
      </c>
      <c r="T84" s="115" t="e">
        <f ca="1"/>
        <v>#VALUE!</v>
      </c>
      <c r="V84" s="92">
        <f t="shared" ca="1" si="8"/>
        <v>44209</v>
      </c>
      <c r="W84" s="115" t="e">
        <f ca="1"/>
        <v>#VALUE!</v>
      </c>
    </row>
    <row r="85" spans="13:23">
      <c r="M85" s="92">
        <f t="shared" ca="1" si="5"/>
        <v>44216</v>
      </c>
      <c r="N85" s="115" t="e">
        <f ca="1"/>
        <v>#VALUE!</v>
      </c>
      <c r="P85" s="92">
        <f t="shared" ca="1" si="6"/>
        <v>44216</v>
      </c>
      <c r="Q85" s="115" t="e">
        <f ca="1"/>
        <v>#VALUE!</v>
      </c>
      <c r="S85" s="92">
        <f t="shared" ca="1" si="7"/>
        <v>44216</v>
      </c>
      <c r="T85" s="115" t="e">
        <f ca="1"/>
        <v>#VALUE!</v>
      </c>
      <c r="V85" s="92">
        <f t="shared" ca="1" si="8"/>
        <v>44216</v>
      </c>
      <c r="W85" s="115" t="e">
        <f ca="1"/>
        <v>#VALUE!</v>
      </c>
    </row>
    <row r="86" spans="13:23">
      <c r="M86" s="92">
        <f t="shared" ca="1" si="5"/>
        <v>44223</v>
      </c>
      <c r="N86" s="115" t="e">
        <f ca="1"/>
        <v>#VALUE!</v>
      </c>
      <c r="P86" s="92">
        <f t="shared" ca="1" si="6"/>
        <v>44223</v>
      </c>
      <c r="Q86" s="115" t="e">
        <f ca="1"/>
        <v>#VALUE!</v>
      </c>
      <c r="S86" s="92">
        <f t="shared" ca="1" si="7"/>
        <v>44223</v>
      </c>
      <c r="T86" s="115" t="e">
        <f ca="1"/>
        <v>#VALUE!</v>
      </c>
      <c r="V86" s="92">
        <f t="shared" ca="1" si="8"/>
        <v>44223</v>
      </c>
      <c r="W86" s="115" t="e">
        <f ca="1"/>
        <v>#VALUE!</v>
      </c>
    </row>
    <row r="87" spans="13:23">
      <c r="M87" s="92">
        <f t="shared" ca="1" si="5"/>
        <v>44230</v>
      </c>
      <c r="N87" s="115" t="e">
        <f ca="1"/>
        <v>#VALUE!</v>
      </c>
      <c r="P87" s="92">
        <f t="shared" ca="1" si="6"/>
        <v>44230</v>
      </c>
      <c r="Q87" s="115" t="e">
        <f ca="1"/>
        <v>#VALUE!</v>
      </c>
      <c r="S87" s="92">
        <f t="shared" ca="1" si="7"/>
        <v>44230</v>
      </c>
      <c r="T87" s="115" t="e">
        <f ca="1"/>
        <v>#VALUE!</v>
      </c>
      <c r="V87" s="92">
        <f t="shared" ca="1" si="8"/>
        <v>44230</v>
      </c>
      <c r="W87" s="115" t="e">
        <f ca="1"/>
        <v>#VALUE!</v>
      </c>
    </row>
    <row r="88" spans="13:23">
      <c r="M88" s="92">
        <f t="shared" ca="1" si="5"/>
        <v>44237</v>
      </c>
      <c r="N88" s="115" t="e">
        <f ca="1"/>
        <v>#VALUE!</v>
      </c>
      <c r="P88" s="92">
        <f t="shared" ca="1" si="6"/>
        <v>44237</v>
      </c>
      <c r="Q88" s="115" t="e">
        <f ca="1"/>
        <v>#VALUE!</v>
      </c>
      <c r="S88" s="92">
        <f t="shared" ca="1" si="7"/>
        <v>44237</v>
      </c>
      <c r="T88" s="115" t="e">
        <f ca="1"/>
        <v>#VALUE!</v>
      </c>
      <c r="V88" s="92">
        <f t="shared" ca="1" si="8"/>
        <v>44237</v>
      </c>
      <c r="W88" s="115" t="e">
        <f ca="1"/>
        <v>#VALUE!</v>
      </c>
    </row>
    <row r="89" spans="13:23">
      <c r="M89" s="92">
        <f t="shared" ca="1" si="5"/>
        <v>44244</v>
      </c>
      <c r="N89" s="115" t="e">
        <f ca="1"/>
        <v>#VALUE!</v>
      </c>
      <c r="P89" s="92">
        <f t="shared" ca="1" si="6"/>
        <v>44244</v>
      </c>
      <c r="Q89" s="115" t="e">
        <f ca="1"/>
        <v>#VALUE!</v>
      </c>
      <c r="S89" s="92">
        <f t="shared" ca="1" si="7"/>
        <v>44244</v>
      </c>
      <c r="T89" s="115" t="e">
        <f ca="1"/>
        <v>#VALUE!</v>
      </c>
      <c r="V89" s="92">
        <f t="shared" ca="1" si="8"/>
        <v>44244</v>
      </c>
      <c r="W89" s="115" t="e">
        <f ca="1"/>
        <v>#VALUE!</v>
      </c>
    </row>
    <row r="90" spans="13:23">
      <c r="M90" s="92">
        <f t="shared" ca="1" si="5"/>
        <v>44251</v>
      </c>
      <c r="N90" s="115" t="e">
        <f ca="1"/>
        <v>#VALUE!</v>
      </c>
      <c r="P90" s="92">
        <f t="shared" ca="1" si="6"/>
        <v>44251</v>
      </c>
      <c r="Q90" s="115" t="e">
        <f ca="1"/>
        <v>#VALUE!</v>
      </c>
      <c r="S90" s="92">
        <f t="shared" ca="1" si="7"/>
        <v>44251</v>
      </c>
      <c r="T90" s="115" t="e">
        <f ca="1"/>
        <v>#VALUE!</v>
      </c>
      <c r="V90" s="92">
        <f t="shared" ca="1" si="8"/>
        <v>44251</v>
      </c>
      <c r="W90" s="115" t="e">
        <f ca="1"/>
        <v>#VALUE!</v>
      </c>
    </row>
    <row r="91" spans="13:23">
      <c r="M91" s="92">
        <f t="shared" ca="1" si="5"/>
        <v>44258</v>
      </c>
      <c r="N91" s="115" t="e">
        <f ca="1"/>
        <v>#VALUE!</v>
      </c>
      <c r="P91" s="92">
        <f t="shared" ca="1" si="6"/>
        <v>44258</v>
      </c>
      <c r="Q91" s="115" t="e">
        <f ca="1"/>
        <v>#VALUE!</v>
      </c>
      <c r="S91" s="92">
        <f t="shared" ca="1" si="7"/>
        <v>44258</v>
      </c>
      <c r="T91" s="115" t="e">
        <f ca="1"/>
        <v>#VALUE!</v>
      </c>
      <c r="V91" s="92">
        <f t="shared" ca="1" si="8"/>
        <v>44258</v>
      </c>
      <c r="W91" s="115" t="e">
        <f ca="1"/>
        <v>#VALUE!</v>
      </c>
    </row>
    <row r="92" spans="13:23">
      <c r="M92" s="92">
        <f t="shared" ca="1" si="5"/>
        <v>44265</v>
      </c>
      <c r="N92" s="115" t="e">
        <f ca="1"/>
        <v>#VALUE!</v>
      </c>
      <c r="P92" s="92">
        <f t="shared" ca="1" si="6"/>
        <v>44265</v>
      </c>
      <c r="Q92" s="115" t="e">
        <f ca="1"/>
        <v>#VALUE!</v>
      </c>
      <c r="S92" s="92">
        <f t="shared" ca="1" si="7"/>
        <v>44265</v>
      </c>
      <c r="T92" s="115" t="e">
        <f ca="1"/>
        <v>#VALUE!</v>
      </c>
      <c r="V92" s="92">
        <f t="shared" ca="1" si="8"/>
        <v>44265</v>
      </c>
      <c r="W92" s="115" t="e">
        <f ca="1"/>
        <v>#VALUE!</v>
      </c>
    </row>
    <row r="93" spans="13:23">
      <c r="M93" s="92">
        <f t="shared" ca="1" si="5"/>
        <v>44272</v>
      </c>
      <c r="N93" s="115" t="e">
        <f ca="1"/>
        <v>#VALUE!</v>
      </c>
      <c r="P93" s="92">
        <f t="shared" ca="1" si="6"/>
        <v>44272</v>
      </c>
      <c r="Q93" s="115" t="e">
        <f ca="1"/>
        <v>#VALUE!</v>
      </c>
      <c r="S93" s="92">
        <f t="shared" ca="1" si="7"/>
        <v>44272</v>
      </c>
      <c r="T93" s="115" t="e">
        <f ca="1"/>
        <v>#VALUE!</v>
      </c>
      <c r="V93" s="92">
        <f t="shared" ca="1" si="8"/>
        <v>44272</v>
      </c>
      <c r="W93" s="115" t="e">
        <f ca="1"/>
        <v>#VALUE!</v>
      </c>
    </row>
    <row r="94" spans="13:23">
      <c r="M94" s="92">
        <f t="shared" ca="1" si="5"/>
        <v>44279</v>
      </c>
      <c r="N94" s="115" t="e">
        <f ca="1"/>
        <v>#VALUE!</v>
      </c>
      <c r="P94" s="92">
        <f t="shared" ca="1" si="6"/>
        <v>44279</v>
      </c>
      <c r="Q94" s="115" t="e">
        <f ca="1"/>
        <v>#VALUE!</v>
      </c>
      <c r="S94" s="92">
        <f t="shared" ca="1" si="7"/>
        <v>44279</v>
      </c>
      <c r="T94" s="115" t="e">
        <f ca="1"/>
        <v>#VALUE!</v>
      </c>
      <c r="V94" s="92">
        <f t="shared" ca="1" si="8"/>
        <v>44279</v>
      </c>
      <c r="W94" s="115" t="e">
        <f ca="1"/>
        <v>#VALUE!</v>
      </c>
    </row>
    <row r="95" spans="13:23">
      <c r="M95" s="92">
        <f t="shared" ca="1" si="5"/>
        <v>44286</v>
      </c>
      <c r="N95" s="115" t="e">
        <f ca="1"/>
        <v>#VALUE!</v>
      </c>
      <c r="P95" s="92">
        <f t="shared" ca="1" si="6"/>
        <v>44286</v>
      </c>
      <c r="Q95" s="115" t="e">
        <f ca="1"/>
        <v>#VALUE!</v>
      </c>
      <c r="S95" s="92">
        <f t="shared" ca="1" si="7"/>
        <v>44286</v>
      </c>
      <c r="T95" s="115" t="e">
        <f ca="1"/>
        <v>#VALUE!</v>
      </c>
      <c r="V95" s="92">
        <f t="shared" ca="1" si="8"/>
        <v>44286</v>
      </c>
      <c r="W95" s="115" t="e">
        <f ca="1"/>
        <v>#VALUE!</v>
      </c>
    </row>
    <row r="96" spans="13:23">
      <c r="M96" s="92">
        <f t="shared" ca="1" si="5"/>
        <v>44293</v>
      </c>
      <c r="N96" s="115" t="e">
        <f ca="1"/>
        <v>#VALUE!</v>
      </c>
      <c r="P96" s="92">
        <f t="shared" ca="1" si="6"/>
        <v>44293</v>
      </c>
      <c r="Q96" s="115" t="e">
        <f ca="1"/>
        <v>#VALUE!</v>
      </c>
      <c r="S96" s="92">
        <f t="shared" ca="1" si="7"/>
        <v>44293</v>
      </c>
      <c r="T96" s="115" t="e">
        <f ca="1"/>
        <v>#VALUE!</v>
      </c>
      <c r="V96" s="92">
        <f t="shared" ca="1" si="8"/>
        <v>44293</v>
      </c>
      <c r="W96" s="115" t="e">
        <f ca="1"/>
        <v>#VALUE!</v>
      </c>
    </row>
    <row r="97" spans="13:23">
      <c r="M97" s="92">
        <f t="shared" ca="1" si="5"/>
        <v>44300</v>
      </c>
      <c r="N97" s="115" t="e">
        <f ca="1"/>
        <v>#VALUE!</v>
      </c>
      <c r="P97" s="92">
        <f t="shared" ca="1" si="6"/>
        <v>44300</v>
      </c>
      <c r="Q97" s="115" t="e">
        <f ca="1"/>
        <v>#VALUE!</v>
      </c>
      <c r="S97" s="92">
        <f t="shared" ca="1" si="7"/>
        <v>44300</v>
      </c>
      <c r="T97" s="115" t="e">
        <f ca="1"/>
        <v>#VALUE!</v>
      </c>
      <c r="V97" s="92">
        <f t="shared" ca="1" si="8"/>
        <v>44300</v>
      </c>
      <c r="W97" s="115" t="e">
        <f ca="1"/>
        <v>#VALUE!</v>
      </c>
    </row>
    <row r="98" spans="13:23">
      <c r="M98" s="92">
        <f t="shared" ca="1" si="5"/>
        <v>44307</v>
      </c>
      <c r="N98" s="115" t="e">
        <f ca="1"/>
        <v>#VALUE!</v>
      </c>
      <c r="P98" s="92">
        <f t="shared" ca="1" si="6"/>
        <v>44307</v>
      </c>
      <c r="Q98" s="115" t="e">
        <f ca="1"/>
        <v>#VALUE!</v>
      </c>
      <c r="S98" s="92">
        <f t="shared" ca="1" si="7"/>
        <v>44307</v>
      </c>
      <c r="T98" s="115" t="e">
        <f ca="1"/>
        <v>#VALUE!</v>
      </c>
      <c r="V98" s="92">
        <f t="shared" ca="1" si="8"/>
        <v>44307</v>
      </c>
      <c r="W98" s="115" t="e">
        <f ca="1"/>
        <v>#VALUE!</v>
      </c>
    </row>
    <row r="99" spans="13:23">
      <c r="M99" s="92">
        <f t="shared" ca="1" si="5"/>
        <v>44314</v>
      </c>
      <c r="N99" s="115" t="e">
        <f ca="1"/>
        <v>#VALUE!</v>
      </c>
      <c r="P99" s="92">
        <f t="shared" ca="1" si="6"/>
        <v>44314</v>
      </c>
      <c r="Q99" s="115" t="e">
        <f ca="1"/>
        <v>#VALUE!</v>
      </c>
      <c r="S99" s="92">
        <f t="shared" ca="1" si="7"/>
        <v>44314</v>
      </c>
      <c r="T99" s="115" t="e">
        <f ca="1"/>
        <v>#VALUE!</v>
      </c>
      <c r="V99" s="92">
        <f t="shared" ca="1" si="8"/>
        <v>44314</v>
      </c>
      <c r="W99" s="115" t="e">
        <f ca="1"/>
        <v>#VALUE!</v>
      </c>
    </row>
    <row r="100" spans="13:23">
      <c r="M100" s="92">
        <f t="shared" ca="1" si="5"/>
        <v>44321</v>
      </c>
      <c r="N100" s="115" t="e">
        <f ca="1"/>
        <v>#VALUE!</v>
      </c>
      <c r="P100" s="92">
        <f t="shared" ca="1" si="6"/>
        <v>44321</v>
      </c>
      <c r="Q100" s="115" t="e">
        <f ca="1"/>
        <v>#VALUE!</v>
      </c>
      <c r="S100" s="92">
        <f t="shared" ca="1" si="7"/>
        <v>44321</v>
      </c>
      <c r="T100" s="115" t="e">
        <f ca="1"/>
        <v>#VALUE!</v>
      </c>
      <c r="V100" s="92">
        <f t="shared" ca="1" si="8"/>
        <v>44321</v>
      </c>
      <c r="W100" s="115" t="e">
        <f ca="1"/>
        <v>#VALUE!</v>
      </c>
    </row>
    <row r="101" spans="13:23">
      <c r="M101" s="92">
        <f t="shared" ca="1" si="5"/>
        <v>44328</v>
      </c>
      <c r="N101" s="115" t="e">
        <f ca="1"/>
        <v>#VALUE!</v>
      </c>
      <c r="P101" s="92">
        <f t="shared" ca="1" si="6"/>
        <v>44328</v>
      </c>
      <c r="Q101" s="115" t="e">
        <f ca="1"/>
        <v>#VALUE!</v>
      </c>
      <c r="S101" s="92">
        <f t="shared" ca="1" si="7"/>
        <v>44328</v>
      </c>
      <c r="T101" s="115" t="e">
        <f ca="1"/>
        <v>#VALUE!</v>
      </c>
      <c r="V101" s="92">
        <f t="shared" ca="1" si="8"/>
        <v>44328</v>
      </c>
      <c r="W101" s="115" t="e">
        <f ca="1"/>
        <v>#VALUE!</v>
      </c>
    </row>
    <row r="102" spans="13:23">
      <c r="M102" s="92">
        <f t="shared" ca="1" si="5"/>
        <v>44335</v>
      </c>
      <c r="N102" s="115" t="e">
        <f ca="1"/>
        <v>#VALUE!</v>
      </c>
      <c r="P102" s="92">
        <f t="shared" ca="1" si="6"/>
        <v>44335</v>
      </c>
      <c r="Q102" s="115" t="e">
        <f ca="1"/>
        <v>#VALUE!</v>
      </c>
      <c r="S102" s="92">
        <f t="shared" ca="1" si="7"/>
        <v>44335</v>
      </c>
      <c r="T102" s="115" t="e">
        <f ca="1"/>
        <v>#VALUE!</v>
      </c>
      <c r="V102" s="92">
        <f t="shared" ca="1" si="8"/>
        <v>44335</v>
      </c>
      <c r="W102" s="115" t="e">
        <f ca="1"/>
        <v>#VALUE!</v>
      </c>
    </row>
    <row r="103" spans="13:23">
      <c r="M103" s="92">
        <f t="shared" ca="1" si="5"/>
        <v>44342</v>
      </c>
      <c r="N103" s="115" t="e">
        <f ca="1"/>
        <v>#VALUE!</v>
      </c>
      <c r="P103" s="92">
        <f t="shared" ca="1" si="6"/>
        <v>44342</v>
      </c>
      <c r="Q103" s="115" t="e">
        <f ca="1"/>
        <v>#VALUE!</v>
      </c>
      <c r="S103" s="92">
        <f t="shared" ca="1" si="7"/>
        <v>44342</v>
      </c>
      <c r="T103" s="115" t="e">
        <f ca="1"/>
        <v>#VALUE!</v>
      </c>
      <c r="V103" s="92">
        <f t="shared" ca="1" si="8"/>
        <v>44342</v>
      </c>
      <c r="W103" s="115" t="e">
        <f ca="1"/>
        <v>#VALUE!</v>
      </c>
    </row>
    <row r="104" spans="13:23">
      <c r="M104" s="92">
        <f t="shared" ca="1" si="5"/>
        <v>44349</v>
      </c>
      <c r="N104" s="115" t="e">
        <f ca="1"/>
        <v>#VALUE!</v>
      </c>
      <c r="P104" s="92">
        <f t="shared" ca="1" si="6"/>
        <v>44349</v>
      </c>
      <c r="Q104" s="115" t="e">
        <f ca="1"/>
        <v>#VALUE!</v>
      </c>
      <c r="S104" s="92">
        <f t="shared" ca="1" si="7"/>
        <v>44349</v>
      </c>
      <c r="T104" s="115" t="e">
        <f ca="1"/>
        <v>#VALUE!</v>
      </c>
      <c r="V104" s="92">
        <f t="shared" ca="1" si="8"/>
        <v>44349</v>
      </c>
      <c r="W104" s="115" t="e">
        <f ca="1"/>
        <v>#VALUE!</v>
      </c>
    </row>
    <row r="105" spans="13:23">
      <c r="M105" s="92">
        <f t="shared" ca="1" si="5"/>
        <v>44356</v>
      </c>
      <c r="N105" s="115" t="e">
        <f ca="1"/>
        <v>#VALUE!</v>
      </c>
      <c r="P105" s="92">
        <f t="shared" ca="1" si="6"/>
        <v>44356</v>
      </c>
      <c r="Q105" s="115" t="e">
        <f ca="1"/>
        <v>#VALUE!</v>
      </c>
      <c r="S105" s="92">
        <f t="shared" ca="1" si="7"/>
        <v>44356</v>
      </c>
      <c r="T105" s="115" t="e">
        <f ca="1"/>
        <v>#VALUE!</v>
      </c>
      <c r="V105" s="92">
        <f t="shared" ca="1" si="8"/>
        <v>44356</v>
      </c>
      <c r="W105" s="115" t="e">
        <f ca="1"/>
        <v>#VALUE!</v>
      </c>
    </row>
    <row r="106" spans="13:23">
      <c r="M106" s="92">
        <f t="shared" ca="1" si="5"/>
        <v>44363</v>
      </c>
      <c r="N106" s="115" t="e">
        <f ca="1"/>
        <v>#VALUE!</v>
      </c>
      <c r="P106" s="92">
        <f t="shared" ca="1" si="6"/>
        <v>44363</v>
      </c>
      <c r="Q106" s="115" t="e">
        <f ca="1"/>
        <v>#VALUE!</v>
      </c>
      <c r="S106" s="92">
        <f t="shared" ca="1" si="7"/>
        <v>44363</v>
      </c>
      <c r="T106" s="115" t="e">
        <f ca="1"/>
        <v>#VALUE!</v>
      </c>
      <c r="V106" s="92">
        <f t="shared" ca="1" si="8"/>
        <v>44363</v>
      </c>
      <c r="W106" s="115" t="e">
        <f ca="1"/>
        <v>#VALUE!</v>
      </c>
    </row>
    <row r="107" spans="13:23">
      <c r="M107" s="92">
        <f t="shared" ca="1" si="5"/>
        <v>44370</v>
      </c>
      <c r="N107" s="115" t="e">
        <f ca="1"/>
        <v>#VALUE!</v>
      </c>
      <c r="P107" s="92">
        <f t="shared" ca="1" si="6"/>
        <v>44370</v>
      </c>
      <c r="Q107" s="115" t="e">
        <f ca="1"/>
        <v>#VALUE!</v>
      </c>
      <c r="S107" s="92">
        <f t="shared" ca="1" si="7"/>
        <v>44370</v>
      </c>
      <c r="T107" s="115" t="e">
        <f ca="1"/>
        <v>#VALUE!</v>
      </c>
      <c r="V107" s="92">
        <f t="shared" ca="1" si="8"/>
        <v>44370</v>
      </c>
      <c r="W107" s="115" t="e">
        <f ca="1"/>
        <v>#VALUE!</v>
      </c>
    </row>
    <row r="108" spans="13:23">
      <c r="M108" s="92">
        <f t="shared" ca="1" si="5"/>
        <v>44377</v>
      </c>
      <c r="N108" s="115" t="e">
        <f ca="1"/>
        <v>#VALUE!</v>
      </c>
      <c r="P108" s="92">
        <f t="shared" ca="1" si="6"/>
        <v>44377</v>
      </c>
      <c r="Q108" s="115" t="e">
        <f ca="1"/>
        <v>#VALUE!</v>
      </c>
      <c r="S108" s="92">
        <f t="shared" ca="1" si="7"/>
        <v>44377</v>
      </c>
      <c r="T108" s="115" t="e">
        <f ca="1"/>
        <v>#VALUE!</v>
      </c>
      <c r="V108" s="92">
        <f t="shared" ca="1" si="8"/>
        <v>44377</v>
      </c>
      <c r="W108" s="115" t="e">
        <f ca="1"/>
        <v>#VALUE!</v>
      </c>
    </row>
    <row r="109" spans="13:23">
      <c r="M109" s="92">
        <f t="shared" ca="1" si="5"/>
        <v>44384</v>
      </c>
      <c r="N109" s="115" t="e">
        <f ca="1"/>
        <v>#VALUE!</v>
      </c>
      <c r="P109" s="92">
        <f t="shared" ca="1" si="6"/>
        <v>44384</v>
      </c>
      <c r="Q109" s="115" t="e">
        <f ca="1"/>
        <v>#VALUE!</v>
      </c>
      <c r="S109" s="92">
        <f t="shared" ca="1" si="7"/>
        <v>44384</v>
      </c>
      <c r="T109" s="115" t="e">
        <f ca="1"/>
        <v>#VALUE!</v>
      </c>
      <c r="V109" s="92">
        <f t="shared" ca="1" si="8"/>
        <v>44384</v>
      </c>
      <c r="W109" s="115" t="e">
        <f ca="1"/>
        <v>#VALUE!</v>
      </c>
    </row>
    <row r="110" spans="13:23">
      <c r="M110" s="92">
        <f t="shared" ca="1" si="5"/>
        <v>44391</v>
      </c>
      <c r="N110" s="115" t="e">
        <f ca="1"/>
        <v>#VALUE!</v>
      </c>
      <c r="P110" s="92">
        <f t="shared" ca="1" si="6"/>
        <v>44391</v>
      </c>
      <c r="Q110" s="115" t="e">
        <f ca="1"/>
        <v>#VALUE!</v>
      </c>
      <c r="S110" s="92">
        <f t="shared" ca="1" si="7"/>
        <v>44391</v>
      </c>
      <c r="T110" s="115" t="e">
        <f ca="1"/>
        <v>#VALUE!</v>
      </c>
      <c r="V110" s="92">
        <f t="shared" ca="1" si="8"/>
        <v>44391</v>
      </c>
      <c r="W110" s="115" t="e">
        <f ca="1"/>
        <v>#VALUE!</v>
      </c>
    </row>
    <row r="111" spans="13:23">
      <c r="M111" s="92">
        <f t="shared" ca="1" si="5"/>
        <v>44398</v>
      </c>
      <c r="N111" s="115" t="e">
        <f ca="1"/>
        <v>#VALUE!</v>
      </c>
      <c r="P111" s="92">
        <f t="shared" ca="1" si="6"/>
        <v>44398</v>
      </c>
      <c r="Q111" s="115" t="e">
        <f ca="1"/>
        <v>#VALUE!</v>
      </c>
      <c r="S111" s="92">
        <f t="shared" ca="1" si="7"/>
        <v>44398</v>
      </c>
      <c r="T111" s="115" t="e">
        <f ca="1"/>
        <v>#VALUE!</v>
      </c>
      <c r="V111" s="92">
        <f t="shared" ca="1" si="8"/>
        <v>44398</v>
      </c>
      <c r="W111" s="115" t="e">
        <f ca="1"/>
        <v>#VALUE!</v>
      </c>
    </row>
    <row r="112" spans="13:23">
      <c r="M112" s="92">
        <f t="shared" ca="1" si="5"/>
        <v>44405</v>
      </c>
      <c r="N112" s="115" t="e">
        <f ca="1"/>
        <v>#VALUE!</v>
      </c>
      <c r="P112" s="92">
        <f t="shared" ca="1" si="6"/>
        <v>44405</v>
      </c>
      <c r="Q112" s="115" t="e">
        <f ca="1"/>
        <v>#VALUE!</v>
      </c>
      <c r="S112" s="92">
        <f t="shared" ca="1" si="7"/>
        <v>44405</v>
      </c>
      <c r="T112" s="115" t="e">
        <f ca="1"/>
        <v>#VALUE!</v>
      </c>
      <c r="V112" s="92">
        <f t="shared" ca="1" si="8"/>
        <v>44405</v>
      </c>
      <c r="W112" s="115" t="e">
        <f ca="1"/>
        <v>#VALUE!</v>
      </c>
    </row>
    <row r="113" spans="13:23">
      <c r="M113" s="92">
        <f t="shared" ca="1" si="5"/>
        <v>44412</v>
      </c>
      <c r="N113" s="115" t="e">
        <f ca="1"/>
        <v>#VALUE!</v>
      </c>
      <c r="P113" s="92">
        <f t="shared" ca="1" si="6"/>
        <v>44412</v>
      </c>
      <c r="Q113" s="115" t="e">
        <f ca="1"/>
        <v>#VALUE!</v>
      </c>
      <c r="S113" s="92">
        <f t="shared" ca="1" si="7"/>
        <v>44412</v>
      </c>
      <c r="T113" s="115" t="e">
        <f ca="1"/>
        <v>#VALUE!</v>
      </c>
      <c r="V113" s="92">
        <f t="shared" ca="1" si="8"/>
        <v>44412</v>
      </c>
      <c r="W113" s="115" t="e">
        <f ca="1"/>
        <v>#VALUE!</v>
      </c>
    </row>
    <row r="114" spans="13:23">
      <c r="M114" s="92">
        <f t="shared" ca="1" si="5"/>
        <v>44419</v>
      </c>
      <c r="N114" s="115" t="e">
        <f ca="1"/>
        <v>#VALUE!</v>
      </c>
      <c r="P114" s="92">
        <f t="shared" ca="1" si="6"/>
        <v>44419</v>
      </c>
      <c r="Q114" s="115" t="e">
        <f ca="1"/>
        <v>#VALUE!</v>
      </c>
      <c r="S114" s="92">
        <f t="shared" ca="1" si="7"/>
        <v>44419</v>
      </c>
      <c r="T114" s="115" t="e">
        <f ca="1"/>
        <v>#VALUE!</v>
      </c>
      <c r="V114" s="92">
        <f t="shared" ca="1" si="8"/>
        <v>44419</v>
      </c>
      <c r="W114" s="115" t="e">
        <f ca="1"/>
        <v>#VALUE!</v>
      </c>
    </row>
    <row r="115" spans="13:23">
      <c r="M115" s="92">
        <f t="shared" ca="1" si="5"/>
        <v>44426</v>
      </c>
      <c r="N115" s="115" t="e">
        <f ca="1"/>
        <v>#VALUE!</v>
      </c>
      <c r="P115" s="92">
        <f t="shared" ca="1" si="6"/>
        <v>44426</v>
      </c>
      <c r="Q115" s="115" t="e">
        <f ca="1"/>
        <v>#VALUE!</v>
      </c>
      <c r="S115" s="92">
        <f t="shared" ca="1" si="7"/>
        <v>44426</v>
      </c>
      <c r="T115" s="115" t="e">
        <f ca="1"/>
        <v>#VALUE!</v>
      </c>
      <c r="V115" s="92">
        <f t="shared" ca="1" si="8"/>
        <v>44426</v>
      </c>
      <c r="W115" s="115" t="e">
        <f ca="1"/>
        <v>#VALUE!</v>
      </c>
    </row>
    <row r="116" spans="13:23">
      <c r="M116" s="92">
        <f t="shared" ca="1" si="5"/>
        <v>44433</v>
      </c>
      <c r="N116" s="115" t="e">
        <f ca="1"/>
        <v>#VALUE!</v>
      </c>
      <c r="P116" s="92">
        <f t="shared" ca="1" si="6"/>
        <v>44433</v>
      </c>
      <c r="Q116" s="115" t="e">
        <f ca="1"/>
        <v>#VALUE!</v>
      </c>
      <c r="S116" s="92">
        <f t="shared" ca="1" si="7"/>
        <v>44433</v>
      </c>
      <c r="T116" s="115" t="e">
        <f ca="1"/>
        <v>#VALUE!</v>
      </c>
      <c r="V116" s="92">
        <f t="shared" ca="1" si="8"/>
        <v>44433</v>
      </c>
      <c r="W116" s="115" t="e">
        <f ca="1"/>
        <v>#VALUE!</v>
      </c>
    </row>
    <row r="117" spans="13:23">
      <c r="M117" s="92">
        <f t="shared" ca="1" si="5"/>
        <v>44440</v>
      </c>
      <c r="N117" s="115" t="e">
        <f ca="1"/>
        <v>#VALUE!</v>
      </c>
      <c r="P117" s="92">
        <f t="shared" ca="1" si="6"/>
        <v>44440</v>
      </c>
      <c r="Q117" s="115" t="e">
        <f ca="1"/>
        <v>#VALUE!</v>
      </c>
      <c r="S117" s="92">
        <f t="shared" ca="1" si="7"/>
        <v>44440</v>
      </c>
      <c r="T117" s="115" t="e">
        <f ca="1"/>
        <v>#VALUE!</v>
      </c>
      <c r="V117" s="92">
        <f t="shared" ca="1" si="8"/>
        <v>44440</v>
      </c>
      <c r="W117" s="115" t="e">
        <f ca="1"/>
        <v>#VALUE!</v>
      </c>
    </row>
    <row r="118" spans="13:23">
      <c r="M118" s="92">
        <f t="shared" ca="1" si="5"/>
        <v>44447</v>
      </c>
      <c r="N118" s="115" t="e">
        <f ca="1"/>
        <v>#VALUE!</v>
      </c>
      <c r="P118" s="92">
        <f t="shared" ca="1" si="6"/>
        <v>44447</v>
      </c>
      <c r="Q118" s="115" t="e">
        <f ca="1"/>
        <v>#VALUE!</v>
      </c>
      <c r="S118" s="92">
        <f t="shared" ca="1" si="7"/>
        <v>44447</v>
      </c>
      <c r="T118" s="115" t="e">
        <f ca="1"/>
        <v>#VALUE!</v>
      </c>
      <c r="V118" s="92">
        <f t="shared" ca="1" si="8"/>
        <v>44447</v>
      </c>
      <c r="W118" s="115" t="e">
        <f ca="1"/>
        <v>#VALUE!</v>
      </c>
    </row>
    <row r="119" spans="13:23">
      <c r="M119" s="92">
        <f t="shared" ca="1" si="5"/>
        <v>44454</v>
      </c>
      <c r="N119" s="115" t="e">
        <f ca="1"/>
        <v>#VALUE!</v>
      </c>
      <c r="P119" s="92">
        <f t="shared" ca="1" si="6"/>
        <v>44454</v>
      </c>
      <c r="Q119" s="115" t="e">
        <f ca="1"/>
        <v>#VALUE!</v>
      </c>
      <c r="S119" s="92">
        <f t="shared" ca="1" si="7"/>
        <v>44454</v>
      </c>
      <c r="T119" s="115" t="e">
        <f ca="1"/>
        <v>#VALUE!</v>
      </c>
      <c r="V119" s="92">
        <f t="shared" ca="1" si="8"/>
        <v>44454</v>
      </c>
      <c r="W119" s="115" t="e">
        <f ca="1"/>
        <v>#VALUE!</v>
      </c>
    </row>
    <row r="120" spans="13:23">
      <c r="M120" s="92">
        <f t="shared" ca="1" si="5"/>
        <v>44461</v>
      </c>
      <c r="N120" s="115" t="e">
        <f ca="1"/>
        <v>#VALUE!</v>
      </c>
      <c r="P120" s="92">
        <f t="shared" ca="1" si="6"/>
        <v>44461</v>
      </c>
      <c r="Q120" s="115" t="e">
        <f ca="1"/>
        <v>#VALUE!</v>
      </c>
      <c r="S120" s="92">
        <f t="shared" ca="1" si="7"/>
        <v>44461</v>
      </c>
      <c r="T120" s="115" t="e">
        <f ca="1"/>
        <v>#VALUE!</v>
      </c>
      <c r="V120" s="92">
        <f t="shared" ca="1" si="8"/>
        <v>44461</v>
      </c>
      <c r="W120" s="115" t="e">
        <f ca="1"/>
        <v>#VALUE!</v>
      </c>
    </row>
    <row r="121" spans="13:23">
      <c r="M121" s="92">
        <f t="shared" ca="1" si="5"/>
        <v>44468</v>
      </c>
      <c r="N121" s="115" t="e">
        <f ca="1"/>
        <v>#VALUE!</v>
      </c>
      <c r="P121" s="92">
        <f t="shared" ca="1" si="6"/>
        <v>44468</v>
      </c>
      <c r="Q121" s="115" t="e">
        <f ca="1"/>
        <v>#VALUE!</v>
      </c>
      <c r="S121" s="92">
        <f t="shared" ca="1" si="7"/>
        <v>44468</v>
      </c>
      <c r="T121" s="115" t="e">
        <f ca="1"/>
        <v>#VALUE!</v>
      </c>
      <c r="V121" s="92">
        <f t="shared" ca="1" si="8"/>
        <v>44468</v>
      </c>
      <c r="W121" s="115" t="e">
        <f ca="1"/>
        <v>#VALUE!</v>
      </c>
    </row>
    <row r="122" spans="13:23">
      <c r="M122" s="92">
        <f t="shared" ca="1" si="5"/>
        <v>44475</v>
      </c>
      <c r="N122" s="115" t="e">
        <f ca="1"/>
        <v>#VALUE!</v>
      </c>
      <c r="P122" s="92">
        <f t="shared" ca="1" si="6"/>
        <v>44475</v>
      </c>
      <c r="Q122" s="115" t="e">
        <f ca="1"/>
        <v>#VALUE!</v>
      </c>
      <c r="S122" s="92">
        <f t="shared" ca="1" si="7"/>
        <v>44475</v>
      </c>
      <c r="T122" s="115" t="e">
        <f ca="1"/>
        <v>#VALUE!</v>
      </c>
      <c r="V122" s="92">
        <f t="shared" ca="1" si="8"/>
        <v>44475</v>
      </c>
      <c r="W122" s="115" t="e">
        <f ca="1"/>
        <v>#VALUE!</v>
      </c>
    </row>
    <row r="123" spans="13:23">
      <c r="M123" s="92">
        <f t="shared" ca="1" si="5"/>
        <v>44482</v>
      </c>
      <c r="N123" s="115" t="e">
        <f ca="1"/>
        <v>#VALUE!</v>
      </c>
      <c r="P123" s="92">
        <f t="shared" ca="1" si="6"/>
        <v>44482</v>
      </c>
      <c r="Q123" s="115" t="e">
        <f ca="1"/>
        <v>#VALUE!</v>
      </c>
      <c r="S123" s="92">
        <f t="shared" ca="1" si="7"/>
        <v>44482</v>
      </c>
      <c r="T123" s="115" t="e">
        <f ca="1"/>
        <v>#VALUE!</v>
      </c>
      <c r="V123" s="92">
        <f t="shared" ca="1" si="8"/>
        <v>44482</v>
      </c>
      <c r="W123" s="115" t="e">
        <f ca="1"/>
        <v>#VALUE!</v>
      </c>
    </row>
    <row r="124" spans="13:23">
      <c r="M124" s="92">
        <f t="shared" ca="1" si="5"/>
        <v>44489</v>
      </c>
      <c r="N124" s="115" t="e">
        <f ca="1"/>
        <v>#VALUE!</v>
      </c>
      <c r="P124" s="92">
        <f t="shared" ca="1" si="6"/>
        <v>44489</v>
      </c>
      <c r="Q124" s="115" t="e">
        <f ca="1"/>
        <v>#VALUE!</v>
      </c>
      <c r="S124" s="92">
        <f t="shared" ca="1" si="7"/>
        <v>44489</v>
      </c>
      <c r="T124" s="115" t="e">
        <f ca="1"/>
        <v>#VALUE!</v>
      </c>
      <c r="V124" s="92">
        <f t="shared" ca="1" si="8"/>
        <v>44489</v>
      </c>
      <c r="W124" s="115" t="e">
        <f ca="1"/>
        <v>#VALUE!</v>
      </c>
    </row>
    <row r="125" spans="13:23">
      <c r="M125" s="92">
        <f t="shared" ca="1" si="5"/>
        <v>44496</v>
      </c>
      <c r="N125" s="115" t="e">
        <f ca="1"/>
        <v>#VALUE!</v>
      </c>
      <c r="P125" s="92">
        <f t="shared" ca="1" si="6"/>
        <v>44496</v>
      </c>
      <c r="Q125" s="115" t="e">
        <f ca="1"/>
        <v>#VALUE!</v>
      </c>
      <c r="S125" s="92">
        <f t="shared" ca="1" si="7"/>
        <v>44496</v>
      </c>
      <c r="T125" s="115" t="e">
        <f ca="1"/>
        <v>#VALUE!</v>
      </c>
      <c r="V125" s="92">
        <f t="shared" ca="1" si="8"/>
        <v>44496</v>
      </c>
      <c r="W125" s="115" t="e">
        <f ca="1"/>
        <v>#VALUE!</v>
      </c>
    </row>
    <row r="126" spans="13:23">
      <c r="M126" s="92">
        <f t="shared" ca="1" si="5"/>
        <v>44503</v>
      </c>
      <c r="N126" s="115" t="e">
        <f ca="1"/>
        <v>#VALUE!</v>
      </c>
      <c r="P126" s="92">
        <f t="shared" ca="1" si="6"/>
        <v>44503</v>
      </c>
      <c r="Q126" s="115" t="e">
        <f ca="1"/>
        <v>#VALUE!</v>
      </c>
      <c r="S126" s="92">
        <f t="shared" ca="1" si="7"/>
        <v>44503</v>
      </c>
      <c r="T126" s="115" t="e">
        <f ca="1"/>
        <v>#VALUE!</v>
      </c>
      <c r="V126" s="92">
        <f t="shared" ca="1" si="8"/>
        <v>44503</v>
      </c>
      <c r="W126" s="115" t="e">
        <f ca="1"/>
        <v>#VALUE!</v>
      </c>
    </row>
    <row r="127" spans="13:23">
      <c r="M127" s="92">
        <f t="shared" ca="1" si="5"/>
        <v>44510</v>
      </c>
      <c r="N127" s="115" t="e">
        <f ca="1"/>
        <v>#VALUE!</v>
      </c>
      <c r="P127" s="92">
        <f t="shared" ca="1" si="6"/>
        <v>44510</v>
      </c>
      <c r="Q127" s="115" t="e">
        <f ca="1"/>
        <v>#VALUE!</v>
      </c>
      <c r="S127" s="92">
        <f t="shared" ca="1" si="7"/>
        <v>44510</v>
      </c>
      <c r="T127" s="115" t="e">
        <f ca="1"/>
        <v>#VALUE!</v>
      </c>
      <c r="V127" s="92">
        <f t="shared" ca="1" si="8"/>
        <v>44510</v>
      </c>
      <c r="W127" s="115" t="e">
        <f ca="1"/>
        <v>#VALUE!</v>
      </c>
    </row>
    <row r="128" spans="13:23">
      <c r="M128" s="92">
        <f t="shared" ca="1" si="5"/>
        <v>44517</v>
      </c>
      <c r="N128" s="115" t="e">
        <f ca="1"/>
        <v>#VALUE!</v>
      </c>
      <c r="P128" s="92">
        <f t="shared" ca="1" si="6"/>
        <v>44517</v>
      </c>
      <c r="Q128" s="115" t="e">
        <f ca="1"/>
        <v>#VALUE!</v>
      </c>
      <c r="S128" s="92">
        <f t="shared" ca="1" si="7"/>
        <v>44517</v>
      </c>
      <c r="T128" s="115" t="e">
        <f ca="1"/>
        <v>#VALUE!</v>
      </c>
      <c r="V128" s="92">
        <f t="shared" ca="1" si="8"/>
        <v>44517</v>
      </c>
      <c r="W128" s="115" t="e">
        <f ca="1"/>
        <v>#VALUE!</v>
      </c>
    </row>
    <row r="129" spans="13:23">
      <c r="M129" s="92">
        <f t="shared" ca="1" si="5"/>
        <v>44524</v>
      </c>
      <c r="N129" s="115" t="e">
        <f ca="1"/>
        <v>#VALUE!</v>
      </c>
      <c r="P129" s="92">
        <f t="shared" ca="1" si="6"/>
        <v>44524</v>
      </c>
      <c r="Q129" s="115" t="e">
        <f ca="1"/>
        <v>#VALUE!</v>
      </c>
      <c r="S129" s="92">
        <f t="shared" ca="1" si="7"/>
        <v>44524</v>
      </c>
      <c r="T129" s="115" t="e">
        <f ca="1"/>
        <v>#VALUE!</v>
      </c>
      <c r="V129" s="92">
        <f t="shared" ca="1" si="8"/>
        <v>44524</v>
      </c>
      <c r="W129" s="115" t="e">
        <f ca="1"/>
        <v>#VALUE!</v>
      </c>
    </row>
    <row r="130" spans="13:23">
      <c r="M130" s="92">
        <f t="shared" ca="1" si="5"/>
        <v>44531</v>
      </c>
      <c r="N130" s="115" t="e">
        <f ca="1"/>
        <v>#VALUE!</v>
      </c>
      <c r="P130" s="92">
        <f t="shared" ca="1" si="6"/>
        <v>44531</v>
      </c>
      <c r="Q130" s="115" t="e">
        <f ca="1"/>
        <v>#VALUE!</v>
      </c>
      <c r="S130" s="92">
        <f t="shared" ca="1" si="7"/>
        <v>44531</v>
      </c>
      <c r="T130" s="115" t="e">
        <f ca="1"/>
        <v>#VALUE!</v>
      </c>
      <c r="V130" s="92">
        <f t="shared" ca="1" si="8"/>
        <v>44531</v>
      </c>
      <c r="W130" s="115" t="e">
        <f ca="1"/>
        <v>#VALUE!</v>
      </c>
    </row>
    <row r="131" spans="13:23">
      <c r="M131" s="92">
        <f t="shared" ca="1" si="5"/>
        <v>44538</v>
      </c>
      <c r="N131" s="115" t="e">
        <f ca="1"/>
        <v>#VALUE!</v>
      </c>
      <c r="P131" s="92">
        <f t="shared" ca="1" si="6"/>
        <v>44538</v>
      </c>
      <c r="Q131" s="115" t="e">
        <f ca="1"/>
        <v>#VALUE!</v>
      </c>
      <c r="S131" s="92">
        <f t="shared" ca="1" si="7"/>
        <v>44538</v>
      </c>
      <c r="T131" s="115" t="e">
        <f ca="1"/>
        <v>#VALUE!</v>
      </c>
      <c r="V131" s="92">
        <f t="shared" ca="1" si="8"/>
        <v>44538</v>
      </c>
      <c r="W131" s="115" t="e">
        <f ca="1"/>
        <v>#VALUE!</v>
      </c>
    </row>
    <row r="132" spans="13:23">
      <c r="M132" s="92">
        <f t="shared" ca="1" si="5"/>
        <v>44545</v>
      </c>
      <c r="N132" s="115" t="e">
        <f ca="1"/>
        <v>#VALUE!</v>
      </c>
      <c r="P132" s="92">
        <f t="shared" ca="1" si="6"/>
        <v>44545</v>
      </c>
      <c r="Q132" s="115" t="e">
        <f ca="1"/>
        <v>#VALUE!</v>
      </c>
      <c r="S132" s="92">
        <f t="shared" ca="1" si="7"/>
        <v>44545</v>
      </c>
      <c r="T132" s="115" t="e">
        <f ca="1"/>
        <v>#VALUE!</v>
      </c>
      <c r="V132" s="92">
        <f t="shared" ca="1" si="8"/>
        <v>44545</v>
      </c>
      <c r="W132" s="115" t="e">
        <f ca="1"/>
        <v>#VALUE!</v>
      </c>
    </row>
    <row r="133" spans="13:23">
      <c r="M133" s="92">
        <f t="shared" ca="1" si="5"/>
        <v>44552</v>
      </c>
      <c r="N133" s="115" t="e">
        <f ca="1"/>
        <v>#VALUE!</v>
      </c>
      <c r="P133" s="92">
        <f t="shared" ca="1" si="6"/>
        <v>44552</v>
      </c>
      <c r="Q133" s="115" t="e">
        <f ca="1"/>
        <v>#VALUE!</v>
      </c>
      <c r="S133" s="92">
        <f t="shared" ca="1" si="7"/>
        <v>44552</v>
      </c>
      <c r="T133" s="115" t="e">
        <f ca="1"/>
        <v>#VALUE!</v>
      </c>
      <c r="V133" s="92">
        <f t="shared" ca="1" si="8"/>
        <v>44552</v>
      </c>
      <c r="W133" s="115" t="e">
        <f ca="1"/>
        <v>#VALUE!</v>
      </c>
    </row>
    <row r="134" spans="13:23">
      <c r="M134" s="92">
        <f t="shared" ca="1" si="5"/>
        <v>44559</v>
      </c>
      <c r="N134" s="115" t="e">
        <f ca="1"/>
        <v>#VALUE!</v>
      </c>
      <c r="P134" s="92">
        <f t="shared" ca="1" si="6"/>
        <v>44559</v>
      </c>
      <c r="Q134" s="115" t="e">
        <f ca="1"/>
        <v>#VALUE!</v>
      </c>
      <c r="S134" s="92">
        <f t="shared" ca="1" si="7"/>
        <v>44559</v>
      </c>
      <c r="T134" s="115" t="e">
        <f ca="1"/>
        <v>#VALUE!</v>
      </c>
      <c r="V134" s="92">
        <f t="shared" ca="1" si="8"/>
        <v>44559</v>
      </c>
      <c r="W134" s="115" t="e">
        <f ca="1"/>
        <v>#VALUE!</v>
      </c>
    </row>
    <row r="135" spans="13:23">
      <c r="M135" s="92">
        <f t="shared" ca="1" si="5"/>
        <v>44566</v>
      </c>
      <c r="N135" s="115" t="e">
        <f ca="1"/>
        <v>#VALUE!</v>
      </c>
      <c r="P135" s="92">
        <f t="shared" ca="1" si="6"/>
        <v>44566</v>
      </c>
      <c r="Q135" s="115" t="e">
        <f ca="1"/>
        <v>#VALUE!</v>
      </c>
      <c r="S135" s="92">
        <f t="shared" ca="1" si="7"/>
        <v>44566</v>
      </c>
      <c r="T135" s="115" t="e">
        <f ca="1"/>
        <v>#VALUE!</v>
      </c>
      <c r="V135" s="92">
        <f t="shared" ca="1" si="8"/>
        <v>44566</v>
      </c>
      <c r="W135" s="115" t="e">
        <f ca="1"/>
        <v>#VALUE!</v>
      </c>
    </row>
    <row r="136" spans="13:23">
      <c r="M136" s="92">
        <f t="shared" ca="1" si="5"/>
        <v>44573</v>
      </c>
      <c r="N136" s="115" t="e">
        <f ca="1"/>
        <v>#VALUE!</v>
      </c>
      <c r="P136" s="92">
        <f t="shared" ca="1" si="6"/>
        <v>44573</v>
      </c>
      <c r="Q136" s="115" t="e">
        <f ca="1"/>
        <v>#VALUE!</v>
      </c>
      <c r="S136" s="92">
        <f t="shared" ca="1" si="7"/>
        <v>44573</v>
      </c>
      <c r="T136" s="115" t="e">
        <f ca="1"/>
        <v>#VALUE!</v>
      </c>
      <c r="V136" s="92">
        <f t="shared" ca="1" si="8"/>
        <v>44573</v>
      </c>
      <c r="W136" s="115" t="e">
        <f ca="1"/>
        <v>#VALUE!</v>
      </c>
    </row>
    <row r="137" spans="13:23">
      <c r="M137" s="92">
        <f t="shared" ca="1" si="5"/>
        <v>44580</v>
      </c>
      <c r="N137" s="115" t="e">
        <f ca="1"/>
        <v>#VALUE!</v>
      </c>
      <c r="P137" s="92">
        <f t="shared" ca="1" si="6"/>
        <v>44580</v>
      </c>
      <c r="Q137" s="115" t="e">
        <f ca="1"/>
        <v>#VALUE!</v>
      </c>
      <c r="S137" s="92">
        <f t="shared" ca="1" si="7"/>
        <v>44580</v>
      </c>
      <c r="T137" s="115" t="e">
        <f ca="1"/>
        <v>#VALUE!</v>
      </c>
      <c r="V137" s="92">
        <f t="shared" ca="1" si="8"/>
        <v>44580</v>
      </c>
      <c r="W137" s="115" t="e">
        <f ca="1"/>
        <v>#VALUE!</v>
      </c>
    </row>
    <row r="138" spans="13:23">
      <c r="M138" s="92">
        <f t="shared" ca="1" si="5"/>
        <v>44587</v>
      </c>
      <c r="N138" s="115" t="e">
        <f ca="1"/>
        <v>#VALUE!</v>
      </c>
      <c r="P138" s="92">
        <f t="shared" ca="1" si="6"/>
        <v>44587</v>
      </c>
      <c r="Q138" s="115" t="e">
        <f ca="1"/>
        <v>#VALUE!</v>
      </c>
      <c r="S138" s="92">
        <f t="shared" ca="1" si="7"/>
        <v>44587</v>
      </c>
      <c r="T138" s="115" t="e">
        <f ca="1"/>
        <v>#VALUE!</v>
      </c>
      <c r="V138" s="92">
        <f t="shared" ca="1" si="8"/>
        <v>44587</v>
      </c>
      <c r="W138" s="115" t="e">
        <f ca="1"/>
        <v>#VALUE!</v>
      </c>
    </row>
    <row r="139" spans="13:23">
      <c r="M139" s="92">
        <f t="shared" ca="1" si="5"/>
        <v>44594</v>
      </c>
      <c r="N139" s="115" t="e">
        <f ca="1"/>
        <v>#VALUE!</v>
      </c>
      <c r="P139" s="92">
        <f t="shared" ca="1" si="6"/>
        <v>44594</v>
      </c>
      <c r="Q139" s="115" t="e">
        <f ca="1"/>
        <v>#VALUE!</v>
      </c>
      <c r="S139" s="92">
        <f t="shared" ca="1" si="7"/>
        <v>44594</v>
      </c>
      <c r="T139" s="115" t="e">
        <f ca="1"/>
        <v>#VALUE!</v>
      </c>
      <c r="V139" s="92">
        <f t="shared" ca="1" si="8"/>
        <v>44594</v>
      </c>
      <c r="W139" s="115" t="e">
        <f ca="1"/>
        <v>#VALUE!</v>
      </c>
    </row>
    <row r="140" spans="13:23">
      <c r="M140" s="92">
        <f t="shared" ca="1" si="5"/>
        <v>44601</v>
      </c>
      <c r="N140" s="115" t="e">
        <f ca="1"/>
        <v>#VALUE!</v>
      </c>
      <c r="P140" s="92">
        <f t="shared" ca="1" si="6"/>
        <v>44601</v>
      </c>
      <c r="Q140" s="115" t="e">
        <f ca="1"/>
        <v>#VALUE!</v>
      </c>
      <c r="S140" s="92">
        <f t="shared" ca="1" si="7"/>
        <v>44601</v>
      </c>
      <c r="T140" s="115" t="e">
        <f ca="1"/>
        <v>#VALUE!</v>
      </c>
      <c r="V140" s="92">
        <f t="shared" ca="1" si="8"/>
        <v>44601</v>
      </c>
      <c r="W140" s="115" t="e">
        <f ca="1"/>
        <v>#VALUE!</v>
      </c>
    </row>
    <row r="141" spans="13:23">
      <c r="M141" s="92">
        <f t="shared" ref="M141:M204" ca="1" si="9">M140+7</f>
        <v>44608</v>
      </c>
      <c r="N141" s="115" t="e">
        <f ca="1"/>
        <v>#VALUE!</v>
      </c>
      <c r="P141" s="92">
        <f t="shared" ref="P141:P204" ca="1" si="10">P140+7</f>
        <v>44608</v>
      </c>
      <c r="Q141" s="115" t="e">
        <f ca="1"/>
        <v>#VALUE!</v>
      </c>
      <c r="S141" s="92">
        <f t="shared" ref="S141:S204" ca="1" si="11">S140+7</f>
        <v>44608</v>
      </c>
      <c r="T141" s="115" t="e">
        <f ca="1"/>
        <v>#VALUE!</v>
      </c>
      <c r="V141" s="92">
        <f t="shared" ref="V141:V204" ca="1" si="12">V140+7</f>
        <v>44608</v>
      </c>
      <c r="W141" s="115" t="e">
        <f ca="1"/>
        <v>#VALUE!</v>
      </c>
    </row>
    <row r="142" spans="13:23">
      <c r="M142" s="92">
        <f t="shared" ca="1" si="9"/>
        <v>44615</v>
      </c>
      <c r="N142" s="115" t="e">
        <f ca="1"/>
        <v>#VALUE!</v>
      </c>
      <c r="P142" s="92">
        <f t="shared" ca="1" si="10"/>
        <v>44615</v>
      </c>
      <c r="Q142" s="115" t="e">
        <f ca="1"/>
        <v>#VALUE!</v>
      </c>
      <c r="S142" s="92">
        <f t="shared" ca="1" si="11"/>
        <v>44615</v>
      </c>
      <c r="T142" s="115" t="e">
        <f ca="1"/>
        <v>#VALUE!</v>
      </c>
      <c r="V142" s="92">
        <f t="shared" ca="1" si="12"/>
        <v>44615</v>
      </c>
      <c r="W142" s="115" t="e">
        <f ca="1"/>
        <v>#VALUE!</v>
      </c>
    </row>
    <row r="143" spans="13:23">
      <c r="M143" s="92">
        <f t="shared" ca="1" si="9"/>
        <v>44622</v>
      </c>
      <c r="N143" s="115" t="e">
        <f ca="1"/>
        <v>#VALUE!</v>
      </c>
      <c r="P143" s="92">
        <f t="shared" ca="1" si="10"/>
        <v>44622</v>
      </c>
      <c r="Q143" s="115" t="e">
        <f ca="1"/>
        <v>#VALUE!</v>
      </c>
      <c r="S143" s="92">
        <f t="shared" ca="1" si="11"/>
        <v>44622</v>
      </c>
      <c r="T143" s="115" t="e">
        <f ca="1"/>
        <v>#VALUE!</v>
      </c>
      <c r="V143" s="92">
        <f t="shared" ca="1" si="12"/>
        <v>44622</v>
      </c>
      <c r="W143" s="115" t="e">
        <f ca="1"/>
        <v>#VALUE!</v>
      </c>
    </row>
    <row r="144" spans="13:23">
      <c r="M144" s="92">
        <f t="shared" ca="1" si="9"/>
        <v>44629</v>
      </c>
      <c r="N144" s="115" t="e">
        <f ca="1"/>
        <v>#VALUE!</v>
      </c>
      <c r="P144" s="92">
        <f t="shared" ca="1" si="10"/>
        <v>44629</v>
      </c>
      <c r="Q144" s="115" t="e">
        <f ca="1"/>
        <v>#VALUE!</v>
      </c>
      <c r="S144" s="92">
        <f t="shared" ca="1" si="11"/>
        <v>44629</v>
      </c>
      <c r="T144" s="115" t="e">
        <f ca="1"/>
        <v>#VALUE!</v>
      </c>
      <c r="V144" s="92">
        <f t="shared" ca="1" si="12"/>
        <v>44629</v>
      </c>
      <c r="W144" s="115" t="e">
        <f ca="1"/>
        <v>#VALUE!</v>
      </c>
    </row>
    <row r="145" spans="13:23">
      <c r="M145" s="92">
        <f t="shared" ca="1" si="9"/>
        <v>44636</v>
      </c>
      <c r="N145" s="115" t="e">
        <f ca="1"/>
        <v>#VALUE!</v>
      </c>
      <c r="P145" s="92">
        <f t="shared" ca="1" si="10"/>
        <v>44636</v>
      </c>
      <c r="Q145" s="115" t="e">
        <f ca="1"/>
        <v>#VALUE!</v>
      </c>
      <c r="S145" s="92">
        <f t="shared" ca="1" si="11"/>
        <v>44636</v>
      </c>
      <c r="T145" s="115" t="e">
        <f ca="1"/>
        <v>#VALUE!</v>
      </c>
      <c r="V145" s="92">
        <f t="shared" ca="1" si="12"/>
        <v>44636</v>
      </c>
      <c r="W145" s="115" t="e">
        <f ca="1"/>
        <v>#VALUE!</v>
      </c>
    </row>
    <row r="146" spans="13:23">
      <c r="M146" s="92">
        <f t="shared" ca="1" si="9"/>
        <v>44643</v>
      </c>
      <c r="N146" s="115" t="e">
        <f ca="1"/>
        <v>#VALUE!</v>
      </c>
      <c r="P146" s="92">
        <f t="shared" ca="1" si="10"/>
        <v>44643</v>
      </c>
      <c r="Q146" s="115" t="e">
        <f ca="1"/>
        <v>#VALUE!</v>
      </c>
      <c r="S146" s="92">
        <f t="shared" ca="1" si="11"/>
        <v>44643</v>
      </c>
      <c r="T146" s="115" t="e">
        <f ca="1"/>
        <v>#VALUE!</v>
      </c>
      <c r="V146" s="92">
        <f t="shared" ca="1" si="12"/>
        <v>44643</v>
      </c>
      <c r="W146" s="115" t="e">
        <f ca="1"/>
        <v>#VALUE!</v>
      </c>
    </row>
    <row r="147" spans="13:23">
      <c r="M147" s="92">
        <f t="shared" ca="1" si="9"/>
        <v>44650</v>
      </c>
      <c r="N147" s="115" t="e">
        <f ca="1"/>
        <v>#VALUE!</v>
      </c>
      <c r="P147" s="92">
        <f t="shared" ca="1" si="10"/>
        <v>44650</v>
      </c>
      <c r="Q147" s="115" t="e">
        <f ca="1"/>
        <v>#VALUE!</v>
      </c>
      <c r="S147" s="92">
        <f t="shared" ca="1" si="11"/>
        <v>44650</v>
      </c>
      <c r="T147" s="115" t="e">
        <f ca="1"/>
        <v>#VALUE!</v>
      </c>
      <c r="V147" s="92">
        <f t="shared" ca="1" si="12"/>
        <v>44650</v>
      </c>
      <c r="W147" s="115" t="e">
        <f ca="1"/>
        <v>#VALUE!</v>
      </c>
    </row>
    <row r="148" spans="13:23">
      <c r="M148" s="92">
        <f t="shared" ca="1" si="9"/>
        <v>44657</v>
      </c>
      <c r="N148" s="115" t="e">
        <f ca="1"/>
        <v>#VALUE!</v>
      </c>
      <c r="P148" s="92">
        <f t="shared" ca="1" si="10"/>
        <v>44657</v>
      </c>
      <c r="Q148" s="115" t="e">
        <f ca="1"/>
        <v>#VALUE!</v>
      </c>
      <c r="S148" s="92">
        <f t="shared" ca="1" si="11"/>
        <v>44657</v>
      </c>
      <c r="T148" s="115" t="e">
        <f ca="1"/>
        <v>#VALUE!</v>
      </c>
      <c r="V148" s="92">
        <f t="shared" ca="1" si="12"/>
        <v>44657</v>
      </c>
      <c r="W148" s="115" t="e">
        <f ca="1"/>
        <v>#VALUE!</v>
      </c>
    </row>
    <row r="149" spans="13:23">
      <c r="M149" s="92">
        <f t="shared" ca="1" si="9"/>
        <v>44664</v>
      </c>
      <c r="N149" s="115" t="e">
        <f ca="1"/>
        <v>#VALUE!</v>
      </c>
      <c r="P149" s="92">
        <f t="shared" ca="1" si="10"/>
        <v>44664</v>
      </c>
      <c r="Q149" s="115" t="e">
        <f ca="1"/>
        <v>#VALUE!</v>
      </c>
      <c r="S149" s="92">
        <f t="shared" ca="1" si="11"/>
        <v>44664</v>
      </c>
      <c r="T149" s="115" t="e">
        <f ca="1"/>
        <v>#VALUE!</v>
      </c>
      <c r="V149" s="92">
        <f t="shared" ca="1" si="12"/>
        <v>44664</v>
      </c>
      <c r="W149" s="115" t="e">
        <f ca="1"/>
        <v>#VALUE!</v>
      </c>
    </row>
    <row r="150" spans="13:23">
      <c r="M150" s="92">
        <f t="shared" ca="1" si="9"/>
        <v>44671</v>
      </c>
      <c r="N150" s="115" t="e">
        <f ca="1"/>
        <v>#VALUE!</v>
      </c>
      <c r="P150" s="92">
        <f t="shared" ca="1" si="10"/>
        <v>44671</v>
      </c>
      <c r="Q150" s="115" t="e">
        <f ca="1"/>
        <v>#VALUE!</v>
      </c>
      <c r="S150" s="92">
        <f t="shared" ca="1" si="11"/>
        <v>44671</v>
      </c>
      <c r="T150" s="115" t="e">
        <f ca="1"/>
        <v>#VALUE!</v>
      </c>
      <c r="V150" s="92">
        <f t="shared" ca="1" si="12"/>
        <v>44671</v>
      </c>
      <c r="W150" s="115" t="e">
        <f ca="1"/>
        <v>#VALUE!</v>
      </c>
    </row>
    <row r="151" spans="13:23">
      <c r="M151" s="92">
        <f t="shared" ca="1" si="9"/>
        <v>44678</v>
      </c>
      <c r="N151" s="115" t="e">
        <f ca="1"/>
        <v>#VALUE!</v>
      </c>
      <c r="P151" s="92">
        <f t="shared" ca="1" si="10"/>
        <v>44678</v>
      </c>
      <c r="Q151" s="115" t="e">
        <f ca="1"/>
        <v>#VALUE!</v>
      </c>
      <c r="S151" s="92">
        <f t="shared" ca="1" si="11"/>
        <v>44678</v>
      </c>
      <c r="T151" s="115" t="e">
        <f ca="1"/>
        <v>#VALUE!</v>
      </c>
      <c r="V151" s="92">
        <f t="shared" ca="1" si="12"/>
        <v>44678</v>
      </c>
      <c r="W151" s="115" t="e">
        <f ca="1"/>
        <v>#VALUE!</v>
      </c>
    </row>
    <row r="152" spans="13:23">
      <c r="M152" s="92">
        <f t="shared" ca="1" si="9"/>
        <v>44685</v>
      </c>
      <c r="N152" s="115" t="e">
        <f ca="1"/>
        <v>#VALUE!</v>
      </c>
      <c r="P152" s="92">
        <f t="shared" ca="1" si="10"/>
        <v>44685</v>
      </c>
      <c r="Q152" s="115" t="e">
        <f ca="1"/>
        <v>#VALUE!</v>
      </c>
      <c r="S152" s="92">
        <f t="shared" ca="1" si="11"/>
        <v>44685</v>
      </c>
      <c r="T152" s="115" t="e">
        <f ca="1"/>
        <v>#VALUE!</v>
      </c>
      <c r="V152" s="92">
        <f t="shared" ca="1" si="12"/>
        <v>44685</v>
      </c>
      <c r="W152" s="115" t="e">
        <f ca="1"/>
        <v>#VALUE!</v>
      </c>
    </row>
    <row r="153" spans="13:23">
      <c r="M153" s="92">
        <f t="shared" ca="1" si="9"/>
        <v>44692</v>
      </c>
      <c r="N153" s="115" t="e">
        <f ca="1"/>
        <v>#VALUE!</v>
      </c>
      <c r="P153" s="92">
        <f t="shared" ca="1" si="10"/>
        <v>44692</v>
      </c>
      <c r="Q153" s="115" t="e">
        <f ca="1"/>
        <v>#VALUE!</v>
      </c>
      <c r="S153" s="92">
        <f t="shared" ca="1" si="11"/>
        <v>44692</v>
      </c>
      <c r="T153" s="115" t="e">
        <f ca="1"/>
        <v>#VALUE!</v>
      </c>
      <c r="V153" s="92">
        <f t="shared" ca="1" si="12"/>
        <v>44692</v>
      </c>
      <c r="W153" s="115" t="e">
        <f ca="1"/>
        <v>#VALUE!</v>
      </c>
    </row>
    <row r="154" spans="13:23">
      <c r="M154" s="92">
        <f t="shared" ca="1" si="9"/>
        <v>44699</v>
      </c>
      <c r="N154" s="115" t="e">
        <f ca="1"/>
        <v>#VALUE!</v>
      </c>
      <c r="P154" s="92">
        <f t="shared" ca="1" si="10"/>
        <v>44699</v>
      </c>
      <c r="Q154" s="115" t="e">
        <f ca="1"/>
        <v>#VALUE!</v>
      </c>
      <c r="S154" s="92">
        <f t="shared" ca="1" si="11"/>
        <v>44699</v>
      </c>
      <c r="T154" s="115" t="e">
        <f ca="1"/>
        <v>#VALUE!</v>
      </c>
      <c r="V154" s="92">
        <f t="shared" ca="1" si="12"/>
        <v>44699</v>
      </c>
      <c r="W154" s="115" t="e">
        <f ca="1"/>
        <v>#VALUE!</v>
      </c>
    </row>
    <row r="155" spans="13:23">
      <c r="M155" s="92">
        <f t="shared" ca="1" si="9"/>
        <v>44706</v>
      </c>
      <c r="N155" s="115" t="e">
        <f ca="1"/>
        <v>#VALUE!</v>
      </c>
      <c r="P155" s="92">
        <f t="shared" ca="1" si="10"/>
        <v>44706</v>
      </c>
      <c r="Q155" s="115" t="e">
        <f ca="1"/>
        <v>#VALUE!</v>
      </c>
      <c r="S155" s="92">
        <f t="shared" ca="1" si="11"/>
        <v>44706</v>
      </c>
      <c r="T155" s="115" t="e">
        <f ca="1"/>
        <v>#VALUE!</v>
      </c>
      <c r="V155" s="92">
        <f t="shared" ca="1" si="12"/>
        <v>44706</v>
      </c>
      <c r="W155" s="115" t="e">
        <f ca="1"/>
        <v>#VALUE!</v>
      </c>
    </row>
    <row r="156" spans="13:23">
      <c r="M156" s="92">
        <f t="shared" ca="1" si="9"/>
        <v>44713</v>
      </c>
      <c r="N156" s="115" t="e">
        <f ca="1"/>
        <v>#VALUE!</v>
      </c>
      <c r="P156" s="92">
        <f t="shared" ca="1" si="10"/>
        <v>44713</v>
      </c>
      <c r="Q156" s="115" t="e">
        <f ca="1"/>
        <v>#VALUE!</v>
      </c>
      <c r="S156" s="92">
        <f t="shared" ca="1" si="11"/>
        <v>44713</v>
      </c>
      <c r="T156" s="115" t="e">
        <f ca="1"/>
        <v>#VALUE!</v>
      </c>
      <c r="V156" s="92">
        <f t="shared" ca="1" si="12"/>
        <v>44713</v>
      </c>
      <c r="W156" s="115" t="e">
        <f ca="1"/>
        <v>#VALUE!</v>
      </c>
    </row>
    <row r="157" spans="13:23">
      <c r="M157" s="92">
        <f t="shared" ca="1" si="9"/>
        <v>44720</v>
      </c>
      <c r="N157" s="115" t="e">
        <f ca="1"/>
        <v>#VALUE!</v>
      </c>
      <c r="P157" s="92">
        <f t="shared" ca="1" si="10"/>
        <v>44720</v>
      </c>
      <c r="Q157" s="115" t="e">
        <f ca="1"/>
        <v>#VALUE!</v>
      </c>
      <c r="S157" s="92">
        <f t="shared" ca="1" si="11"/>
        <v>44720</v>
      </c>
      <c r="T157" s="115" t="e">
        <f ca="1"/>
        <v>#VALUE!</v>
      </c>
      <c r="V157" s="92">
        <f t="shared" ca="1" si="12"/>
        <v>44720</v>
      </c>
      <c r="W157" s="115" t="e">
        <f ca="1"/>
        <v>#VALUE!</v>
      </c>
    </row>
    <row r="158" spans="13:23">
      <c r="M158" s="92">
        <f t="shared" ca="1" si="9"/>
        <v>44727</v>
      </c>
      <c r="N158" s="115" t="e">
        <f ca="1"/>
        <v>#VALUE!</v>
      </c>
      <c r="P158" s="92">
        <f t="shared" ca="1" si="10"/>
        <v>44727</v>
      </c>
      <c r="Q158" s="115" t="e">
        <f ca="1"/>
        <v>#VALUE!</v>
      </c>
      <c r="S158" s="92">
        <f t="shared" ca="1" si="11"/>
        <v>44727</v>
      </c>
      <c r="T158" s="115" t="e">
        <f ca="1"/>
        <v>#VALUE!</v>
      </c>
      <c r="V158" s="92">
        <f t="shared" ca="1" si="12"/>
        <v>44727</v>
      </c>
      <c r="W158" s="115" t="e">
        <f ca="1"/>
        <v>#VALUE!</v>
      </c>
    </row>
    <row r="159" spans="13:23">
      <c r="M159" s="92">
        <f t="shared" ca="1" si="9"/>
        <v>44734</v>
      </c>
      <c r="N159" s="115" t="e">
        <f ca="1"/>
        <v>#VALUE!</v>
      </c>
      <c r="P159" s="92">
        <f t="shared" ca="1" si="10"/>
        <v>44734</v>
      </c>
      <c r="Q159" s="115" t="e">
        <f ca="1"/>
        <v>#VALUE!</v>
      </c>
      <c r="S159" s="92">
        <f t="shared" ca="1" si="11"/>
        <v>44734</v>
      </c>
      <c r="T159" s="115" t="e">
        <f ca="1"/>
        <v>#VALUE!</v>
      </c>
      <c r="V159" s="92">
        <f t="shared" ca="1" si="12"/>
        <v>44734</v>
      </c>
      <c r="W159" s="115" t="e">
        <f ca="1"/>
        <v>#VALUE!</v>
      </c>
    </row>
    <row r="160" spans="13:23">
      <c r="M160" s="92">
        <f t="shared" ca="1" si="9"/>
        <v>44741</v>
      </c>
      <c r="N160" s="115" t="e">
        <f ca="1"/>
        <v>#VALUE!</v>
      </c>
      <c r="P160" s="92">
        <f t="shared" ca="1" si="10"/>
        <v>44741</v>
      </c>
      <c r="Q160" s="115" t="e">
        <f ca="1"/>
        <v>#VALUE!</v>
      </c>
      <c r="S160" s="92">
        <f t="shared" ca="1" si="11"/>
        <v>44741</v>
      </c>
      <c r="T160" s="115" t="e">
        <f ca="1"/>
        <v>#VALUE!</v>
      </c>
      <c r="V160" s="92">
        <f t="shared" ca="1" si="12"/>
        <v>44741</v>
      </c>
      <c r="W160" s="115" t="e">
        <f ca="1"/>
        <v>#VALUE!</v>
      </c>
    </row>
    <row r="161" spans="13:23">
      <c r="M161" s="92">
        <f t="shared" ca="1" si="9"/>
        <v>44748</v>
      </c>
      <c r="N161" s="115" t="e">
        <f ca="1"/>
        <v>#VALUE!</v>
      </c>
      <c r="P161" s="92">
        <f t="shared" ca="1" si="10"/>
        <v>44748</v>
      </c>
      <c r="Q161" s="115" t="e">
        <f ca="1"/>
        <v>#VALUE!</v>
      </c>
      <c r="S161" s="92">
        <f t="shared" ca="1" si="11"/>
        <v>44748</v>
      </c>
      <c r="T161" s="115" t="e">
        <f ca="1"/>
        <v>#VALUE!</v>
      </c>
      <c r="V161" s="92">
        <f t="shared" ca="1" si="12"/>
        <v>44748</v>
      </c>
      <c r="W161" s="115" t="e">
        <f ca="1"/>
        <v>#VALUE!</v>
      </c>
    </row>
    <row r="162" spans="13:23">
      <c r="M162" s="92">
        <f t="shared" ca="1" si="9"/>
        <v>44755</v>
      </c>
      <c r="N162" s="115" t="e">
        <f ca="1"/>
        <v>#VALUE!</v>
      </c>
      <c r="P162" s="92">
        <f t="shared" ca="1" si="10"/>
        <v>44755</v>
      </c>
      <c r="Q162" s="115" t="e">
        <f ca="1"/>
        <v>#VALUE!</v>
      </c>
      <c r="S162" s="92">
        <f t="shared" ca="1" si="11"/>
        <v>44755</v>
      </c>
      <c r="T162" s="115" t="e">
        <f ca="1"/>
        <v>#VALUE!</v>
      </c>
      <c r="V162" s="92">
        <f t="shared" ca="1" si="12"/>
        <v>44755</v>
      </c>
      <c r="W162" s="115" t="e">
        <f ca="1"/>
        <v>#VALUE!</v>
      </c>
    </row>
    <row r="163" spans="13:23">
      <c r="M163" s="92">
        <f t="shared" ca="1" si="9"/>
        <v>44762</v>
      </c>
      <c r="N163" s="115" t="e">
        <f ca="1"/>
        <v>#VALUE!</v>
      </c>
      <c r="P163" s="92">
        <f t="shared" ca="1" si="10"/>
        <v>44762</v>
      </c>
      <c r="Q163" s="115" t="e">
        <f ca="1"/>
        <v>#VALUE!</v>
      </c>
      <c r="S163" s="92">
        <f t="shared" ca="1" si="11"/>
        <v>44762</v>
      </c>
      <c r="T163" s="115" t="e">
        <f ca="1"/>
        <v>#VALUE!</v>
      </c>
      <c r="V163" s="92">
        <f t="shared" ca="1" si="12"/>
        <v>44762</v>
      </c>
      <c r="W163" s="115" t="e">
        <f ca="1"/>
        <v>#VALUE!</v>
      </c>
    </row>
    <row r="164" spans="13:23">
      <c r="M164" s="92">
        <f t="shared" ca="1" si="9"/>
        <v>44769</v>
      </c>
      <c r="N164" s="115" t="e">
        <f ca="1"/>
        <v>#VALUE!</v>
      </c>
      <c r="P164" s="92">
        <f t="shared" ca="1" si="10"/>
        <v>44769</v>
      </c>
      <c r="Q164" s="115" t="e">
        <f ca="1"/>
        <v>#VALUE!</v>
      </c>
      <c r="S164" s="92">
        <f t="shared" ca="1" si="11"/>
        <v>44769</v>
      </c>
      <c r="T164" s="115" t="e">
        <f ca="1"/>
        <v>#VALUE!</v>
      </c>
      <c r="V164" s="92">
        <f t="shared" ca="1" si="12"/>
        <v>44769</v>
      </c>
      <c r="W164" s="115" t="e">
        <f ca="1"/>
        <v>#VALUE!</v>
      </c>
    </row>
    <row r="165" spans="13:23">
      <c r="M165" s="92">
        <f t="shared" ca="1" si="9"/>
        <v>44776</v>
      </c>
      <c r="N165" s="115" t="e">
        <f ca="1"/>
        <v>#VALUE!</v>
      </c>
      <c r="P165" s="92">
        <f t="shared" ca="1" si="10"/>
        <v>44776</v>
      </c>
      <c r="Q165" s="115" t="e">
        <f ca="1"/>
        <v>#VALUE!</v>
      </c>
      <c r="S165" s="92">
        <f t="shared" ca="1" si="11"/>
        <v>44776</v>
      </c>
      <c r="T165" s="115" t="e">
        <f ca="1"/>
        <v>#VALUE!</v>
      </c>
      <c r="V165" s="92">
        <f t="shared" ca="1" si="12"/>
        <v>44776</v>
      </c>
      <c r="W165" s="115" t="e">
        <f ca="1"/>
        <v>#VALUE!</v>
      </c>
    </row>
    <row r="166" spans="13:23">
      <c r="M166" s="92">
        <f t="shared" ca="1" si="9"/>
        <v>44783</v>
      </c>
      <c r="N166" s="115" t="e">
        <f ca="1"/>
        <v>#VALUE!</v>
      </c>
      <c r="P166" s="92">
        <f t="shared" ca="1" si="10"/>
        <v>44783</v>
      </c>
      <c r="Q166" s="115" t="e">
        <f ca="1"/>
        <v>#VALUE!</v>
      </c>
      <c r="S166" s="92">
        <f t="shared" ca="1" si="11"/>
        <v>44783</v>
      </c>
      <c r="T166" s="115" t="e">
        <f ca="1"/>
        <v>#VALUE!</v>
      </c>
      <c r="V166" s="92">
        <f t="shared" ca="1" si="12"/>
        <v>44783</v>
      </c>
      <c r="W166" s="115" t="e">
        <f ca="1"/>
        <v>#VALUE!</v>
      </c>
    </row>
    <row r="167" spans="13:23">
      <c r="M167" s="92">
        <f t="shared" ca="1" si="9"/>
        <v>44790</v>
      </c>
      <c r="N167" s="115" t="e">
        <f ca="1"/>
        <v>#VALUE!</v>
      </c>
      <c r="P167" s="92">
        <f t="shared" ca="1" si="10"/>
        <v>44790</v>
      </c>
      <c r="Q167" s="115" t="e">
        <f ca="1"/>
        <v>#VALUE!</v>
      </c>
      <c r="S167" s="92">
        <f t="shared" ca="1" si="11"/>
        <v>44790</v>
      </c>
      <c r="T167" s="115" t="e">
        <f ca="1"/>
        <v>#VALUE!</v>
      </c>
      <c r="V167" s="92">
        <f t="shared" ca="1" si="12"/>
        <v>44790</v>
      </c>
      <c r="W167" s="115" t="e">
        <f ca="1"/>
        <v>#VALUE!</v>
      </c>
    </row>
    <row r="168" spans="13:23">
      <c r="M168" s="92">
        <f t="shared" ca="1" si="9"/>
        <v>44797</v>
      </c>
      <c r="N168" s="115" t="e">
        <f ca="1"/>
        <v>#VALUE!</v>
      </c>
      <c r="P168" s="92">
        <f t="shared" ca="1" si="10"/>
        <v>44797</v>
      </c>
      <c r="Q168" s="115" t="e">
        <f ca="1"/>
        <v>#VALUE!</v>
      </c>
      <c r="S168" s="92">
        <f t="shared" ca="1" si="11"/>
        <v>44797</v>
      </c>
      <c r="T168" s="115" t="e">
        <f ca="1"/>
        <v>#VALUE!</v>
      </c>
      <c r="V168" s="92">
        <f t="shared" ca="1" si="12"/>
        <v>44797</v>
      </c>
      <c r="W168" s="115" t="e">
        <f ca="1"/>
        <v>#VALUE!</v>
      </c>
    </row>
    <row r="169" spans="13:23">
      <c r="M169" s="92">
        <f t="shared" ca="1" si="9"/>
        <v>44804</v>
      </c>
      <c r="N169" s="115" t="e">
        <f ca="1"/>
        <v>#VALUE!</v>
      </c>
      <c r="P169" s="92">
        <f t="shared" ca="1" si="10"/>
        <v>44804</v>
      </c>
      <c r="Q169" s="115" t="e">
        <f ca="1"/>
        <v>#VALUE!</v>
      </c>
      <c r="S169" s="92">
        <f t="shared" ca="1" si="11"/>
        <v>44804</v>
      </c>
      <c r="T169" s="115" t="e">
        <f ca="1"/>
        <v>#VALUE!</v>
      </c>
      <c r="V169" s="92">
        <f t="shared" ca="1" si="12"/>
        <v>44804</v>
      </c>
      <c r="W169" s="115" t="e">
        <f ca="1"/>
        <v>#VALUE!</v>
      </c>
    </row>
    <row r="170" spans="13:23">
      <c r="M170" s="92">
        <f t="shared" ca="1" si="9"/>
        <v>44811</v>
      </c>
      <c r="N170" s="115" t="e">
        <f ca="1"/>
        <v>#VALUE!</v>
      </c>
      <c r="P170" s="92">
        <f t="shared" ca="1" si="10"/>
        <v>44811</v>
      </c>
      <c r="Q170" s="115" t="e">
        <f ca="1"/>
        <v>#VALUE!</v>
      </c>
      <c r="S170" s="92">
        <f t="shared" ca="1" si="11"/>
        <v>44811</v>
      </c>
      <c r="T170" s="115" t="e">
        <f ca="1"/>
        <v>#VALUE!</v>
      </c>
      <c r="V170" s="92">
        <f t="shared" ca="1" si="12"/>
        <v>44811</v>
      </c>
      <c r="W170" s="115" t="e">
        <f ca="1"/>
        <v>#VALUE!</v>
      </c>
    </row>
    <row r="171" spans="13:23">
      <c r="M171" s="92">
        <f t="shared" ca="1" si="9"/>
        <v>44818</v>
      </c>
      <c r="N171" s="115" t="e">
        <f ca="1"/>
        <v>#VALUE!</v>
      </c>
      <c r="P171" s="92">
        <f t="shared" ca="1" si="10"/>
        <v>44818</v>
      </c>
      <c r="Q171" s="115" t="e">
        <f ca="1"/>
        <v>#VALUE!</v>
      </c>
      <c r="S171" s="92">
        <f t="shared" ca="1" si="11"/>
        <v>44818</v>
      </c>
      <c r="T171" s="115" t="e">
        <f ca="1"/>
        <v>#VALUE!</v>
      </c>
      <c r="V171" s="92">
        <f t="shared" ca="1" si="12"/>
        <v>44818</v>
      </c>
      <c r="W171" s="115" t="e">
        <f ca="1"/>
        <v>#VALUE!</v>
      </c>
    </row>
    <row r="172" spans="13:23">
      <c r="M172" s="92">
        <f t="shared" ca="1" si="9"/>
        <v>44825</v>
      </c>
      <c r="N172" s="115" t="e">
        <f ca="1"/>
        <v>#VALUE!</v>
      </c>
      <c r="P172" s="92">
        <f t="shared" ca="1" si="10"/>
        <v>44825</v>
      </c>
      <c r="Q172" s="115" t="e">
        <f ca="1"/>
        <v>#VALUE!</v>
      </c>
      <c r="S172" s="92">
        <f t="shared" ca="1" si="11"/>
        <v>44825</v>
      </c>
      <c r="T172" s="115" t="e">
        <f ca="1"/>
        <v>#VALUE!</v>
      </c>
      <c r="V172" s="92">
        <f t="shared" ca="1" si="12"/>
        <v>44825</v>
      </c>
      <c r="W172" s="115" t="e">
        <f ca="1"/>
        <v>#VALUE!</v>
      </c>
    </row>
    <row r="173" spans="13:23">
      <c r="M173" s="92">
        <f t="shared" ca="1" si="9"/>
        <v>44832</v>
      </c>
      <c r="N173" s="115" t="e">
        <f ca="1"/>
        <v>#VALUE!</v>
      </c>
      <c r="P173" s="92">
        <f t="shared" ca="1" si="10"/>
        <v>44832</v>
      </c>
      <c r="Q173" s="115" t="e">
        <f ca="1"/>
        <v>#VALUE!</v>
      </c>
      <c r="S173" s="92">
        <f t="shared" ca="1" si="11"/>
        <v>44832</v>
      </c>
      <c r="T173" s="115" t="e">
        <f ca="1"/>
        <v>#VALUE!</v>
      </c>
      <c r="V173" s="92">
        <f t="shared" ca="1" si="12"/>
        <v>44832</v>
      </c>
      <c r="W173" s="115" t="e">
        <f ca="1"/>
        <v>#VALUE!</v>
      </c>
    </row>
    <row r="174" spans="13:23">
      <c r="M174" s="92">
        <f t="shared" ca="1" si="9"/>
        <v>44839</v>
      </c>
      <c r="N174" s="115" t="e">
        <f ca="1"/>
        <v>#VALUE!</v>
      </c>
      <c r="P174" s="92">
        <f t="shared" ca="1" si="10"/>
        <v>44839</v>
      </c>
      <c r="Q174" s="115" t="e">
        <f ca="1"/>
        <v>#VALUE!</v>
      </c>
      <c r="S174" s="92">
        <f t="shared" ca="1" si="11"/>
        <v>44839</v>
      </c>
      <c r="T174" s="115" t="e">
        <f ca="1"/>
        <v>#VALUE!</v>
      </c>
      <c r="V174" s="92">
        <f t="shared" ca="1" si="12"/>
        <v>44839</v>
      </c>
      <c r="W174" s="115" t="e">
        <f ca="1"/>
        <v>#VALUE!</v>
      </c>
    </row>
    <row r="175" spans="13:23">
      <c r="M175" s="92">
        <f t="shared" ca="1" si="9"/>
        <v>44846</v>
      </c>
      <c r="N175" s="115" t="e">
        <f ca="1"/>
        <v>#VALUE!</v>
      </c>
      <c r="P175" s="92">
        <f t="shared" ca="1" si="10"/>
        <v>44846</v>
      </c>
      <c r="Q175" s="115" t="e">
        <f ca="1"/>
        <v>#VALUE!</v>
      </c>
      <c r="S175" s="92">
        <f t="shared" ca="1" si="11"/>
        <v>44846</v>
      </c>
      <c r="T175" s="115" t="e">
        <f ca="1"/>
        <v>#VALUE!</v>
      </c>
      <c r="V175" s="92">
        <f t="shared" ca="1" si="12"/>
        <v>44846</v>
      </c>
      <c r="W175" s="115" t="e">
        <f ca="1"/>
        <v>#VALUE!</v>
      </c>
    </row>
    <row r="176" spans="13:23">
      <c r="M176" s="92">
        <f t="shared" ca="1" si="9"/>
        <v>44853</v>
      </c>
      <c r="N176" s="115" t="e">
        <f ca="1"/>
        <v>#VALUE!</v>
      </c>
      <c r="P176" s="92">
        <f t="shared" ca="1" si="10"/>
        <v>44853</v>
      </c>
      <c r="Q176" s="115" t="e">
        <f ca="1"/>
        <v>#VALUE!</v>
      </c>
      <c r="S176" s="92">
        <f t="shared" ca="1" si="11"/>
        <v>44853</v>
      </c>
      <c r="T176" s="115" t="e">
        <f ca="1"/>
        <v>#VALUE!</v>
      </c>
      <c r="V176" s="92">
        <f t="shared" ca="1" si="12"/>
        <v>44853</v>
      </c>
      <c r="W176" s="115" t="e">
        <f ca="1"/>
        <v>#VALUE!</v>
      </c>
    </row>
    <row r="177" spans="13:23">
      <c r="M177" s="92">
        <f t="shared" ca="1" si="9"/>
        <v>44860</v>
      </c>
      <c r="N177" s="115" t="e">
        <f ca="1"/>
        <v>#VALUE!</v>
      </c>
      <c r="P177" s="92">
        <f t="shared" ca="1" si="10"/>
        <v>44860</v>
      </c>
      <c r="Q177" s="115" t="e">
        <f ca="1"/>
        <v>#VALUE!</v>
      </c>
      <c r="S177" s="92">
        <f t="shared" ca="1" si="11"/>
        <v>44860</v>
      </c>
      <c r="T177" s="115" t="e">
        <f ca="1"/>
        <v>#VALUE!</v>
      </c>
      <c r="V177" s="92">
        <f t="shared" ca="1" si="12"/>
        <v>44860</v>
      </c>
      <c r="W177" s="115" t="e">
        <f ca="1"/>
        <v>#VALUE!</v>
      </c>
    </row>
    <row r="178" spans="13:23">
      <c r="M178" s="92">
        <f t="shared" ca="1" si="9"/>
        <v>44867</v>
      </c>
      <c r="N178" s="115" t="e">
        <f ca="1"/>
        <v>#VALUE!</v>
      </c>
      <c r="P178" s="92">
        <f t="shared" ca="1" si="10"/>
        <v>44867</v>
      </c>
      <c r="Q178" s="115" t="e">
        <f ca="1"/>
        <v>#VALUE!</v>
      </c>
      <c r="S178" s="92">
        <f t="shared" ca="1" si="11"/>
        <v>44867</v>
      </c>
      <c r="T178" s="115" t="e">
        <f ca="1"/>
        <v>#VALUE!</v>
      </c>
      <c r="V178" s="92">
        <f t="shared" ca="1" si="12"/>
        <v>44867</v>
      </c>
      <c r="W178" s="115" t="e">
        <f ca="1"/>
        <v>#VALUE!</v>
      </c>
    </row>
    <row r="179" spans="13:23">
      <c r="M179" s="92">
        <f t="shared" ca="1" si="9"/>
        <v>44874</v>
      </c>
      <c r="N179" s="115" t="e">
        <f ca="1"/>
        <v>#VALUE!</v>
      </c>
      <c r="P179" s="92">
        <f t="shared" ca="1" si="10"/>
        <v>44874</v>
      </c>
      <c r="Q179" s="115" t="e">
        <f ca="1"/>
        <v>#VALUE!</v>
      </c>
      <c r="S179" s="92">
        <f t="shared" ca="1" si="11"/>
        <v>44874</v>
      </c>
      <c r="T179" s="115" t="e">
        <f ca="1"/>
        <v>#VALUE!</v>
      </c>
      <c r="V179" s="92">
        <f t="shared" ca="1" si="12"/>
        <v>44874</v>
      </c>
      <c r="W179" s="115" t="e">
        <f ca="1"/>
        <v>#VALUE!</v>
      </c>
    </row>
    <row r="180" spans="13:23">
      <c r="M180" s="92">
        <f t="shared" ca="1" si="9"/>
        <v>44881</v>
      </c>
      <c r="N180" s="115" t="e">
        <f ca="1"/>
        <v>#VALUE!</v>
      </c>
      <c r="P180" s="92">
        <f t="shared" ca="1" si="10"/>
        <v>44881</v>
      </c>
      <c r="Q180" s="115" t="e">
        <f ca="1"/>
        <v>#VALUE!</v>
      </c>
      <c r="S180" s="92">
        <f t="shared" ca="1" si="11"/>
        <v>44881</v>
      </c>
      <c r="T180" s="115" t="e">
        <f ca="1"/>
        <v>#VALUE!</v>
      </c>
      <c r="V180" s="92">
        <f t="shared" ca="1" si="12"/>
        <v>44881</v>
      </c>
      <c r="W180" s="115" t="e">
        <f ca="1"/>
        <v>#VALUE!</v>
      </c>
    </row>
    <row r="181" spans="13:23">
      <c r="M181" s="92">
        <f t="shared" ca="1" si="9"/>
        <v>44888</v>
      </c>
      <c r="N181" s="115" t="e">
        <f ca="1"/>
        <v>#VALUE!</v>
      </c>
      <c r="P181" s="92">
        <f t="shared" ca="1" si="10"/>
        <v>44888</v>
      </c>
      <c r="Q181" s="115" t="e">
        <f ca="1"/>
        <v>#VALUE!</v>
      </c>
      <c r="S181" s="92">
        <f t="shared" ca="1" si="11"/>
        <v>44888</v>
      </c>
      <c r="T181" s="115" t="e">
        <f ca="1"/>
        <v>#VALUE!</v>
      </c>
      <c r="V181" s="92">
        <f t="shared" ca="1" si="12"/>
        <v>44888</v>
      </c>
      <c r="W181" s="115" t="e">
        <f ca="1"/>
        <v>#VALUE!</v>
      </c>
    </row>
    <row r="182" spans="13:23">
      <c r="M182" s="92">
        <f t="shared" ca="1" si="9"/>
        <v>44895</v>
      </c>
      <c r="N182" s="115" t="e">
        <f ca="1"/>
        <v>#VALUE!</v>
      </c>
      <c r="P182" s="92">
        <f t="shared" ca="1" si="10"/>
        <v>44895</v>
      </c>
      <c r="Q182" s="115" t="e">
        <f ca="1"/>
        <v>#VALUE!</v>
      </c>
      <c r="S182" s="92">
        <f t="shared" ca="1" si="11"/>
        <v>44895</v>
      </c>
      <c r="T182" s="115" t="e">
        <f ca="1"/>
        <v>#VALUE!</v>
      </c>
      <c r="V182" s="92">
        <f t="shared" ca="1" si="12"/>
        <v>44895</v>
      </c>
      <c r="W182" s="115" t="e">
        <f ca="1"/>
        <v>#VALUE!</v>
      </c>
    </row>
    <row r="183" spans="13:23">
      <c r="M183" s="92">
        <f t="shared" ca="1" si="9"/>
        <v>44902</v>
      </c>
      <c r="N183" s="115" t="e">
        <f ca="1"/>
        <v>#VALUE!</v>
      </c>
      <c r="P183" s="92">
        <f t="shared" ca="1" si="10"/>
        <v>44902</v>
      </c>
      <c r="Q183" s="115" t="e">
        <f ca="1"/>
        <v>#VALUE!</v>
      </c>
      <c r="S183" s="92">
        <f t="shared" ca="1" si="11"/>
        <v>44902</v>
      </c>
      <c r="T183" s="115" t="e">
        <f ca="1"/>
        <v>#VALUE!</v>
      </c>
      <c r="V183" s="92">
        <f t="shared" ca="1" si="12"/>
        <v>44902</v>
      </c>
      <c r="W183" s="115" t="e">
        <f ca="1"/>
        <v>#VALUE!</v>
      </c>
    </row>
    <row r="184" spans="13:23">
      <c r="M184" s="92">
        <f t="shared" ca="1" si="9"/>
        <v>44909</v>
      </c>
      <c r="N184" s="115" t="e">
        <f ca="1"/>
        <v>#VALUE!</v>
      </c>
      <c r="P184" s="92">
        <f t="shared" ca="1" si="10"/>
        <v>44909</v>
      </c>
      <c r="Q184" s="115" t="e">
        <f ca="1"/>
        <v>#VALUE!</v>
      </c>
      <c r="S184" s="92">
        <f t="shared" ca="1" si="11"/>
        <v>44909</v>
      </c>
      <c r="T184" s="115" t="e">
        <f ca="1"/>
        <v>#VALUE!</v>
      </c>
      <c r="V184" s="92">
        <f t="shared" ca="1" si="12"/>
        <v>44909</v>
      </c>
      <c r="W184" s="115" t="e">
        <f ca="1"/>
        <v>#VALUE!</v>
      </c>
    </row>
    <row r="185" spans="13:23">
      <c r="M185" s="92">
        <f t="shared" ca="1" si="9"/>
        <v>44916</v>
      </c>
      <c r="N185" s="115" t="e">
        <f ca="1"/>
        <v>#VALUE!</v>
      </c>
      <c r="P185" s="92">
        <f t="shared" ca="1" si="10"/>
        <v>44916</v>
      </c>
      <c r="Q185" s="115" t="e">
        <f ca="1"/>
        <v>#VALUE!</v>
      </c>
      <c r="S185" s="92">
        <f t="shared" ca="1" si="11"/>
        <v>44916</v>
      </c>
      <c r="T185" s="115" t="e">
        <f ca="1"/>
        <v>#VALUE!</v>
      </c>
      <c r="V185" s="92">
        <f t="shared" ca="1" si="12"/>
        <v>44916</v>
      </c>
      <c r="W185" s="115" t="e">
        <f ca="1"/>
        <v>#VALUE!</v>
      </c>
    </row>
    <row r="186" spans="13:23">
      <c r="M186" s="92">
        <f t="shared" ca="1" si="9"/>
        <v>44923</v>
      </c>
      <c r="N186" s="115" t="e">
        <f ca="1"/>
        <v>#VALUE!</v>
      </c>
      <c r="P186" s="92">
        <f t="shared" ca="1" si="10"/>
        <v>44923</v>
      </c>
      <c r="Q186" s="115" t="e">
        <f ca="1"/>
        <v>#VALUE!</v>
      </c>
      <c r="S186" s="92">
        <f t="shared" ca="1" si="11"/>
        <v>44923</v>
      </c>
      <c r="T186" s="115" t="e">
        <f ca="1"/>
        <v>#VALUE!</v>
      </c>
      <c r="V186" s="92">
        <f t="shared" ca="1" si="12"/>
        <v>44923</v>
      </c>
      <c r="W186" s="115" t="e">
        <f ca="1"/>
        <v>#VALUE!</v>
      </c>
    </row>
    <row r="187" spans="13:23">
      <c r="M187" s="92">
        <f t="shared" ca="1" si="9"/>
        <v>44930</v>
      </c>
      <c r="N187" s="115" t="e">
        <f ca="1"/>
        <v>#VALUE!</v>
      </c>
      <c r="P187" s="92">
        <f t="shared" ca="1" si="10"/>
        <v>44930</v>
      </c>
      <c r="Q187" s="115" t="e">
        <f ca="1"/>
        <v>#VALUE!</v>
      </c>
      <c r="S187" s="92">
        <f t="shared" ca="1" si="11"/>
        <v>44930</v>
      </c>
      <c r="T187" s="115" t="e">
        <f ca="1"/>
        <v>#VALUE!</v>
      </c>
      <c r="V187" s="92">
        <f t="shared" ca="1" si="12"/>
        <v>44930</v>
      </c>
      <c r="W187" s="115" t="e">
        <f ca="1"/>
        <v>#VALUE!</v>
      </c>
    </row>
    <row r="188" spans="13:23">
      <c r="M188" s="92">
        <f t="shared" ca="1" si="9"/>
        <v>44937</v>
      </c>
      <c r="N188" s="115" t="e">
        <f ca="1"/>
        <v>#VALUE!</v>
      </c>
      <c r="P188" s="92">
        <f t="shared" ca="1" si="10"/>
        <v>44937</v>
      </c>
      <c r="Q188" s="115" t="e">
        <f ca="1"/>
        <v>#VALUE!</v>
      </c>
      <c r="S188" s="92">
        <f t="shared" ca="1" si="11"/>
        <v>44937</v>
      </c>
      <c r="T188" s="115" t="e">
        <f ca="1"/>
        <v>#VALUE!</v>
      </c>
      <c r="V188" s="92">
        <f t="shared" ca="1" si="12"/>
        <v>44937</v>
      </c>
      <c r="W188" s="115" t="e">
        <f ca="1"/>
        <v>#VALUE!</v>
      </c>
    </row>
    <row r="189" spans="13:23">
      <c r="M189" s="92">
        <f t="shared" ca="1" si="9"/>
        <v>44944</v>
      </c>
      <c r="N189" s="115" t="e">
        <f ca="1"/>
        <v>#VALUE!</v>
      </c>
      <c r="P189" s="92">
        <f t="shared" ca="1" si="10"/>
        <v>44944</v>
      </c>
      <c r="Q189" s="115" t="e">
        <f ca="1"/>
        <v>#VALUE!</v>
      </c>
      <c r="S189" s="92">
        <f t="shared" ca="1" si="11"/>
        <v>44944</v>
      </c>
      <c r="T189" s="115" t="e">
        <f ca="1"/>
        <v>#VALUE!</v>
      </c>
      <c r="V189" s="92">
        <f t="shared" ca="1" si="12"/>
        <v>44944</v>
      </c>
      <c r="W189" s="115" t="e">
        <f ca="1"/>
        <v>#VALUE!</v>
      </c>
    </row>
    <row r="190" spans="13:23">
      <c r="M190" s="92">
        <f t="shared" ca="1" si="9"/>
        <v>44951</v>
      </c>
      <c r="N190" s="115" t="e">
        <f ca="1"/>
        <v>#VALUE!</v>
      </c>
      <c r="P190" s="92">
        <f t="shared" ca="1" si="10"/>
        <v>44951</v>
      </c>
      <c r="Q190" s="115" t="e">
        <f ca="1"/>
        <v>#VALUE!</v>
      </c>
      <c r="S190" s="92">
        <f t="shared" ca="1" si="11"/>
        <v>44951</v>
      </c>
      <c r="T190" s="115" t="e">
        <f ca="1"/>
        <v>#VALUE!</v>
      </c>
      <c r="V190" s="92">
        <f t="shared" ca="1" si="12"/>
        <v>44951</v>
      </c>
      <c r="W190" s="115" t="e">
        <f ca="1"/>
        <v>#VALUE!</v>
      </c>
    </row>
    <row r="191" spans="13:23">
      <c r="M191" s="92">
        <f t="shared" ca="1" si="9"/>
        <v>44958</v>
      </c>
      <c r="N191" s="115" t="e">
        <f ca="1"/>
        <v>#VALUE!</v>
      </c>
      <c r="P191" s="92">
        <f t="shared" ca="1" si="10"/>
        <v>44958</v>
      </c>
      <c r="Q191" s="115" t="e">
        <f ca="1"/>
        <v>#VALUE!</v>
      </c>
      <c r="S191" s="92">
        <f t="shared" ca="1" si="11"/>
        <v>44958</v>
      </c>
      <c r="T191" s="115" t="e">
        <f ca="1"/>
        <v>#VALUE!</v>
      </c>
      <c r="V191" s="92">
        <f t="shared" ca="1" si="12"/>
        <v>44958</v>
      </c>
      <c r="W191" s="115" t="e">
        <f ca="1"/>
        <v>#VALUE!</v>
      </c>
    </row>
    <row r="192" spans="13:23">
      <c r="M192" s="92">
        <f t="shared" ca="1" si="9"/>
        <v>44965</v>
      </c>
      <c r="N192" s="115" t="e">
        <f ca="1"/>
        <v>#VALUE!</v>
      </c>
      <c r="P192" s="92">
        <f t="shared" ca="1" si="10"/>
        <v>44965</v>
      </c>
      <c r="Q192" s="115" t="e">
        <f ca="1"/>
        <v>#VALUE!</v>
      </c>
      <c r="S192" s="92">
        <f t="shared" ca="1" si="11"/>
        <v>44965</v>
      </c>
      <c r="T192" s="115" t="e">
        <f ca="1"/>
        <v>#VALUE!</v>
      </c>
      <c r="V192" s="92">
        <f t="shared" ca="1" si="12"/>
        <v>44965</v>
      </c>
      <c r="W192" s="115" t="e">
        <f ca="1"/>
        <v>#VALUE!</v>
      </c>
    </row>
    <row r="193" spans="13:23">
      <c r="M193" s="92">
        <f t="shared" ca="1" si="9"/>
        <v>44972</v>
      </c>
      <c r="N193" s="115" t="e">
        <f ca="1"/>
        <v>#VALUE!</v>
      </c>
      <c r="P193" s="92">
        <f t="shared" ca="1" si="10"/>
        <v>44972</v>
      </c>
      <c r="Q193" s="115" t="e">
        <f ca="1"/>
        <v>#VALUE!</v>
      </c>
      <c r="S193" s="92">
        <f t="shared" ca="1" si="11"/>
        <v>44972</v>
      </c>
      <c r="T193" s="115" t="e">
        <f ca="1"/>
        <v>#VALUE!</v>
      </c>
      <c r="V193" s="92">
        <f t="shared" ca="1" si="12"/>
        <v>44972</v>
      </c>
      <c r="W193" s="115" t="e">
        <f ca="1"/>
        <v>#VALUE!</v>
      </c>
    </row>
    <row r="194" spans="13:23">
      <c r="M194" s="92">
        <f t="shared" ca="1" si="9"/>
        <v>44979</v>
      </c>
      <c r="N194" s="115" t="e">
        <f ca="1"/>
        <v>#VALUE!</v>
      </c>
      <c r="P194" s="92">
        <f t="shared" ca="1" si="10"/>
        <v>44979</v>
      </c>
      <c r="Q194" s="115" t="e">
        <f ca="1"/>
        <v>#VALUE!</v>
      </c>
      <c r="S194" s="92">
        <f t="shared" ca="1" si="11"/>
        <v>44979</v>
      </c>
      <c r="T194" s="115" t="e">
        <f ca="1"/>
        <v>#VALUE!</v>
      </c>
      <c r="V194" s="92">
        <f t="shared" ca="1" si="12"/>
        <v>44979</v>
      </c>
      <c r="W194" s="115" t="e">
        <f ca="1"/>
        <v>#VALUE!</v>
      </c>
    </row>
    <row r="195" spans="13:23">
      <c r="M195" s="92">
        <f t="shared" ca="1" si="9"/>
        <v>44986</v>
      </c>
      <c r="N195" s="115" t="e">
        <f ca="1"/>
        <v>#VALUE!</v>
      </c>
      <c r="P195" s="92">
        <f t="shared" ca="1" si="10"/>
        <v>44986</v>
      </c>
      <c r="Q195" s="115" t="e">
        <f ca="1"/>
        <v>#VALUE!</v>
      </c>
      <c r="S195" s="92">
        <f t="shared" ca="1" si="11"/>
        <v>44986</v>
      </c>
      <c r="T195" s="115" t="e">
        <f ca="1"/>
        <v>#VALUE!</v>
      </c>
      <c r="V195" s="92">
        <f t="shared" ca="1" si="12"/>
        <v>44986</v>
      </c>
      <c r="W195" s="115" t="e">
        <f ca="1"/>
        <v>#VALUE!</v>
      </c>
    </row>
    <row r="196" spans="13:23">
      <c r="M196" s="92">
        <f t="shared" ca="1" si="9"/>
        <v>44993</v>
      </c>
      <c r="N196" s="115" t="e">
        <f ca="1"/>
        <v>#VALUE!</v>
      </c>
      <c r="P196" s="92">
        <f t="shared" ca="1" si="10"/>
        <v>44993</v>
      </c>
      <c r="Q196" s="115" t="e">
        <f ca="1"/>
        <v>#VALUE!</v>
      </c>
      <c r="S196" s="92">
        <f t="shared" ca="1" si="11"/>
        <v>44993</v>
      </c>
      <c r="T196" s="115" t="e">
        <f ca="1"/>
        <v>#VALUE!</v>
      </c>
      <c r="V196" s="92">
        <f t="shared" ca="1" si="12"/>
        <v>44993</v>
      </c>
      <c r="W196" s="115" t="e">
        <f ca="1"/>
        <v>#VALUE!</v>
      </c>
    </row>
    <row r="197" spans="13:23">
      <c r="M197" s="92">
        <f t="shared" ca="1" si="9"/>
        <v>45000</v>
      </c>
      <c r="N197" s="115" t="e">
        <f ca="1"/>
        <v>#VALUE!</v>
      </c>
      <c r="P197" s="92">
        <f t="shared" ca="1" si="10"/>
        <v>45000</v>
      </c>
      <c r="Q197" s="115" t="e">
        <f ca="1"/>
        <v>#VALUE!</v>
      </c>
      <c r="S197" s="92">
        <f t="shared" ca="1" si="11"/>
        <v>45000</v>
      </c>
      <c r="T197" s="115" t="e">
        <f ca="1"/>
        <v>#VALUE!</v>
      </c>
      <c r="V197" s="92">
        <f t="shared" ca="1" si="12"/>
        <v>45000</v>
      </c>
      <c r="W197" s="115" t="e">
        <f ca="1"/>
        <v>#VALUE!</v>
      </c>
    </row>
    <row r="198" spans="13:23">
      <c r="M198" s="92">
        <f t="shared" ca="1" si="9"/>
        <v>45007</v>
      </c>
      <c r="N198" s="115" t="e">
        <f ca="1"/>
        <v>#VALUE!</v>
      </c>
      <c r="P198" s="92">
        <f t="shared" ca="1" si="10"/>
        <v>45007</v>
      </c>
      <c r="Q198" s="115" t="e">
        <f ca="1"/>
        <v>#VALUE!</v>
      </c>
      <c r="S198" s="92">
        <f t="shared" ca="1" si="11"/>
        <v>45007</v>
      </c>
      <c r="T198" s="115" t="e">
        <f ca="1"/>
        <v>#VALUE!</v>
      </c>
      <c r="V198" s="92">
        <f t="shared" ca="1" si="12"/>
        <v>45007</v>
      </c>
      <c r="W198" s="115" t="e">
        <f ca="1"/>
        <v>#VALUE!</v>
      </c>
    </row>
    <row r="199" spans="13:23">
      <c r="M199" s="92">
        <f t="shared" ca="1" si="9"/>
        <v>45014</v>
      </c>
      <c r="N199" s="115" t="e">
        <f ca="1"/>
        <v>#VALUE!</v>
      </c>
      <c r="P199" s="92">
        <f t="shared" ca="1" si="10"/>
        <v>45014</v>
      </c>
      <c r="Q199" s="115" t="e">
        <f ca="1"/>
        <v>#VALUE!</v>
      </c>
      <c r="S199" s="92">
        <f t="shared" ca="1" si="11"/>
        <v>45014</v>
      </c>
      <c r="T199" s="115" t="e">
        <f ca="1"/>
        <v>#VALUE!</v>
      </c>
      <c r="V199" s="92">
        <f t="shared" ca="1" si="12"/>
        <v>45014</v>
      </c>
      <c r="W199" s="115" t="e">
        <f ca="1"/>
        <v>#VALUE!</v>
      </c>
    </row>
    <row r="200" spans="13:23">
      <c r="M200" s="92">
        <f t="shared" ca="1" si="9"/>
        <v>45021</v>
      </c>
      <c r="N200" s="115" t="e">
        <f ca="1"/>
        <v>#VALUE!</v>
      </c>
      <c r="P200" s="92">
        <f t="shared" ca="1" si="10"/>
        <v>45021</v>
      </c>
      <c r="Q200" s="115" t="e">
        <f ca="1"/>
        <v>#VALUE!</v>
      </c>
      <c r="S200" s="92">
        <f t="shared" ca="1" si="11"/>
        <v>45021</v>
      </c>
      <c r="T200" s="115" t="e">
        <f ca="1"/>
        <v>#VALUE!</v>
      </c>
      <c r="V200" s="92">
        <f t="shared" ca="1" si="12"/>
        <v>45021</v>
      </c>
      <c r="W200" s="115" t="e">
        <f ca="1"/>
        <v>#VALUE!</v>
      </c>
    </row>
    <row r="201" spans="13:23">
      <c r="M201" s="92">
        <f t="shared" ca="1" si="9"/>
        <v>45028</v>
      </c>
      <c r="N201" s="115" t="e">
        <f ca="1"/>
        <v>#VALUE!</v>
      </c>
      <c r="P201" s="92">
        <f t="shared" ca="1" si="10"/>
        <v>45028</v>
      </c>
      <c r="Q201" s="115" t="e">
        <f ca="1"/>
        <v>#VALUE!</v>
      </c>
      <c r="S201" s="92">
        <f t="shared" ca="1" si="11"/>
        <v>45028</v>
      </c>
      <c r="T201" s="115" t="e">
        <f ca="1"/>
        <v>#VALUE!</v>
      </c>
      <c r="V201" s="92">
        <f t="shared" ca="1" si="12"/>
        <v>45028</v>
      </c>
      <c r="W201" s="115" t="e">
        <f ca="1"/>
        <v>#VALUE!</v>
      </c>
    </row>
    <row r="202" spans="13:23">
      <c r="M202" s="92">
        <f t="shared" ca="1" si="9"/>
        <v>45035</v>
      </c>
      <c r="N202" s="115" t="e">
        <f ca="1"/>
        <v>#VALUE!</v>
      </c>
      <c r="P202" s="92">
        <f t="shared" ca="1" si="10"/>
        <v>45035</v>
      </c>
      <c r="Q202" s="115" t="e">
        <f ca="1"/>
        <v>#VALUE!</v>
      </c>
      <c r="S202" s="92">
        <f t="shared" ca="1" si="11"/>
        <v>45035</v>
      </c>
      <c r="T202" s="115" t="e">
        <f ca="1"/>
        <v>#VALUE!</v>
      </c>
      <c r="V202" s="92">
        <f t="shared" ca="1" si="12"/>
        <v>45035</v>
      </c>
      <c r="W202" s="115" t="e">
        <f ca="1"/>
        <v>#VALUE!</v>
      </c>
    </row>
    <row r="203" spans="13:23">
      <c r="M203" s="92">
        <f t="shared" ca="1" si="9"/>
        <v>45042</v>
      </c>
      <c r="N203" s="115" t="e">
        <f ca="1"/>
        <v>#VALUE!</v>
      </c>
      <c r="P203" s="92">
        <f t="shared" ca="1" si="10"/>
        <v>45042</v>
      </c>
      <c r="Q203" s="115" t="e">
        <f ca="1"/>
        <v>#VALUE!</v>
      </c>
      <c r="S203" s="92">
        <f t="shared" ca="1" si="11"/>
        <v>45042</v>
      </c>
      <c r="T203" s="115" t="e">
        <f ca="1"/>
        <v>#VALUE!</v>
      </c>
      <c r="V203" s="92">
        <f t="shared" ca="1" si="12"/>
        <v>45042</v>
      </c>
      <c r="W203" s="115" t="e">
        <f ca="1"/>
        <v>#VALUE!</v>
      </c>
    </row>
    <row r="204" spans="13:23">
      <c r="M204" s="92">
        <f t="shared" ca="1" si="9"/>
        <v>45049</v>
      </c>
      <c r="N204" s="115" t="e">
        <f ca="1"/>
        <v>#VALUE!</v>
      </c>
      <c r="P204" s="92">
        <f t="shared" ca="1" si="10"/>
        <v>45049</v>
      </c>
      <c r="Q204" s="115" t="e">
        <f ca="1"/>
        <v>#VALUE!</v>
      </c>
      <c r="S204" s="92">
        <f t="shared" ca="1" si="11"/>
        <v>45049</v>
      </c>
      <c r="T204" s="115" t="e">
        <f ca="1"/>
        <v>#VALUE!</v>
      </c>
      <c r="V204" s="92">
        <f t="shared" ca="1" si="12"/>
        <v>45049</v>
      </c>
      <c r="W204" s="115" t="e">
        <f ca="1"/>
        <v>#VALUE!</v>
      </c>
    </row>
    <row r="205" spans="13:23">
      <c r="M205" s="92">
        <f t="shared" ref="M205:M268" ca="1" si="13">M204+7</f>
        <v>45056</v>
      </c>
      <c r="N205" s="115" t="e">
        <f ca="1"/>
        <v>#VALUE!</v>
      </c>
      <c r="P205" s="92">
        <f t="shared" ref="P205:P268" ca="1" si="14">P204+7</f>
        <v>45056</v>
      </c>
      <c r="Q205" s="115" t="e">
        <f ca="1"/>
        <v>#VALUE!</v>
      </c>
      <c r="S205" s="92">
        <f t="shared" ref="S205:S268" ca="1" si="15">S204+7</f>
        <v>45056</v>
      </c>
      <c r="T205" s="115" t="e">
        <f ca="1"/>
        <v>#VALUE!</v>
      </c>
      <c r="V205" s="92">
        <f t="shared" ref="V205:V268" ca="1" si="16">V204+7</f>
        <v>45056</v>
      </c>
      <c r="W205" s="115" t="e">
        <f ca="1"/>
        <v>#VALUE!</v>
      </c>
    </row>
    <row r="206" spans="13:23">
      <c r="M206" s="92">
        <f t="shared" ca="1" si="13"/>
        <v>45063</v>
      </c>
      <c r="N206" s="115" t="e">
        <f ca="1"/>
        <v>#VALUE!</v>
      </c>
      <c r="P206" s="92">
        <f t="shared" ca="1" si="14"/>
        <v>45063</v>
      </c>
      <c r="Q206" s="115" t="e">
        <f ca="1"/>
        <v>#VALUE!</v>
      </c>
      <c r="S206" s="92">
        <f t="shared" ca="1" si="15"/>
        <v>45063</v>
      </c>
      <c r="T206" s="115" t="e">
        <f ca="1"/>
        <v>#VALUE!</v>
      </c>
      <c r="V206" s="92">
        <f t="shared" ca="1" si="16"/>
        <v>45063</v>
      </c>
      <c r="W206" s="115" t="e">
        <f ca="1"/>
        <v>#VALUE!</v>
      </c>
    </row>
    <row r="207" spans="13:23">
      <c r="M207" s="92">
        <f t="shared" ca="1" si="13"/>
        <v>45070</v>
      </c>
      <c r="N207" s="115" t="e">
        <f ca="1"/>
        <v>#VALUE!</v>
      </c>
      <c r="P207" s="92">
        <f t="shared" ca="1" si="14"/>
        <v>45070</v>
      </c>
      <c r="Q207" s="115" t="e">
        <f ca="1"/>
        <v>#VALUE!</v>
      </c>
      <c r="S207" s="92">
        <f t="shared" ca="1" si="15"/>
        <v>45070</v>
      </c>
      <c r="T207" s="115" t="e">
        <f ca="1"/>
        <v>#VALUE!</v>
      </c>
      <c r="V207" s="92">
        <f t="shared" ca="1" si="16"/>
        <v>45070</v>
      </c>
      <c r="W207" s="115" t="e">
        <f ca="1"/>
        <v>#VALUE!</v>
      </c>
    </row>
    <row r="208" spans="13:23">
      <c r="M208" s="92">
        <f t="shared" ca="1" si="13"/>
        <v>45077</v>
      </c>
      <c r="N208" s="115" t="e">
        <f ca="1"/>
        <v>#VALUE!</v>
      </c>
      <c r="P208" s="92">
        <f t="shared" ca="1" si="14"/>
        <v>45077</v>
      </c>
      <c r="Q208" s="115" t="e">
        <f ca="1"/>
        <v>#VALUE!</v>
      </c>
      <c r="S208" s="92">
        <f t="shared" ca="1" si="15"/>
        <v>45077</v>
      </c>
      <c r="T208" s="115" t="e">
        <f ca="1"/>
        <v>#VALUE!</v>
      </c>
      <c r="V208" s="92">
        <f t="shared" ca="1" si="16"/>
        <v>45077</v>
      </c>
      <c r="W208" s="115" t="e">
        <f ca="1"/>
        <v>#VALUE!</v>
      </c>
    </row>
    <row r="209" spans="13:23">
      <c r="M209" s="92">
        <f t="shared" ca="1" si="13"/>
        <v>45084</v>
      </c>
      <c r="N209" s="115" t="e">
        <f ca="1"/>
        <v>#VALUE!</v>
      </c>
      <c r="P209" s="92">
        <f t="shared" ca="1" si="14"/>
        <v>45084</v>
      </c>
      <c r="Q209" s="115" t="e">
        <f ca="1"/>
        <v>#VALUE!</v>
      </c>
      <c r="S209" s="92">
        <f t="shared" ca="1" si="15"/>
        <v>45084</v>
      </c>
      <c r="T209" s="115" t="e">
        <f ca="1"/>
        <v>#VALUE!</v>
      </c>
      <c r="V209" s="92">
        <f t="shared" ca="1" si="16"/>
        <v>45084</v>
      </c>
      <c r="W209" s="115" t="e">
        <f ca="1"/>
        <v>#VALUE!</v>
      </c>
    </row>
    <row r="210" spans="13:23">
      <c r="M210" s="92">
        <f t="shared" ca="1" si="13"/>
        <v>45091</v>
      </c>
      <c r="N210" s="115" t="e">
        <f ca="1"/>
        <v>#VALUE!</v>
      </c>
      <c r="P210" s="92">
        <f t="shared" ca="1" si="14"/>
        <v>45091</v>
      </c>
      <c r="Q210" s="115" t="e">
        <f ca="1"/>
        <v>#VALUE!</v>
      </c>
      <c r="S210" s="92">
        <f t="shared" ca="1" si="15"/>
        <v>45091</v>
      </c>
      <c r="T210" s="115" t="e">
        <f ca="1"/>
        <v>#VALUE!</v>
      </c>
      <c r="V210" s="92">
        <f t="shared" ca="1" si="16"/>
        <v>45091</v>
      </c>
      <c r="W210" s="115" t="e">
        <f ca="1"/>
        <v>#VALUE!</v>
      </c>
    </row>
    <row r="211" spans="13:23">
      <c r="M211" s="92">
        <f t="shared" ca="1" si="13"/>
        <v>45098</v>
      </c>
      <c r="N211" s="115" t="e">
        <f ca="1"/>
        <v>#VALUE!</v>
      </c>
      <c r="P211" s="92">
        <f t="shared" ca="1" si="14"/>
        <v>45098</v>
      </c>
      <c r="Q211" s="115" t="e">
        <f ca="1"/>
        <v>#VALUE!</v>
      </c>
      <c r="S211" s="92">
        <f t="shared" ca="1" si="15"/>
        <v>45098</v>
      </c>
      <c r="T211" s="115" t="e">
        <f ca="1"/>
        <v>#VALUE!</v>
      </c>
      <c r="V211" s="92">
        <f t="shared" ca="1" si="16"/>
        <v>45098</v>
      </c>
      <c r="W211" s="115" t="e">
        <f ca="1"/>
        <v>#VALUE!</v>
      </c>
    </row>
    <row r="212" spans="13:23">
      <c r="M212" s="92">
        <f t="shared" ca="1" si="13"/>
        <v>45105</v>
      </c>
      <c r="N212" s="115" t="e">
        <f ca="1"/>
        <v>#VALUE!</v>
      </c>
      <c r="P212" s="92">
        <f t="shared" ca="1" si="14"/>
        <v>45105</v>
      </c>
      <c r="Q212" s="115" t="e">
        <f ca="1"/>
        <v>#VALUE!</v>
      </c>
      <c r="S212" s="92">
        <f t="shared" ca="1" si="15"/>
        <v>45105</v>
      </c>
      <c r="T212" s="115" t="e">
        <f ca="1"/>
        <v>#VALUE!</v>
      </c>
      <c r="V212" s="92">
        <f t="shared" ca="1" si="16"/>
        <v>45105</v>
      </c>
      <c r="W212" s="115" t="e">
        <f ca="1"/>
        <v>#VALUE!</v>
      </c>
    </row>
    <row r="213" spans="13:23">
      <c r="M213" s="92">
        <f t="shared" ca="1" si="13"/>
        <v>45112</v>
      </c>
      <c r="N213" s="115" t="e">
        <f ca="1"/>
        <v>#VALUE!</v>
      </c>
      <c r="P213" s="92">
        <f t="shared" ca="1" si="14"/>
        <v>45112</v>
      </c>
      <c r="Q213" s="115" t="e">
        <f ca="1"/>
        <v>#VALUE!</v>
      </c>
      <c r="S213" s="92">
        <f t="shared" ca="1" si="15"/>
        <v>45112</v>
      </c>
      <c r="T213" s="115" t="e">
        <f ca="1"/>
        <v>#VALUE!</v>
      </c>
      <c r="V213" s="92">
        <f t="shared" ca="1" si="16"/>
        <v>45112</v>
      </c>
      <c r="W213" s="115" t="e">
        <f ca="1"/>
        <v>#VALUE!</v>
      </c>
    </row>
    <row r="214" spans="13:23">
      <c r="M214" s="219">
        <f t="shared" ca="1" si="13"/>
        <v>45119</v>
      </c>
      <c r="N214" s="115" t="e">
        <f ca="1"/>
        <v>#VALUE!</v>
      </c>
      <c r="P214" s="219">
        <f t="shared" ca="1" si="14"/>
        <v>45119</v>
      </c>
      <c r="Q214" s="115" t="e">
        <f ca="1"/>
        <v>#VALUE!</v>
      </c>
      <c r="S214" s="219">
        <f t="shared" ca="1" si="15"/>
        <v>45119</v>
      </c>
      <c r="T214" s="115" t="e">
        <f ca="1"/>
        <v>#VALUE!</v>
      </c>
      <c r="V214" s="219">
        <f t="shared" ca="1" si="16"/>
        <v>45119</v>
      </c>
      <c r="W214" s="115" t="e">
        <f ca="1"/>
        <v>#VALUE!</v>
      </c>
    </row>
    <row r="215" spans="13:23">
      <c r="M215" s="219">
        <f t="shared" ca="1" si="13"/>
        <v>45126</v>
      </c>
      <c r="N215" s="115" t="e">
        <f ca="1"/>
        <v>#VALUE!</v>
      </c>
      <c r="P215" s="219">
        <f t="shared" ca="1" si="14"/>
        <v>45126</v>
      </c>
      <c r="Q215" s="115" t="e">
        <f ca="1"/>
        <v>#VALUE!</v>
      </c>
      <c r="S215" s="219">
        <f t="shared" ca="1" si="15"/>
        <v>45126</v>
      </c>
      <c r="T215" s="115" t="e">
        <f ca="1"/>
        <v>#VALUE!</v>
      </c>
      <c r="V215" s="219">
        <f t="shared" ca="1" si="16"/>
        <v>45126</v>
      </c>
      <c r="W215" s="115" t="e">
        <f ca="1"/>
        <v>#VALUE!</v>
      </c>
    </row>
    <row r="216" spans="13:23">
      <c r="M216" s="219">
        <f t="shared" ca="1" si="13"/>
        <v>45133</v>
      </c>
      <c r="N216" s="115" t="e">
        <f ca="1"/>
        <v>#VALUE!</v>
      </c>
      <c r="P216" s="219">
        <f t="shared" ca="1" si="14"/>
        <v>45133</v>
      </c>
      <c r="Q216" s="115" t="e">
        <f ca="1"/>
        <v>#VALUE!</v>
      </c>
      <c r="S216" s="219">
        <f t="shared" ca="1" si="15"/>
        <v>45133</v>
      </c>
      <c r="T216" s="115" t="e">
        <f ca="1"/>
        <v>#VALUE!</v>
      </c>
      <c r="V216" s="219">
        <f t="shared" ca="1" si="16"/>
        <v>45133</v>
      </c>
      <c r="W216" s="115" t="e">
        <f ca="1"/>
        <v>#VALUE!</v>
      </c>
    </row>
    <row r="217" spans="13:23">
      <c r="M217" s="219">
        <f t="shared" ca="1" si="13"/>
        <v>45140</v>
      </c>
      <c r="N217" s="115" t="e">
        <f ca="1"/>
        <v>#VALUE!</v>
      </c>
      <c r="P217" s="219">
        <f t="shared" ca="1" si="14"/>
        <v>45140</v>
      </c>
      <c r="Q217" s="115" t="e">
        <f ca="1"/>
        <v>#VALUE!</v>
      </c>
      <c r="S217" s="219">
        <f t="shared" ca="1" si="15"/>
        <v>45140</v>
      </c>
      <c r="T217" s="115" t="e">
        <f ca="1"/>
        <v>#VALUE!</v>
      </c>
      <c r="V217" s="219">
        <f t="shared" ca="1" si="16"/>
        <v>45140</v>
      </c>
      <c r="W217" s="115" t="e">
        <f ca="1"/>
        <v>#VALUE!</v>
      </c>
    </row>
    <row r="218" spans="13:23">
      <c r="M218" s="219">
        <f t="shared" ca="1" si="13"/>
        <v>45147</v>
      </c>
      <c r="N218" s="115" t="e">
        <f ca="1"/>
        <v>#VALUE!</v>
      </c>
      <c r="P218" s="219">
        <f t="shared" ca="1" si="14"/>
        <v>45147</v>
      </c>
      <c r="Q218" s="115" t="e">
        <f ca="1"/>
        <v>#VALUE!</v>
      </c>
      <c r="S218" s="219">
        <f t="shared" ca="1" si="15"/>
        <v>45147</v>
      </c>
      <c r="T218" s="115" t="e">
        <f ca="1"/>
        <v>#VALUE!</v>
      </c>
      <c r="V218" s="219">
        <f t="shared" ca="1" si="16"/>
        <v>45147</v>
      </c>
      <c r="W218" s="115" t="e">
        <f ca="1"/>
        <v>#VALUE!</v>
      </c>
    </row>
    <row r="219" spans="13:23">
      <c r="M219" s="219">
        <f t="shared" ca="1" si="13"/>
        <v>45154</v>
      </c>
      <c r="N219" s="115" t="e">
        <f ca="1"/>
        <v>#VALUE!</v>
      </c>
      <c r="P219" s="219">
        <f t="shared" ca="1" si="14"/>
        <v>45154</v>
      </c>
      <c r="Q219" s="115" t="e">
        <f ca="1"/>
        <v>#VALUE!</v>
      </c>
      <c r="S219" s="219">
        <f t="shared" ca="1" si="15"/>
        <v>45154</v>
      </c>
      <c r="T219" s="115" t="e">
        <f ca="1"/>
        <v>#VALUE!</v>
      </c>
      <c r="V219" s="219">
        <f t="shared" ca="1" si="16"/>
        <v>45154</v>
      </c>
      <c r="W219" s="115" t="e">
        <f ca="1"/>
        <v>#VALUE!</v>
      </c>
    </row>
    <row r="220" spans="13:23">
      <c r="M220" s="219">
        <f t="shared" ca="1" si="13"/>
        <v>45161</v>
      </c>
      <c r="N220" s="115" t="e">
        <f ca="1"/>
        <v>#VALUE!</v>
      </c>
      <c r="P220" s="219">
        <f t="shared" ca="1" si="14"/>
        <v>45161</v>
      </c>
      <c r="Q220" s="115" t="e">
        <f ca="1"/>
        <v>#VALUE!</v>
      </c>
      <c r="S220" s="219">
        <f t="shared" ca="1" si="15"/>
        <v>45161</v>
      </c>
      <c r="T220" s="115" t="e">
        <f ca="1"/>
        <v>#VALUE!</v>
      </c>
      <c r="V220" s="219">
        <f t="shared" ca="1" si="16"/>
        <v>45161</v>
      </c>
      <c r="W220" s="115" t="e">
        <f ca="1"/>
        <v>#VALUE!</v>
      </c>
    </row>
    <row r="221" spans="13:23">
      <c r="M221" s="219">
        <f t="shared" ca="1" si="13"/>
        <v>45168</v>
      </c>
      <c r="N221" s="115" t="e">
        <f ca="1"/>
        <v>#VALUE!</v>
      </c>
      <c r="P221" s="219">
        <f t="shared" ca="1" si="14"/>
        <v>45168</v>
      </c>
      <c r="Q221" s="115" t="e">
        <f ca="1"/>
        <v>#VALUE!</v>
      </c>
      <c r="S221" s="219">
        <f t="shared" ca="1" si="15"/>
        <v>45168</v>
      </c>
      <c r="T221" s="115" t="e">
        <f ca="1"/>
        <v>#VALUE!</v>
      </c>
      <c r="V221" s="219">
        <f t="shared" ca="1" si="16"/>
        <v>45168</v>
      </c>
      <c r="W221" s="115" t="e">
        <f ca="1"/>
        <v>#VALUE!</v>
      </c>
    </row>
    <row r="222" spans="13:23">
      <c r="M222" s="219">
        <f t="shared" ca="1" si="13"/>
        <v>45175</v>
      </c>
      <c r="N222" s="115" t="e">
        <f ca="1"/>
        <v>#VALUE!</v>
      </c>
      <c r="P222" s="219">
        <f t="shared" ca="1" si="14"/>
        <v>45175</v>
      </c>
      <c r="Q222" s="115" t="e">
        <f ca="1"/>
        <v>#VALUE!</v>
      </c>
      <c r="S222" s="219">
        <f t="shared" ca="1" si="15"/>
        <v>45175</v>
      </c>
      <c r="T222" s="115" t="e">
        <f ca="1"/>
        <v>#VALUE!</v>
      </c>
      <c r="V222" s="219">
        <f t="shared" ca="1" si="16"/>
        <v>45175</v>
      </c>
      <c r="W222" s="115" t="e">
        <f ca="1"/>
        <v>#VALUE!</v>
      </c>
    </row>
    <row r="223" spans="13:23">
      <c r="M223" s="219">
        <f t="shared" ca="1" si="13"/>
        <v>45182</v>
      </c>
      <c r="N223" s="115" t="e">
        <f ca="1"/>
        <v>#VALUE!</v>
      </c>
      <c r="P223" s="219">
        <f t="shared" ca="1" si="14"/>
        <v>45182</v>
      </c>
      <c r="Q223" s="115" t="e">
        <f ca="1"/>
        <v>#VALUE!</v>
      </c>
      <c r="S223" s="219">
        <f t="shared" ca="1" si="15"/>
        <v>45182</v>
      </c>
      <c r="T223" s="115" t="e">
        <f ca="1"/>
        <v>#VALUE!</v>
      </c>
      <c r="V223" s="219">
        <f t="shared" ca="1" si="16"/>
        <v>45182</v>
      </c>
      <c r="W223" s="115" t="e">
        <f ca="1"/>
        <v>#VALUE!</v>
      </c>
    </row>
    <row r="224" spans="13:23">
      <c r="M224" s="219">
        <f t="shared" ca="1" si="13"/>
        <v>45189</v>
      </c>
      <c r="N224" s="115" t="e">
        <f ca="1"/>
        <v>#VALUE!</v>
      </c>
      <c r="P224" s="219">
        <f t="shared" ca="1" si="14"/>
        <v>45189</v>
      </c>
      <c r="Q224" s="115" t="e">
        <f ca="1"/>
        <v>#VALUE!</v>
      </c>
      <c r="S224" s="219">
        <f t="shared" ca="1" si="15"/>
        <v>45189</v>
      </c>
      <c r="T224" s="115" t="e">
        <f ca="1"/>
        <v>#VALUE!</v>
      </c>
      <c r="V224" s="219">
        <f t="shared" ca="1" si="16"/>
        <v>45189</v>
      </c>
      <c r="W224" s="115" t="e">
        <f ca="1"/>
        <v>#VALUE!</v>
      </c>
    </row>
    <row r="225" spans="13:23">
      <c r="M225" s="219">
        <f t="shared" ca="1" si="13"/>
        <v>45196</v>
      </c>
      <c r="N225" s="115" t="e">
        <f ca="1"/>
        <v>#VALUE!</v>
      </c>
      <c r="P225" s="219">
        <f t="shared" ca="1" si="14"/>
        <v>45196</v>
      </c>
      <c r="Q225" s="115" t="e">
        <f ca="1"/>
        <v>#VALUE!</v>
      </c>
      <c r="S225" s="219">
        <f t="shared" ca="1" si="15"/>
        <v>45196</v>
      </c>
      <c r="T225" s="115" t="e">
        <f ca="1"/>
        <v>#VALUE!</v>
      </c>
      <c r="V225" s="219">
        <f t="shared" ca="1" si="16"/>
        <v>45196</v>
      </c>
      <c r="W225" s="115" t="e">
        <f ca="1"/>
        <v>#VALUE!</v>
      </c>
    </row>
    <row r="226" spans="13:23">
      <c r="M226" s="219">
        <f t="shared" ca="1" si="13"/>
        <v>45203</v>
      </c>
      <c r="N226" s="115" t="e">
        <f ca="1"/>
        <v>#VALUE!</v>
      </c>
      <c r="P226" s="219">
        <f t="shared" ca="1" si="14"/>
        <v>45203</v>
      </c>
      <c r="Q226" s="115" t="e">
        <f ca="1"/>
        <v>#VALUE!</v>
      </c>
      <c r="S226" s="219">
        <f t="shared" ca="1" si="15"/>
        <v>45203</v>
      </c>
      <c r="T226" s="115" t="e">
        <f ca="1"/>
        <v>#VALUE!</v>
      </c>
      <c r="V226" s="219">
        <f t="shared" ca="1" si="16"/>
        <v>45203</v>
      </c>
      <c r="W226" s="115" t="e">
        <f ca="1"/>
        <v>#VALUE!</v>
      </c>
    </row>
    <row r="227" spans="13:23">
      <c r="M227" s="219">
        <f t="shared" ca="1" si="13"/>
        <v>45210</v>
      </c>
      <c r="N227" s="115" t="e">
        <f ca="1"/>
        <v>#VALUE!</v>
      </c>
      <c r="P227" s="219">
        <f t="shared" ca="1" si="14"/>
        <v>45210</v>
      </c>
      <c r="Q227" s="115" t="e">
        <f ca="1"/>
        <v>#VALUE!</v>
      </c>
      <c r="S227" s="219">
        <f t="shared" ca="1" si="15"/>
        <v>45210</v>
      </c>
      <c r="T227" s="115" t="e">
        <f ca="1"/>
        <v>#VALUE!</v>
      </c>
      <c r="V227" s="219">
        <f t="shared" ca="1" si="16"/>
        <v>45210</v>
      </c>
      <c r="W227" s="115" t="e">
        <f ca="1"/>
        <v>#VALUE!</v>
      </c>
    </row>
    <row r="228" spans="13:23">
      <c r="M228" s="219">
        <f t="shared" ca="1" si="13"/>
        <v>45217</v>
      </c>
      <c r="N228" s="115" t="e">
        <f ca="1"/>
        <v>#VALUE!</v>
      </c>
      <c r="P228" s="219">
        <f t="shared" ca="1" si="14"/>
        <v>45217</v>
      </c>
      <c r="Q228" s="115" t="e">
        <f ca="1"/>
        <v>#VALUE!</v>
      </c>
      <c r="S228" s="219">
        <f t="shared" ca="1" si="15"/>
        <v>45217</v>
      </c>
      <c r="T228" s="115" t="e">
        <f ca="1"/>
        <v>#VALUE!</v>
      </c>
      <c r="V228" s="219">
        <f t="shared" ca="1" si="16"/>
        <v>45217</v>
      </c>
      <c r="W228" s="115" t="e">
        <f ca="1"/>
        <v>#VALUE!</v>
      </c>
    </row>
    <row r="229" spans="13:23">
      <c r="M229" s="219">
        <f t="shared" ca="1" si="13"/>
        <v>45224</v>
      </c>
      <c r="N229" s="115" t="e">
        <f ca="1"/>
        <v>#VALUE!</v>
      </c>
      <c r="P229" s="219">
        <f t="shared" ca="1" si="14"/>
        <v>45224</v>
      </c>
      <c r="Q229" s="115" t="e">
        <f ca="1"/>
        <v>#VALUE!</v>
      </c>
      <c r="S229" s="219">
        <f t="shared" ca="1" si="15"/>
        <v>45224</v>
      </c>
      <c r="T229" s="115" t="e">
        <f ca="1"/>
        <v>#VALUE!</v>
      </c>
      <c r="V229" s="219">
        <f t="shared" ca="1" si="16"/>
        <v>45224</v>
      </c>
      <c r="W229" s="115" t="e">
        <f ca="1"/>
        <v>#VALUE!</v>
      </c>
    </row>
    <row r="230" spans="13:23">
      <c r="M230" s="219">
        <f t="shared" ca="1" si="13"/>
        <v>45231</v>
      </c>
      <c r="N230" s="115" t="e">
        <f ca="1"/>
        <v>#VALUE!</v>
      </c>
      <c r="P230" s="219">
        <f t="shared" ca="1" si="14"/>
        <v>45231</v>
      </c>
      <c r="Q230" s="115" t="e">
        <f ca="1"/>
        <v>#VALUE!</v>
      </c>
      <c r="S230" s="219">
        <f t="shared" ca="1" si="15"/>
        <v>45231</v>
      </c>
      <c r="T230" s="115" t="e">
        <f ca="1"/>
        <v>#VALUE!</v>
      </c>
      <c r="V230" s="219">
        <f t="shared" ca="1" si="16"/>
        <v>45231</v>
      </c>
      <c r="W230" s="115" t="e">
        <f ca="1"/>
        <v>#VALUE!</v>
      </c>
    </row>
    <row r="231" spans="13:23">
      <c r="M231" s="219">
        <f t="shared" ca="1" si="13"/>
        <v>45238</v>
      </c>
      <c r="N231" s="115" t="e">
        <f ca="1"/>
        <v>#VALUE!</v>
      </c>
      <c r="P231" s="219">
        <f t="shared" ca="1" si="14"/>
        <v>45238</v>
      </c>
      <c r="Q231" s="115" t="e">
        <f ca="1"/>
        <v>#VALUE!</v>
      </c>
      <c r="S231" s="219">
        <f t="shared" ca="1" si="15"/>
        <v>45238</v>
      </c>
      <c r="T231" s="115" t="e">
        <f ca="1"/>
        <v>#VALUE!</v>
      </c>
      <c r="V231" s="219">
        <f t="shared" ca="1" si="16"/>
        <v>45238</v>
      </c>
      <c r="W231" s="115" t="e">
        <f ca="1"/>
        <v>#VALUE!</v>
      </c>
    </row>
    <row r="232" spans="13:23">
      <c r="M232" s="219">
        <f t="shared" ca="1" si="13"/>
        <v>45245</v>
      </c>
      <c r="N232" s="115" t="e">
        <f ca="1"/>
        <v>#VALUE!</v>
      </c>
      <c r="P232" s="219">
        <f t="shared" ca="1" si="14"/>
        <v>45245</v>
      </c>
      <c r="Q232" s="115" t="e">
        <f ca="1"/>
        <v>#VALUE!</v>
      </c>
      <c r="S232" s="219">
        <f t="shared" ca="1" si="15"/>
        <v>45245</v>
      </c>
      <c r="T232" s="115" t="e">
        <f ca="1"/>
        <v>#VALUE!</v>
      </c>
      <c r="V232" s="219">
        <f t="shared" ca="1" si="16"/>
        <v>45245</v>
      </c>
      <c r="W232" s="115" t="e">
        <f ca="1"/>
        <v>#VALUE!</v>
      </c>
    </row>
    <row r="233" spans="13:23">
      <c r="M233" s="219">
        <f t="shared" ca="1" si="13"/>
        <v>45252</v>
      </c>
      <c r="N233" s="115" t="e">
        <f ca="1"/>
        <v>#VALUE!</v>
      </c>
      <c r="P233" s="219">
        <f t="shared" ca="1" si="14"/>
        <v>45252</v>
      </c>
      <c r="Q233" s="115" t="e">
        <f ca="1"/>
        <v>#VALUE!</v>
      </c>
      <c r="S233" s="219">
        <f t="shared" ca="1" si="15"/>
        <v>45252</v>
      </c>
      <c r="T233" s="115" t="e">
        <f ca="1"/>
        <v>#VALUE!</v>
      </c>
      <c r="V233" s="219">
        <f t="shared" ca="1" si="16"/>
        <v>45252</v>
      </c>
      <c r="W233" s="115" t="e">
        <f ca="1"/>
        <v>#VALUE!</v>
      </c>
    </row>
    <row r="234" spans="13:23">
      <c r="M234" s="219">
        <f t="shared" ca="1" si="13"/>
        <v>45259</v>
      </c>
      <c r="N234" s="115" t="e">
        <f ca="1"/>
        <v>#VALUE!</v>
      </c>
      <c r="P234" s="219">
        <f t="shared" ca="1" si="14"/>
        <v>45259</v>
      </c>
      <c r="Q234" s="115" t="e">
        <f ca="1"/>
        <v>#VALUE!</v>
      </c>
      <c r="S234" s="219">
        <f t="shared" ca="1" si="15"/>
        <v>45259</v>
      </c>
      <c r="T234" s="115" t="e">
        <f ca="1"/>
        <v>#VALUE!</v>
      </c>
      <c r="V234" s="219">
        <f t="shared" ca="1" si="16"/>
        <v>45259</v>
      </c>
      <c r="W234" s="115" t="e">
        <f ca="1"/>
        <v>#VALUE!</v>
      </c>
    </row>
    <row r="235" spans="13:23">
      <c r="M235" s="219">
        <f t="shared" ca="1" si="13"/>
        <v>45266</v>
      </c>
      <c r="N235" s="115" t="e">
        <f ca="1"/>
        <v>#VALUE!</v>
      </c>
      <c r="P235" s="219">
        <f t="shared" ca="1" si="14"/>
        <v>45266</v>
      </c>
      <c r="Q235" s="115" t="e">
        <f ca="1"/>
        <v>#VALUE!</v>
      </c>
      <c r="S235" s="219">
        <f t="shared" ca="1" si="15"/>
        <v>45266</v>
      </c>
      <c r="T235" s="115" t="e">
        <f ca="1"/>
        <v>#VALUE!</v>
      </c>
      <c r="V235" s="219">
        <f t="shared" ca="1" si="16"/>
        <v>45266</v>
      </c>
      <c r="W235" s="115" t="e">
        <f ca="1"/>
        <v>#VALUE!</v>
      </c>
    </row>
    <row r="236" spans="13:23">
      <c r="M236" s="219">
        <f t="shared" ca="1" si="13"/>
        <v>45273</v>
      </c>
      <c r="N236" s="115" t="e">
        <f ca="1"/>
        <v>#VALUE!</v>
      </c>
      <c r="P236" s="219">
        <f t="shared" ca="1" si="14"/>
        <v>45273</v>
      </c>
      <c r="Q236" s="115" t="e">
        <f ca="1"/>
        <v>#VALUE!</v>
      </c>
      <c r="S236" s="219">
        <f t="shared" ca="1" si="15"/>
        <v>45273</v>
      </c>
      <c r="T236" s="115" t="e">
        <f ca="1"/>
        <v>#VALUE!</v>
      </c>
      <c r="V236" s="219">
        <f t="shared" ca="1" si="16"/>
        <v>45273</v>
      </c>
      <c r="W236" s="115" t="e">
        <f ca="1"/>
        <v>#VALUE!</v>
      </c>
    </row>
    <row r="237" spans="13:23">
      <c r="M237" s="219">
        <f t="shared" ca="1" si="13"/>
        <v>45280</v>
      </c>
      <c r="N237" s="115" t="e">
        <f ca="1"/>
        <v>#VALUE!</v>
      </c>
      <c r="P237" s="219">
        <f t="shared" ca="1" si="14"/>
        <v>45280</v>
      </c>
      <c r="Q237" s="115" t="e">
        <f ca="1"/>
        <v>#VALUE!</v>
      </c>
      <c r="S237" s="219">
        <f t="shared" ca="1" si="15"/>
        <v>45280</v>
      </c>
      <c r="T237" s="115" t="e">
        <f ca="1"/>
        <v>#VALUE!</v>
      </c>
      <c r="V237" s="219">
        <f t="shared" ca="1" si="16"/>
        <v>45280</v>
      </c>
      <c r="W237" s="115" t="e">
        <f ca="1"/>
        <v>#VALUE!</v>
      </c>
    </row>
    <row r="238" spans="13:23">
      <c r="M238" s="219">
        <f t="shared" ca="1" si="13"/>
        <v>45287</v>
      </c>
      <c r="N238" s="115" t="e">
        <f ca="1"/>
        <v>#VALUE!</v>
      </c>
      <c r="P238" s="219">
        <f t="shared" ca="1" si="14"/>
        <v>45287</v>
      </c>
      <c r="Q238" s="115" t="e">
        <f ca="1"/>
        <v>#VALUE!</v>
      </c>
      <c r="S238" s="219">
        <f t="shared" ca="1" si="15"/>
        <v>45287</v>
      </c>
      <c r="T238" s="115" t="e">
        <f ca="1"/>
        <v>#VALUE!</v>
      </c>
      <c r="V238" s="219">
        <f t="shared" ca="1" si="16"/>
        <v>45287</v>
      </c>
      <c r="W238" s="115" t="e">
        <f ca="1"/>
        <v>#VALUE!</v>
      </c>
    </row>
    <row r="239" spans="13:23">
      <c r="M239" s="219">
        <f t="shared" ca="1" si="13"/>
        <v>45294</v>
      </c>
      <c r="N239" s="115" t="e">
        <f ca="1"/>
        <v>#VALUE!</v>
      </c>
      <c r="P239" s="219">
        <f t="shared" ca="1" si="14"/>
        <v>45294</v>
      </c>
      <c r="Q239" s="115" t="e">
        <f ca="1"/>
        <v>#VALUE!</v>
      </c>
      <c r="S239" s="219">
        <f t="shared" ca="1" si="15"/>
        <v>45294</v>
      </c>
      <c r="T239" s="115" t="e">
        <f ca="1"/>
        <v>#VALUE!</v>
      </c>
      <c r="V239" s="219">
        <f t="shared" ca="1" si="16"/>
        <v>45294</v>
      </c>
      <c r="W239" s="115" t="e">
        <f ca="1"/>
        <v>#VALUE!</v>
      </c>
    </row>
    <row r="240" spans="13:23">
      <c r="M240" s="219">
        <f t="shared" ca="1" si="13"/>
        <v>45301</v>
      </c>
      <c r="N240" s="115" t="e">
        <f ca="1"/>
        <v>#VALUE!</v>
      </c>
      <c r="P240" s="219">
        <f t="shared" ca="1" si="14"/>
        <v>45301</v>
      </c>
      <c r="Q240" s="115" t="e">
        <f ca="1"/>
        <v>#VALUE!</v>
      </c>
      <c r="S240" s="219">
        <f t="shared" ca="1" si="15"/>
        <v>45301</v>
      </c>
      <c r="T240" s="115" t="e">
        <f ca="1"/>
        <v>#VALUE!</v>
      </c>
      <c r="V240" s="219">
        <f t="shared" ca="1" si="16"/>
        <v>45301</v>
      </c>
      <c r="W240" s="115" t="e">
        <f ca="1"/>
        <v>#VALUE!</v>
      </c>
    </row>
    <row r="241" spans="13:23">
      <c r="M241" s="219">
        <f t="shared" ca="1" si="13"/>
        <v>45308</v>
      </c>
      <c r="N241" s="115" t="e">
        <f ca="1"/>
        <v>#VALUE!</v>
      </c>
      <c r="P241" s="219">
        <f t="shared" ca="1" si="14"/>
        <v>45308</v>
      </c>
      <c r="Q241" s="115" t="e">
        <f ca="1"/>
        <v>#VALUE!</v>
      </c>
      <c r="S241" s="219">
        <f t="shared" ca="1" si="15"/>
        <v>45308</v>
      </c>
      <c r="T241" s="115" t="e">
        <f ca="1"/>
        <v>#VALUE!</v>
      </c>
      <c r="V241" s="219">
        <f t="shared" ca="1" si="16"/>
        <v>45308</v>
      </c>
      <c r="W241" s="115" t="e">
        <f ca="1"/>
        <v>#VALUE!</v>
      </c>
    </row>
    <row r="242" spans="13:23">
      <c r="M242" s="219">
        <f t="shared" ca="1" si="13"/>
        <v>45315</v>
      </c>
      <c r="N242" s="115" t="e">
        <f ca="1"/>
        <v>#VALUE!</v>
      </c>
      <c r="P242" s="219">
        <f t="shared" ca="1" si="14"/>
        <v>45315</v>
      </c>
      <c r="Q242" s="115" t="e">
        <f ca="1"/>
        <v>#VALUE!</v>
      </c>
      <c r="S242" s="219">
        <f t="shared" ca="1" si="15"/>
        <v>45315</v>
      </c>
      <c r="T242" s="115" t="e">
        <f ca="1"/>
        <v>#VALUE!</v>
      </c>
      <c r="V242" s="219">
        <f t="shared" ca="1" si="16"/>
        <v>45315</v>
      </c>
      <c r="W242" s="115" t="e">
        <f ca="1"/>
        <v>#VALUE!</v>
      </c>
    </row>
    <row r="243" spans="13:23">
      <c r="M243" s="219">
        <f t="shared" ca="1" si="13"/>
        <v>45322</v>
      </c>
      <c r="N243" s="115" t="e">
        <f ca="1"/>
        <v>#VALUE!</v>
      </c>
      <c r="P243" s="219">
        <f t="shared" ca="1" si="14"/>
        <v>45322</v>
      </c>
      <c r="Q243" s="115" t="e">
        <f ca="1"/>
        <v>#VALUE!</v>
      </c>
      <c r="S243" s="219">
        <f t="shared" ca="1" si="15"/>
        <v>45322</v>
      </c>
      <c r="T243" s="115" t="e">
        <f ca="1"/>
        <v>#VALUE!</v>
      </c>
      <c r="V243" s="219">
        <f t="shared" ca="1" si="16"/>
        <v>45322</v>
      </c>
      <c r="W243" s="115" t="e">
        <f ca="1"/>
        <v>#VALUE!</v>
      </c>
    </row>
    <row r="244" spans="13:23">
      <c r="M244" s="219">
        <f t="shared" ca="1" si="13"/>
        <v>45329</v>
      </c>
      <c r="N244" s="115" t="e">
        <f ca="1"/>
        <v>#VALUE!</v>
      </c>
      <c r="P244" s="219">
        <f t="shared" ca="1" si="14"/>
        <v>45329</v>
      </c>
      <c r="Q244" s="115" t="e">
        <f ca="1"/>
        <v>#VALUE!</v>
      </c>
      <c r="S244" s="219">
        <f t="shared" ca="1" si="15"/>
        <v>45329</v>
      </c>
      <c r="T244" s="115" t="e">
        <f ca="1"/>
        <v>#VALUE!</v>
      </c>
      <c r="V244" s="219">
        <f t="shared" ca="1" si="16"/>
        <v>45329</v>
      </c>
      <c r="W244" s="115" t="e">
        <f ca="1"/>
        <v>#VALUE!</v>
      </c>
    </row>
    <row r="245" spans="13:23">
      <c r="M245" s="219">
        <f t="shared" ca="1" si="13"/>
        <v>45336</v>
      </c>
      <c r="N245" s="115" t="e">
        <f ca="1"/>
        <v>#VALUE!</v>
      </c>
      <c r="P245" s="219">
        <f t="shared" ca="1" si="14"/>
        <v>45336</v>
      </c>
      <c r="Q245" s="115" t="e">
        <f ca="1"/>
        <v>#VALUE!</v>
      </c>
      <c r="S245" s="219">
        <f t="shared" ca="1" si="15"/>
        <v>45336</v>
      </c>
      <c r="T245" s="115" t="e">
        <f ca="1"/>
        <v>#VALUE!</v>
      </c>
      <c r="V245" s="219">
        <f t="shared" ca="1" si="16"/>
        <v>45336</v>
      </c>
      <c r="W245" s="115" t="e">
        <f ca="1"/>
        <v>#VALUE!</v>
      </c>
    </row>
    <row r="246" spans="13:23">
      <c r="M246" s="219">
        <f t="shared" ca="1" si="13"/>
        <v>45343</v>
      </c>
      <c r="N246" s="115" t="e">
        <f ca="1"/>
        <v>#VALUE!</v>
      </c>
      <c r="P246" s="219">
        <f t="shared" ca="1" si="14"/>
        <v>45343</v>
      </c>
      <c r="Q246" s="115" t="e">
        <f ca="1"/>
        <v>#VALUE!</v>
      </c>
      <c r="S246" s="219">
        <f t="shared" ca="1" si="15"/>
        <v>45343</v>
      </c>
      <c r="T246" s="115" t="e">
        <f ca="1"/>
        <v>#VALUE!</v>
      </c>
      <c r="V246" s="219">
        <f t="shared" ca="1" si="16"/>
        <v>45343</v>
      </c>
      <c r="W246" s="115" t="e">
        <f ca="1"/>
        <v>#VALUE!</v>
      </c>
    </row>
    <row r="247" spans="13:23">
      <c r="M247" s="219">
        <f t="shared" ca="1" si="13"/>
        <v>45350</v>
      </c>
      <c r="N247" s="115" t="e">
        <f ca="1"/>
        <v>#VALUE!</v>
      </c>
      <c r="P247" s="219">
        <f t="shared" ca="1" si="14"/>
        <v>45350</v>
      </c>
      <c r="Q247" s="115" t="e">
        <f ca="1"/>
        <v>#VALUE!</v>
      </c>
      <c r="S247" s="219">
        <f t="shared" ca="1" si="15"/>
        <v>45350</v>
      </c>
      <c r="T247" s="115" t="e">
        <f ca="1"/>
        <v>#VALUE!</v>
      </c>
      <c r="V247" s="219">
        <f t="shared" ca="1" si="16"/>
        <v>45350</v>
      </c>
      <c r="W247" s="115" t="e">
        <f ca="1"/>
        <v>#VALUE!</v>
      </c>
    </row>
    <row r="248" spans="13:23">
      <c r="M248" s="219">
        <f t="shared" ca="1" si="13"/>
        <v>45357</v>
      </c>
      <c r="N248" s="115" t="e">
        <f ca="1"/>
        <v>#VALUE!</v>
      </c>
      <c r="P248" s="219">
        <f t="shared" ca="1" si="14"/>
        <v>45357</v>
      </c>
      <c r="Q248" s="115" t="e">
        <f ca="1"/>
        <v>#VALUE!</v>
      </c>
      <c r="S248" s="219">
        <f t="shared" ca="1" si="15"/>
        <v>45357</v>
      </c>
      <c r="T248" s="115" t="e">
        <f ca="1"/>
        <v>#VALUE!</v>
      </c>
      <c r="V248" s="219">
        <f t="shared" ca="1" si="16"/>
        <v>45357</v>
      </c>
      <c r="W248" s="115" t="e">
        <f ca="1"/>
        <v>#VALUE!</v>
      </c>
    </row>
    <row r="249" spans="13:23">
      <c r="M249" s="219">
        <f t="shared" ca="1" si="13"/>
        <v>45364</v>
      </c>
      <c r="N249" s="115" t="e">
        <f ca="1"/>
        <v>#VALUE!</v>
      </c>
      <c r="P249" s="219">
        <f t="shared" ca="1" si="14"/>
        <v>45364</v>
      </c>
      <c r="Q249" s="115" t="e">
        <f ca="1"/>
        <v>#VALUE!</v>
      </c>
      <c r="S249" s="219">
        <f t="shared" ca="1" si="15"/>
        <v>45364</v>
      </c>
      <c r="T249" s="115" t="e">
        <f ca="1"/>
        <v>#VALUE!</v>
      </c>
      <c r="V249" s="219">
        <f t="shared" ca="1" si="16"/>
        <v>45364</v>
      </c>
      <c r="W249" s="115" t="e">
        <f ca="1"/>
        <v>#VALUE!</v>
      </c>
    </row>
    <row r="250" spans="13:23">
      <c r="M250" s="219">
        <f t="shared" ca="1" si="13"/>
        <v>45371</v>
      </c>
      <c r="N250" s="115" t="e">
        <f ca="1"/>
        <v>#VALUE!</v>
      </c>
      <c r="P250" s="219">
        <f t="shared" ca="1" si="14"/>
        <v>45371</v>
      </c>
      <c r="Q250" s="115" t="e">
        <f ca="1"/>
        <v>#VALUE!</v>
      </c>
      <c r="S250" s="219">
        <f t="shared" ca="1" si="15"/>
        <v>45371</v>
      </c>
      <c r="T250" s="115" t="e">
        <f ca="1"/>
        <v>#VALUE!</v>
      </c>
      <c r="V250" s="219">
        <f t="shared" ca="1" si="16"/>
        <v>45371</v>
      </c>
      <c r="W250" s="115" t="e">
        <f ca="1"/>
        <v>#VALUE!</v>
      </c>
    </row>
    <row r="251" spans="13:23">
      <c r="M251" s="219">
        <f t="shared" ca="1" si="13"/>
        <v>45378</v>
      </c>
      <c r="N251" s="115" t="e">
        <f ca="1"/>
        <v>#VALUE!</v>
      </c>
      <c r="P251" s="219">
        <f t="shared" ca="1" si="14"/>
        <v>45378</v>
      </c>
      <c r="Q251" s="115" t="e">
        <f ca="1"/>
        <v>#VALUE!</v>
      </c>
      <c r="S251" s="219">
        <f t="shared" ca="1" si="15"/>
        <v>45378</v>
      </c>
      <c r="T251" s="115" t="e">
        <f ca="1"/>
        <v>#VALUE!</v>
      </c>
      <c r="V251" s="219">
        <f t="shared" ca="1" si="16"/>
        <v>45378</v>
      </c>
      <c r="W251" s="115" t="e">
        <f ca="1"/>
        <v>#VALUE!</v>
      </c>
    </row>
    <row r="252" spans="13:23">
      <c r="M252" s="219">
        <f t="shared" ca="1" si="13"/>
        <v>45385</v>
      </c>
      <c r="N252" s="115" t="e">
        <f ca="1"/>
        <v>#VALUE!</v>
      </c>
      <c r="P252" s="219">
        <f t="shared" ca="1" si="14"/>
        <v>45385</v>
      </c>
      <c r="Q252" s="115" t="e">
        <f ca="1"/>
        <v>#VALUE!</v>
      </c>
      <c r="S252" s="219">
        <f t="shared" ca="1" si="15"/>
        <v>45385</v>
      </c>
      <c r="T252" s="115" t="e">
        <f ca="1"/>
        <v>#VALUE!</v>
      </c>
      <c r="V252" s="219">
        <f t="shared" ca="1" si="16"/>
        <v>45385</v>
      </c>
      <c r="W252" s="115" t="e">
        <f ca="1"/>
        <v>#VALUE!</v>
      </c>
    </row>
    <row r="253" spans="13:23">
      <c r="M253" s="219">
        <f t="shared" ca="1" si="13"/>
        <v>45392</v>
      </c>
      <c r="N253" s="115" t="e">
        <f ca="1"/>
        <v>#VALUE!</v>
      </c>
      <c r="P253" s="219">
        <f t="shared" ca="1" si="14"/>
        <v>45392</v>
      </c>
      <c r="Q253" s="115" t="e">
        <f ca="1"/>
        <v>#VALUE!</v>
      </c>
      <c r="S253" s="219">
        <f t="shared" ca="1" si="15"/>
        <v>45392</v>
      </c>
      <c r="T253" s="115" t="e">
        <f ca="1"/>
        <v>#VALUE!</v>
      </c>
      <c r="V253" s="219">
        <f t="shared" ca="1" si="16"/>
        <v>45392</v>
      </c>
      <c r="W253" s="115" t="e">
        <f ca="1"/>
        <v>#VALUE!</v>
      </c>
    </row>
    <row r="254" spans="13:23">
      <c r="M254" s="219">
        <f t="shared" ca="1" si="13"/>
        <v>45399</v>
      </c>
      <c r="N254" s="115" t="e">
        <f ca="1"/>
        <v>#VALUE!</v>
      </c>
      <c r="P254" s="219">
        <f t="shared" ca="1" si="14"/>
        <v>45399</v>
      </c>
      <c r="Q254" s="115" t="e">
        <f ca="1"/>
        <v>#VALUE!</v>
      </c>
      <c r="S254" s="219">
        <f t="shared" ca="1" si="15"/>
        <v>45399</v>
      </c>
      <c r="T254" s="115" t="e">
        <f ca="1"/>
        <v>#VALUE!</v>
      </c>
      <c r="V254" s="219">
        <f t="shared" ca="1" si="16"/>
        <v>45399</v>
      </c>
      <c r="W254" s="115" t="e">
        <f ca="1"/>
        <v>#VALUE!</v>
      </c>
    </row>
    <row r="255" spans="13:23">
      <c r="M255" s="219">
        <f t="shared" ca="1" si="13"/>
        <v>45406</v>
      </c>
      <c r="N255" s="115" t="e">
        <f ca="1"/>
        <v>#VALUE!</v>
      </c>
      <c r="P255" s="219">
        <f t="shared" ca="1" si="14"/>
        <v>45406</v>
      </c>
      <c r="Q255" s="115" t="e">
        <f ca="1"/>
        <v>#VALUE!</v>
      </c>
      <c r="S255" s="219">
        <f t="shared" ca="1" si="15"/>
        <v>45406</v>
      </c>
      <c r="T255" s="115" t="e">
        <f ca="1"/>
        <v>#VALUE!</v>
      </c>
      <c r="V255" s="219">
        <f t="shared" ca="1" si="16"/>
        <v>45406</v>
      </c>
      <c r="W255" s="115" t="e">
        <f ca="1"/>
        <v>#VALUE!</v>
      </c>
    </row>
    <row r="256" spans="13:23">
      <c r="M256" s="219">
        <f t="shared" ca="1" si="13"/>
        <v>45413</v>
      </c>
      <c r="N256" s="115" t="e">
        <f ca="1"/>
        <v>#VALUE!</v>
      </c>
      <c r="P256" s="219">
        <f t="shared" ca="1" si="14"/>
        <v>45413</v>
      </c>
      <c r="Q256" s="115" t="e">
        <f ca="1"/>
        <v>#VALUE!</v>
      </c>
      <c r="S256" s="219">
        <f t="shared" ca="1" si="15"/>
        <v>45413</v>
      </c>
      <c r="T256" s="115" t="e">
        <f ca="1"/>
        <v>#VALUE!</v>
      </c>
      <c r="V256" s="219">
        <f t="shared" ca="1" si="16"/>
        <v>45413</v>
      </c>
      <c r="W256" s="115" t="e">
        <f ca="1"/>
        <v>#VALUE!</v>
      </c>
    </row>
    <row r="257" spans="13:23">
      <c r="M257" s="219">
        <f t="shared" ca="1" si="13"/>
        <v>45420</v>
      </c>
      <c r="N257" s="115" t="e">
        <f ca="1"/>
        <v>#VALUE!</v>
      </c>
      <c r="P257" s="219">
        <f t="shared" ca="1" si="14"/>
        <v>45420</v>
      </c>
      <c r="Q257" s="115" t="e">
        <f ca="1"/>
        <v>#VALUE!</v>
      </c>
      <c r="S257" s="219">
        <f t="shared" ca="1" si="15"/>
        <v>45420</v>
      </c>
      <c r="T257" s="115" t="e">
        <f ca="1"/>
        <v>#VALUE!</v>
      </c>
      <c r="V257" s="219">
        <f t="shared" ca="1" si="16"/>
        <v>45420</v>
      </c>
      <c r="W257" s="115" t="e">
        <f ca="1"/>
        <v>#VALUE!</v>
      </c>
    </row>
    <row r="258" spans="13:23">
      <c r="M258" s="219">
        <f t="shared" ca="1" si="13"/>
        <v>45427</v>
      </c>
      <c r="N258" s="115" t="e">
        <f ca="1"/>
        <v>#VALUE!</v>
      </c>
      <c r="P258" s="219">
        <f t="shared" ca="1" si="14"/>
        <v>45427</v>
      </c>
      <c r="Q258" s="115" t="e">
        <f ca="1"/>
        <v>#VALUE!</v>
      </c>
      <c r="S258" s="219">
        <f t="shared" ca="1" si="15"/>
        <v>45427</v>
      </c>
      <c r="T258" s="115" t="e">
        <f ca="1"/>
        <v>#VALUE!</v>
      </c>
      <c r="V258" s="219">
        <f t="shared" ca="1" si="16"/>
        <v>45427</v>
      </c>
      <c r="W258" s="115" t="e">
        <f ca="1"/>
        <v>#VALUE!</v>
      </c>
    </row>
    <row r="259" spans="13:23">
      <c r="M259" s="219">
        <f t="shared" ca="1" si="13"/>
        <v>45434</v>
      </c>
      <c r="N259" s="115" t="e">
        <f ca="1"/>
        <v>#VALUE!</v>
      </c>
      <c r="P259" s="219">
        <f t="shared" ca="1" si="14"/>
        <v>45434</v>
      </c>
      <c r="Q259" s="115" t="e">
        <f ca="1"/>
        <v>#VALUE!</v>
      </c>
      <c r="S259" s="219">
        <f t="shared" ca="1" si="15"/>
        <v>45434</v>
      </c>
      <c r="T259" s="115" t="e">
        <f ca="1"/>
        <v>#VALUE!</v>
      </c>
      <c r="V259" s="219">
        <f t="shared" ca="1" si="16"/>
        <v>45434</v>
      </c>
      <c r="W259" s="115" t="e">
        <f ca="1"/>
        <v>#VALUE!</v>
      </c>
    </row>
    <row r="260" spans="13:23">
      <c r="M260" s="219">
        <f t="shared" ca="1" si="13"/>
        <v>45441</v>
      </c>
      <c r="N260" s="115" t="e">
        <f ca="1"/>
        <v>#VALUE!</v>
      </c>
      <c r="P260" s="219">
        <f t="shared" ca="1" si="14"/>
        <v>45441</v>
      </c>
      <c r="Q260" s="115" t="e">
        <f ca="1"/>
        <v>#VALUE!</v>
      </c>
      <c r="S260" s="219">
        <f t="shared" ca="1" si="15"/>
        <v>45441</v>
      </c>
      <c r="T260" s="115" t="e">
        <f ca="1"/>
        <v>#VALUE!</v>
      </c>
      <c r="V260" s="219">
        <f t="shared" ca="1" si="16"/>
        <v>45441</v>
      </c>
      <c r="W260" s="115" t="e">
        <f ca="1"/>
        <v>#VALUE!</v>
      </c>
    </row>
    <row r="261" spans="13:23">
      <c r="M261" s="219">
        <f t="shared" ca="1" si="13"/>
        <v>45448</v>
      </c>
      <c r="N261" s="115" t="e">
        <f ca="1"/>
        <v>#VALUE!</v>
      </c>
      <c r="P261" s="219">
        <f t="shared" ca="1" si="14"/>
        <v>45448</v>
      </c>
      <c r="Q261" s="115" t="e">
        <f ca="1"/>
        <v>#VALUE!</v>
      </c>
      <c r="S261" s="219">
        <f t="shared" ca="1" si="15"/>
        <v>45448</v>
      </c>
      <c r="T261" s="115" t="e">
        <f ca="1"/>
        <v>#VALUE!</v>
      </c>
      <c r="V261" s="219">
        <f t="shared" ca="1" si="16"/>
        <v>45448</v>
      </c>
      <c r="W261" s="115" t="e">
        <f ca="1"/>
        <v>#VALUE!</v>
      </c>
    </row>
    <row r="262" spans="13:23">
      <c r="M262" s="219">
        <f t="shared" ca="1" si="13"/>
        <v>45455</v>
      </c>
      <c r="N262" s="115" t="e">
        <f ca="1"/>
        <v>#VALUE!</v>
      </c>
      <c r="P262" s="219">
        <f t="shared" ca="1" si="14"/>
        <v>45455</v>
      </c>
      <c r="Q262" s="115" t="e">
        <f ca="1"/>
        <v>#VALUE!</v>
      </c>
      <c r="S262" s="219">
        <f t="shared" ca="1" si="15"/>
        <v>45455</v>
      </c>
      <c r="T262" s="115" t="e">
        <f ca="1"/>
        <v>#VALUE!</v>
      </c>
      <c r="V262" s="219">
        <f t="shared" ca="1" si="16"/>
        <v>45455</v>
      </c>
      <c r="W262" s="115" t="e">
        <f ca="1"/>
        <v>#VALUE!</v>
      </c>
    </row>
    <row r="263" spans="13:23">
      <c r="M263" s="219">
        <f t="shared" ca="1" si="13"/>
        <v>45462</v>
      </c>
      <c r="N263" s="115" t="e">
        <f ca="1"/>
        <v>#VALUE!</v>
      </c>
      <c r="P263" s="219">
        <f t="shared" ca="1" si="14"/>
        <v>45462</v>
      </c>
      <c r="Q263" s="115" t="e">
        <f ca="1"/>
        <v>#VALUE!</v>
      </c>
      <c r="S263" s="219">
        <f t="shared" ca="1" si="15"/>
        <v>45462</v>
      </c>
      <c r="T263" s="115" t="e">
        <f ca="1"/>
        <v>#VALUE!</v>
      </c>
      <c r="V263" s="219">
        <f t="shared" ca="1" si="16"/>
        <v>45462</v>
      </c>
      <c r="W263" s="115" t="e">
        <f ca="1"/>
        <v>#VALUE!</v>
      </c>
    </row>
    <row r="264" spans="13:23">
      <c r="M264" s="219">
        <f t="shared" ca="1" si="13"/>
        <v>45469</v>
      </c>
      <c r="N264" s="115" t="e">
        <f ca="1"/>
        <v>#VALUE!</v>
      </c>
      <c r="P264" s="219">
        <f t="shared" ca="1" si="14"/>
        <v>45469</v>
      </c>
      <c r="Q264" s="115" t="e">
        <f ca="1"/>
        <v>#VALUE!</v>
      </c>
      <c r="S264" s="219">
        <f t="shared" ca="1" si="15"/>
        <v>45469</v>
      </c>
      <c r="T264" s="115" t="e">
        <f ca="1"/>
        <v>#VALUE!</v>
      </c>
      <c r="V264" s="219">
        <f t="shared" ca="1" si="16"/>
        <v>45469</v>
      </c>
      <c r="W264" s="115" t="e">
        <f ca="1"/>
        <v>#VALUE!</v>
      </c>
    </row>
    <row r="265" spans="13:23">
      <c r="M265" s="219">
        <f t="shared" ca="1" si="13"/>
        <v>45476</v>
      </c>
      <c r="N265" s="115" t="e">
        <f ca="1"/>
        <v>#VALUE!</v>
      </c>
      <c r="P265" s="219">
        <f t="shared" ca="1" si="14"/>
        <v>45476</v>
      </c>
      <c r="Q265" s="115" t="e">
        <f ca="1"/>
        <v>#VALUE!</v>
      </c>
      <c r="S265" s="219">
        <f t="shared" ca="1" si="15"/>
        <v>45476</v>
      </c>
      <c r="T265" s="115" t="e">
        <f ca="1"/>
        <v>#VALUE!</v>
      </c>
      <c r="V265" s="219">
        <f t="shared" ca="1" si="16"/>
        <v>45476</v>
      </c>
      <c r="W265" s="115" t="e">
        <f ca="1"/>
        <v>#VALUE!</v>
      </c>
    </row>
    <row r="266" spans="13:23">
      <c r="M266" s="219">
        <f t="shared" ca="1" si="13"/>
        <v>45483</v>
      </c>
      <c r="N266" s="115" t="e">
        <f ca="1"/>
        <v>#VALUE!</v>
      </c>
      <c r="P266" s="219">
        <f t="shared" ca="1" si="14"/>
        <v>45483</v>
      </c>
      <c r="Q266" s="115" t="e">
        <f ca="1"/>
        <v>#VALUE!</v>
      </c>
      <c r="S266" s="219">
        <f t="shared" ca="1" si="15"/>
        <v>45483</v>
      </c>
      <c r="T266" s="115" t="e">
        <f ca="1"/>
        <v>#VALUE!</v>
      </c>
      <c r="V266" s="219">
        <f t="shared" ca="1" si="16"/>
        <v>45483</v>
      </c>
      <c r="W266" s="115" t="e">
        <f ca="1"/>
        <v>#VALUE!</v>
      </c>
    </row>
    <row r="267" spans="13:23">
      <c r="M267" s="219">
        <f t="shared" ca="1" si="13"/>
        <v>45490</v>
      </c>
      <c r="N267" s="115" t="e">
        <f ca="1"/>
        <v>#VALUE!</v>
      </c>
      <c r="P267" s="219">
        <f t="shared" ca="1" si="14"/>
        <v>45490</v>
      </c>
      <c r="Q267" s="115" t="e">
        <f ca="1"/>
        <v>#VALUE!</v>
      </c>
      <c r="S267" s="219">
        <f t="shared" ca="1" si="15"/>
        <v>45490</v>
      </c>
      <c r="T267" s="115" t="e">
        <f ca="1"/>
        <v>#VALUE!</v>
      </c>
      <c r="V267" s="219">
        <f t="shared" ca="1" si="16"/>
        <v>45490</v>
      </c>
      <c r="W267" s="115" t="e">
        <f ca="1"/>
        <v>#VALUE!</v>
      </c>
    </row>
    <row r="268" spans="13:23">
      <c r="M268" s="219">
        <f t="shared" ca="1" si="13"/>
        <v>45497</v>
      </c>
      <c r="N268" s="115" t="e">
        <f ca="1"/>
        <v>#VALUE!</v>
      </c>
      <c r="P268" s="219">
        <f t="shared" ca="1" si="14"/>
        <v>45497</v>
      </c>
      <c r="Q268" s="115" t="e">
        <f ca="1"/>
        <v>#VALUE!</v>
      </c>
      <c r="S268" s="219">
        <f t="shared" ca="1" si="15"/>
        <v>45497</v>
      </c>
      <c r="T268" s="115" t="e">
        <f ca="1"/>
        <v>#VALUE!</v>
      </c>
      <c r="V268" s="219">
        <f t="shared" ca="1" si="16"/>
        <v>45497</v>
      </c>
      <c r="W268" s="115" t="e">
        <f ca="1"/>
        <v>#VALUE!</v>
      </c>
    </row>
    <row r="269" spans="13:23">
      <c r="M269" s="219">
        <f t="shared" ref="M269:M332" ca="1" si="17">M268+7</f>
        <v>45504</v>
      </c>
      <c r="N269" s="115" t="e">
        <f ca="1"/>
        <v>#VALUE!</v>
      </c>
      <c r="P269" s="219">
        <f t="shared" ref="P269:P332" ca="1" si="18">P268+7</f>
        <v>45504</v>
      </c>
      <c r="Q269" s="115" t="e">
        <f ca="1"/>
        <v>#VALUE!</v>
      </c>
      <c r="S269" s="219">
        <f t="shared" ref="S269:S332" ca="1" si="19">S268+7</f>
        <v>45504</v>
      </c>
      <c r="T269" s="115" t="e">
        <f ca="1"/>
        <v>#VALUE!</v>
      </c>
      <c r="V269" s="219">
        <f t="shared" ref="V269:V332" ca="1" si="20">V268+7</f>
        <v>45504</v>
      </c>
      <c r="W269" s="115" t="e">
        <f ca="1"/>
        <v>#VALUE!</v>
      </c>
    </row>
    <row r="270" spans="13:23">
      <c r="M270" s="219">
        <f t="shared" ca="1" si="17"/>
        <v>45511</v>
      </c>
      <c r="N270" s="115" t="e">
        <f ca="1"/>
        <v>#VALUE!</v>
      </c>
      <c r="P270" s="219">
        <f t="shared" ca="1" si="18"/>
        <v>45511</v>
      </c>
      <c r="Q270" s="115" t="e">
        <f ca="1"/>
        <v>#VALUE!</v>
      </c>
      <c r="S270" s="219">
        <f t="shared" ca="1" si="19"/>
        <v>45511</v>
      </c>
      <c r="T270" s="115" t="e">
        <f ca="1"/>
        <v>#VALUE!</v>
      </c>
      <c r="V270" s="219">
        <f t="shared" ca="1" si="20"/>
        <v>45511</v>
      </c>
      <c r="W270" s="115" t="e">
        <f ca="1"/>
        <v>#VALUE!</v>
      </c>
    </row>
    <row r="271" spans="13:23">
      <c r="M271" s="219">
        <f t="shared" ca="1" si="17"/>
        <v>45518</v>
      </c>
      <c r="N271" s="115" t="e">
        <f ca="1"/>
        <v>#VALUE!</v>
      </c>
      <c r="P271" s="219">
        <f t="shared" ca="1" si="18"/>
        <v>45518</v>
      </c>
      <c r="Q271" s="115" t="e">
        <f ca="1"/>
        <v>#VALUE!</v>
      </c>
      <c r="S271" s="219">
        <f t="shared" ca="1" si="19"/>
        <v>45518</v>
      </c>
      <c r="T271" s="115" t="e">
        <f ca="1"/>
        <v>#VALUE!</v>
      </c>
      <c r="V271" s="219">
        <f t="shared" ca="1" si="20"/>
        <v>45518</v>
      </c>
      <c r="W271" s="115" t="e">
        <f ca="1"/>
        <v>#VALUE!</v>
      </c>
    </row>
    <row r="272" spans="13:23">
      <c r="M272" s="219">
        <f t="shared" ca="1" si="17"/>
        <v>45525</v>
      </c>
      <c r="N272" s="115" t="e">
        <f ca="1"/>
        <v>#VALUE!</v>
      </c>
      <c r="P272" s="219">
        <f t="shared" ca="1" si="18"/>
        <v>45525</v>
      </c>
      <c r="Q272" s="115" t="e">
        <f ca="1"/>
        <v>#VALUE!</v>
      </c>
      <c r="S272" s="219">
        <f t="shared" ca="1" si="19"/>
        <v>45525</v>
      </c>
      <c r="T272" s="115" t="e">
        <f ca="1"/>
        <v>#VALUE!</v>
      </c>
      <c r="V272" s="219">
        <f t="shared" ca="1" si="20"/>
        <v>45525</v>
      </c>
      <c r="W272" s="115" t="e">
        <f ca="1"/>
        <v>#VALUE!</v>
      </c>
    </row>
    <row r="273" spans="13:23">
      <c r="M273" s="219">
        <f t="shared" ca="1" si="17"/>
        <v>45532</v>
      </c>
      <c r="N273" s="115" t="e">
        <f ca="1"/>
        <v>#VALUE!</v>
      </c>
      <c r="P273" s="219">
        <f t="shared" ca="1" si="18"/>
        <v>45532</v>
      </c>
      <c r="Q273" s="115" t="e">
        <f ca="1"/>
        <v>#VALUE!</v>
      </c>
      <c r="S273" s="219">
        <f t="shared" ca="1" si="19"/>
        <v>45532</v>
      </c>
      <c r="T273" s="115" t="e">
        <f ca="1"/>
        <v>#VALUE!</v>
      </c>
      <c r="V273" s="219">
        <f t="shared" ca="1" si="20"/>
        <v>45532</v>
      </c>
      <c r="W273" s="115" t="e">
        <f ca="1"/>
        <v>#VALUE!</v>
      </c>
    </row>
    <row r="274" spans="13:23">
      <c r="M274" s="219">
        <f t="shared" ca="1" si="17"/>
        <v>45539</v>
      </c>
      <c r="N274" s="115" t="e">
        <f ca="1"/>
        <v>#VALUE!</v>
      </c>
      <c r="P274" s="219">
        <f t="shared" ca="1" si="18"/>
        <v>45539</v>
      </c>
      <c r="Q274" s="115" t="e">
        <f ca="1"/>
        <v>#VALUE!</v>
      </c>
      <c r="S274" s="219">
        <f t="shared" ca="1" si="19"/>
        <v>45539</v>
      </c>
      <c r="T274" s="115" t="e">
        <f ca="1"/>
        <v>#VALUE!</v>
      </c>
      <c r="V274" s="219">
        <f t="shared" ca="1" si="20"/>
        <v>45539</v>
      </c>
      <c r="W274" s="115" t="e">
        <f ca="1"/>
        <v>#VALUE!</v>
      </c>
    </row>
    <row r="275" spans="13:23">
      <c r="M275" s="219">
        <f t="shared" ca="1" si="17"/>
        <v>45546</v>
      </c>
      <c r="N275" s="115" t="e">
        <f ca="1"/>
        <v>#VALUE!</v>
      </c>
      <c r="P275" s="219">
        <f t="shared" ca="1" si="18"/>
        <v>45546</v>
      </c>
      <c r="Q275" s="115" t="e">
        <f ca="1"/>
        <v>#VALUE!</v>
      </c>
      <c r="S275" s="219">
        <f t="shared" ca="1" si="19"/>
        <v>45546</v>
      </c>
      <c r="T275" s="115" t="e">
        <f ca="1"/>
        <v>#VALUE!</v>
      </c>
      <c r="V275" s="219">
        <f t="shared" ca="1" si="20"/>
        <v>45546</v>
      </c>
      <c r="W275" s="115" t="e">
        <f ca="1"/>
        <v>#VALUE!</v>
      </c>
    </row>
    <row r="276" spans="13:23">
      <c r="M276" s="219">
        <f t="shared" ca="1" si="17"/>
        <v>45553</v>
      </c>
      <c r="N276" s="115" t="e">
        <f ca="1"/>
        <v>#VALUE!</v>
      </c>
      <c r="P276" s="219">
        <f t="shared" ca="1" si="18"/>
        <v>45553</v>
      </c>
      <c r="Q276" s="115" t="e">
        <f ca="1"/>
        <v>#VALUE!</v>
      </c>
      <c r="S276" s="219">
        <f t="shared" ca="1" si="19"/>
        <v>45553</v>
      </c>
      <c r="T276" s="115" t="e">
        <f ca="1"/>
        <v>#VALUE!</v>
      </c>
      <c r="V276" s="219">
        <f t="shared" ca="1" si="20"/>
        <v>45553</v>
      </c>
      <c r="W276" s="115" t="e">
        <f ca="1"/>
        <v>#VALUE!</v>
      </c>
    </row>
    <row r="277" spans="13:23">
      <c r="M277" s="219">
        <f t="shared" ca="1" si="17"/>
        <v>45560</v>
      </c>
      <c r="N277" s="115" t="e">
        <f ca="1"/>
        <v>#VALUE!</v>
      </c>
      <c r="P277" s="219">
        <f t="shared" ca="1" si="18"/>
        <v>45560</v>
      </c>
      <c r="Q277" s="115" t="e">
        <f ca="1"/>
        <v>#VALUE!</v>
      </c>
      <c r="S277" s="219">
        <f t="shared" ca="1" si="19"/>
        <v>45560</v>
      </c>
      <c r="T277" s="115" t="e">
        <f ca="1"/>
        <v>#VALUE!</v>
      </c>
      <c r="V277" s="219">
        <f t="shared" ca="1" si="20"/>
        <v>45560</v>
      </c>
      <c r="W277" s="115" t="e">
        <f ca="1"/>
        <v>#VALUE!</v>
      </c>
    </row>
    <row r="278" spans="13:23">
      <c r="M278" s="219">
        <f t="shared" ca="1" si="17"/>
        <v>45567</v>
      </c>
      <c r="N278" s="115" t="e">
        <f ca="1"/>
        <v>#VALUE!</v>
      </c>
      <c r="P278" s="219">
        <f t="shared" ca="1" si="18"/>
        <v>45567</v>
      </c>
      <c r="Q278" s="115" t="e">
        <f ca="1"/>
        <v>#VALUE!</v>
      </c>
      <c r="S278" s="219">
        <f t="shared" ca="1" si="19"/>
        <v>45567</v>
      </c>
      <c r="T278" s="115" t="e">
        <f ca="1"/>
        <v>#VALUE!</v>
      </c>
      <c r="V278" s="219">
        <f t="shared" ca="1" si="20"/>
        <v>45567</v>
      </c>
      <c r="W278" s="115" t="e">
        <f ca="1"/>
        <v>#VALUE!</v>
      </c>
    </row>
    <row r="279" spans="13:23">
      <c r="M279" s="219">
        <f t="shared" ca="1" si="17"/>
        <v>45574</v>
      </c>
      <c r="N279" s="115" t="e">
        <f ca="1"/>
        <v>#VALUE!</v>
      </c>
      <c r="P279" s="219">
        <f t="shared" ca="1" si="18"/>
        <v>45574</v>
      </c>
      <c r="Q279" s="115" t="e">
        <f ca="1"/>
        <v>#VALUE!</v>
      </c>
      <c r="S279" s="219">
        <f t="shared" ca="1" si="19"/>
        <v>45574</v>
      </c>
      <c r="T279" s="115" t="e">
        <f ca="1"/>
        <v>#VALUE!</v>
      </c>
      <c r="V279" s="219">
        <f t="shared" ca="1" si="20"/>
        <v>45574</v>
      </c>
      <c r="W279" s="115" t="e">
        <f ca="1"/>
        <v>#VALUE!</v>
      </c>
    </row>
    <row r="280" spans="13:23">
      <c r="M280" s="219">
        <f t="shared" ca="1" si="17"/>
        <v>45581</v>
      </c>
      <c r="N280" s="115" t="e">
        <f ca="1"/>
        <v>#VALUE!</v>
      </c>
      <c r="P280" s="219">
        <f t="shared" ca="1" si="18"/>
        <v>45581</v>
      </c>
      <c r="Q280" s="115" t="e">
        <f ca="1"/>
        <v>#VALUE!</v>
      </c>
      <c r="S280" s="219">
        <f t="shared" ca="1" si="19"/>
        <v>45581</v>
      </c>
      <c r="T280" s="115" t="e">
        <f ca="1"/>
        <v>#VALUE!</v>
      </c>
      <c r="V280" s="219">
        <f t="shared" ca="1" si="20"/>
        <v>45581</v>
      </c>
      <c r="W280" s="115" t="e">
        <f ca="1"/>
        <v>#VALUE!</v>
      </c>
    </row>
    <row r="281" spans="13:23">
      <c r="M281" s="219">
        <f t="shared" ca="1" si="17"/>
        <v>45588</v>
      </c>
      <c r="N281" s="115" t="e">
        <f ca="1"/>
        <v>#VALUE!</v>
      </c>
      <c r="P281" s="219">
        <f t="shared" ca="1" si="18"/>
        <v>45588</v>
      </c>
      <c r="Q281" s="115" t="e">
        <f ca="1"/>
        <v>#VALUE!</v>
      </c>
      <c r="S281" s="219">
        <f t="shared" ca="1" si="19"/>
        <v>45588</v>
      </c>
      <c r="T281" s="115" t="e">
        <f ca="1"/>
        <v>#VALUE!</v>
      </c>
      <c r="V281" s="219">
        <f t="shared" ca="1" si="20"/>
        <v>45588</v>
      </c>
      <c r="W281" s="115" t="e">
        <f ca="1"/>
        <v>#VALUE!</v>
      </c>
    </row>
    <row r="282" spans="13:23">
      <c r="M282" s="219">
        <f t="shared" ca="1" si="17"/>
        <v>45595</v>
      </c>
      <c r="N282" s="115" t="e">
        <f ca="1"/>
        <v>#VALUE!</v>
      </c>
      <c r="P282" s="219">
        <f t="shared" ca="1" si="18"/>
        <v>45595</v>
      </c>
      <c r="Q282" s="115" t="e">
        <f ca="1"/>
        <v>#VALUE!</v>
      </c>
      <c r="S282" s="219">
        <f t="shared" ca="1" si="19"/>
        <v>45595</v>
      </c>
      <c r="T282" s="115" t="e">
        <f ca="1"/>
        <v>#VALUE!</v>
      </c>
      <c r="V282" s="219">
        <f t="shared" ca="1" si="20"/>
        <v>45595</v>
      </c>
      <c r="W282" s="115" t="e">
        <f ca="1"/>
        <v>#VALUE!</v>
      </c>
    </row>
    <row r="283" spans="13:23">
      <c r="M283" s="219">
        <f t="shared" ca="1" si="17"/>
        <v>45602</v>
      </c>
      <c r="N283" s="115" t="e">
        <f ca="1"/>
        <v>#VALUE!</v>
      </c>
      <c r="P283" s="219">
        <f t="shared" ca="1" si="18"/>
        <v>45602</v>
      </c>
      <c r="Q283" s="115" t="e">
        <f ca="1"/>
        <v>#VALUE!</v>
      </c>
      <c r="S283" s="219">
        <f t="shared" ca="1" si="19"/>
        <v>45602</v>
      </c>
      <c r="T283" s="115" t="e">
        <f ca="1"/>
        <v>#VALUE!</v>
      </c>
      <c r="V283" s="219">
        <f t="shared" ca="1" si="20"/>
        <v>45602</v>
      </c>
      <c r="W283" s="115" t="e">
        <f ca="1"/>
        <v>#VALUE!</v>
      </c>
    </row>
    <row r="284" spans="13:23">
      <c r="M284" s="219">
        <f t="shared" ca="1" si="17"/>
        <v>45609</v>
      </c>
      <c r="N284" s="115" t="e">
        <f ca="1"/>
        <v>#VALUE!</v>
      </c>
      <c r="P284" s="219">
        <f t="shared" ca="1" si="18"/>
        <v>45609</v>
      </c>
      <c r="Q284" s="115" t="e">
        <f ca="1"/>
        <v>#VALUE!</v>
      </c>
      <c r="S284" s="219">
        <f t="shared" ca="1" si="19"/>
        <v>45609</v>
      </c>
      <c r="T284" s="115" t="e">
        <f ca="1"/>
        <v>#VALUE!</v>
      </c>
      <c r="V284" s="219">
        <f t="shared" ca="1" si="20"/>
        <v>45609</v>
      </c>
      <c r="W284" s="115" t="e">
        <f ca="1"/>
        <v>#VALUE!</v>
      </c>
    </row>
    <row r="285" spans="13:23">
      <c r="M285" s="219">
        <f t="shared" ca="1" si="17"/>
        <v>45616</v>
      </c>
      <c r="N285" s="115" t="e">
        <f ca="1"/>
        <v>#VALUE!</v>
      </c>
      <c r="P285" s="219">
        <f t="shared" ca="1" si="18"/>
        <v>45616</v>
      </c>
      <c r="Q285" s="115" t="e">
        <f ca="1"/>
        <v>#VALUE!</v>
      </c>
      <c r="S285" s="219">
        <f t="shared" ca="1" si="19"/>
        <v>45616</v>
      </c>
      <c r="T285" s="115" t="e">
        <f ca="1"/>
        <v>#VALUE!</v>
      </c>
      <c r="V285" s="219">
        <f t="shared" ca="1" si="20"/>
        <v>45616</v>
      </c>
      <c r="W285" s="115" t="e">
        <f ca="1"/>
        <v>#VALUE!</v>
      </c>
    </row>
    <row r="286" spans="13:23">
      <c r="M286" s="219">
        <f t="shared" ca="1" si="17"/>
        <v>45623</v>
      </c>
      <c r="N286" s="115" t="e">
        <f ca="1"/>
        <v>#VALUE!</v>
      </c>
      <c r="P286" s="219">
        <f t="shared" ca="1" si="18"/>
        <v>45623</v>
      </c>
      <c r="Q286" s="115" t="e">
        <f ca="1"/>
        <v>#VALUE!</v>
      </c>
      <c r="S286" s="219">
        <f t="shared" ca="1" si="19"/>
        <v>45623</v>
      </c>
      <c r="T286" s="115" t="e">
        <f ca="1"/>
        <v>#VALUE!</v>
      </c>
      <c r="V286" s="219">
        <f t="shared" ca="1" si="20"/>
        <v>45623</v>
      </c>
      <c r="W286" s="115" t="e">
        <f ca="1"/>
        <v>#VALUE!</v>
      </c>
    </row>
    <row r="287" spans="13:23">
      <c r="M287" s="219">
        <f t="shared" ca="1" si="17"/>
        <v>45630</v>
      </c>
      <c r="N287" s="115" t="e">
        <f ca="1"/>
        <v>#VALUE!</v>
      </c>
      <c r="P287" s="219">
        <f t="shared" ca="1" si="18"/>
        <v>45630</v>
      </c>
      <c r="Q287" s="115" t="e">
        <f ca="1"/>
        <v>#VALUE!</v>
      </c>
      <c r="S287" s="219">
        <f t="shared" ca="1" si="19"/>
        <v>45630</v>
      </c>
      <c r="T287" s="115" t="e">
        <f ca="1"/>
        <v>#VALUE!</v>
      </c>
      <c r="V287" s="219">
        <f t="shared" ca="1" si="20"/>
        <v>45630</v>
      </c>
      <c r="W287" s="115" t="e">
        <f ca="1"/>
        <v>#VALUE!</v>
      </c>
    </row>
    <row r="288" spans="13:23">
      <c r="M288" s="219">
        <f t="shared" ca="1" si="17"/>
        <v>45637</v>
      </c>
      <c r="N288" s="115" t="e">
        <f ca="1"/>
        <v>#VALUE!</v>
      </c>
      <c r="P288" s="219">
        <f t="shared" ca="1" si="18"/>
        <v>45637</v>
      </c>
      <c r="Q288" s="115" t="e">
        <f ca="1"/>
        <v>#VALUE!</v>
      </c>
      <c r="S288" s="219">
        <f t="shared" ca="1" si="19"/>
        <v>45637</v>
      </c>
      <c r="T288" s="115" t="e">
        <f ca="1"/>
        <v>#VALUE!</v>
      </c>
      <c r="V288" s="219">
        <f t="shared" ca="1" si="20"/>
        <v>45637</v>
      </c>
      <c r="W288" s="115" t="e">
        <f ca="1"/>
        <v>#VALUE!</v>
      </c>
    </row>
    <row r="289" spans="13:23">
      <c r="M289" s="219">
        <f t="shared" ca="1" si="17"/>
        <v>45644</v>
      </c>
      <c r="N289" s="115" t="e">
        <f ca="1"/>
        <v>#VALUE!</v>
      </c>
      <c r="P289" s="219">
        <f t="shared" ca="1" si="18"/>
        <v>45644</v>
      </c>
      <c r="Q289" s="115" t="e">
        <f ca="1"/>
        <v>#VALUE!</v>
      </c>
      <c r="S289" s="219">
        <f t="shared" ca="1" si="19"/>
        <v>45644</v>
      </c>
      <c r="T289" s="115" t="e">
        <f ca="1"/>
        <v>#VALUE!</v>
      </c>
      <c r="V289" s="219">
        <f t="shared" ca="1" si="20"/>
        <v>45644</v>
      </c>
      <c r="W289" s="115" t="e">
        <f ca="1"/>
        <v>#VALUE!</v>
      </c>
    </row>
    <row r="290" spans="13:23">
      <c r="M290" s="219">
        <f t="shared" ca="1" si="17"/>
        <v>45651</v>
      </c>
      <c r="N290" s="115" t="e">
        <f ca="1"/>
        <v>#VALUE!</v>
      </c>
      <c r="P290" s="219">
        <f t="shared" ca="1" si="18"/>
        <v>45651</v>
      </c>
      <c r="Q290" s="115" t="e">
        <f ca="1"/>
        <v>#VALUE!</v>
      </c>
      <c r="S290" s="219">
        <f t="shared" ca="1" si="19"/>
        <v>45651</v>
      </c>
      <c r="T290" s="115" t="e">
        <f ca="1"/>
        <v>#VALUE!</v>
      </c>
      <c r="V290" s="219">
        <f t="shared" ca="1" si="20"/>
        <v>45651</v>
      </c>
      <c r="W290" s="115" t="e">
        <f ca="1"/>
        <v>#VALUE!</v>
      </c>
    </row>
    <row r="291" spans="13:23">
      <c r="M291" s="219">
        <f t="shared" ca="1" si="17"/>
        <v>45658</v>
      </c>
      <c r="N291" s="115" t="e">
        <f ca="1"/>
        <v>#VALUE!</v>
      </c>
      <c r="P291" s="219">
        <f t="shared" ca="1" si="18"/>
        <v>45658</v>
      </c>
      <c r="Q291" s="115" t="e">
        <f ca="1"/>
        <v>#VALUE!</v>
      </c>
      <c r="S291" s="219">
        <f t="shared" ca="1" si="19"/>
        <v>45658</v>
      </c>
      <c r="T291" s="115" t="e">
        <f ca="1"/>
        <v>#VALUE!</v>
      </c>
      <c r="V291" s="219">
        <f t="shared" ca="1" si="20"/>
        <v>45658</v>
      </c>
      <c r="W291" s="115" t="e">
        <f ca="1"/>
        <v>#VALUE!</v>
      </c>
    </row>
    <row r="292" spans="13:23">
      <c r="M292" s="219">
        <f t="shared" ca="1" si="17"/>
        <v>45665</v>
      </c>
      <c r="N292" s="115" t="e">
        <f ca="1"/>
        <v>#VALUE!</v>
      </c>
      <c r="P292" s="219">
        <f t="shared" ca="1" si="18"/>
        <v>45665</v>
      </c>
      <c r="Q292" s="115" t="e">
        <f ca="1"/>
        <v>#VALUE!</v>
      </c>
      <c r="S292" s="219">
        <f t="shared" ca="1" si="19"/>
        <v>45665</v>
      </c>
      <c r="T292" s="115" t="e">
        <f ca="1"/>
        <v>#VALUE!</v>
      </c>
      <c r="V292" s="219">
        <f t="shared" ca="1" si="20"/>
        <v>45665</v>
      </c>
      <c r="W292" s="115" t="e">
        <f ca="1"/>
        <v>#VALUE!</v>
      </c>
    </row>
    <row r="293" spans="13:23">
      <c r="M293" s="219">
        <f t="shared" ca="1" si="17"/>
        <v>45672</v>
      </c>
      <c r="N293" s="115" t="e">
        <f ca="1"/>
        <v>#VALUE!</v>
      </c>
      <c r="P293" s="219">
        <f t="shared" ca="1" si="18"/>
        <v>45672</v>
      </c>
      <c r="Q293" s="115" t="e">
        <f ca="1"/>
        <v>#VALUE!</v>
      </c>
      <c r="S293" s="219">
        <f t="shared" ca="1" si="19"/>
        <v>45672</v>
      </c>
      <c r="T293" s="115" t="e">
        <f ca="1"/>
        <v>#VALUE!</v>
      </c>
      <c r="V293" s="219">
        <f t="shared" ca="1" si="20"/>
        <v>45672</v>
      </c>
      <c r="W293" s="115" t="e">
        <f ca="1"/>
        <v>#VALUE!</v>
      </c>
    </row>
    <row r="294" spans="13:23">
      <c r="M294" s="219">
        <f t="shared" ca="1" si="17"/>
        <v>45679</v>
      </c>
      <c r="N294" s="115" t="e">
        <f ca="1"/>
        <v>#VALUE!</v>
      </c>
      <c r="P294" s="219">
        <f t="shared" ca="1" si="18"/>
        <v>45679</v>
      </c>
      <c r="Q294" s="115" t="e">
        <f ca="1"/>
        <v>#VALUE!</v>
      </c>
      <c r="S294" s="219">
        <f t="shared" ca="1" si="19"/>
        <v>45679</v>
      </c>
      <c r="T294" s="115" t="e">
        <f ca="1"/>
        <v>#VALUE!</v>
      </c>
      <c r="V294" s="219">
        <f t="shared" ca="1" si="20"/>
        <v>45679</v>
      </c>
      <c r="W294" s="115" t="e">
        <f ca="1"/>
        <v>#VALUE!</v>
      </c>
    </row>
    <row r="295" spans="13:23">
      <c r="M295" s="219">
        <f t="shared" ca="1" si="17"/>
        <v>45686</v>
      </c>
      <c r="N295" s="115" t="e">
        <f ca="1"/>
        <v>#VALUE!</v>
      </c>
      <c r="P295" s="219">
        <f t="shared" ca="1" si="18"/>
        <v>45686</v>
      </c>
      <c r="Q295" s="115" t="e">
        <f ca="1"/>
        <v>#VALUE!</v>
      </c>
      <c r="S295" s="219">
        <f t="shared" ca="1" si="19"/>
        <v>45686</v>
      </c>
      <c r="T295" s="115" t="e">
        <f ca="1"/>
        <v>#VALUE!</v>
      </c>
      <c r="V295" s="219">
        <f t="shared" ca="1" si="20"/>
        <v>45686</v>
      </c>
      <c r="W295" s="115" t="e">
        <f ca="1"/>
        <v>#VALUE!</v>
      </c>
    </row>
    <row r="296" spans="13:23">
      <c r="M296" s="219">
        <f t="shared" ca="1" si="17"/>
        <v>45693</v>
      </c>
      <c r="N296" s="115" t="e">
        <f ca="1"/>
        <v>#VALUE!</v>
      </c>
      <c r="P296" s="219">
        <f t="shared" ca="1" si="18"/>
        <v>45693</v>
      </c>
      <c r="Q296" s="115" t="e">
        <f ca="1"/>
        <v>#VALUE!</v>
      </c>
      <c r="S296" s="219">
        <f t="shared" ca="1" si="19"/>
        <v>45693</v>
      </c>
      <c r="T296" s="115" t="e">
        <f ca="1"/>
        <v>#VALUE!</v>
      </c>
      <c r="V296" s="219">
        <f t="shared" ca="1" si="20"/>
        <v>45693</v>
      </c>
      <c r="W296" s="115" t="e">
        <f ca="1"/>
        <v>#VALUE!</v>
      </c>
    </row>
    <row r="297" spans="13:23">
      <c r="M297" s="219">
        <f t="shared" ca="1" si="17"/>
        <v>45700</v>
      </c>
      <c r="N297" s="115" t="e">
        <f ca="1"/>
        <v>#VALUE!</v>
      </c>
      <c r="P297" s="219">
        <f t="shared" ca="1" si="18"/>
        <v>45700</v>
      </c>
      <c r="Q297" s="115" t="e">
        <f ca="1"/>
        <v>#VALUE!</v>
      </c>
      <c r="S297" s="219">
        <f t="shared" ca="1" si="19"/>
        <v>45700</v>
      </c>
      <c r="T297" s="115" t="e">
        <f ca="1"/>
        <v>#VALUE!</v>
      </c>
      <c r="V297" s="219">
        <f t="shared" ca="1" si="20"/>
        <v>45700</v>
      </c>
      <c r="W297" s="115" t="e">
        <f ca="1"/>
        <v>#VALUE!</v>
      </c>
    </row>
    <row r="298" spans="13:23">
      <c r="M298" s="219">
        <f t="shared" ca="1" si="17"/>
        <v>45707</v>
      </c>
      <c r="N298" s="115" t="e">
        <f ca="1"/>
        <v>#VALUE!</v>
      </c>
      <c r="P298" s="219">
        <f t="shared" ca="1" si="18"/>
        <v>45707</v>
      </c>
      <c r="Q298" s="115" t="e">
        <f ca="1"/>
        <v>#VALUE!</v>
      </c>
      <c r="S298" s="219">
        <f t="shared" ca="1" si="19"/>
        <v>45707</v>
      </c>
      <c r="T298" s="115" t="e">
        <f ca="1"/>
        <v>#VALUE!</v>
      </c>
      <c r="V298" s="219">
        <f t="shared" ca="1" si="20"/>
        <v>45707</v>
      </c>
      <c r="W298" s="115" t="e">
        <f ca="1"/>
        <v>#VALUE!</v>
      </c>
    </row>
    <row r="299" spans="13:23">
      <c r="M299" s="219">
        <f t="shared" ca="1" si="17"/>
        <v>45714</v>
      </c>
      <c r="N299" s="115" t="e">
        <f ca="1"/>
        <v>#VALUE!</v>
      </c>
      <c r="P299" s="219">
        <f t="shared" ca="1" si="18"/>
        <v>45714</v>
      </c>
      <c r="Q299" s="115" t="e">
        <f ca="1"/>
        <v>#VALUE!</v>
      </c>
      <c r="S299" s="219">
        <f t="shared" ca="1" si="19"/>
        <v>45714</v>
      </c>
      <c r="T299" s="115" t="e">
        <f ca="1"/>
        <v>#VALUE!</v>
      </c>
      <c r="V299" s="219">
        <f t="shared" ca="1" si="20"/>
        <v>45714</v>
      </c>
      <c r="W299" s="115" t="e">
        <f ca="1"/>
        <v>#VALUE!</v>
      </c>
    </row>
    <row r="300" spans="13:23">
      <c r="M300" s="219">
        <f t="shared" ca="1" si="17"/>
        <v>45721</v>
      </c>
      <c r="N300" s="115" t="e">
        <f ca="1"/>
        <v>#VALUE!</v>
      </c>
      <c r="P300" s="219">
        <f t="shared" ca="1" si="18"/>
        <v>45721</v>
      </c>
      <c r="Q300" s="115" t="e">
        <f ca="1"/>
        <v>#VALUE!</v>
      </c>
      <c r="S300" s="219">
        <f t="shared" ca="1" si="19"/>
        <v>45721</v>
      </c>
      <c r="T300" s="115" t="e">
        <f ca="1"/>
        <v>#VALUE!</v>
      </c>
      <c r="V300" s="219">
        <f t="shared" ca="1" si="20"/>
        <v>45721</v>
      </c>
      <c r="W300" s="115" t="e">
        <f ca="1"/>
        <v>#VALUE!</v>
      </c>
    </row>
    <row r="301" spans="13:23">
      <c r="M301" s="219">
        <f t="shared" ca="1" si="17"/>
        <v>45728</v>
      </c>
      <c r="N301" s="115" t="e">
        <f ca="1"/>
        <v>#VALUE!</v>
      </c>
      <c r="P301" s="219">
        <f t="shared" ca="1" si="18"/>
        <v>45728</v>
      </c>
      <c r="Q301" s="115" t="e">
        <f ca="1"/>
        <v>#VALUE!</v>
      </c>
      <c r="S301" s="219">
        <f t="shared" ca="1" si="19"/>
        <v>45728</v>
      </c>
      <c r="T301" s="115" t="e">
        <f ca="1"/>
        <v>#VALUE!</v>
      </c>
      <c r="V301" s="219">
        <f t="shared" ca="1" si="20"/>
        <v>45728</v>
      </c>
      <c r="W301" s="115" t="e">
        <f ca="1"/>
        <v>#VALUE!</v>
      </c>
    </row>
    <row r="302" spans="13:23">
      <c r="M302" s="219">
        <f t="shared" ca="1" si="17"/>
        <v>45735</v>
      </c>
      <c r="N302" s="115" t="e">
        <f ca="1"/>
        <v>#VALUE!</v>
      </c>
      <c r="P302" s="219">
        <f t="shared" ca="1" si="18"/>
        <v>45735</v>
      </c>
      <c r="Q302" s="115" t="e">
        <f ca="1"/>
        <v>#VALUE!</v>
      </c>
      <c r="S302" s="219">
        <f t="shared" ca="1" si="19"/>
        <v>45735</v>
      </c>
      <c r="T302" s="115" t="e">
        <f ca="1"/>
        <v>#VALUE!</v>
      </c>
      <c r="V302" s="219">
        <f t="shared" ca="1" si="20"/>
        <v>45735</v>
      </c>
      <c r="W302" s="115" t="e">
        <f ca="1"/>
        <v>#VALUE!</v>
      </c>
    </row>
    <row r="303" spans="13:23">
      <c r="M303" s="219">
        <f t="shared" ca="1" si="17"/>
        <v>45742</v>
      </c>
      <c r="N303" s="115" t="e">
        <f ca="1"/>
        <v>#VALUE!</v>
      </c>
      <c r="P303" s="219">
        <f t="shared" ca="1" si="18"/>
        <v>45742</v>
      </c>
      <c r="Q303" s="115" t="e">
        <f ca="1"/>
        <v>#VALUE!</v>
      </c>
      <c r="S303" s="219">
        <f t="shared" ca="1" si="19"/>
        <v>45742</v>
      </c>
      <c r="T303" s="115" t="e">
        <f ca="1"/>
        <v>#VALUE!</v>
      </c>
      <c r="V303" s="219">
        <f t="shared" ca="1" si="20"/>
        <v>45742</v>
      </c>
      <c r="W303" s="115" t="e">
        <f ca="1"/>
        <v>#VALUE!</v>
      </c>
    </row>
    <row r="304" spans="13:23">
      <c r="M304" s="219">
        <f t="shared" ca="1" si="17"/>
        <v>45749</v>
      </c>
      <c r="N304" s="115" t="e">
        <f ca="1"/>
        <v>#VALUE!</v>
      </c>
      <c r="P304" s="219">
        <f t="shared" ca="1" si="18"/>
        <v>45749</v>
      </c>
      <c r="Q304" s="115" t="e">
        <f ca="1"/>
        <v>#VALUE!</v>
      </c>
      <c r="S304" s="219">
        <f t="shared" ca="1" si="19"/>
        <v>45749</v>
      </c>
      <c r="T304" s="115" t="e">
        <f ca="1"/>
        <v>#VALUE!</v>
      </c>
      <c r="V304" s="219">
        <f t="shared" ca="1" si="20"/>
        <v>45749</v>
      </c>
      <c r="W304" s="115" t="e">
        <f ca="1"/>
        <v>#VALUE!</v>
      </c>
    </row>
    <row r="305" spans="13:23">
      <c r="M305" s="219">
        <f t="shared" ca="1" si="17"/>
        <v>45756</v>
      </c>
      <c r="N305" s="115" t="e">
        <f ca="1"/>
        <v>#VALUE!</v>
      </c>
      <c r="P305" s="219">
        <f t="shared" ca="1" si="18"/>
        <v>45756</v>
      </c>
      <c r="Q305" s="115" t="e">
        <f ca="1"/>
        <v>#VALUE!</v>
      </c>
      <c r="S305" s="219">
        <f t="shared" ca="1" si="19"/>
        <v>45756</v>
      </c>
      <c r="T305" s="115" t="e">
        <f ca="1"/>
        <v>#VALUE!</v>
      </c>
      <c r="V305" s="219">
        <f t="shared" ca="1" si="20"/>
        <v>45756</v>
      </c>
      <c r="W305" s="115" t="e">
        <f ca="1"/>
        <v>#VALUE!</v>
      </c>
    </row>
    <row r="306" spans="13:23">
      <c r="M306" s="219">
        <f t="shared" ca="1" si="17"/>
        <v>45763</v>
      </c>
      <c r="N306" s="115" t="e">
        <f ca="1"/>
        <v>#VALUE!</v>
      </c>
      <c r="P306" s="219">
        <f t="shared" ca="1" si="18"/>
        <v>45763</v>
      </c>
      <c r="Q306" s="115" t="e">
        <f ca="1"/>
        <v>#VALUE!</v>
      </c>
      <c r="S306" s="219">
        <f t="shared" ca="1" si="19"/>
        <v>45763</v>
      </c>
      <c r="T306" s="115" t="e">
        <f ca="1"/>
        <v>#VALUE!</v>
      </c>
      <c r="V306" s="219">
        <f t="shared" ca="1" si="20"/>
        <v>45763</v>
      </c>
      <c r="W306" s="115" t="e">
        <f ca="1"/>
        <v>#VALUE!</v>
      </c>
    </row>
    <row r="307" spans="13:23">
      <c r="M307" s="219">
        <f t="shared" ca="1" si="17"/>
        <v>45770</v>
      </c>
      <c r="N307" s="115" t="e">
        <f ca="1"/>
        <v>#VALUE!</v>
      </c>
      <c r="P307" s="219">
        <f t="shared" ca="1" si="18"/>
        <v>45770</v>
      </c>
      <c r="Q307" s="115" t="e">
        <f ca="1"/>
        <v>#VALUE!</v>
      </c>
      <c r="S307" s="219">
        <f t="shared" ca="1" si="19"/>
        <v>45770</v>
      </c>
      <c r="T307" s="115" t="e">
        <f ca="1"/>
        <v>#VALUE!</v>
      </c>
      <c r="V307" s="219">
        <f t="shared" ca="1" si="20"/>
        <v>45770</v>
      </c>
      <c r="W307" s="115" t="e">
        <f ca="1"/>
        <v>#VALUE!</v>
      </c>
    </row>
    <row r="308" spans="13:23">
      <c r="M308" s="219">
        <f t="shared" ca="1" si="17"/>
        <v>45777</v>
      </c>
      <c r="N308" s="115" t="e">
        <f ca="1"/>
        <v>#VALUE!</v>
      </c>
      <c r="P308" s="219">
        <f t="shared" ca="1" si="18"/>
        <v>45777</v>
      </c>
      <c r="Q308" s="115" t="e">
        <f ca="1"/>
        <v>#VALUE!</v>
      </c>
      <c r="S308" s="219">
        <f t="shared" ca="1" si="19"/>
        <v>45777</v>
      </c>
      <c r="T308" s="115" t="e">
        <f ca="1"/>
        <v>#VALUE!</v>
      </c>
      <c r="V308" s="219">
        <f t="shared" ca="1" si="20"/>
        <v>45777</v>
      </c>
      <c r="W308" s="115" t="e">
        <f ca="1"/>
        <v>#VALUE!</v>
      </c>
    </row>
    <row r="309" spans="13:23">
      <c r="M309" s="219">
        <f t="shared" ca="1" si="17"/>
        <v>45784</v>
      </c>
      <c r="N309" s="115" t="e">
        <f ca="1"/>
        <v>#VALUE!</v>
      </c>
      <c r="P309" s="219">
        <f t="shared" ca="1" si="18"/>
        <v>45784</v>
      </c>
      <c r="Q309" s="115" t="e">
        <f ca="1"/>
        <v>#VALUE!</v>
      </c>
      <c r="S309" s="219">
        <f t="shared" ca="1" si="19"/>
        <v>45784</v>
      </c>
      <c r="T309" s="115" t="e">
        <f ca="1"/>
        <v>#VALUE!</v>
      </c>
      <c r="V309" s="219">
        <f t="shared" ca="1" si="20"/>
        <v>45784</v>
      </c>
      <c r="W309" s="115" t="e">
        <f ca="1"/>
        <v>#VALUE!</v>
      </c>
    </row>
    <row r="310" spans="13:23">
      <c r="M310" s="219">
        <f t="shared" ca="1" si="17"/>
        <v>45791</v>
      </c>
      <c r="N310" s="115" t="e">
        <f ca="1"/>
        <v>#VALUE!</v>
      </c>
      <c r="P310" s="219">
        <f t="shared" ca="1" si="18"/>
        <v>45791</v>
      </c>
      <c r="Q310" s="115" t="e">
        <f ca="1"/>
        <v>#VALUE!</v>
      </c>
      <c r="S310" s="219">
        <f t="shared" ca="1" si="19"/>
        <v>45791</v>
      </c>
      <c r="T310" s="115" t="e">
        <f ca="1"/>
        <v>#VALUE!</v>
      </c>
      <c r="V310" s="219">
        <f t="shared" ca="1" si="20"/>
        <v>45791</v>
      </c>
      <c r="W310" s="115" t="e">
        <f ca="1"/>
        <v>#VALUE!</v>
      </c>
    </row>
    <row r="311" spans="13:23">
      <c r="M311" s="219">
        <f t="shared" ca="1" si="17"/>
        <v>45798</v>
      </c>
      <c r="N311" s="115" t="e">
        <f ca="1"/>
        <v>#VALUE!</v>
      </c>
      <c r="P311" s="219">
        <f t="shared" ca="1" si="18"/>
        <v>45798</v>
      </c>
      <c r="Q311" s="115" t="e">
        <f ca="1"/>
        <v>#VALUE!</v>
      </c>
      <c r="S311" s="219">
        <f t="shared" ca="1" si="19"/>
        <v>45798</v>
      </c>
      <c r="T311" s="115" t="e">
        <f ca="1"/>
        <v>#VALUE!</v>
      </c>
      <c r="V311" s="219">
        <f t="shared" ca="1" si="20"/>
        <v>45798</v>
      </c>
      <c r="W311" s="115" t="e">
        <f ca="1"/>
        <v>#VALUE!</v>
      </c>
    </row>
    <row r="312" spans="13:23">
      <c r="M312" s="219">
        <f t="shared" ca="1" si="17"/>
        <v>45805</v>
      </c>
      <c r="N312" s="115" t="e">
        <f ca="1"/>
        <v>#VALUE!</v>
      </c>
      <c r="P312" s="219">
        <f t="shared" ca="1" si="18"/>
        <v>45805</v>
      </c>
      <c r="Q312" s="115" t="e">
        <f ca="1"/>
        <v>#VALUE!</v>
      </c>
      <c r="S312" s="219">
        <f t="shared" ca="1" si="19"/>
        <v>45805</v>
      </c>
      <c r="T312" s="115" t="e">
        <f ca="1"/>
        <v>#VALUE!</v>
      </c>
      <c r="V312" s="219">
        <f t="shared" ca="1" si="20"/>
        <v>45805</v>
      </c>
      <c r="W312" s="115" t="e">
        <f ca="1"/>
        <v>#VALUE!</v>
      </c>
    </row>
    <row r="313" spans="13:23">
      <c r="M313" s="219">
        <f t="shared" ca="1" si="17"/>
        <v>45812</v>
      </c>
      <c r="N313" s="115" t="e">
        <f ca="1"/>
        <v>#VALUE!</v>
      </c>
      <c r="P313" s="219">
        <f t="shared" ca="1" si="18"/>
        <v>45812</v>
      </c>
      <c r="Q313" s="115" t="e">
        <f ca="1"/>
        <v>#VALUE!</v>
      </c>
      <c r="S313" s="219">
        <f t="shared" ca="1" si="19"/>
        <v>45812</v>
      </c>
      <c r="T313" s="115" t="e">
        <f ca="1"/>
        <v>#VALUE!</v>
      </c>
      <c r="V313" s="219">
        <f t="shared" ca="1" si="20"/>
        <v>45812</v>
      </c>
      <c r="W313" s="115" t="e">
        <f ca="1"/>
        <v>#VALUE!</v>
      </c>
    </row>
    <row r="314" spans="13:23">
      <c r="M314" s="219">
        <f t="shared" ca="1" si="17"/>
        <v>45819</v>
      </c>
      <c r="N314" s="115" t="e">
        <f ca="1"/>
        <v>#VALUE!</v>
      </c>
      <c r="P314" s="219">
        <f t="shared" ca="1" si="18"/>
        <v>45819</v>
      </c>
      <c r="Q314" s="115" t="e">
        <f ca="1"/>
        <v>#VALUE!</v>
      </c>
      <c r="S314" s="219">
        <f t="shared" ca="1" si="19"/>
        <v>45819</v>
      </c>
      <c r="T314" s="115" t="e">
        <f ca="1"/>
        <v>#VALUE!</v>
      </c>
      <c r="V314" s="219">
        <f t="shared" ca="1" si="20"/>
        <v>45819</v>
      </c>
      <c r="W314" s="115" t="e">
        <f ca="1"/>
        <v>#VALUE!</v>
      </c>
    </row>
    <row r="315" spans="13:23">
      <c r="M315" s="219">
        <f t="shared" ca="1" si="17"/>
        <v>45826</v>
      </c>
      <c r="N315" s="115" t="e">
        <f ca="1"/>
        <v>#VALUE!</v>
      </c>
      <c r="P315" s="219">
        <f t="shared" ca="1" si="18"/>
        <v>45826</v>
      </c>
      <c r="Q315" s="115" t="e">
        <f ca="1"/>
        <v>#VALUE!</v>
      </c>
      <c r="S315" s="219">
        <f t="shared" ca="1" si="19"/>
        <v>45826</v>
      </c>
      <c r="T315" s="115" t="e">
        <f ca="1"/>
        <v>#VALUE!</v>
      </c>
      <c r="V315" s="219">
        <f t="shared" ca="1" si="20"/>
        <v>45826</v>
      </c>
      <c r="W315" s="115" t="e">
        <f ca="1"/>
        <v>#VALUE!</v>
      </c>
    </row>
    <row r="316" spans="13:23">
      <c r="M316" s="219">
        <f t="shared" ca="1" si="17"/>
        <v>45833</v>
      </c>
      <c r="N316" s="115" t="e">
        <f ca="1"/>
        <v>#VALUE!</v>
      </c>
      <c r="P316" s="219">
        <f t="shared" ca="1" si="18"/>
        <v>45833</v>
      </c>
      <c r="Q316" s="115" t="e">
        <f ca="1"/>
        <v>#VALUE!</v>
      </c>
      <c r="S316" s="219">
        <f t="shared" ca="1" si="19"/>
        <v>45833</v>
      </c>
      <c r="T316" s="115" t="e">
        <f ca="1"/>
        <v>#VALUE!</v>
      </c>
      <c r="V316" s="219">
        <f t="shared" ca="1" si="20"/>
        <v>45833</v>
      </c>
      <c r="W316" s="115" t="e">
        <f ca="1"/>
        <v>#VALUE!</v>
      </c>
    </row>
    <row r="317" spans="13:23">
      <c r="M317" s="219">
        <f t="shared" ca="1" si="17"/>
        <v>45840</v>
      </c>
      <c r="N317" s="115" t="e">
        <f ca="1"/>
        <v>#VALUE!</v>
      </c>
      <c r="P317" s="219">
        <f t="shared" ca="1" si="18"/>
        <v>45840</v>
      </c>
      <c r="Q317" s="115" t="e">
        <f ca="1"/>
        <v>#VALUE!</v>
      </c>
      <c r="S317" s="219">
        <f t="shared" ca="1" si="19"/>
        <v>45840</v>
      </c>
      <c r="T317" s="115" t="e">
        <f ca="1"/>
        <v>#VALUE!</v>
      </c>
      <c r="V317" s="219">
        <f t="shared" ca="1" si="20"/>
        <v>45840</v>
      </c>
      <c r="W317" s="115" t="e">
        <f ca="1"/>
        <v>#VALUE!</v>
      </c>
    </row>
    <row r="318" spans="13:23">
      <c r="M318" s="219">
        <f t="shared" ca="1" si="17"/>
        <v>45847</v>
      </c>
      <c r="N318" s="115" t="e">
        <f ca="1"/>
        <v>#VALUE!</v>
      </c>
      <c r="P318" s="219">
        <f t="shared" ca="1" si="18"/>
        <v>45847</v>
      </c>
      <c r="Q318" s="115" t="e">
        <f ca="1"/>
        <v>#VALUE!</v>
      </c>
      <c r="S318" s="219">
        <f t="shared" ca="1" si="19"/>
        <v>45847</v>
      </c>
      <c r="T318" s="115" t="e">
        <f ca="1"/>
        <v>#VALUE!</v>
      </c>
      <c r="V318" s="219">
        <f t="shared" ca="1" si="20"/>
        <v>45847</v>
      </c>
      <c r="W318" s="115" t="e">
        <f ca="1"/>
        <v>#VALUE!</v>
      </c>
    </row>
    <row r="319" spans="13:23">
      <c r="M319" s="219">
        <f t="shared" ca="1" si="17"/>
        <v>45854</v>
      </c>
      <c r="N319" s="115" t="e">
        <f ca="1"/>
        <v>#VALUE!</v>
      </c>
      <c r="P319" s="219">
        <f t="shared" ca="1" si="18"/>
        <v>45854</v>
      </c>
      <c r="Q319" s="115" t="e">
        <f ca="1"/>
        <v>#VALUE!</v>
      </c>
      <c r="S319" s="219">
        <f t="shared" ca="1" si="19"/>
        <v>45854</v>
      </c>
      <c r="T319" s="115" t="e">
        <f ca="1"/>
        <v>#VALUE!</v>
      </c>
      <c r="V319" s="219">
        <f t="shared" ca="1" si="20"/>
        <v>45854</v>
      </c>
      <c r="W319" s="115" t="e">
        <f ca="1"/>
        <v>#VALUE!</v>
      </c>
    </row>
    <row r="320" spans="13:23">
      <c r="M320" s="219">
        <f t="shared" ca="1" si="17"/>
        <v>45861</v>
      </c>
      <c r="N320" s="115" t="e">
        <f ca="1"/>
        <v>#VALUE!</v>
      </c>
      <c r="P320" s="219">
        <f t="shared" ca="1" si="18"/>
        <v>45861</v>
      </c>
      <c r="Q320" s="115" t="e">
        <f ca="1"/>
        <v>#VALUE!</v>
      </c>
      <c r="S320" s="219">
        <f t="shared" ca="1" si="19"/>
        <v>45861</v>
      </c>
      <c r="T320" s="115" t="e">
        <f ca="1"/>
        <v>#VALUE!</v>
      </c>
      <c r="V320" s="219">
        <f t="shared" ca="1" si="20"/>
        <v>45861</v>
      </c>
      <c r="W320" s="115" t="e">
        <f ca="1"/>
        <v>#VALUE!</v>
      </c>
    </row>
    <row r="321" spans="13:23">
      <c r="M321" s="219">
        <f t="shared" ca="1" si="17"/>
        <v>45868</v>
      </c>
      <c r="N321" s="115" t="e">
        <f ca="1"/>
        <v>#VALUE!</v>
      </c>
      <c r="P321" s="219">
        <f t="shared" ca="1" si="18"/>
        <v>45868</v>
      </c>
      <c r="Q321" s="115" t="e">
        <f ca="1"/>
        <v>#VALUE!</v>
      </c>
      <c r="S321" s="219">
        <f t="shared" ca="1" si="19"/>
        <v>45868</v>
      </c>
      <c r="T321" s="115" t="e">
        <f ca="1"/>
        <v>#VALUE!</v>
      </c>
      <c r="V321" s="219">
        <f t="shared" ca="1" si="20"/>
        <v>45868</v>
      </c>
      <c r="W321" s="115" t="e">
        <f ca="1"/>
        <v>#VALUE!</v>
      </c>
    </row>
    <row r="322" spans="13:23">
      <c r="M322" s="219">
        <f t="shared" ca="1" si="17"/>
        <v>45875</v>
      </c>
      <c r="N322" s="115" t="e">
        <f ca="1"/>
        <v>#VALUE!</v>
      </c>
      <c r="P322" s="219">
        <f t="shared" ca="1" si="18"/>
        <v>45875</v>
      </c>
      <c r="Q322" s="115" t="e">
        <f ca="1"/>
        <v>#VALUE!</v>
      </c>
      <c r="S322" s="219">
        <f t="shared" ca="1" si="19"/>
        <v>45875</v>
      </c>
      <c r="T322" s="115" t="e">
        <f ca="1"/>
        <v>#VALUE!</v>
      </c>
      <c r="V322" s="219">
        <f t="shared" ca="1" si="20"/>
        <v>45875</v>
      </c>
      <c r="W322" s="115" t="e">
        <f ca="1"/>
        <v>#VALUE!</v>
      </c>
    </row>
    <row r="323" spans="13:23">
      <c r="M323" s="219">
        <f t="shared" ca="1" si="17"/>
        <v>45882</v>
      </c>
      <c r="N323" s="115" t="e">
        <f ca="1"/>
        <v>#VALUE!</v>
      </c>
      <c r="P323" s="219">
        <f t="shared" ca="1" si="18"/>
        <v>45882</v>
      </c>
      <c r="Q323" s="115" t="e">
        <f ca="1"/>
        <v>#VALUE!</v>
      </c>
      <c r="S323" s="219">
        <f t="shared" ca="1" si="19"/>
        <v>45882</v>
      </c>
      <c r="T323" s="115" t="e">
        <f ca="1"/>
        <v>#VALUE!</v>
      </c>
      <c r="V323" s="219">
        <f t="shared" ca="1" si="20"/>
        <v>45882</v>
      </c>
      <c r="W323" s="115" t="e">
        <f ca="1"/>
        <v>#VALUE!</v>
      </c>
    </row>
    <row r="324" spans="13:23">
      <c r="M324" s="219">
        <f t="shared" ca="1" si="17"/>
        <v>45889</v>
      </c>
      <c r="N324" s="115" t="e">
        <f ca="1"/>
        <v>#VALUE!</v>
      </c>
      <c r="P324" s="219">
        <f t="shared" ca="1" si="18"/>
        <v>45889</v>
      </c>
      <c r="Q324" s="115" t="e">
        <f ca="1"/>
        <v>#VALUE!</v>
      </c>
      <c r="S324" s="219">
        <f t="shared" ca="1" si="19"/>
        <v>45889</v>
      </c>
      <c r="T324" s="115" t="e">
        <f ca="1"/>
        <v>#VALUE!</v>
      </c>
      <c r="V324" s="219">
        <f t="shared" ca="1" si="20"/>
        <v>45889</v>
      </c>
      <c r="W324" s="115" t="e">
        <f ca="1"/>
        <v>#VALUE!</v>
      </c>
    </row>
    <row r="325" spans="13:23">
      <c r="M325" s="219">
        <f t="shared" ca="1" si="17"/>
        <v>45896</v>
      </c>
      <c r="N325" s="115" t="e">
        <f ca="1"/>
        <v>#VALUE!</v>
      </c>
      <c r="P325" s="219">
        <f t="shared" ca="1" si="18"/>
        <v>45896</v>
      </c>
      <c r="Q325" s="115" t="e">
        <f ca="1"/>
        <v>#VALUE!</v>
      </c>
      <c r="S325" s="219">
        <f t="shared" ca="1" si="19"/>
        <v>45896</v>
      </c>
      <c r="T325" s="115" t="e">
        <f ca="1"/>
        <v>#VALUE!</v>
      </c>
      <c r="V325" s="219">
        <f t="shared" ca="1" si="20"/>
        <v>45896</v>
      </c>
      <c r="W325" s="115" t="e">
        <f ca="1"/>
        <v>#VALUE!</v>
      </c>
    </row>
    <row r="326" spans="13:23">
      <c r="M326" s="219">
        <f t="shared" ca="1" si="17"/>
        <v>45903</v>
      </c>
      <c r="N326" s="115" t="e">
        <f ca="1"/>
        <v>#VALUE!</v>
      </c>
      <c r="P326" s="219">
        <f t="shared" ca="1" si="18"/>
        <v>45903</v>
      </c>
      <c r="Q326" s="115" t="e">
        <f ca="1"/>
        <v>#VALUE!</v>
      </c>
      <c r="S326" s="219">
        <f t="shared" ca="1" si="19"/>
        <v>45903</v>
      </c>
      <c r="T326" s="115" t="e">
        <f ca="1"/>
        <v>#VALUE!</v>
      </c>
      <c r="V326" s="219">
        <f t="shared" ca="1" si="20"/>
        <v>45903</v>
      </c>
      <c r="W326" s="115" t="e">
        <f ca="1"/>
        <v>#VALUE!</v>
      </c>
    </row>
    <row r="327" spans="13:23">
      <c r="M327" s="219">
        <f t="shared" ca="1" si="17"/>
        <v>45910</v>
      </c>
      <c r="N327" s="115" t="e">
        <f ca="1"/>
        <v>#VALUE!</v>
      </c>
      <c r="P327" s="219">
        <f t="shared" ca="1" si="18"/>
        <v>45910</v>
      </c>
      <c r="Q327" s="115" t="e">
        <f ca="1"/>
        <v>#VALUE!</v>
      </c>
      <c r="S327" s="219">
        <f t="shared" ca="1" si="19"/>
        <v>45910</v>
      </c>
      <c r="T327" s="115" t="e">
        <f ca="1"/>
        <v>#VALUE!</v>
      </c>
      <c r="V327" s="219">
        <f t="shared" ca="1" si="20"/>
        <v>45910</v>
      </c>
      <c r="W327" s="115" t="e">
        <f ca="1"/>
        <v>#VALUE!</v>
      </c>
    </row>
    <row r="328" spans="13:23">
      <c r="M328" s="219">
        <f t="shared" ca="1" si="17"/>
        <v>45917</v>
      </c>
      <c r="N328" s="115" t="e">
        <f ca="1"/>
        <v>#VALUE!</v>
      </c>
      <c r="P328" s="219">
        <f t="shared" ca="1" si="18"/>
        <v>45917</v>
      </c>
      <c r="Q328" s="115" t="e">
        <f ca="1"/>
        <v>#VALUE!</v>
      </c>
      <c r="S328" s="219">
        <f t="shared" ca="1" si="19"/>
        <v>45917</v>
      </c>
      <c r="T328" s="115" t="e">
        <f ca="1"/>
        <v>#VALUE!</v>
      </c>
      <c r="V328" s="219">
        <f t="shared" ca="1" si="20"/>
        <v>45917</v>
      </c>
      <c r="W328" s="115" t="e">
        <f ca="1"/>
        <v>#VALUE!</v>
      </c>
    </row>
    <row r="329" spans="13:23">
      <c r="M329" s="219">
        <f t="shared" ca="1" si="17"/>
        <v>45924</v>
      </c>
      <c r="N329" s="115" t="e">
        <f ca="1"/>
        <v>#VALUE!</v>
      </c>
      <c r="P329" s="219">
        <f t="shared" ca="1" si="18"/>
        <v>45924</v>
      </c>
      <c r="Q329" s="115" t="e">
        <f ca="1"/>
        <v>#VALUE!</v>
      </c>
      <c r="S329" s="219">
        <f t="shared" ca="1" si="19"/>
        <v>45924</v>
      </c>
      <c r="T329" s="115" t="e">
        <f ca="1"/>
        <v>#VALUE!</v>
      </c>
      <c r="V329" s="219">
        <f t="shared" ca="1" si="20"/>
        <v>45924</v>
      </c>
      <c r="W329" s="115" t="e">
        <f ca="1"/>
        <v>#VALUE!</v>
      </c>
    </row>
    <row r="330" spans="13:23">
      <c r="M330" s="219">
        <f t="shared" ca="1" si="17"/>
        <v>45931</v>
      </c>
      <c r="N330" s="115" t="e">
        <f ca="1"/>
        <v>#VALUE!</v>
      </c>
      <c r="P330" s="219">
        <f t="shared" ca="1" si="18"/>
        <v>45931</v>
      </c>
      <c r="Q330" s="115" t="e">
        <f ca="1"/>
        <v>#VALUE!</v>
      </c>
      <c r="S330" s="219">
        <f t="shared" ca="1" si="19"/>
        <v>45931</v>
      </c>
      <c r="T330" s="115" t="e">
        <f ca="1"/>
        <v>#VALUE!</v>
      </c>
      <c r="V330" s="219">
        <f t="shared" ca="1" si="20"/>
        <v>45931</v>
      </c>
      <c r="W330" s="115" t="e">
        <f ca="1"/>
        <v>#VALUE!</v>
      </c>
    </row>
    <row r="331" spans="13:23">
      <c r="M331" s="219">
        <f t="shared" ca="1" si="17"/>
        <v>45938</v>
      </c>
      <c r="N331" s="115" t="e">
        <f ca="1"/>
        <v>#VALUE!</v>
      </c>
      <c r="P331" s="219">
        <f t="shared" ca="1" si="18"/>
        <v>45938</v>
      </c>
      <c r="Q331" s="115" t="e">
        <f ca="1"/>
        <v>#VALUE!</v>
      </c>
      <c r="S331" s="219">
        <f t="shared" ca="1" si="19"/>
        <v>45938</v>
      </c>
      <c r="T331" s="115" t="e">
        <f ca="1"/>
        <v>#VALUE!</v>
      </c>
      <c r="V331" s="219">
        <f t="shared" ca="1" si="20"/>
        <v>45938</v>
      </c>
      <c r="W331" s="115" t="e">
        <f ca="1"/>
        <v>#VALUE!</v>
      </c>
    </row>
    <row r="332" spans="13:23">
      <c r="M332" s="219">
        <f t="shared" ca="1" si="17"/>
        <v>45945</v>
      </c>
      <c r="N332" s="115" t="e">
        <f ca="1"/>
        <v>#VALUE!</v>
      </c>
      <c r="P332" s="219">
        <f t="shared" ca="1" si="18"/>
        <v>45945</v>
      </c>
      <c r="Q332" s="115" t="e">
        <f ca="1"/>
        <v>#VALUE!</v>
      </c>
      <c r="S332" s="219">
        <f t="shared" ca="1" si="19"/>
        <v>45945</v>
      </c>
      <c r="T332" s="115" t="e">
        <f ca="1"/>
        <v>#VALUE!</v>
      </c>
      <c r="V332" s="219">
        <f t="shared" ca="1" si="20"/>
        <v>45945</v>
      </c>
      <c r="W332" s="115" t="e">
        <f ca="1"/>
        <v>#VALUE!</v>
      </c>
    </row>
    <row r="333" spans="13:23">
      <c r="M333" s="219">
        <f t="shared" ref="M333:M396" ca="1" si="21">M332+7</f>
        <v>45952</v>
      </c>
      <c r="N333" s="115" t="e">
        <f ca="1"/>
        <v>#VALUE!</v>
      </c>
      <c r="P333" s="219">
        <f t="shared" ref="P333:P396" ca="1" si="22">P332+7</f>
        <v>45952</v>
      </c>
      <c r="Q333" s="115" t="e">
        <f ca="1"/>
        <v>#VALUE!</v>
      </c>
      <c r="S333" s="219">
        <f t="shared" ref="S333:S396" ca="1" si="23">S332+7</f>
        <v>45952</v>
      </c>
      <c r="T333" s="115" t="e">
        <f ca="1"/>
        <v>#VALUE!</v>
      </c>
      <c r="V333" s="219">
        <f t="shared" ref="V333:V396" ca="1" si="24">V332+7</f>
        <v>45952</v>
      </c>
      <c r="W333" s="115" t="e">
        <f ca="1"/>
        <v>#VALUE!</v>
      </c>
    </row>
    <row r="334" spans="13:23">
      <c r="M334" s="219">
        <f t="shared" ca="1" si="21"/>
        <v>45959</v>
      </c>
      <c r="N334" s="115" t="e">
        <f ca="1"/>
        <v>#VALUE!</v>
      </c>
      <c r="P334" s="219">
        <f t="shared" ca="1" si="22"/>
        <v>45959</v>
      </c>
      <c r="Q334" s="115" t="e">
        <f ca="1"/>
        <v>#VALUE!</v>
      </c>
      <c r="S334" s="219">
        <f t="shared" ca="1" si="23"/>
        <v>45959</v>
      </c>
      <c r="T334" s="115" t="e">
        <f ca="1"/>
        <v>#VALUE!</v>
      </c>
      <c r="V334" s="219">
        <f t="shared" ca="1" si="24"/>
        <v>45959</v>
      </c>
      <c r="W334" s="115" t="e">
        <f ca="1"/>
        <v>#VALUE!</v>
      </c>
    </row>
    <row r="335" spans="13:23">
      <c r="M335" s="219">
        <f t="shared" ca="1" si="21"/>
        <v>45966</v>
      </c>
      <c r="N335" s="115" t="e">
        <f ca="1"/>
        <v>#VALUE!</v>
      </c>
      <c r="P335" s="219">
        <f t="shared" ca="1" si="22"/>
        <v>45966</v>
      </c>
      <c r="Q335" s="115" t="e">
        <f ca="1"/>
        <v>#VALUE!</v>
      </c>
      <c r="S335" s="219">
        <f t="shared" ca="1" si="23"/>
        <v>45966</v>
      </c>
      <c r="T335" s="115" t="e">
        <f ca="1"/>
        <v>#VALUE!</v>
      </c>
      <c r="V335" s="219">
        <f t="shared" ca="1" si="24"/>
        <v>45966</v>
      </c>
      <c r="W335" s="115" t="e">
        <f ca="1"/>
        <v>#VALUE!</v>
      </c>
    </row>
    <row r="336" spans="13:23">
      <c r="M336" s="219">
        <f t="shared" ca="1" si="21"/>
        <v>45973</v>
      </c>
      <c r="N336" s="115" t="e">
        <f ca="1"/>
        <v>#VALUE!</v>
      </c>
      <c r="P336" s="219">
        <f t="shared" ca="1" si="22"/>
        <v>45973</v>
      </c>
      <c r="Q336" s="115" t="e">
        <f ca="1"/>
        <v>#VALUE!</v>
      </c>
      <c r="S336" s="219">
        <f t="shared" ca="1" si="23"/>
        <v>45973</v>
      </c>
      <c r="T336" s="115" t="e">
        <f ca="1"/>
        <v>#VALUE!</v>
      </c>
      <c r="V336" s="219">
        <f t="shared" ca="1" si="24"/>
        <v>45973</v>
      </c>
      <c r="W336" s="115" t="e">
        <f ca="1"/>
        <v>#VALUE!</v>
      </c>
    </row>
    <row r="337" spans="13:23">
      <c r="M337" s="219">
        <f t="shared" ca="1" si="21"/>
        <v>45980</v>
      </c>
      <c r="N337" s="115" t="e">
        <f ca="1"/>
        <v>#VALUE!</v>
      </c>
      <c r="P337" s="219">
        <f t="shared" ca="1" si="22"/>
        <v>45980</v>
      </c>
      <c r="Q337" s="115" t="e">
        <f ca="1"/>
        <v>#VALUE!</v>
      </c>
      <c r="S337" s="219">
        <f t="shared" ca="1" si="23"/>
        <v>45980</v>
      </c>
      <c r="T337" s="115" t="e">
        <f ca="1"/>
        <v>#VALUE!</v>
      </c>
      <c r="V337" s="219">
        <f t="shared" ca="1" si="24"/>
        <v>45980</v>
      </c>
      <c r="W337" s="115" t="e">
        <f ca="1"/>
        <v>#VALUE!</v>
      </c>
    </row>
    <row r="338" spans="13:23">
      <c r="M338" s="219">
        <f t="shared" ca="1" si="21"/>
        <v>45987</v>
      </c>
      <c r="N338" s="115" t="e">
        <f ca="1"/>
        <v>#VALUE!</v>
      </c>
      <c r="P338" s="219">
        <f t="shared" ca="1" si="22"/>
        <v>45987</v>
      </c>
      <c r="Q338" s="115" t="e">
        <f ca="1"/>
        <v>#VALUE!</v>
      </c>
      <c r="S338" s="219">
        <f t="shared" ca="1" si="23"/>
        <v>45987</v>
      </c>
      <c r="T338" s="115" t="e">
        <f ca="1"/>
        <v>#VALUE!</v>
      </c>
      <c r="V338" s="219">
        <f t="shared" ca="1" si="24"/>
        <v>45987</v>
      </c>
      <c r="W338" s="115" t="e">
        <f ca="1"/>
        <v>#VALUE!</v>
      </c>
    </row>
    <row r="339" spans="13:23">
      <c r="M339" s="219">
        <f t="shared" ca="1" si="21"/>
        <v>45994</v>
      </c>
      <c r="N339" s="115" t="e">
        <f ca="1"/>
        <v>#VALUE!</v>
      </c>
      <c r="P339" s="219">
        <f t="shared" ca="1" si="22"/>
        <v>45994</v>
      </c>
      <c r="Q339" s="115" t="e">
        <f ca="1"/>
        <v>#VALUE!</v>
      </c>
      <c r="S339" s="219">
        <f t="shared" ca="1" si="23"/>
        <v>45994</v>
      </c>
      <c r="T339" s="115" t="e">
        <f ca="1"/>
        <v>#VALUE!</v>
      </c>
      <c r="V339" s="219">
        <f t="shared" ca="1" si="24"/>
        <v>45994</v>
      </c>
      <c r="W339" s="115" t="e">
        <f ca="1"/>
        <v>#VALUE!</v>
      </c>
    </row>
    <row r="340" spans="13:23">
      <c r="M340" s="219">
        <f t="shared" ca="1" si="21"/>
        <v>46001</v>
      </c>
      <c r="N340" s="115" t="e">
        <f ca="1"/>
        <v>#VALUE!</v>
      </c>
      <c r="P340" s="219">
        <f t="shared" ca="1" si="22"/>
        <v>46001</v>
      </c>
      <c r="Q340" s="115" t="e">
        <f ca="1"/>
        <v>#VALUE!</v>
      </c>
      <c r="S340" s="219">
        <f t="shared" ca="1" si="23"/>
        <v>46001</v>
      </c>
      <c r="T340" s="115" t="e">
        <f ca="1"/>
        <v>#VALUE!</v>
      </c>
      <c r="V340" s="219">
        <f t="shared" ca="1" si="24"/>
        <v>46001</v>
      </c>
      <c r="W340" s="115" t="e">
        <f ca="1"/>
        <v>#VALUE!</v>
      </c>
    </row>
    <row r="341" spans="13:23">
      <c r="M341" s="219">
        <f t="shared" ca="1" si="21"/>
        <v>46008</v>
      </c>
      <c r="N341" s="115" t="e">
        <f ca="1"/>
        <v>#VALUE!</v>
      </c>
      <c r="P341" s="219">
        <f t="shared" ca="1" si="22"/>
        <v>46008</v>
      </c>
      <c r="Q341" s="115" t="e">
        <f ca="1"/>
        <v>#VALUE!</v>
      </c>
      <c r="S341" s="219">
        <f t="shared" ca="1" si="23"/>
        <v>46008</v>
      </c>
      <c r="T341" s="115" t="e">
        <f ca="1"/>
        <v>#VALUE!</v>
      </c>
      <c r="V341" s="219">
        <f t="shared" ca="1" si="24"/>
        <v>46008</v>
      </c>
      <c r="W341" s="115" t="e">
        <f ca="1"/>
        <v>#VALUE!</v>
      </c>
    </row>
    <row r="342" spans="13:23">
      <c r="M342" s="219">
        <f t="shared" ca="1" si="21"/>
        <v>46015</v>
      </c>
      <c r="N342" s="115" t="e">
        <f ca="1"/>
        <v>#VALUE!</v>
      </c>
      <c r="P342" s="219">
        <f t="shared" ca="1" si="22"/>
        <v>46015</v>
      </c>
      <c r="Q342" s="115" t="e">
        <f ca="1"/>
        <v>#VALUE!</v>
      </c>
      <c r="S342" s="219">
        <f t="shared" ca="1" si="23"/>
        <v>46015</v>
      </c>
      <c r="T342" s="115" t="e">
        <f ca="1"/>
        <v>#VALUE!</v>
      </c>
      <c r="V342" s="219">
        <f t="shared" ca="1" si="24"/>
        <v>46015</v>
      </c>
      <c r="W342" s="115" t="e">
        <f ca="1"/>
        <v>#VALUE!</v>
      </c>
    </row>
    <row r="343" spans="13:23">
      <c r="M343" s="219">
        <f t="shared" ca="1" si="21"/>
        <v>46022</v>
      </c>
      <c r="N343" s="115" t="e">
        <f ca="1"/>
        <v>#VALUE!</v>
      </c>
      <c r="P343" s="219">
        <f t="shared" ca="1" si="22"/>
        <v>46022</v>
      </c>
      <c r="Q343" s="115" t="e">
        <f ca="1"/>
        <v>#VALUE!</v>
      </c>
      <c r="S343" s="219">
        <f t="shared" ca="1" si="23"/>
        <v>46022</v>
      </c>
      <c r="T343" s="115" t="e">
        <f ca="1"/>
        <v>#VALUE!</v>
      </c>
      <c r="V343" s="219">
        <f t="shared" ca="1" si="24"/>
        <v>46022</v>
      </c>
      <c r="W343" s="115" t="e">
        <f ca="1"/>
        <v>#VALUE!</v>
      </c>
    </row>
    <row r="344" spans="13:23">
      <c r="M344" s="219">
        <f t="shared" ca="1" si="21"/>
        <v>46029</v>
      </c>
      <c r="N344" s="115" t="e">
        <f ca="1"/>
        <v>#VALUE!</v>
      </c>
      <c r="P344" s="219">
        <f t="shared" ca="1" si="22"/>
        <v>46029</v>
      </c>
      <c r="Q344" s="115" t="e">
        <f ca="1"/>
        <v>#VALUE!</v>
      </c>
      <c r="S344" s="219">
        <f t="shared" ca="1" si="23"/>
        <v>46029</v>
      </c>
      <c r="T344" s="115" t="e">
        <f ca="1"/>
        <v>#VALUE!</v>
      </c>
      <c r="V344" s="219">
        <f t="shared" ca="1" si="24"/>
        <v>46029</v>
      </c>
      <c r="W344" s="115" t="e">
        <f ca="1"/>
        <v>#VALUE!</v>
      </c>
    </row>
    <row r="345" spans="13:23">
      <c r="M345" s="219">
        <f t="shared" ca="1" si="21"/>
        <v>46036</v>
      </c>
      <c r="N345" s="115" t="e">
        <f ca="1"/>
        <v>#VALUE!</v>
      </c>
      <c r="P345" s="219">
        <f t="shared" ca="1" si="22"/>
        <v>46036</v>
      </c>
      <c r="Q345" s="115" t="e">
        <f ca="1"/>
        <v>#VALUE!</v>
      </c>
      <c r="S345" s="219">
        <f t="shared" ca="1" si="23"/>
        <v>46036</v>
      </c>
      <c r="T345" s="115" t="e">
        <f ca="1"/>
        <v>#VALUE!</v>
      </c>
      <c r="V345" s="219">
        <f t="shared" ca="1" si="24"/>
        <v>46036</v>
      </c>
      <c r="W345" s="115" t="e">
        <f ca="1"/>
        <v>#VALUE!</v>
      </c>
    </row>
    <row r="346" spans="13:23">
      <c r="M346" s="219">
        <f t="shared" ca="1" si="21"/>
        <v>46043</v>
      </c>
      <c r="N346" s="115" t="e">
        <f ca="1"/>
        <v>#VALUE!</v>
      </c>
      <c r="P346" s="219">
        <f t="shared" ca="1" si="22"/>
        <v>46043</v>
      </c>
      <c r="Q346" s="115" t="e">
        <f ca="1"/>
        <v>#VALUE!</v>
      </c>
      <c r="S346" s="219">
        <f t="shared" ca="1" si="23"/>
        <v>46043</v>
      </c>
      <c r="T346" s="115" t="e">
        <f ca="1"/>
        <v>#VALUE!</v>
      </c>
      <c r="V346" s="219">
        <f t="shared" ca="1" si="24"/>
        <v>46043</v>
      </c>
      <c r="W346" s="115" t="e">
        <f ca="1"/>
        <v>#VALUE!</v>
      </c>
    </row>
    <row r="347" spans="13:23">
      <c r="M347" s="219">
        <f t="shared" ca="1" si="21"/>
        <v>46050</v>
      </c>
      <c r="N347" s="115" t="e">
        <f ca="1"/>
        <v>#VALUE!</v>
      </c>
      <c r="P347" s="219">
        <f t="shared" ca="1" si="22"/>
        <v>46050</v>
      </c>
      <c r="Q347" s="115" t="e">
        <f ca="1"/>
        <v>#VALUE!</v>
      </c>
      <c r="S347" s="219">
        <f t="shared" ca="1" si="23"/>
        <v>46050</v>
      </c>
      <c r="T347" s="115" t="e">
        <f ca="1"/>
        <v>#VALUE!</v>
      </c>
      <c r="V347" s="219">
        <f t="shared" ca="1" si="24"/>
        <v>46050</v>
      </c>
      <c r="W347" s="115" t="e">
        <f ca="1"/>
        <v>#VALUE!</v>
      </c>
    </row>
    <row r="348" spans="13:23">
      <c r="M348" s="219">
        <f t="shared" ca="1" si="21"/>
        <v>46057</v>
      </c>
      <c r="N348" s="115" t="e">
        <f ca="1"/>
        <v>#VALUE!</v>
      </c>
      <c r="P348" s="219">
        <f t="shared" ca="1" si="22"/>
        <v>46057</v>
      </c>
      <c r="Q348" s="115" t="e">
        <f ca="1"/>
        <v>#VALUE!</v>
      </c>
      <c r="S348" s="219">
        <f t="shared" ca="1" si="23"/>
        <v>46057</v>
      </c>
      <c r="T348" s="115" t="e">
        <f ca="1"/>
        <v>#VALUE!</v>
      </c>
      <c r="V348" s="219">
        <f t="shared" ca="1" si="24"/>
        <v>46057</v>
      </c>
      <c r="W348" s="115" t="e">
        <f ca="1"/>
        <v>#VALUE!</v>
      </c>
    </row>
    <row r="349" spans="13:23">
      <c r="M349" s="219">
        <f t="shared" ca="1" si="21"/>
        <v>46064</v>
      </c>
      <c r="N349" s="115" t="e">
        <f ca="1"/>
        <v>#VALUE!</v>
      </c>
      <c r="P349" s="219">
        <f t="shared" ca="1" si="22"/>
        <v>46064</v>
      </c>
      <c r="Q349" s="115" t="e">
        <f ca="1"/>
        <v>#VALUE!</v>
      </c>
      <c r="S349" s="219">
        <f t="shared" ca="1" si="23"/>
        <v>46064</v>
      </c>
      <c r="T349" s="115" t="e">
        <f ca="1"/>
        <v>#VALUE!</v>
      </c>
      <c r="V349" s="219">
        <f t="shared" ca="1" si="24"/>
        <v>46064</v>
      </c>
      <c r="W349" s="115" t="e">
        <f ca="1"/>
        <v>#VALUE!</v>
      </c>
    </row>
    <row r="350" spans="13:23">
      <c r="M350" s="219">
        <f t="shared" ca="1" si="21"/>
        <v>46071</v>
      </c>
      <c r="N350" s="115" t="e">
        <f ca="1"/>
        <v>#VALUE!</v>
      </c>
      <c r="P350" s="219">
        <f t="shared" ca="1" si="22"/>
        <v>46071</v>
      </c>
      <c r="Q350" s="115" t="e">
        <f ca="1"/>
        <v>#VALUE!</v>
      </c>
      <c r="S350" s="219">
        <f t="shared" ca="1" si="23"/>
        <v>46071</v>
      </c>
      <c r="T350" s="115" t="e">
        <f ca="1"/>
        <v>#VALUE!</v>
      </c>
      <c r="V350" s="219">
        <f t="shared" ca="1" si="24"/>
        <v>46071</v>
      </c>
      <c r="W350" s="115" t="e">
        <f ca="1"/>
        <v>#VALUE!</v>
      </c>
    </row>
    <row r="351" spans="13:23">
      <c r="M351" s="219">
        <f t="shared" ca="1" si="21"/>
        <v>46078</v>
      </c>
      <c r="N351" s="115" t="e">
        <f ca="1"/>
        <v>#VALUE!</v>
      </c>
      <c r="P351" s="219">
        <f t="shared" ca="1" si="22"/>
        <v>46078</v>
      </c>
      <c r="Q351" s="115" t="e">
        <f ca="1"/>
        <v>#VALUE!</v>
      </c>
      <c r="S351" s="219">
        <f t="shared" ca="1" si="23"/>
        <v>46078</v>
      </c>
      <c r="T351" s="115" t="e">
        <f ca="1"/>
        <v>#VALUE!</v>
      </c>
      <c r="V351" s="219">
        <f t="shared" ca="1" si="24"/>
        <v>46078</v>
      </c>
      <c r="W351" s="115" t="e">
        <f ca="1"/>
        <v>#VALUE!</v>
      </c>
    </row>
    <row r="352" spans="13:23">
      <c r="M352" s="219">
        <f t="shared" ca="1" si="21"/>
        <v>46085</v>
      </c>
      <c r="N352" s="115" t="e">
        <f ca="1"/>
        <v>#VALUE!</v>
      </c>
      <c r="P352" s="219">
        <f t="shared" ca="1" si="22"/>
        <v>46085</v>
      </c>
      <c r="Q352" s="115" t="e">
        <f ca="1"/>
        <v>#VALUE!</v>
      </c>
      <c r="S352" s="219">
        <f t="shared" ca="1" si="23"/>
        <v>46085</v>
      </c>
      <c r="T352" s="115" t="e">
        <f ca="1"/>
        <v>#VALUE!</v>
      </c>
      <c r="V352" s="219">
        <f t="shared" ca="1" si="24"/>
        <v>46085</v>
      </c>
      <c r="W352" s="115" t="e">
        <f ca="1"/>
        <v>#VALUE!</v>
      </c>
    </row>
    <row r="353" spans="13:23">
      <c r="M353" s="219">
        <f t="shared" ca="1" si="21"/>
        <v>46092</v>
      </c>
      <c r="N353" s="115" t="e">
        <f ca="1"/>
        <v>#VALUE!</v>
      </c>
      <c r="P353" s="219">
        <f t="shared" ca="1" si="22"/>
        <v>46092</v>
      </c>
      <c r="Q353" s="115" t="e">
        <f ca="1"/>
        <v>#VALUE!</v>
      </c>
      <c r="S353" s="219">
        <f t="shared" ca="1" si="23"/>
        <v>46092</v>
      </c>
      <c r="T353" s="115" t="e">
        <f ca="1"/>
        <v>#VALUE!</v>
      </c>
      <c r="V353" s="219">
        <f t="shared" ca="1" si="24"/>
        <v>46092</v>
      </c>
      <c r="W353" s="115" t="e">
        <f ca="1"/>
        <v>#VALUE!</v>
      </c>
    </row>
    <row r="354" spans="13:23">
      <c r="M354" s="219">
        <f t="shared" ca="1" si="21"/>
        <v>46099</v>
      </c>
      <c r="N354" s="115" t="e">
        <f ca="1"/>
        <v>#VALUE!</v>
      </c>
      <c r="P354" s="219">
        <f t="shared" ca="1" si="22"/>
        <v>46099</v>
      </c>
      <c r="Q354" s="115" t="e">
        <f ca="1"/>
        <v>#VALUE!</v>
      </c>
      <c r="S354" s="219">
        <f t="shared" ca="1" si="23"/>
        <v>46099</v>
      </c>
      <c r="T354" s="115" t="e">
        <f ca="1"/>
        <v>#VALUE!</v>
      </c>
      <c r="V354" s="219">
        <f t="shared" ca="1" si="24"/>
        <v>46099</v>
      </c>
      <c r="W354" s="115" t="e">
        <f ca="1"/>
        <v>#VALUE!</v>
      </c>
    </row>
    <row r="355" spans="13:23">
      <c r="M355" s="219">
        <f t="shared" ca="1" si="21"/>
        <v>46106</v>
      </c>
      <c r="N355" s="115" t="e">
        <f ca="1"/>
        <v>#VALUE!</v>
      </c>
      <c r="P355" s="219">
        <f t="shared" ca="1" si="22"/>
        <v>46106</v>
      </c>
      <c r="Q355" s="115" t="e">
        <f ca="1"/>
        <v>#VALUE!</v>
      </c>
      <c r="S355" s="219">
        <f t="shared" ca="1" si="23"/>
        <v>46106</v>
      </c>
      <c r="T355" s="115" t="e">
        <f ca="1"/>
        <v>#VALUE!</v>
      </c>
      <c r="V355" s="219">
        <f t="shared" ca="1" si="24"/>
        <v>46106</v>
      </c>
      <c r="W355" s="115" t="e">
        <f ca="1"/>
        <v>#VALUE!</v>
      </c>
    </row>
    <row r="356" spans="13:23">
      <c r="M356" s="219">
        <f t="shared" ca="1" si="21"/>
        <v>46113</v>
      </c>
      <c r="N356" s="115" t="e">
        <f ca="1"/>
        <v>#VALUE!</v>
      </c>
      <c r="P356" s="219">
        <f t="shared" ca="1" si="22"/>
        <v>46113</v>
      </c>
      <c r="Q356" s="115" t="e">
        <f ca="1"/>
        <v>#VALUE!</v>
      </c>
      <c r="S356" s="219">
        <f t="shared" ca="1" si="23"/>
        <v>46113</v>
      </c>
      <c r="T356" s="115" t="e">
        <f ca="1"/>
        <v>#VALUE!</v>
      </c>
      <c r="V356" s="219">
        <f t="shared" ca="1" si="24"/>
        <v>46113</v>
      </c>
      <c r="W356" s="115" t="e">
        <f ca="1"/>
        <v>#VALUE!</v>
      </c>
    </row>
    <row r="357" spans="13:23">
      <c r="M357" s="219">
        <f t="shared" ca="1" si="21"/>
        <v>46120</v>
      </c>
      <c r="N357" s="115" t="e">
        <f ca="1"/>
        <v>#VALUE!</v>
      </c>
      <c r="P357" s="219">
        <f t="shared" ca="1" si="22"/>
        <v>46120</v>
      </c>
      <c r="Q357" s="115" t="e">
        <f ca="1"/>
        <v>#VALUE!</v>
      </c>
      <c r="S357" s="219">
        <f t="shared" ca="1" si="23"/>
        <v>46120</v>
      </c>
      <c r="T357" s="115" t="e">
        <f ca="1"/>
        <v>#VALUE!</v>
      </c>
      <c r="V357" s="219">
        <f t="shared" ca="1" si="24"/>
        <v>46120</v>
      </c>
      <c r="W357" s="115" t="e">
        <f ca="1"/>
        <v>#VALUE!</v>
      </c>
    </row>
    <row r="358" spans="13:23">
      <c r="M358" s="219">
        <f t="shared" ca="1" si="21"/>
        <v>46127</v>
      </c>
      <c r="N358" s="115" t="e">
        <f ca="1"/>
        <v>#VALUE!</v>
      </c>
      <c r="P358" s="219">
        <f t="shared" ca="1" si="22"/>
        <v>46127</v>
      </c>
      <c r="Q358" s="115" t="e">
        <f ca="1"/>
        <v>#VALUE!</v>
      </c>
      <c r="S358" s="219">
        <f t="shared" ca="1" si="23"/>
        <v>46127</v>
      </c>
      <c r="T358" s="115" t="e">
        <f ca="1"/>
        <v>#VALUE!</v>
      </c>
      <c r="V358" s="219">
        <f t="shared" ca="1" si="24"/>
        <v>46127</v>
      </c>
      <c r="W358" s="115" t="e">
        <f ca="1"/>
        <v>#VALUE!</v>
      </c>
    </row>
    <row r="359" spans="13:23">
      <c r="M359" s="219">
        <f t="shared" ca="1" si="21"/>
        <v>46134</v>
      </c>
      <c r="N359" s="115" t="e">
        <f ca="1"/>
        <v>#VALUE!</v>
      </c>
      <c r="P359" s="219">
        <f t="shared" ca="1" si="22"/>
        <v>46134</v>
      </c>
      <c r="Q359" s="115" t="e">
        <f ca="1"/>
        <v>#VALUE!</v>
      </c>
      <c r="S359" s="219">
        <f t="shared" ca="1" si="23"/>
        <v>46134</v>
      </c>
      <c r="T359" s="115" t="e">
        <f ca="1"/>
        <v>#VALUE!</v>
      </c>
      <c r="V359" s="219">
        <f t="shared" ca="1" si="24"/>
        <v>46134</v>
      </c>
      <c r="W359" s="115" t="e">
        <f ca="1"/>
        <v>#VALUE!</v>
      </c>
    </row>
    <row r="360" spans="13:23">
      <c r="M360" s="219">
        <f t="shared" ca="1" si="21"/>
        <v>46141</v>
      </c>
      <c r="N360" s="115" t="e">
        <f ca="1"/>
        <v>#VALUE!</v>
      </c>
      <c r="P360" s="219">
        <f t="shared" ca="1" si="22"/>
        <v>46141</v>
      </c>
      <c r="Q360" s="115" t="e">
        <f ca="1"/>
        <v>#VALUE!</v>
      </c>
      <c r="S360" s="219">
        <f t="shared" ca="1" si="23"/>
        <v>46141</v>
      </c>
      <c r="T360" s="115" t="e">
        <f ca="1"/>
        <v>#VALUE!</v>
      </c>
      <c r="V360" s="219">
        <f t="shared" ca="1" si="24"/>
        <v>46141</v>
      </c>
      <c r="W360" s="115" t="e">
        <f ca="1"/>
        <v>#VALUE!</v>
      </c>
    </row>
    <row r="361" spans="13:23">
      <c r="M361" s="219">
        <f t="shared" ca="1" si="21"/>
        <v>46148</v>
      </c>
      <c r="N361" s="115" t="e">
        <f ca="1"/>
        <v>#VALUE!</v>
      </c>
      <c r="P361" s="219">
        <f t="shared" ca="1" si="22"/>
        <v>46148</v>
      </c>
      <c r="Q361" s="115" t="e">
        <f ca="1"/>
        <v>#VALUE!</v>
      </c>
      <c r="S361" s="219">
        <f t="shared" ca="1" si="23"/>
        <v>46148</v>
      </c>
      <c r="T361" s="115" t="e">
        <f ca="1"/>
        <v>#VALUE!</v>
      </c>
      <c r="V361" s="219">
        <f t="shared" ca="1" si="24"/>
        <v>46148</v>
      </c>
      <c r="W361" s="115" t="e">
        <f ca="1"/>
        <v>#VALUE!</v>
      </c>
    </row>
    <row r="362" spans="13:23">
      <c r="M362" s="219">
        <f t="shared" ca="1" si="21"/>
        <v>46155</v>
      </c>
      <c r="N362" s="115" t="e">
        <f ca="1"/>
        <v>#VALUE!</v>
      </c>
      <c r="P362" s="219">
        <f t="shared" ca="1" si="22"/>
        <v>46155</v>
      </c>
      <c r="Q362" s="115" t="e">
        <f ca="1"/>
        <v>#VALUE!</v>
      </c>
      <c r="S362" s="219">
        <f t="shared" ca="1" si="23"/>
        <v>46155</v>
      </c>
      <c r="T362" s="115" t="e">
        <f ca="1"/>
        <v>#VALUE!</v>
      </c>
      <c r="V362" s="219">
        <f t="shared" ca="1" si="24"/>
        <v>46155</v>
      </c>
      <c r="W362" s="115" t="e">
        <f ca="1"/>
        <v>#VALUE!</v>
      </c>
    </row>
    <row r="363" spans="13:23">
      <c r="M363" s="219">
        <f t="shared" ca="1" si="21"/>
        <v>46162</v>
      </c>
      <c r="N363" s="115" t="e">
        <f ca="1"/>
        <v>#VALUE!</v>
      </c>
      <c r="P363" s="219">
        <f t="shared" ca="1" si="22"/>
        <v>46162</v>
      </c>
      <c r="Q363" s="115" t="e">
        <f ca="1"/>
        <v>#VALUE!</v>
      </c>
      <c r="S363" s="219">
        <f t="shared" ca="1" si="23"/>
        <v>46162</v>
      </c>
      <c r="T363" s="115" t="e">
        <f ca="1"/>
        <v>#VALUE!</v>
      </c>
      <c r="V363" s="219">
        <f t="shared" ca="1" si="24"/>
        <v>46162</v>
      </c>
      <c r="W363" s="115" t="e">
        <f ca="1"/>
        <v>#VALUE!</v>
      </c>
    </row>
    <row r="364" spans="13:23">
      <c r="M364" s="219">
        <f t="shared" ca="1" si="21"/>
        <v>46169</v>
      </c>
      <c r="N364" s="115" t="e">
        <f ca="1"/>
        <v>#VALUE!</v>
      </c>
      <c r="P364" s="219">
        <f t="shared" ca="1" si="22"/>
        <v>46169</v>
      </c>
      <c r="Q364" s="115" t="e">
        <f ca="1"/>
        <v>#VALUE!</v>
      </c>
      <c r="S364" s="219">
        <f t="shared" ca="1" si="23"/>
        <v>46169</v>
      </c>
      <c r="T364" s="115" t="e">
        <f ca="1"/>
        <v>#VALUE!</v>
      </c>
      <c r="V364" s="219">
        <f t="shared" ca="1" si="24"/>
        <v>46169</v>
      </c>
      <c r="W364" s="115" t="e">
        <f ca="1"/>
        <v>#VALUE!</v>
      </c>
    </row>
    <row r="365" spans="13:23">
      <c r="M365" s="219">
        <f t="shared" ca="1" si="21"/>
        <v>46176</v>
      </c>
      <c r="N365" s="115" t="e">
        <f ca="1"/>
        <v>#VALUE!</v>
      </c>
      <c r="P365" s="219">
        <f t="shared" ca="1" si="22"/>
        <v>46176</v>
      </c>
      <c r="Q365" s="115" t="e">
        <f ca="1"/>
        <v>#VALUE!</v>
      </c>
      <c r="S365" s="219">
        <f t="shared" ca="1" si="23"/>
        <v>46176</v>
      </c>
      <c r="T365" s="115" t="e">
        <f ca="1"/>
        <v>#VALUE!</v>
      </c>
      <c r="V365" s="219">
        <f t="shared" ca="1" si="24"/>
        <v>46176</v>
      </c>
      <c r="W365" s="115" t="e">
        <f ca="1"/>
        <v>#VALUE!</v>
      </c>
    </row>
    <row r="366" spans="13:23">
      <c r="M366" s="219">
        <f t="shared" ca="1" si="21"/>
        <v>46183</v>
      </c>
      <c r="N366" s="115" t="e">
        <f ca="1"/>
        <v>#VALUE!</v>
      </c>
      <c r="P366" s="219">
        <f t="shared" ca="1" si="22"/>
        <v>46183</v>
      </c>
      <c r="Q366" s="115" t="e">
        <f ca="1"/>
        <v>#VALUE!</v>
      </c>
      <c r="S366" s="219">
        <f t="shared" ca="1" si="23"/>
        <v>46183</v>
      </c>
      <c r="T366" s="115" t="e">
        <f ca="1"/>
        <v>#VALUE!</v>
      </c>
      <c r="V366" s="219">
        <f t="shared" ca="1" si="24"/>
        <v>46183</v>
      </c>
      <c r="W366" s="115" t="e">
        <f ca="1"/>
        <v>#VALUE!</v>
      </c>
    </row>
    <row r="367" spans="13:23">
      <c r="M367" s="219">
        <f t="shared" ca="1" si="21"/>
        <v>46190</v>
      </c>
      <c r="N367" s="115" t="e">
        <f ca="1"/>
        <v>#VALUE!</v>
      </c>
      <c r="P367" s="219">
        <f t="shared" ca="1" si="22"/>
        <v>46190</v>
      </c>
      <c r="Q367" s="115" t="e">
        <f ca="1"/>
        <v>#VALUE!</v>
      </c>
      <c r="S367" s="219">
        <f t="shared" ca="1" si="23"/>
        <v>46190</v>
      </c>
      <c r="T367" s="115" t="e">
        <f ca="1"/>
        <v>#VALUE!</v>
      </c>
      <c r="V367" s="219">
        <f t="shared" ca="1" si="24"/>
        <v>46190</v>
      </c>
      <c r="W367" s="115" t="e">
        <f ca="1"/>
        <v>#VALUE!</v>
      </c>
    </row>
    <row r="368" spans="13:23">
      <c r="M368" s="219">
        <f t="shared" ca="1" si="21"/>
        <v>46197</v>
      </c>
      <c r="N368" s="115" t="e">
        <f ca="1"/>
        <v>#VALUE!</v>
      </c>
      <c r="P368" s="219">
        <f t="shared" ca="1" si="22"/>
        <v>46197</v>
      </c>
      <c r="Q368" s="115" t="e">
        <f ca="1"/>
        <v>#VALUE!</v>
      </c>
      <c r="S368" s="219">
        <f t="shared" ca="1" si="23"/>
        <v>46197</v>
      </c>
      <c r="T368" s="115" t="e">
        <f ca="1"/>
        <v>#VALUE!</v>
      </c>
      <c r="V368" s="219">
        <f t="shared" ca="1" si="24"/>
        <v>46197</v>
      </c>
      <c r="W368" s="115" t="e">
        <f ca="1"/>
        <v>#VALUE!</v>
      </c>
    </row>
    <row r="369" spans="13:23">
      <c r="M369" s="219">
        <f t="shared" ca="1" si="21"/>
        <v>46204</v>
      </c>
      <c r="N369" s="115" t="e">
        <f ca="1"/>
        <v>#VALUE!</v>
      </c>
      <c r="P369" s="219">
        <f t="shared" ca="1" si="22"/>
        <v>46204</v>
      </c>
      <c r="Q369" s="115" t="e">
        <f ca="1"/>
        <v>#VALUE!</v>
      </c>
      <c r="S369" s="219">
        <f t="shared" ca="1" si="23"/>
        <v>46204</v>
      </c>
      <c r="T369" s="115" t="e">
        <f ca="1"/>
        <v>#VALUE!</v>
      </c>
      <c r="V369" s="219">
        <f t="shared" ca="1" si="24"/>
        <v>46204</v>
      </c>
      <c r="W369" s="115" t="e">
        <f ca="1"/>
        <v>#VALUE!</v>
      </c>
    </row>
    <row r="370" spans="13:23">
      <c r="M370" s="219">
        <f t="shared" ca="1" si="21"/>
        <v>46211</v>
      </c>
      <c r="N370" s="115" t="e">
        <f ca="1"/>
        <v>#VALUE!</v>
      </c>
      <c r="P370" s="219">
        <f t="shared" ca="1" si="22"/>
        <v>46211</v>
      </c>
      <c r="Q370" s="115" t="e">
        <f ca="1"/>
        <v>#VALUE!</v>
      </c>
      <c r="S370" s="219">
        <f t="shared" ca="1" si="23"/>
        <v>46211</v>
      </c>
      <c r="T370" s="115" t="e">
        <f ca="1"/>
        <v>#VALUE!</v>
      </c>
      <c r="V370" s="219">
        <f t="shared" ca="1" si="24"/>
        <v>46211</v>
      </c>
      <c r="W370" s="115" t="e">
        <f ca="1"/>
        <v>#VALUE!</v>
      </c>
    </row>
    <row r="371" spans="13:23">
      <c r="M371" s="219">
        <f t="shared" ca="1" si="21"/>
        <v>46218</v>
      </c>
      <c r="N371" s="115" t="e">
        <f ca="1"/>
        <v>#VALUE!</v>
      </c>
      <c r="P371" s="219">
        <f t="shared" ca="1" si="22"/>
        <v>46218</v>
      </c>
      <c r="Q371" s="115" t="e">
        <f ca="1"/>
        <v>#VALUE!</v>
      </c>
      <c r="S371" s="219">
        <f t="shared" ca="1" si="23"/>
        <v>46218</v>
      </c>
      <c r="T371" s="115" t="e">
        <f ca="1"/>
        <v>#VALUE!</v>
      </c>
      <c r="V371" s="219">
        <f t="shared" ca="1" si="24"/>
        <v>46218</v>
      </c>
      <c r="W371" s="115" t="e">
        <f ca="1"/>
        <v>#VALUE!</v>
      </c>
    </row>
    <row r="372" spans="13:23">
      <c r="M372" s="219">
        <f t="shared" ca="1" si="21"/>
        <v>46225</v>
      </c>
      <c r="N372" s="115" t="e">
        <f ca="1"/>
        <v>#VALUE!</v>
      </c>
      <c r="P372" s="219">
        <f t="shared" ca="1" si="22"/>
        <v>46225</v>
      </c>
      <c r="Q372" s="115" t="e">
        <f ca="1"/>
        <v>#VALUE!</v>
      </c>
      <c r="S372" s="219">
        <f t="shared" ca="1" si="23"/>
        <v>46225</v>
      </c>
      <c r="T372" s="115" t="e">
        <f ca="1"/>
        <v>#VALUE!</v>
      </c>
      <c r="V372" s="219">
        <f t="shared" ca="1" si="24"/>
        <v>46225</v>
      </c>
      <c r="W372" s="115" t="e">
        <f ca="1"/>
        <v>#VALUE!</v>
      </c>
    </row>
    <row r="373" spans="13:23">
      <c r="M373" s="219">
        <f t="shared" ca="1" si="21"/>
        <v>46232</v>
      </c>
      <c r="N373" s="115" t="e">
        <f ca="1"/>
        <v>#VALUE!</v>
      </c>
      <c r="P373" s="219">
        <f t="shared" ca="1" si="22"/>
        <v>46232</v>
      </c>
      <c r="Q373" s="115" t="e">
        <f ca="1"/>
        <v>#VALUE!</v>
      </c>
      <c r="S373" s="219">
        <f t="shared" ca="1" si="23"/>
        <v>46232</v>
      </c>
      <c r="T373" s="115" t="e">
        <f ca="1"/>
        <v>#VALUE!</v>
      </c>
      <c r="V373" s="219">
        <f t="shared" ca="1" si="24"/>
        <v>46232</v>
      </c>
      <c r="W373" s="115" t="e">
        <f ca="1"/>
        <v>#VALUE!</v>
      </c>
    </row>
    <row r="374" spans="13:23">
      <c r="M374" s="219">
        <f t="shared" ca="1" si="21"/>
        <v>46239</v>
      </c>
      <c r="N374" s="115" t="e">
        <f ca="1"/>
        <v>#VALUE!</v>
      </c>
      <c r="P374" s="219">
        <f t="shared" ca="1" si="22"/>
        <v>46239</v>
      </c>
      <c r="Q374" s="115" t="e">
        <f ca="1"/>
        <v>#VALUE!</v>
      </c>
      <c r="S374" s="219">
        <f t="shared" ca="1" si="23"/>
        <v>46239</v>
      </c>
      <c r="T374" s="115" t="e">
        <f ca="1"/>
        <v>#VALUE!</v>
      </c>
      <c r="V374" s="219">
        <f t="shared" ca="1" si="24"/>
        <v>46239</v>
      </c>
      <c r="W374" s="115" t="e">
        <f ca="1"/>
        <v>#VALUE!</v>
      </c>
    </row>
    <row r="375" spans="13:23">
      <c r="M375" s="219">
        <f t="shared" ca="1" si="21"/>
        <v>46246</v>
      </c>
      <c r="N375" s="115" t="e">
        <f ca="1"/>
        <v>#VALUE!</v>
      </c>
      <c r="P375" s="219">
        <f t="shared" ca="1" si="22"/>
        <v>46246</v>
      </c>
      <c r="Q375" s="115" t="e">
        <f ca="1"/>
        <v>#VALUE!</v>
      </c>
      <c r="S375" s="219">
        <f t="shared" ca="1" si="23"/>
        <v>46246</v>
      </c>
      <c r="T375" s="115" t="e">
        <f ca="1"/>
        <v>#VALUE!</v>
      </c>
      <c r="V375" s="219">
        <f t="shared" ca="1" si="24"/>
        <v>46246</v>
      </c>
      <c r="W375" s="115" t="e">
        <f ca="1"/>
        <v>#VALUE!</v>
      </c>
    </row>
    <row r="376" spans="13:23">
      <c r="M376" s="219">
        <f t="shared" ca="1" si="21"/>
        <v>46253</v>
      </c>
      <c r="N376" s="115" t="e">
        <f ca="1"/>
        <v>#VALUE!</v>
      </c>
      <c r="P376" s="219">
        <f t="shared" ca="1" si="22"/>
        <v>46253</v>
      </c>
      <c r="Q376" s="115" t="e">
        <f ca="1"/>
        <v>#VALUE!</v>
      </c>
      <c r="S376" s="219">
        <f t="shared" ca="1" si="23"/>
        <v>46253</v>
      </c>
      <c r="T376" s="115" t="e">
        <f ca="1"/>
        <v>#VALUE!</v>
      </c>
      <c r="V376" s="219">
        <f t="shared" ca="1" si="24"/>
        <v>46253</v>
      </c>
      <c r="W376" s="115" t="e">
        <f ca="1"/>
        <v>#VALUE!</v>
      </c>
    </row>
    <row r="377" spans="13:23">
      <c r="M377" s="219">
        <f t="shared" ca="1" si="21"/>
        <v>46260</v>
      </c>
      <c r="N377" s="115" t="e">
        <f ca="1"/>
        <v>#VALUE!</v>
      </c>
      <c r="P377" s="219">
        <f t="shared" ca="1" si="22"/>
        <v>46260</v>
      </c>
      <c r="Q377" s="115" t="e">
        <f ca="1"/>
        <v>#VALUE!</v>
      </c>
      <c r="S377" s="219">
        <f t="shared" ca="1" si="23"/>
        <v>46260</v>
      </c>
      <c r="T377" s="115" t="e">
        <f ca="1"/>
        <v>#VALUE!</v>
      </c>
      <c r="V377" s="219">
        <f t="shared" ca="1" si="24"/>
        <v>46260</v>
      </c>
      <c r="W377" s="115" t="e">
        <f ca="1"/>
        <v>#VALUE!</v>
      </c>
    </row>
    <row r="378" spans="13:23">
      <c r="M378" s="219">
        <f t="shared" ca="1" si="21"/>
        <v>46267</v>
      </c>
      <c r="N378" s="115" t="e">
        <f ca="1"/>
        <v>#VALUE!</v>
      </c>
      <c r="P378" s="219">
        <f t="shared" ca="1" si="22"/>
        <v>46267</v>
      </c>
      <c r="Q378" s="115" t="e">
        <f ca="1"/>
        <v>#VALUE!</v>
      </c>
      <c r="S378" s="219">
        <f t="shared" ca="1" si="23"/>
        <v>46267</v>
      </c>
      <c r="T378" s="115" t="e">
        <f ca="1"/>
        <v>#VALUE!</v>
      </c>
      <c r="V378" s="219">
        <f t="shared" ca="1" si="24"/>
        <v>46267</v>
      </c>
      <c r="W378" s="115" t="e">
        <f ca="1"/>
        <v>#VALUE!</v>
      </c>
    </row>
    <row r="379" spans="13:23">
      <c r="M379" s="219">
        <f t="shared" ca="1" si="21"/>
        <v>46274</v>
      </c>
      <c r="N379" s="115" t="e">
        <f ca="1"/>
        <v>#VALUE!</v>
      </c>
      <c r="P379" s="219">
        <f t="shared" ca="1" si="22"/>
        <v>46274</v>
      </c>
      <c r="Q379" s="115" t="e">
        <f ca="1"/>
        <v>#VALUE!</v>
      </c>
      <c r="S379" s="219">
        <f t="shared" ca="1" si="23"/>
        <v>46274</v>
      </c>
      <c r="T379" s="115" t="e">
        <f ca="1"/>
        <v>#VALUE!</v>
      </c>
      <c r="V379" s="219">
        <f t="shared" ca="1" si="24"/>
        <v>46274</v>
      </c>
      <c r="W379" s="115" t="e">
        <f ca="1"/>
        <v>#VALUE!</v>
      </c>
    </row>
    <row r="380" spans="13:23">
      <c r="M380" s="219">
        <f t="shared" ca="1" si="21"/>
        <v>46281</v>
      </c>
      <c r="N380" s="115" t="e">
        <f ca="1"/>
        <v>#VALUE!</v>
      </c>
      <c r="P380" s="219">
        <f t="shared" ca="1" si="22"/>
        <v>46281</v>
      </c>
      <c r="Q380" s="115" t="e">
        <f ca="1"/>
        <v>#VALUE!</v>
      </c>
      <c r="S380" s="219">
        <f t="shared" ca="1" si="23"/>
        <v>46281</v>
      </c>
      <c r="T380" s="115" t="e">
        <f ca="1"/>
        <v>#VALUE!</v>
      </c>
      <c r="V380" s="219">
        <f t="shared" ca="1" si="24"/>
        <v>46281</v>
      </c>
      <c r="W380" s="115" t="e">
        <f ca="1"/>
        <v>#VALUE!</v>
      </c>
    </row>
    <row r="381" spans="13:23">
      <c r="M381" s="219">
        <f t="shared" ca="1" si="21"/>
        <v>46288</v>
      </c>
      <c r="N381" s="115" t="e">
        <f ca="1"/>
        <v>#VALUE!</v>
      </c>
      <c r="P381" s="219">
        <f t="shared" ca="1" si="22"/>
        <v>46288</v>
      </c>
      <c r="Q381" s="115" t="e">
        <f ca="1"/>
        <v>#VALUE!</v>
      </c>
      <c r="S381" s="219">
        <f t="shared" ca="1" si="23"/>
        <v>46288</v>
      </c>
      <c r="T381" s="115" t="e">
        <f ca="1"/>
        <v>#VALUE!</v>
      </c>
      <c r="V381" s="219">
        <f t="shared" ca="1" si="24"/>
        <v>46288</v>
      </c>
      <c r="W381" s="115" t="e">
        <f ca="1"/>
        <v>#VALUE!</v>
      </c>
    </row>
    <row r="382" spans="13:23">
      <c r="M382" s="219">
        <f t="shared" ca="1" si="21"/>
        <v>46295</v>
      </c>
      <c r="N382" s="115" t="e">
        <f ca="1"/>
        <v>#VALUE!</v>
      </c>
      <c r="P382" s="219">
        <f t="shared" ca="1" si="22"/>
        <v>46295</v>
      </c>
      <c r="Q382" s="115" t="e">
        <f ca="1"/>
        <v>#VALUE!</v>
      </c>
      <c r="S382" s="219">
        <f t="shared" ca="1" si="23"/>
        <v>46295</v>
      </c>
      <c r="T382" s="115" t="e">
        <f ca="1"/>
        <v>#VALUE!</v>
      </c>
      <c r="V382" s="219">
        <f t="shared" ca="1" si="24"/>
        <v>46295</v>
      </c>
      <c r="W382" s="115" t="e">
        <f ca="1"/>
        <v>#VALUE!</v>
      </c>
    </row>
    <row r="383" spans="13:23">
      <c r="M383" s="219">
        <f t="shared" ca="1" si="21"/>
        <v>46302</v>
      </c>
      <c r="N383" s="115" t="e">
        <f ca="1"/>
        <v>#VALUE!</v>
      </c>
      <c r="P383" s="219">
        <f t="shared" ca="1" si="22"/>
        <v>46302</v>
      </c>
      <c r="Q383" s="115" t="e">
        <f ca="1"/>
        <v>#VALUE!</v>
      </c>
      <c r="S383" s="219">
        <f t="shared" ca="1" si="23"/>
        <v>46302</v>
      </c>
      <c r="T383" s="115" t="e">
        <f ca="1"/>
        <v>#VALUE!</v>
      </c>
      <c r="V383" s="219">
        <f t="shared" ca="1" si="24"/>
        <v>46302</v>
      </c>
      <c r="W383" s="115" t="e">
        <f ca="1"/>
        <v>#VALUE!</v>
      </c>
    </row>
    <row r="384" spans="13:23">
      <c r="M384" s="219">
        <f t="shared" ca="1" si="21"/>
        <v>46309</v>
      </c>
      <c r="N384" s="115" t="e">
        <f ca="1"/>
        <v>#VALUE!</v>
      </c>
      <c r="P384" s="219">
        <f t="shared" ca="1" si="22"/>
        <v>46309</v>
      </c>
      <c r="Q384" s="115" t="e">
        <f ca="1"/>
        <v>#VALUE!</v>
      </c>
      <c r="S384" s="219">
        <f t="shared" ca="1" si="23"/>
        <v>46309</v>
      </c>
      <c r="T384" s="115" t="e">
        <f ca="1"/>
        <v>#VALUE!</v>
      </c>
      <c r="V384" s="219">
        <f t="shared" ca="1" si="24"/>
        <v>46309</v>
      </c>
      <c r="W384" s="115" t="e">
        <f ca="1"/>
        <v>#VALUE!</v>
      </c>
    </row>
    <row r="385" spans="13:23">
      <c r="M385" s="219">
        <f t="shared" ca="1" si="21"/>
        <v>46316</v>
      </c>
      <c r="N385" s="115" t="e">
        <f ca="1"/>
        <v>#VALUE!</v>
      </c>
      <c r="P385" s="219">
        <f t="shared" ca="1" si="22"/>
        <v>46316</v>
      </c>
      <c r="Q385" s="115" t="e">
        <f ca="1"/>
        <v>#VALUE!</v>
      </c>
      <c r="S385" s="219">
        <f t="shared" ca="1" si="23"/>
        <v>46316</v>
      </c>
      <c r="T385" s="115" t="e">
        <f ca="1"/>
        <v>#VALUE!</v>
      </c>
      <c r="V385" s="219">
        <f t="shared" ca="1" si="24"/>
        <v>46316</v>
      </c>
      <c r="W385" s="115" t="e">
        <f ca="1"/>
        <v>#VALUE!</v>
      </c>
    </row>
    <row r="386" spans="13:23">
      <c r="M386" s="219">
        <f t="shared" ca="1" si="21"/>
        <v>46323</v>
      </c>
      <c r="N386" s="115" t="e">
        <f ca="1"/>
        <v>#VALUE!</v>
      </c>
      <c r="P386" s="219">
        <f t="shared" ca="1" si="22"/>
        <v>46323</v>
      </c>
      <c r="Q386" s="115" t="e">
        <f ca="1"/>
        <v>#VALUE!</v>
      </c>
      <c r="S386" s="219">
        <f t="shared" ca="1" si="23"/>
        <v>46323</v>
      </c>
      <c r="T386" s="115" t="e">
        <f ca="1"/>
        <v>#VALUE!</v>
      </c>
      <c r="V386" s="219">
        <f t="shared" ca="1" si="24"/>
        <v>46323</v>
      </c>
      <c r="W386" s="115" t="e">
        <f ca="1"/>
        <v>#VALUE!</v>
      </c>
    </row>
    <row r="387" spans="13:23">
      <c r="M387" s="219">
        <f t="shared" ca="1" si="21"/>
        <v>46330</v>
      </c>
      <c r="N387" s="115" t="e">
        <f ca="1"/>
        <v>#VALUE!</v>
      </c>
      <c r="P387" s="219">
        <f t="shared" ca="1" si="22"/>
        <v>46330</v>
      </c>
      <c r="Q387" s="115" t="e">
        <f ca="1"/>
        <v>#VALUE!</v>
      </c>
      <c r="S387" s="219">
        <f t="shared" ca="1" si="23"/>
        <v>46330</v>
      </c>
      <c r="T387" s="115" t="e">
        <f ca="1"/>
        <v>#VALUE!</v>
      </c>
      <c r="V387" s="219">
        <f t="shared" ca="1" si="24"/>
        <v>46330</v>
      </c>
      <c r="W387" s="115" t="e">
        <f ca="1"/>
        <v>#VALUE!</v>
      </c>
    </row>
    <row r="388" spans="13:23">
      <c r="M388" s="219">
        <f t="shared" ca="1" si="21"/>
        <v>46337</v>
      </c>
      <c r="N388" s="115" t="e">
        <f ca="1"/>
        <v>#VALUE!</v>
      </c>
      <c r="P388" s="219">
        <f t="shared" ca="1" si="22"/>
        <v>46337</v>
      </c>
      <c r="Q388" s="115" t="e">
        <f ca="1"/>
        <v>#VALUE!</v>
      </c>
      <c r="S388" s="219">
        <f t="shared" ca="1" si="23"/>
        <v>46337</v>
      </c>
      <c r="T388" s="115" t="e">
        <f ca="1"/>
        <v>#VALUE!</v>
      </c>
      <c r="V388" s="219">
        <f t="shared" ca="1" si="24"/>
        <v>46337</v>
      </c>
      <c r="W388" s="115" t="e">
        <f ca="1"/>
        <v>#VALUE!</v>
      </c>
    </row>
    <row r="389" spans="13:23">
      <c r="M389" s="219">
        <f t="shared" ca="1" si="21"/>
        <v>46344</v>
      </c>
      <c r="N389" s="115" t="e">
        <f ca="1"/>
        <v>#VALUE!</v>
      </c>
      <c r="P389" s="219">
        <f t="shared" ca="1" si="22"/>
        <v>46344</v>
      </c>
      <c r="Q389" s="115" t="e">
        <f ca="1"/>
        <v>#VALUE!</v>
      </c>
      <c r="S389" s="219">
        <f t="shared" ca="1" si="23"/>
        <v>46344</v>
      </c>
      <c r="T389" s="115" t="e">
        <f ca="1"/>
        <v>#VALUE!</v>
      </c>
      <c r="V389" s="219">
        <f t="shared" ca="1" si="24"/>
        <v>46344</v>
      </c>
      <c r="W389" s="115" t="e">
        <f ca="1"/>
        <v>#VALUE!</v>
      </c>
    </row>
    <row r="390" spans="13:23">
      <c r="M390" s="219">
        <f t="shared" ca="1" si="21"/>
        <v>46351</v>
      </c>
      <c r="N390" s="115" t="e">
        <f ca="1"/>
        <v>#VALUE!</v>
      </c>
      <c r="P390" s="219">
        <f t="shared" ca="1" si="22"/>
        <v>46351</v>
      </c>
      <c r="Q390" s="115" t="e">
        <f ca="1"/>
        <v>#VALUE!</v>
      </c>
      <c r="S390" s="219">
        <f t="shared" ca="1" si="23"/>
        <v>46351</v>
      </c>
      <c r="T390" s="115" t="e">
        <f ca="1"/>
        <v>#VALUE!</v>
      </c>
      <c r="V390" s="219">
        <f t="shared" ca="1" si="24"/>
        <v>46351</v>
      </c>
      <c r="W390" s="115" t="e">
        <f ca="1"/>
        <v>#VALUE!</v>
      </c>
    </row>
    <row r="391" spans="13:23">
      <c r="M391" s="219">
        <f t="shared" ca="1" si="21"/>
        <v>46358</v>
      </c>
      <c r="N391" s="115" t="e">
        <f ca="1"/>
        <v>#VALUE!</v>
      </c>
      <c r="P391" s="219">
        <f t="shared" ca="1" si="22"/>
        <v>46358</v>
      </c>
      <c r="Q391" s="115" t="e">
        <f ca="1"/>
        <v>#VALUE!</v>
      </c>
      <c r="S391" s="219">
        <f t="shared" ca="1" si="23"/>
        <v>46358</v>
      </c>
      <c r="T391" s="115" t="e">
        <f ca="1"/>
        <v>#VALUE!</v>
      </c>
      <c r="V391" s="219">
        <f t="shared" ca="1" si="24"/>
        <v>46358</v>
      </c>
      <c r="W391" s="115" t="e">
        <f ca="1"/>
        <v>#VALUE!</v>
      </c>
    </row>
    <row r="392" spans="13:23">
      <c r="M392" s="219">
        <f t="shared" ca="1" si="21"/>
        <v>46365</v>
      </c>
      <c r="N392" s="115" t="e">
        <f ca="1"/>
        <v>#VALUE!</v>
      </c>
      <c r="P392" s="219">
        <f t="shared" ca="1" si="22"/>
        <v>46365</v>
      </c>
      <c r="Q392" s="115" t="e">
        <f ca="1"/>
        <v>#VALUE!</v>
      </c>
      <c r="S392" s="219">
        <f t="shared" ca="1" si="23"/>
        <v>46365</v>
      </c>
      <c r="T392" s="115" t="e">
        <f ca="1"/>
        <v>#VALUE!</v>
      </c>
      <c r="V392" s="219">
        <f t="shared" ca="1" si="24"/>
        <v>46365</v>
      </c>
      <c r="W392" s="115" t="e">
        <f ca="1"/>
        <v>#VALUE!</v>
      </c>
    </row>
    <row r="393" spans="13:23">
      <c r="M393" s="219">
        <f t="shared" ca="1" si="21"/>
        <v>46372</v>
      </c>
      <c r="N393" s="115" t="e">
        <f ca="1"/>
        <v>#VALUE!</v>
      </c>
      <c r="P393" s="219">
        <f t="shared" ca="1" si="22"/>
        <v>46372</v>
      </c>
      <c r="Q393" s="115" t="e">
        <f ca="1"/>
        <v>#VALUE!</v>
      </c>
      <c r="S393" s="219">
        <f t="shared" ca="1" si="23"/>
        <v>46372</v>
      </c>
      <c r="T393" s="115" t="e">
        <f ca="1"/>
        <v>#VALUE!</v>
      </c>
      <c r="V393" s="219">
        <f t="shared" ca="1" si="24"/>
        <v>46372</v>
      </c>
      <c r="W393" s="115" t="e">
        <f ca="1"/>
        <v>#VALUE!</v>
      </c>
    </row>
    <row r="394" spans="13:23">
      <c r="M394" s="219">
        <f t="shared" ca="1" si="21"/>
        <v>46379</v>
      </c>
      <c r="N394" s="115" t="e">
        <f ca="1"/>
        <v>#VALUE!</v>
      </c>
      <c r="P394" s="219">
        <f t="shared" ca="1" si="22"/>
        <v>46379</v>
      </c>
      <c r="Q394" s="115" t="e">
        <f ca="1"/>
        <v>#VALUE!</v>
      </c>
      <c r="S394" s="219">
        <f t="shared" ca="1" si="23"/>
        <v>46379</v>
      </c>
      <c r="T394" s="115" t="e">
        <f ca="1"/>
        <v>#VALUE!</v>
      </c>
      <c r="V394" s="219">
        <f t="shared" ca="1" si="24"/>
        <v>46379</v>
      </c>
      <c r="W394" s="115" t="e">
        <f ca="1"/>
        <v>#VALUE!</v>
      </c>
    </row>
    <row r="395" spans="13:23">
      <c r="M395" s="219">
        <f t="shared" ca="1" si="21"/>
        <v>46386</v>
      </c>
      <c r="N395" s="115" t="e">
        <f ca="1"/>
        <v>#VALUE!</v>
      </c>
      <c r="P395" s="219">
        <f t="shared" ca="1" si="22"/>
        <v>46386</v>
      </c>
      <c r="Q395" s="115" t="e">
        <f ca="1"/>
        <v>#VALUE!</v>
      </c>
      <c r="S395" s="219">
        <f t="shared" ca="1" si="23"/>
        <v>46386</v>
      </c>
      <c r="T395" s="115" t="e">
        <f ca="1"/>
        <v>#VALUE!</v>
      </c>
      <c r="V395" s="219">
        <f t="shared" ca="1" si="24"/>
        <v>46386</v>
      </c>
      <c r="W395" s="115" t="e">
        <f ca="1"/>
        <v>#VALUE!</v>
      </c>
    </row>
    <row r="396" spans="13:23">
      <c r="M396" s="219">
        <f t="shared" ca="1" si="21"/>
        <v>46393</v>
      </c>
      <c r="N396" s="115" t="e">
        <f ca="1"/>
        <v>#VALUE!</v>
      </c>
      <c r="P396" s="219">
        <f t="shared" ca="1" si="22"/>
        <v>46393</v>
      </c>
      <c r="Q396" s="115" t="e">
        <f ca="1"/>
        <v>#VALUE!</v>
      </c>
      <c r="S396" s="219">
        <f t="shared" ca="1" si="23"/>
        <v>46393</v>
      </c>
      <c r="T396" s="115" t="e">
        <f ca="1"/>
        <v>#VALUE!</v>
      </c>
      <c r="V396" s="219">
        <f t="shared" ca="1" si="24"/>
        <v>46393</v>
      </c>
      <c r="W396" s="115" t="e">
        <f ca="1"/>
        <v>#VALUE!</v>
      </c>
    </row>
    <row r="397" spans="13:23">
      <c r="M397" s="219">
        <f t="shared" ref="M397:M460" ca="1" si="25">M396+7</f>
        <v>46400</v>
      </c>
      <c r="N397" s="115" t="e">
        <f ca="1"/>
        <v>#VALUE!</v>
      </c>
      <c r="P397" s="219">
        <f t="shared" ref="P397:P460" ca="1" si="26">P396+7</f>
        <v>46400</v>
      </c>
      <c r="Q397" s="115" t="e">
        <f ca="1"/>
        <v>#VALUE!</v>
      </c>
      <c r="S397" s="219">
        <f t="shared" ref="S397:S460" ca="1" si="27">S396+7</f>
        <v>46400</v>
      </c>
      <c r="T397" s="115" t="e">
        <f ca="1"/>
        <v>#VALUE!</v>
      </c>
      <c r="V397" s="219">
        <f t="shared" ref="V397:V460" ca="1" si="28">V396+7</f>
        <v>46400</v>
      </c>
      <c r="W397" s="115" t="e">
        <f ca="1"/>
        <v>#VALUE!</v>
      </c>
    </row>
    <row r="398" spans="13:23">
      <c r="M398" s="219">
        <f t="shared" ca="1" si="25"/>
        <v>46407</v>
      </c>
      <c r="N398" s="115" t="e">
        <f ca="1"/>
        <v>#VALUE!</v>
      </c>
      <c r="P398" s="219">
        <f t="shared" ca="1" si="26"/>
        <v>46407</v>
      </c>
      <c r="Q398" s="115" t="e">
        <f ca="1"/>
        <v>#VALUE!</v>
      </c>
      <c r="S398" s="219">
        <f t="shared" ca="1" si="27"/>
        <v>46407</v>
      </c>
      <c r="T398" s="115" t="e">
        <f ca="1"/>
        <v>#VALUE!</v>
      </c>
      <c r="V398" s="219">
        <f t="shared" ca="1" si="28"/>
        <v>46407</v>
      </c>
      <c r="W398" s="115" t="e">
        <f ca="1"/>
        <v>#VALUE!</v>
      </c>
    </row>
    <row r="399" spans="13:23">
      <c r="M399" s="219">
        <f t="shared" ca="1" si="25"/>
        <v>46414</v>
      </c>
      <c r="N399" s="115" t="e">
        <f ca="1"/>
        <v>#VALUE!</v>
      </c>
      <c r="P399" s="219">
        <f t="shared" ca="1" si="26"/>
        <v>46414</v>
      </c>
      <c r="Q399" s="115" t="e">
        <f ca="1"/>
        <v>#VALUE!</v>
      </c>
      <c r="S399" s="219">
        <f t="shared" ca="1" si="27"/>
        <v>46414</v>
      </c>
      <c r="T399" s="115" t="e">
        <f ca="1"/>
        <v>#VALUE!</v>
      </c>
      <c r="V399" s="219">
        <f t="shared" ca="1" si="28"/>
        <v>46414</v>
      </c>
      <c r="W399" s="115" t="e">
        <f ca="1"/>
        <v>#VALUE!</v>
      </c>
    </row>
    <row r="400" spans="13:23">
      <c r="M400" s="219">
        <f t="shared" ca="1" si="25"/>
        <v>46421</v>
      </c>
      <c r="N400" s="115" t="e">
        <f ca="1"/>
        <v>#VALUE!</v>
      </c>
      <c r="P400" s="219">
        <f t="shared" ca="1" si="26"/>
        <v>46421</v>
      </c>
      <c r="Q400" s="115" t="e">
        <f ca="1"/>
        <v>#VALUE!</v>
      </c>
      <c r="S400" s="219">
        <f t="shared" ca="1" si="27"/>
        <v>46421</v>
      </c>
      <c r="T400" s="115" t="e">
        <f ca="1"/>
        <v>#VALUE!</v>
      </c>
      <c r="V400" s="219">
        <f t="shared" ca="1" si="28"/>
        <v>46421</v>
      </c>
      <c r="W400" s="115" t="e">
        <f ca="1"/>
        <v>#VALUE!</v>
      </c>
    </row>
    <row r="401" spans="13:23">
      <c r="M401" s="219">
        <f t="shared" ca="1" si="25"/>
        <v>46428</v>
      </c>
      <c r="N401" s="115" t="e">
        <f ca="1"/>
        <v>#VALUE!</v>
      </c>
      <c r="P401" s="219">
        <f t="shared" ca="1" si="26"/>
        <v>46428</v>
      </c>
      <c r="Q401" s="115" t="e">
        <f ca="1"/>
        <v>#VALUE!</v>
      </c>
      <c r="S401" s="219">
        <f t="shared" ca="1" si="27"/>
        <v>46428</v>
      </c>
      <c r="T401" s="115" t="e">
        <f ca="1"/>
        <v>#VALUE!</v>
      </c>
      <c r="V401" s="219">
        <f t="shared" ca="1" si="28"/>
        <v>46428</v>
      </c>
      <c r="W401" s="115" t="e">
        <f ca="1"/>
        <v>#VALUE!</v>
      </c>
    </row>
    <row r="402" spans="13:23">
      <c r="M402" s="219">
        <f t="shared" ca="1" si="25"/>
        <v>46435</v>
      </c>
      <c r="N402" s="115" t="e">
        <f ca="1"/>
        <v>#VALUE!</v>
      </c>
      <c r="P402" s="219">
        <f t="shared" ca="1" si="26"/>
        <v>46435</v>
      </c>
      <c r="Q402" s="115" t="e">
        <f ca="1"/>
        <v>#VALUE!</v>
      </c>
      <c r="S402" s="219">
        <f t="shared" ca="1" si="27"/>
        <v>46435</v>
      </c>
      <c r="T402" s="115" t="e">
        <f ca="1"/>
        <v>#VALUE!</v>
      </c>
      <c r="V402" s="219">
        <f t="shared" ca="1" si="28"/>
        <v>46435</v>
      </c>
      <c r="W402" s="115" t="e">
        <f ca="1"/>
        <v>#VALUE!</v>
      </c>
    </row>
    <row r="403" spans="13:23">
      <c r="M403" s="219">
        <f t="shared" ca="1" si="25"/>
        <v>46442</v>
      </c>
      <c r="N403" s="115" t="e">
        <f ca="1"/>
        <v>#VALUE!</v>
      </c>
      <c r="P403" s="219">
        <f t="shared" ca="1" si="26"/>
        <v>46442</v>
      </c>
      <c r="Q403" s="115" t="e">
        <f ca="1"/>
        <v>#VALUE!</v>
      </c>
      <c r="S403" s="219">
        <f t="shared" ca="1" si="27"/>
        <v>46442</v>
      </c>
      <c r="T403" s="115" t="e">
        <f ca="1"/>
        <v>#VALUE!</v>
      </c>
      <c r="V403" s="219">
        <f t="shared" ca="1" si="28"/>
        <v>46442</v>
      </c>
      <c r="W403" s="115" t="e">
        <f ca="1"/>
        <v>#VALUE!</v>
      </c>
    </row>
    <row r="404" spans="13:23">
      <c r="M404" s="219">
        <f t="shared" ca="1" si="25"/>
        <v>46449</v>
      </c>
      <c r="N404" s="115" t="e">
        <f ca="1"/>
        <v>#VALUE!</v>
      </c>
      <c r="P404" s="219">
        <f t="shared" ca="1" si="26"/>
        <v>46449</v>
      </c>
      <c r="Q404" s="115" t="e">
        <f ca="1"/>
        <v>#VALUE!</v>
      </c>
      <c r="S404" s="219">
        <f t="shared" ca="1" si="27"/>
        <v>46449</v>
      </c>
      <c r="T404" s="115" t="e">
        <f ca="1"/>
        <v>#VALUE!</v>
      </c>
      <c r="V404" s="219">
        <f t="shared" ca="1" si="28"/>
        <v>46449</v>
      </c>
      <c r="W404" s="115" t="e">
        <f ca="1"/>
        <v>#VALUE!</v>
      </c>
    </row>
    <row r="405" spans="13:23">
      <c r="M405" s="219">
        <f t="shared" ca="1" si="25"/>
        <v>46456</v>
      </c>
      <c r="N405" s="115" t="e">
        <f ca="1"/>
        <v>#VALUE!</v>
      </c>
      <c r="P405" s="219">
        <f t="shared" ca="1" si="26"/>
        <v>46456</v>
      </c>
      <c r="Q405" s="115" t="e">
        <f ca="1"/>
        <v>#VALUE!</v>
      </c>
      <c r="S405" s="219">
        <f t="shared" ca="1" si="27"/>
        <v>46456</v>
      </c>
      <c r="T405" s="115" t="e">
        <f ca="1"/>
        <v>#VALUE!</v>
      </c>
      <c r="V405" s="219">
        <f t="shared" ca="1" si="28"/>
        <v>46456</v>
      </c>
      <c r="W405" s="115" t="e">
        <f ca="1"/>
        <v>#VALUE!</v>
      </c>
    </row>
    <row r="406" spans="13:23">
      <c r="M406" s="219">
        <f t="shared" ca="1" si="25"/>
        <v>46463</v>
      </c>
      <c r="N406" s="115" t="e">
        <f ca="1"/>
        <v>#VALUE!</v>
      </c>
      <c r="P406" s="219">
        <f t="shared" ca="1" si="26"/>
        <v>46463</v>
      </c>
      <c r="Q406" s="115" t="e">
        <f ca="1"/>
        <v>#VALUE!</v>
      </c>
      <c r="S406" s="219">
        <f t="shared" ca="1" si="27"/>
        <v>46463</v>
      </c>
      <c r="T406" s="115" t="e">
        <f ca="1"/>
        <v>#VALUE!</v>
      </c>
      <c r="V406" s="219">
        <f t="shared" ca="1" si="28"/>
        <v>46463</v>
      </c>
      <c r="W406" s="115" t="e">
        <f ca="1"/>
        <v>#VALUE!</v>
      </c>
    </row>
    <row r="407" spans="13:23">
      <c r="M407" s="219">
        <f t="shared" ca="1" si="25"/>
        <v>46470</v>
      </c>
      <c r="N407" s="115" t="e">
        <f ca="1"/>
        <v>#VALUE!</v>
      </c>
      <c r="P407" s="219">
        <f t="shared" ca="1" si="26"/>
        <v>46470</v>
      </c>
      <c r="Q407" s="115" t="e">
        <f ca="1"/>
        <v>#VALUE!</v>
      </c>
      <c r="S407" s="219">
        <f t="shared" ca="1" si="27"/>
        <v>46470</v>
      </c>
      <c r="T407" s="115" t="e">
        <f ca="1"/>
        <v>#VALUE!</v>
      </c>
      <c r="V407" s="219">
        <f t="shared" ca="1" si="28"/>
        <v>46470</v>
      </c>
      <c r="W407" s="115" t="e">
        <f ca="1"/>
        <v>#VALUE!</v>
      </c>
    </row>
    <row r="408" spans="13:23">
      <c r="M408" s="219">
        <f t="shared" ca="1" si="25"/>
        <v>46477</v>
      </c>
      <c r="N408" s="115" t="e">
        <f ca="1"/>
        <v>#VALUE!</v>
      </c>
      <c r="P408" s="219">
        <f t="shared" ca="1" si="26"/>
        <v>46477</v>
      </c>
      <c r="Q408" s="115" t="e">
        <f ca="1"/>
        <v>#VALUE!</v>
      </c>
      <c r="S408" s="219">
        <f t="shared" ca="1" si="27"/>
        <v>46477</v>
      </c>
      <c r="T408" s="115" t="e">
        <f ca="1"/>
        <v>#VALUE!</v>
      </c>
      <c r="V408" s="219">
        <f t="shared" ca="1" si="28"/>
        <v>46477</v>
      </c>
      <c r="W408" s="115" t="e">
        <f ca="1"/>
        <v>#VALUE!</v>
      </c>
    </row>
    <row r="409" spans="13:23">
      <c r="M409" s="219">
        <f t="shared" ca="1" si="25"/>
        <v>46484</v>
      </c>
      <c r="N409" s="115" t="e">
        <f ca="1"/>
        <v>#VALUE!</v>
      </c>
      <c r="P409" s="219">
        <f t="shared" ca="1" si="26"/>
        <v>46484</v>
      </c>
      <c r="Q409" s="115" t="e">
        <f ca="1"/>
        <v>#VALUE!</v>
      </c>
      <c r="S409" s="219">
        <f t="shared" ca="1" si="27"/>
        <v>46484</v>
      </c>
      <c r="T409" s="115" t="e">
        <f ca="1"/>
        <v>#VALUE!</v>
      </c>
      <c r="V409" s="219">
        <f t="shared" ca="1" si="28"/>
        <v>46484</v>
      </c>
      <c r="W409" s="115" t="e">
        <f ca="1"/>
        <v>#VALUE!</v>
      </c>
    </row>
    <row r="410" spans="13:23">
      <c r="M410" s="219">
        <f t="shared" ca="1" si="25"/>
        <v>46491</v>
      </c>
      <c r="N410" s="115" t="e">
        <f ca="1"/>
        <v>#VALUE!</v>
      </c>
      <c r="P410" s="219">
        <f t="shared" ca="1" si="26"/>
        <v>46491</v>
      </c>
      <c r="Q410" s="115" t="e">
        <f ca="1"/>
        <v>#VALUE!</v>
      </c>
      <c r="S410" s="219">
        <f t="shared" ca="1" si="27"/>
        <v>46491</v>
      </c>
      <c r="T410" s="115" t="e">
        <f ca="1"/>
        <v>#VALUE!</v>
      </c>
      <c r="V410" s="219">
        <f t="shared" ca="1" si="28"/>
        <v>46491</v>
      </c>
      <c r="W410" s="115" t="e">
        <f ca="1"/>
        <v>#VALUE!</v>
      </c>
    </row>
    <row r="411" spans="13:23">
      <c r="M411" s="219">
        <f t="shared" ca="1" si="25"/>
        <v>46498</v>
      </c>
      <c r="N411" s="115" t="e">
        <f ca="1"/>
        <v>#VALUE!</v>
      </c>
      <c r="P411" s="219">
        <f t="shared" ca="1" si="26"/>
        <v>46498</v>
      </c>
      <c r="Q411" s="115" t="e">
        <f ca="1"/>
        <v>#VALUE!</v>
      </c>
      <c r="S411" s="219">
        <f t="shared" ca="1" si="27"/>
        <v>46498</v>
      </c>
      <c r="T411" s="115" t="e">
        <f ca="1"/>
        <v>#VALUE!</v>
      </c>
      <c r="V411" s="219">
        <f t="shared" ca="1" si="28"/>
        <v>46498</v>
      </c>
      <c r="W411" s="115" t="e">
        <f ca="1"/>
        <v>#VALUE!</v>
      </c>
    </row>
    <row r="412" spans="13:23">
      <c r="M412" s="219">
        <f t="shared" ca="1" si="25"/>
        <v>46505</v>
      </c>
      <c r="N412" s="115" t="e">
        <f ca="1"/>
        <v>#VALUE!</v>
      </c>
      <c r="P412" s="219">
        <f t="shared" ca="1" si="26"/>
        <v>46505</v>
      </c>
      <c r="Q412" s="115" t="e">
        <f ca="1"/>
        <v>#VALUE!</v>
      </c>
      <c r="S412" s="219">
        <f t="shared" ca="1" si="27"/>
        <v>46505</v>
      </c>
      <c r="T412" s="115" t="e">
        <f ca="1"/>
        <v>#VALUE!</v>
      </c>
      <c r="V412" s="219">
        <f t="shared" ca="1" si="28"/>
        <v>46505</v>
      </c>
      <c r="W412" s="115" t="e">
        <f ca="1"/>
        <v>#VALUE!</v>
      </c>
    </row>
    <row r="413" spans="13:23">
      <c r="M413" s="219">
        <f t="shared" ca="1" si="25"/>
        <v>46512</v>
      </c>
      <c r="N413" s="115" t="e">
        <f ca="1"/>
        <v>#VALUE!</v>
      </c>
      <c r="P413" s="219">
        <f t="shared" ca="1" si="26"/>
        <v>46512</v>
      </c>
      <c r="Q413" s="115" t="e">
        <f ca="1"/>
        <v>#VALUE!</v>
      </c>
      <c r="S413" s="219">
        <f t="shared" ca="1" si="27"/>
        <v>46512</v>
      </c>
      <c r="T413" s="115" t="e">
        <f ca="1"/>
        <v>#VALUE!</v>
      </c>
      <c r="V413" s="219">
        <f t="shared" ca="1" si="28"/>
        <v>46512</v>
      </c>
      <c r="W413" s="115" t="e">
        <f ca="1"/>
        <v>#VALUE!</v>
      </c>
    </row>
    <row r="414" spans="13:23">
      <c r="M414" s="219">
        <f t="shared" ca="1" si="25"/>
        <v>46519</v>
      </c>
      <c r="N414" s="115" t="e">
        <f ca="1"/>
        <v>#VALUE!</v>
      </c>
      <c r="P414" s="219">
        <f t="shared" ca="1" si="26"/>
        <v>46519</v>
      </c>
      <c r="Q414" s="115" t="e">
        <f ca="1"/>
        <v>#VALUE!</v>
      </c>
      <c r="S414" s="219">
        <f t="shared" ca="1" si="27"/>
        <v>46519</v>
      </c>
      <c r="T414" s="115" t="e">
        <f ca="1"/>
        <v>#VALUE!</v>
      </c>
      <c r="V414" s="219">
        <f t="shared" ca="1" si="28"/>
        <v>46519</v>
      </c>
      <c r="W414" s="115" t="e">
        <f ca="1"/>
        <v>#VALUE!</v>
      </c>
    </row>
    <row r="415" spans="13:23">
      <c r="M415" s="219">
        <f t="shared" ca="1" si="25"/>
        <v>46526</v>
      </c>
      <c r="N415" s="115" t="e">
        <f ca="1"/>
        <v>#VALUE!</v>
      </c>
      <c r="P415" s="219">
        <f t="shared" ca="1" si="26"/>
        <v>46526</v>
      </c>
      <c r="Q415" s="115" t="e">
        <f ca="1"/>
        <v>#VALUE!</v>
      </c>
      <c r="S415" s="219">
        <f t="shared" ca="1" si="27"/>
        <v>46526</v>
      </c>
      <c r="T415" s="115" t="e">
        <f ca="1"/>
        <v>#VALUE!</v>
      </c>
      <c r="V415" s="219">
        <f t="shared" ca="1" si="28"/>
        <v>46526</v>
      </c>
      <c r="W415" s="115" t="e">
        <f ca="1"/>
        <v>#VALUE!</v>
      </c>
    </row>
    <row r="416" spans="13:23">
      <c r="M416" s="219">
        <f t="shared" ca="1" si="25"/>
        <v>46533</v>
      </c>
      <c r="N416" s="115" t="e">
        <f ca="1"/>
        <v>#VALUE!</v>
      </c>
      <c r="P416" s="219">
        <f t="shared" ca="1" si="26"/>
        <v>46533</v>
      </c>
      <c r="Q416" s="115" t="e">
        <f ca="1"/>
        <v>#VALUE!</v>
      </c>
      <c r="S416" s="219">
        <f t="shared" ca="1" si="27"/>
        <v>46533</v>
      </c>
      <c r="T416" s="115" t="e">
        <f ca="1"/>
        <v>#VALUE!</v>
      </c>
      <c r="V416" s="219">
        <f t="shared" ca="1" si="28"/>
        <v>46533</v>
      </c>
      <c r="W416" s="115" t="e">
        <f ca="1"/>
        <v>#VALUE!</v>
      </c>
    </row>
    <row r="417" spans="13:23">
      <c r="M417" s="219">
        <f t="shared" ca="1" si="25"/>
        <v>46540</v>
      </c>
      <c r="N417" s="115" t="e">
        <f ca="1"/>
        <v>#VALUE!</v>
      </c>
      <c r="P417" s="219">
        <f t="shared" ca="1" si="26"/>
        <v>46540</v>
      </c>
      <c r="Q417" s="115" t="e">
        <f ca="1"/>
        <v>#VALUE!</v>
      </c>
      <c r="S417" s="219">
        <f t="shared" ca="1" si="27"/>
        <v>46540</v>
      </c>
      <c r="T417" s="115" t="e">
        <f ca="1"/>
        <v>#VALUE!</v>
      </c>
      <c r="V417" s="219">
        <f t="shared" ca="1" si="28"/>
        <v>46540</v>
      </c>
      <c r="W417" s="115" t="e">
        <f ca="1"/>
        <v>#VALUE!</v>
      </c>
    </row>
    <row r="418" spans="13:23">
      <c r="M418" s="219">
        <f t="shared" ca="1" si="25"/>
        <v>46547</v>
      </c>
      <c r="N418" s="115" t="e">
        <f ca="1"/>
        <v>#VALUE!</v>
      </c>
      <c r="P418" s="219">
        <f t="shared" ca="1" si="26"/>
        <v>46547</v>
      </c>
      <c r="Q418" s="115" t="e">
        <f ca="1"/>
        <v>#VALUE!</v>
      </c>
      <c r="S418" s="219">
        <f t="shared" ca="1" si="27"/>
        <v>46547</v>
      </c>
      <c r="T418" s="115" t="e">
        <f ca="1"/>
        <v>#VALUE!</v>
      </c>
      <c r="V418" s="219">
        <f t="shared" ca="1" si="28"/>
        <v>46547</v>
      </c>
      <c r="W418" s="115" t="e">
        <f ca="1"/>
        <v>#VALUE!</v>
      </c>
    </row>
    <row r="419" spans="13:23">
      <c r="M419" s="219">
        <f t="shared" ca="1" si="25"/>
        <v>46554</v>
      </c>
      <c r="N419" s="115" t="e">
        <f ca="1"/>
        <v>#VALUE!</v>
      </c>
      <c r="P419" s="219">
        <f t="shared" ca="1" si="26"/>
        <v>46554</v>
      </c>
      <c r="Q419" s="115" t="e">
        <f ca="1"/>
        <v>#VALUE!</v>
      </c>
      <c r="S419" s="219">
        <f t="shared" ca="1" si="27"/>
        <v>46554</v>
      </c>
      <c r="T419" s="115" t="e">
        <f ca="1"/>
        <v>#VALUE!</v>
      </c>
      <c r="V419" s="219">
        <f t="shared" ca="1" si="28"/>
        <v>46554</v>
      </c>
      <c r="W419" s="115" t="e">
        <f ca="1"/>
        <v>#VALUE!</v>
      </c>
    </row>
    <row r="420" spans="13:23">
      <c r="M420" s="219">
        <f t="shared" ca="1" si="25"/>
        <v>46561</v>
      </c>
      <c r="N420" s="115" t="e">
        <f ca="1"/>
        <v>#VALUE!</v>
      </c>
      <c r="P420" s="219">
        <f t="shared" ca="1" si="26"/>
        <v>46561</v>
      </c>
      <c r="Q420" s="115" t="e">
        <f ca="1"/>
        <v>#VALUE!</v>
      </c>
      <c r="S420" s="219">
        <f t="shared" ca="1" si="27"/>
        <v>46561</v>
      </c>
      <c r="T420" s="115" t="e">
        <f ca="1"/>
        <v>#VALUE!</v>
      </c>
      <c r="V420" s="219">
        <f t="shared" ca="1" si="28"/>
        <v>46561</v>
      </c>
      <c r="W420" s="115" t="e">
        <f ca="1"/>
        <v>#VALUE!</v>
      </c>
    </row>
    <row r="421" spans="13:23">
      <c r="M421" s="219">
        <f t="shared" ca="1" si="25"/>
        <v>46568</v>
      </c>
      <c r="N421" s="115" t="e">
        <f ca="1"/>
        <v>#VALUE!</v>
      </c>
      <c r="P421" s="219">
        <f t="shared" ca="1" si="26"/>
        <v>46568</v>
      </c>
      <c r="Q421" s="115" t="e">
        <f ca="1"/>
        <v>#VALUE!</v>
      </c>
      <c r="S421" s="219">
        <f t="shared" ca="1" si="27"/>
        <v>46568</v>
      </c>
      <c r="T421" s="115" t="e">
        <f ca="1"/>
        <v>#VALUE!</v>
      </c>
      <c r="V421" s="219">
        <f t="shared" ca="1" si="28"/>
        <v>46568</v>
      </c>
      <c r="W421" s="115" t="e">
        <f ca="1"/>
        <v>#VALUE!</v>
      </c>
    </row>
    <row r="422" spans="13:23">
      <c r="M422" s="219">
        <f t="shared" ca="1" si="25"/>
        <v>46575</v>
      </c>
      <c r="N422" s="115" t="e">
        <f ca="1"/>
        <v>#VALUE!</v>
      </c>
      <c r="P422" s="219">
        <f t="shared" ca="1" si="26"/>
        <v>46575</v>
      </c>
      <c r="Q422" s="115" t="e">
        <f ca="1"/>
        <v>#VALUE!</v>
      </c>
      <c r="S422" s="219">
        <f t="shared" ca="1" si="27"/>
        <v>46575</v>
      </c>
      <c r="T422" s="115" t="e">
        <f ca="1"/>
        <v>#VALUE!</v>
      </c>
      <c r="V422" s="219">
        <f t="shared" ca="1" si="28"/>
        <v>46575</v>
      </c>
      <c r="W422" s="115" t="e">
        <f ca="1"/>
        <v>#VALUE!</v>
      </c>
    </row>
    <row r="423" spans="13:23">
      <c r="M423" s="219">
        <f t="shared" ca="1" si="25"/>
        <v>46582</v>
      </c>
      <c r="N423" s="115" t="e">
        <f ca="1"/>
        <v>#VALUE!</v>
      </c>
      <c r="P423" s="219">
        <f t="shared" ca="1" si="26"/>
        <v>46582</v>
      </c>
      <c r="Q423" s="115" t="e">
        <f ca="1"/>
        <v>#VALUE!</v>
      </c>
      <c r="S423" s="219">
        <f t="shared" ca="1" si="27"/>
        <v>46582</v>
      </c>
      <c r="T423" s="115" t="e">
        <f ca="1"/>
        <v>#VALUE!</v>
      </c>
      <c r="V423" s="219">
        <f t="shared" ca="1" si="28"/>
        <v>46582</v>
      </c>
      <c r="W423" s="115" t="e">
        <f ca="1"/>
        <v>#VALUE!</v>
      </c>
    </row>
    <row r="424" spans="13:23">
      <c r="M424" s="219">
        <f t="shared" ca="1" si="25"/>
        <v>46589</v>
      </c>
      <c r="N424" s="115" t="e">
        <f ca="1"/>
        <v>#VALUE!</v>
      </c>
      <c r="P424" s="219">
        <f t="shared" ca="1" si="26"/>
        <v>46589</v>
      </c>
      <c r="Q424" s="115" t="e">
        <f ca="1"/>
        <v>#VALUE!</v>
      </c>
      <c r="S424" s="219">
        <f t="shared" ca="1" si="27"/>
        <v>46589</v>
      </c>
      <c r="T424" s="115" t="e">
        <f ca="1"/>
        <v>#VALUE!</v>
      </c>
      <c r="V424" s="219">
        <f t="shared" ca="1" si="28"/>
        <v>46589</v>
      </c>
      <c r="W424" s="115" t="e">
        <f ca="1"/>
        <v>#VALUE!</v>
      </c>
    </row>
    <row r="425" spans="13:23">
      <c r="M425" s="219">
        <f t="shared" ca="1" si="25"/>
        <v>46596</v>
      </c>
      <c r="N425" s="115" t="e">
        <f ca="1"/>
        <v>#VALUE!</v>
      </c>
      <c r="P425" s="219">
        <f t="shared" ca="1" si="26"/>
        <v>46596</v>
      </c>
      <c r="Q425" s="115" t="e">
        <f ca="1"/>
        <v>#VALUE!</v>
      </c>
      <c r="S425" s="219">
        <f t="shared" ca="1" si="27"/>
        <v>46596</v>
      </c>
      <c r="T425" s="115" t="e">
        <f ca="1"/>
        <v>#VALUE!</v>
      </c>
      <c r="V425" s="219">
        <f t="shared" ca="1" si="28"/>
        <v>46596</v>
      </c>
      <c r="W425" s="115" t="e">
        <f ca="1"/>
        <v>#VALUE!</v>
      </c>
    </row>
    <row r="426" spans="13:23">
      <c r="M426" s="219">
        <f t="shared" ca="1" si="25"/>
        <v>46603</v>
      </c>
      <c r="N426" s="115" t="e">
        <f ca="1"/>
        <v>#VALUE!</v>
      </c>
      <c r="P426" s="219">
        <f t="shared" ca="1" si="26"/>
        <v>46603</v>
      </c>
      <c r="Q426" s="115" t="e">
        <f ca="1"/>
        <v>#VALUE!</v>
      </c>
      <c r="S426" s="219">
        <f t="shared" ca="1" si="27"/>
        <v>46603</v>
      </c>
      <c r="T426" s="115" t="e">
        <f ca="1"/>
        <v>#VALUE!</v>
      </c>
      <c r="V426" s="219">
        <f t="shared" ca="1" si="28"/>
        <v>46603</v>
      </c>
      <c r="W426" s="115" t="e">
        <f ca="1"/>
        <v>#VALUE!</v>
      </c>
    </row>
    <row r="427" spans="13:23">
      <c r="M427" s="219">
        <f t="shared" ca="1" si="25"/>
        <v>46610</v>
      </c>
      <c r="N427" s="115" t="e">
        <f ca="1"/>
        <v>#VALUE!</v>
      </c>
      <c r="P427" s="219">
        <f t="shared" ca="1" si="26"/>
        <v>46610</v>
      </c>
      <c r="Q427" s="115" t="e">
        <f ca="1"/>
        <v>#VALUE!</v>
      </c>
      <c r="S427" s="219">
        <f t="shared" ca="1" si="27"/>
        <v>46610</v>
      </c>
      <c r="T427" s="115" t="e">
        <f ca="1"/>
        <v>#VALUE!</v>
      </c>
      <c r="V427" s="219">
        <f t="shared" ca="1" si="28"/>
        <v>46610</v>
      </c>
      <c r="W427" s="115" t="e">
        <f ca="1"/>
        <v>#VALUE!</v>
      </c>
    </row>
    <row r="428" spans="13:23">
      <c r="M428" s="219">
        <f t="shared" ca="1" si="25"/>
        <v>46617</v>
      </c>
      <c r="N428" s="115" t="e">
        <f ca="1"/>
        <v>#VALUE!</v>
      </c>
      <c r="P428" s="219">
        <f t="shared" ca="1" si="26"/>
        <v>46617</v>
      </c>
      <c r="Q428" s="115" t="e">
        <f ca="1"/>
        <v>#VALUE!</v>
      </c>
      <c r="S428" s="219">
        <f t="shared" ca="1" si="27"/>
        <v>46617</v>
      </c>
      <c r="T428" s="115" t="e">
        <f ca="1"/>
        <v>#VALUE!</v>
      </c>
      <c r="V428" s="219">
        <f t="shared" ca="1" si="28"/>
        <v>46617</v>
      </c>
      <c r="W428" s="115" t="e">
        <f ca="1"/>
        <v>#VALUE!</v>
      </c>
    </row>
    <row r="429" spans="13:23">
      <c r="M429" s="219">
        <f t="shared" ca="1" si="25"/>
        <v>46624</v>
      </c>
      <c r="N429" s="115" t="e">
        <f ca="1"/>
        <v>#VALUE!</v>
      </c>
      <c r="P429" s="219">
        <f t="shared" ca="1" si="26"/>
        <v>46624</v>
      </c>
      <c r="Q429" s="115" t="e">
        <f ca="1"/>
        <v>#VALUE!</v>
      </c>
      <c r="S429" s="219">
        <f t="shared" ca="1" si="27"/>
        <v>46624</v>
      </c>
      <c r="T429" s="115" t="e">
        <f ca="1"/>
        <v>#VALUE!</v>
      </c>
      <c r="V429" s="219">
        <f t="shared" ca="1" si="28"/>
        <v>46624</v>
      </c>
      <c r="W429" s="115" t="e">
        <f ca="1"/>
        <v>#VALUE!</v>
      </c>
    </row>
    <row r="430" spans="13:23">
      <c r="M430" s="219">
        <f t="shared" ca="1" si="25"/>
        <v>46631</v>
      </c>
      <c r="N430" s="115" t="e">
        <f ca="1"/>
        <v>#VALUE!</v>
      </c>
      <c r="P430" s="219">
        <f t="shared" ca="1" si="26"/>
        <v>46631</v>
      </c>
      <c r="Q430" s="115" t="e">
        <f ca="1"/>
        <v>#VALUE!</v>
      </c>
      <c r="S430" s="219">
        <f t="shared" ca="1" si="27"/>
        <v>46631</v>
      </c>
      <c r="T430" s="115" t="e">
        <f ca="1"/>
        <v>#VALUE!</v>
      </c>
      <c r="V430" s="219">
        <f t="shared" ca="1" si="28"/>
        <v>46631</v>
      </c>
      <c r="W430" s="115" t="e">
        <f ca="1"/>
        <v>#VALUE!</v>
      </c>
    </row>
    <row r="431" spans="13:23">
      <c r="M431" s="219">
        <f t="shared" ca="1" si="25"/>
        <v>46638</v>
      </c>
      <c r="N431" s="115" t="e">
        <f ca="1"/>
        <v>#VALUE!</v>
      </c>
      <c r="P431" s="219">
        <f t="shared" ca="1" si="26"/>
        <v>46638</v>
      </c>
      <c r="Q431" s="115" t="e">
        <f ca="1"/>
        <v>#VALUE!</v>
      </c>
      <c r="S431" s="219">
        <f t="shared" ca="1" si="27"/>
        <v>46638</v>
      </c>
      <c r="T431" s="115" t="e">
        <f ca="1"/>
        <v>#VALUE!</v>
      </c>
      <c r="V431" s="219">
        <f t="shared" ca="1" si="28"/>
        <v>46638</v>
      </c>
      <c r="W431" s="115" t="e">
        <f ca="1"/>
        <v>#VALUE!</v>
      </c>
    </row>
    <row r="432" spans="13:23">
      <c r="M432" s="219">
        <f t="shared" ca="1" si="25"/>
        <v>46645</v>
      </c>
      <c r="N432" s="115" t="e">
        <f ca="1"/>
        <v>#VALUE!</v>
      </c>
      <c r="P432" s="219">
        <f t="shared" ca="1" si="26"/>
        <v>46645</v>
      </c>
      <c r="Q432" s="115" t="e">
        <f ca="1"/>
        <v>#VALUE!</v>
      </c>
      <c r="S432" s="219">
        <f t="shared" ca="1" si="27"/>
        <v>46645</v>
      </c>
      <c r="T432" s="115" t="e">
        <f ca="1"/>
        <v>#VALUE!</v>
      </c>
      <c r="V432" s="219">
        <f t="shared" ca="1" si="28"/>
        <v>46645</v>
      </c>
      <c r="W432" s="115" t="e">
        <f ca="1"/>
        <v>#VALUE!</v>
      </c>
    </row>
    <row r="433" spans="13:23">
      <c r="M433" s="219">
        <f t="shared" ca="1" si="25"/>
        <v>46652</v>
      </c>
      <c r="N433" s="115" t="e">
        <f ca="1"/>
        <v>#VALUE!</v>
      </c>
      <c r="P433" s="219">
        <f t="shared" ca="1" si="26"/>
        <v>46652</v>
      </c>
      <c r="Q433" s="115" t="e">
        <f ca="1"/>
        <v>#VALUE!</v>
      </c>
      <c r="S433" s="219">
        <f t="shared" ca="1" si="27"/>
        <v>46652</v>
      </c>
      <c r="T433" s="115" t="e">
        <f ca="1"/>
        <v>#VALUE!</v>
      </c>
      <c r="V433" s="219">
        <f t="shared" ca="1" si="28"/>
        <v>46652</v>
      </c>
      <c r="W433" s="115" t="e">
        <f ca="1"/>
        <v>#VALUE!</v>
      </c>
    </row>
    <row r="434" spans="13:23">
      <c r="M434" s="219">
        <f t="shared" ca="1" si="25"/>
        <v>46659</v>
      </c>
      <c r="N434" s="115" t="e">
        <f ca="1"/>
        <v>#VALUE!</v>
      </c>
      <c r="P434" s="219">
        <f t="shared" ca="1" si="26"/>
        <v>46659</v>
      </c>
      <c r="Q434" s="115" t="e">
        <f ca="1"/>
        <v>#VALUE!</v>
      </c>
      <c r="S434" s="219">
        <f t="shared" ca="1" si="27"/>
        <v>46659</v>
      </c>
      <c r="T434" s="115" t="e">
        <f ca="1"/>
        <v>#VALUE!</v>
      </c>
      <c r="V434" s="219">
        <f t="shared" ca="1" si="28"/>
        <v>46659</v>
      </c>
      <c r="W434" s="115" t="e">
        <f ca="1"/>
        <v>#VALUE!</v>
      </c>
    </row>
    <row r="435" spans="13:23">
      <c r="M435" s="219">
        <f t="shared" ca="1" si="25"/>
        <v>46666</v>
      </c>
      <c r="N435" s="115" t="e">
        <f ca="1"/>
        <v>#VALUE!</v>
      </c>
      <c r="P435" s="219">
        <f t="shared" ca="1" si="26"/>
        <v>46666</v>
      </c>
      <c r="Q435" s="115" t="e">
        <f ca="1"/>
        <v>#VALUE!</v>
      </c>
      <c r="S435" s="219">
        <f t="shared" ca="1" si="27"/>
        <v>46666</v>
      </c>
      <c r="T435" s="115" t="e">
        <f ca="1"/>
        <v>#VALUE!</v>
      </c>
      <c r="V435" s="219">
        <f t="shared" ca="1" si="28"/>
        <v>46666</v>
      </c>
      <c r="W435" s="115" t="e">
        <f ca="1"/>
        <v>#VALUE!</v>
      </c>
    </row>
    <row r="436" spans="13:23">
      <c r="M436" s="219">
        <f t="shared" ca="1" si="25"/>
        <v>46673</v>
      </c>
      <c r="N436" s="115" t="e">
        <f ca="1"/>
        <v>#VALUE!</v>
      </c>
      <c r="P436" s="219">
        <f t="shared" ca="1" si="26"/>
        <v>46673</v>
      </c>
      <c r="Q436" s="115" t="e">
        <f ca="1"/>
        <v>#VALUE!</v>
      </c>
      <c r="S436" s="219">
        <f t="shared" ca="1" si="27"/>
        <v>46673</v>
      </c>
      <c r="T436" s="115" t="e">
        <f ca="1"/>
        <v>#VALUE!</v>
      </c>
      <c r="V436" s="219">
        <f t="shared" ca="1" si="28"/>
        <v>46673</v>
      </c>
      <c r="W436" s="115" t="e">
        <f ca="1"/>
        <v>#VALUE!</v>
      </c>
    </row>
    <row r="437" spans="13:23">
      <c r="M437" s="219">
        <f t="shared" ca="1" si="25"/>
        <v>46680</v>
      </c>
      <c r="N437" s="115" t="e">
        <f ca="1"/>
        <v>#VALUE!</v>
      </c>
      <c r="P437" s="219">
        <f t="shared" ca="1" si="26"/>
        <v>46680</v>
      </c>
      <c r="Q437" s="115" t="e">
        <f ca="1"/>
        <v>#VALUE!</v>
      </c>
      <c r="S437" s="219">
        <f t="shared" ca="1" si="27"/>
        <v>46680</v>
      </c>
      <c r="T437" s="115" t="e">
        <f ca="1"/>
        <v>#VALUE!</v>
      </c>
      <c r="V437" s="219">
        <f t="shared" ca="1" si="28"/>
        <v>46680</v>
      </c>
      <c r="W437" s="115" t="e">
        <f ca="1"/>
        <v>#VALUE!</v>
      </c>
    </row>
    <row r="438" spans="13:23">
      <c r="M438" s="219">
        <f t="shared" ca="1" si="25"/>
        <v>46687</v>
      </c>
      <c r="N438" s="115" t="e">
        <f ca="1"/>
        <v>#VALUE!</v>
      </c>
      <c r="P438" s="219">
        <f t="shared" ca="1" si="26"/>
        <v>46687</v>
      </c>
      <c r="Q438" s="115" t="e">
        <f ca="1"/>
        <v>#VALUE!</v>
      </c>
      <c r="S438" s="219">
        <f t="shared" ca="1" si="27"/>
        <v>46687</v>
      </c>
      <c r="T438" s="115" t="e">
        <f ca="1"/>
        <v>#VALUE!</v>
      </c>
      <c r="V438" s="219">
        <f t="shared" ca="1" si="28"/>
        <v>46687</v>
      </c>
      <c r="W438" s="115" t="e">
        <f ca="1"/>
        <v>#VALUE!</v>
      </c>
    </row>
    <row r="439" spans="13:23">
      <c r="M439" s="219">
        <f t="shared" ca="1" si="25"/>
        <v>46694</v>
      </c>
      <c r="N439" s="115" t="e">
        <f ca="1"/>
        <v>#VALUE!</v>
      </c>
      <c r="P439" s="219">
        <f t="shared" ca="1" si="26"/>
        <v>46694</v>
      </c>
      <c r="Q439" s="115" t="e">
        <f ca="1"/>
        <v>#VALUE!</v>
      </c>
      <c r="S439" s="219">
        <f t="shared" ca="1" si="27"/>
        <v>46694</v>
      </c>
      <c r="T439" s="115" t="e">
        <f ca="1"/>
        <v>#VALUE!</v>
      </c>
      <c r="V439" s="219">
        <f t="shared" ca="1" si="28"/>
        <v>46694</v>
      </c>
      <c r="W439" s="115" t="e">
        <f ca="1"/>
        <v>#VALUE!</v>
      </c>
    </row>
    <row r="440" spans="13:23">
      <c r="M440" s="219">
        <f t="shared" ca="1" si="25"/>
        <v>46701</v>
      </c>
      <c r="N440" s="115" t="e">
        <f ca="1"/>
        <v>#VALUE!</v>
      </c>
      <c r="P440" s="219">
        <f t="shared" ca="1" si="26"/>
        <v>46701</v>
      </c>
      <c r="Q440" s="115" t="e">
        <f ca="1"/>
        <v>#VALUE!</v>
      </c>
      <c r="S440" s="219">
        <f t="shared" ca="1" si="27"/>
        <v>46701</v>
      </c>
      <c r="T440" s="115" t="e">
        <f ca="1"/>
        <v>#VALUE!</v>
      </c>
      <c r="V440" s="219">
        <f t="shared" ca="1" si="28"/>
        <v>46701</v>
      </c>
      <c r="W440" s="115" t="e">
        <f ca="1"/>
        <v>#VALUE!</v>
      </c>
    </row>
    <row r="441" spans="13:23">
      <c r="M441" s="219">
        <f t="shared" ca="1" si="25"/>
        <v>46708</v>
      </c>
      <c r="N441" s="115" t="e">
        <f ca="1"/>
        <v>#VALUE!</v>
      </c>
      <c r="P441" s="219">
        <f t="shared" ca="1" si="26"/>
        <v>46708</v>
      </c>
      <c r="Q441" s="115" t="e">
        <f ca="1"/>
        <v>#VALUE!</v>
      </c>
      <c r="S441" s="219">
        <f t="shared" ca="1" si="27"/>
        <v>46708</v>
      </c>
      <c r="T441" s="115" t="e">
        <f ca="1"/>
        <v>#VALUE!</v>
      </c>
      <c r="V441" s="219">
        <f t="shared" ca="1" si="28"/>
        <v>46708</v>
      </c>
      <c r="W441" s="115" t="e">
        <f ca="1"/>
        <v>#VALUE!</v>
      </c>
    </row>
    <row r="442" spans="13:23">
      <c r="M442" s="219">
        <f t="shared" ca="1" si="25"/>
        <v>46715</v>
      </c>
      <c r="N442" s="115" t="e">
        <f ca="1"/>
        <v>#VALUE!</v>
      </c>
      <c r="P442" s="219">
        <f t="shared" ca="1" si="26"/>
        <v>46715</v>
      </c>
      <c r="Q442" s="115" t="e">
        <f ca="1"/>
        <v>#VALUE!</v>
      </c>
      <c r="S442" s="219">
        <f t="shared" ca="1" si="27"/>
        <v>46715</v>
      </c>
      <c r="T442" s="115" t="e">
        <f ca="1"/>
        <v>#VALUE!</v>
      </c>
      <c r="V442" s="219">
        <f t="shared" ca="1" si="28"/>
        <v>46715</v>
      </c>
      <c r="W442" s="115" t="e">
        <f ca="1"/>
        <v>#VALUE!</v>
      </c>
    </row>
    <row r="443" spans="13:23">
      <c r="M443" s="219">
        <f t="shared" ca="1" si="25"/>
        <v>46722</v>
      </c>
      <c r="N443" s="115" t="e">
        <f ca="1"/>
        <v>#VALUE!</v>
      </c>
      <c r="P443" s="219">
        <f t="shared" ca="1" si="26"/>
        <v>46722</v>
      </c>
      <c r="Q443" s="115" t="e">
        <f ca="1"/>
        <v>#VALUE!</v>
      </c>
      <c r="S443" s="219">
        <f t="shared" ca="1" si="27"/>
        <v>46722</v>
      </c>
      <c r="T443" s="115" t="e">
        <f ca="1"/>
        <v>#VALUE!</v>
      </c>
      <c r="V443" s="219">
        <f t="shared" ca="1" si="28"/>
        <v>46722</v>
      </c>
      <c r="W443" s="115" t="e">
        <f ca="1"/>
        <v>#VALUE!</v>
      </c>
    </row>
    <row r="444" spans="13:23">
      <c r="M444" s="219">
        <f t="shared" ca="1" si="25"/>
        <v>46729</v>
      </c>
      <c r="N444" s="115" t="e">
        <f ca="1"/>
        <v>#VALUE!</v>
      </c>
      <c r="P444" s="219">
        <f t="shared" ca="1" si="26"/>
        <v>46729</v>
      </c>
      <c r="Q444" s="115" t="e">
        <f ca="1"/>
        <v>#VALUE!</v>
      </c>
      <c r="S444" s="219">
        <f t="shared" ca="1" si="27"/>
        <v>46729</v>
      </c>
      <c r="T444" s="115" t="e">
        <f ca="1"/>
        <v>#VALUE!</v>
      </c>
      <c r="V444" s="219">
        <f t="shared" ca="1" si="28"/>
        <v>46729</v>
      </c>
      <c r="W444" s="115" t="e">
        <f ca="1"/>
        <v>#VALUE!</v>
      </c>
    </row>
    <row r="445" spans="13:23">
      <c r="M445" s="219">
        <f t="shared" ca="1" si="25"/>
        <v>46736</v>
      </c>
      <c r="N445" s="115" t="e">
        <f ca="1"/>
        <v>#VALUE!</v>
      </c>
      <c r="P445" s="219">
        <f t="shared" ca="1" si="26"/>
        <v>46736</v>
      </c>
      <c r="Q445" s="115" t="e">
        <f ca="1"/>
        <v>#VALUE!</v>
      </c>
      <c r="S445" s="219">
        <f t="shared" ca="1" si="27"/>
        <v>46736</v>
      </c>
      <c r="T445" s="115" t="e">
        <f ca="1"/>
        <v>#VALUE!</v>
      </c>
      <c r="V445" s="219">
        <f t="shared" ca="1" si="28"/>
        <v>46736</v>
      </c>
      <c r="W445" s="115" t="e">
        <f ca="1"/>
        <v>#VALUE!</v>
      </c>
    </row>
    <row r="446" spans="13:23">
      <c r="M446" s="219">
        <f t="shared" ca="1" si="25"/>
        <v>46743</v>
      </c>
      <c r="N446" s="115" t="e">
        <f ca="1"/>
        <v>#VALUE!</v>
      </c>
      <c r="P446" s="219">
        <f t="shared" ca="1" si="26"/>
        <v>46743</v>
      </c>
      <c r="Q446" s="115" t="e">
        <f ca="1"/>
        <v>#VALUE!</v>
      </c>
      <c r="S446" s="219">
        <f t="shared" ca="1" si="27"/>
        <v>46743</v>
      </c>
      <c r="T446" s="115" t="e">
        <f ca="1"/>
        <v>#VALUE!</v>
      </c>
      <c r="V446" s="219">
        <f t="shared" ca="1" si="28"/>
        <v>46743</v>
      </c>
      <c r="W446" s="115" t="e">
        <f ca="1"/>
        <v>#VALUE!</v>
      </c>
    </row>
    <row r="447" spans="13:23">
      <c r="M447" s="219">
        <f t="shared" ca="1" si="25"/>
        <v>46750</v>
      </c>
      <c r="N447" s="115" t="e">
        <f ca="1"/>
        <v>#VALUE!</v>
      </c>
      <c r="P447" s="219">
        <f t="shared" ca="1" si="26"/>
        <v>46750</v>
      </c>
      <c r="Q447" s="115" t="e">
        <f ca="1"/>
        <v>#VALUE!</v>
      </c>
      <c r="S447" s="219">
        <f t="shared" ca="1" si="27"/>
        <v>46750</v>
      </c>
      <c r="T447" s="115" t="e">
        <f ca="1"/>
        <v>#VALUE!</v>
      </c>
      <c r="V447" s="219">
        <f t="shared" ca="1" si="28"/>
        <v>46750</v>
      </c>
      <c r="W447" s="115" t="e">
        <f ca="1"/>
        <v>#VALUE!</v>
      </c>
    </row>
    <row r="448" spans="13:23">
      <c r="M448" s="219">
        <f t="shared" ca="1" si="25"/>
        <v>46757</v>
      </c>
      <c r="N448" s="115" t="e">
        <f ca="1"/>
        <v>#VALUE!</v>
      </c>
      <c r="P448" s="219">
        <f t="shared" ca="1" si="26"/>
        <v>46757</v>
      </c>
      <c r="Q448" s="115" t="e">
        <f ca="1"/>
        <v>#VALUE!</v>
      </c>
      <c r="S448" s="219">
        <f t="shared" ca="1" si="27"/>
        <v>46757</v>
      </c>
      <c r="T448" s="115" t="e">
        <f ca="1"/>
        <v>#VALUE!</v>
      </c>
      <c r="V448" s="219">
        <f t="shared" ca="1" si="28"/>
        <v>46757</v>
      </c>
      <c r="W448" s="115" t="e">
        <f ca="1"/>
        <v>#VALUE!</v>
      </c>
    </row>
    <row r="449" spans="13:23">
      <c r="M449" s="219">
        <f t="shared" ca="1" si="25"/>
        <v>46764</v>
      </c>
      <c r="N449" s="115" t="e">
        <f ca="1"/>
        <v>#VALUE!</v>
      </c>
      <c r="P449" s="219">
        <f t="shared" ca="1" si="26"/>
        <v>46764</v>
      </c>
      <c r="Q449" s="115" t="e">
        <f ca="1"/>
        <v>#VALUE!</v>
      </c>
      <c r="S449" s="219">
        <f t="shared" ca="1" si="27"/>
        <v>46764</v>
      </c>
      <c r="T449" s="115" t="e">
        <f ca="1"/>
        <v>#VALUE!</v>
      </c>
      <c r="V449" s="219">
        <f t="shared" ca="1" si="28"/>
        <v>46764</v>
      </c>
      <c r="W449" s="115" t="e">
        <f ca="1"/>
        <v>#VALUE!</v>
      </c>
    </row>
    <row r="450" spans="13:23">
      <c r="M450" s="219">
        <f t="shared" ca="1" si="25"/>
        <v>46771</v>
      </c>
      <c r="N450" s="115" t="e">
        <f ca="1"/>
        <v>#VALUE!</v>
      </c>
      <c r="P450" s="219">
        <f t="shared" ca="1" si="26"/>
        <v>46771</v>
      </c>
      <c r="Q450" s="115" t="e">
        <f ca="1"/>
        <v>#VALUE!</v>
      </c>
      <c r="S450" s="219">
        <f t="shared" ca="1" si="27"/>
        <v>46771</v>
      </c>
      <c r="T450" s="115" t="e">
        <f ca="1"/>
        <v>#VALUE!</v>
      </c>
      <c r="V450" s="219">
        <f t="shared" ca="1" si="28"/>
        <v>46771</v>
      </c>
      <c r="W450" s="115" t="e">
        <f ca="1"/>
        <v>#VALUE!</v>
      </c>
    </row>
    <row r="451" spans="13:23">
      <c r="M451" s="219">
        <f t="shared" ca="1" si="25"/>
        <v>46778</v>
      </c>
      <c r="N451" s="115" t="e">
        <f ca="1"/>
        <v>#VALUE!</v>
      </c>
      <c r="P451" s="219">
        <f t="shared" ca="1" si="26"/>
        <v>46778</v>
      </c>
      <c r="Q451" s="115" t="e">
        <f ca="1"/>
        <v>#VALUE!</v>
      </c>
      <c r="S451" s="219">
        <f t="shared" ca="1" si="27"/>
        <v>46778</v>
      </c>
      <c r="T451" s="115" t="e">
        <f ca="1"/>
        <v>#VALUE!</v>
      </c>
      <c r="V451" s="219">
        <f t="shared" ca="1" si="28"/>
        <v>46778</v>
      </c>
      <c r="W451" s="115" t="e">
        <f ca="1"/>
        <v>#VALUE!</v>
      </c>
    </row>
    <row r="452" spans="13:23">
      <c r="M452" s="219">
        <f t="shared" ca="1" si="25"/>
        <v>46785</v>
      </c>
      <c r="N452" s="115" t="e">
        <f ca="1"/>
        <v>#VALUE!</v>
      </c>
      <c r="P452" s="219">
        <f t="shared" ca="1" si="26"/>
        <v>46785</v>
      </c>
      <c r="Q452" s="115" t="e">
        <f ca="1"/>
        <v>#VALUE!</v>
      </c>
      <c r="S452" s="219">
        <f t="shared" ca="1" si="27"/>
        <v>46785</v>
      </c>
      <c r="T452" s="115" t="e">
        <f ca="1"/>
        <v>#VALUE!</v>
      </c>
      <c r="V452" s="219">
        <f t="shared" ca="1" si="28"/>
        <v>46785</v>
      </c>
      <c r="W452" s="115" t="e">
        <f ca="1"/>
        <v>#VALUE!</v>
      </c>
    </row>
    <row r="453" spans="13:23">
      <c r="M453" s="219">
        <f t="shared" ca="1" si="25"/>
        <v>46792</v>
      </c>
      <c r="N453" s="115" t="e">
        <f ca="1"/>
        <v>#VALUE!</v>
      </c>
      <c r="P453" s="219">
        <f t="shared" ca="1" si="26"/>
        <v>46792</v>
      </c>
      <c r="Q453" s="115" t="e">
        <f ca="1"/>
        <v>#VALUE!</v>
      </c>
      <c r="S453" s="219">
        <f t="shared" ca="1" si="27"/>
        <v>46792</v>
      </c>
      <c r="T453" s="115" t="e">
        <f ca="1"/>
        <v>#VALUE!</v>
      </c>
      <c r="V453" s="219">
        <f t="shared" ca="1" si="28"/>
        <v>46792</v>
      </c>
      <c r="W453" s="115" t="e">
        <f ca="1"/>
        <v>#VALUE!</v>
      </c>
    </row>
    <row r="454" spans="13:23">
      <c r="M454" s="219">
        <f t="shared" ca="1" si="25"/>
        <v>46799</v>
      </c>
      <c r="N454" s="115" t="e">
        <f ca="1"/>
        <v>#VALUE!</v>
      </c>
      <c r="P454" s="219">
        <f t="shared" ca="1" si="26"/>
        <v>46799</v>
      </c>
      <c r="Q454" s="115" t="e">
        <f ca="1"/>
        <v>#VALUE!</v>
      </c>
      <c r="S454" s="219">
        <f t="shared" ca="1" si="27"/>
        <v>46799</v>
      </c>
      <c r="T454" s="115" t="e">
        <f ca="1"/>
        <v>#VALUE!</v>
      </c>
      <c r="V454" s="219">
        <f t="shared" ca="1" si="28"/>
        <v>46799</v>
      </c>
      <c r="W454" s="115" t="e">
        <f ca="1"/>
        <v>#VALUE!</v>
      </c>
    </row>
    <row r="455" spans="13:23">
      <c r="M455" s="219">
        <f t="shared" ca="1" si="25"/>
        <v>46806</v>
      </c>
      <c r="N455" s="115" t="e">
        <f ca="1"/>
        <v>#VALUE!</v>
      </c>
      <c r="P455" s="219">
        <f t="shared" ca="1" si="26"/>
        <v>46806</v>
      </c>
      <c r="Q455" s="115" t="e">
        <f ca="1"/>
        <v>#VALUE!</v>
      </c>
      <c r="S455" s="219">
        <f t="shared" ca="1" si="27"/>
        <v>46806</v>
      </c>
      <c r="T455" s="115" t="e">
        <f ca="1"/>
        <v>#VALUE!</v>
      </c>
      <c r="V455" s="219">
        <f t="shared" ca="1" si="28"/>
        <v>46806</v>
      </c>
      <c r="W455" s="115" t="e">
        <f ca="1"/>
        <v>#VALUE!</v>
      </c>
    </row>
    <row r="456" spans="13:23">
      <c r="M456" s="219">
        <f t="shared" ca="1" si="25"/>
        <v>46813</v>
      </c>
      <c r="N456" s="115" t="e">
        <f ca="1"/>
        <v>#VALUE!</v>
      </c>
      <c r="P456" s="219">
        <f t="shared" ca="1" si="26"/>
        <v>46813</v>
      </c>
      <c r="Q456" s="115" t="e">
        <f ca="1"/>
        <v>#VALUE!</v>
      </c>
      <c r="S456" s="219">
        <f t="shared" ca="1" si="27"/>
        <v>46813</v>
      </c>
      <c r="T456" s="115" t="e">
        <f ca="1"/>
        <v>#VALUE!</v>
      </c>
      <c r="V456" s="219">
        <f t="shared" ca="1" si="28"/>
        <v>46813</v>
      </c>
      <c r="W456" s="115" t="e">
        <f ca="1"/>
        <v>#VALUE!</v>
      </c>
    </row>
    <row r="457" spans="13:23">
      <c r="M457" s="219">
        <f t="shared" ca="1" si="25"/>
        <v>46820</v>
      </c>
      <c r="N457" s="115" t="e">
        <f ca="1"/>
        <v>#VALUE!</v>
      </c>
      <c r="P457" s="219">
        <f t="shared" ca="1" si="26"/>
        <v>46820</v>
      </c>
      <c r="Q457" s="115" t="e">
        <f ca="1"/>
        <v>#VALUE!</v>
      </c>
      <c r="S457" s="219">
        <f t="shared" ca="1" si="27"/>
        <v>46820</v>
      </c>
      <c r="T457" s="115" t="e">
        <f ca="1"/>
        <v>#VALUE!</v>
      </c>
      <c r="V457" s="219">
        <f t="shared" ca="1" si="28"/>
        <v>46820</v>
      </c>
      <c r="W457" s="115" t="e">
        <f ca="1"/>
        <v>#VALUE!</v>
      </c>
    </row>
    <row r="458" spans="13:23">
      <c r="M458" s="219">
        <f t="shared" ca="1" si="25"/>
        <v>46827</v>
      </c>
      <c r="N458" s="115" t="e">
        <f ca="1"/>
        <v>#VALUE!</v>
      </c>
      <c r="P458" s="219">
        <f t="shared" ca="1" si="26"/>
        <v>46827</v>
      </c>
      <c r="Q458" s="115" t="e">
        <f ca="1"/>
        <v>#VALUE!</v>
      </c>
      <c r="S458" s="219">
        <f t="shared" ca="1" si="27"/>
        <v>46827</v>
      </c>
      <c r="T458" s="115" t="e">
        <f ca="1"/>
        <v>#VALUE!</v>
      </c>
      <c r="V458" s="219">
        <f t="shared" ca="1" si="28"/>
        <v>46827</v>
      </c>
      <c r="W458" s="115" t="e">
        <f ca="1"/>
        <v>#VALUE!</v>
      </c>
    </row>
    <row r="459" spans="13:23">
      <c r="M459" s="219">
        <f t="shared" ca="1" si="25"/>
        <v>46834</v>
      </c>
      <c r="N459" s="115" t="e">
        <f ca="1"/>
        <v>#VALUE!</v>
      </c>
      <c r="P459" s="219">
        <f t="shared" ca="1" si="26"/>
        <v>46834</v>
      </c>
      <c r="Q459" s="115" t="e">
        <f ca="1"/>
        <v>#VALUE!</v>
      </c>
      <c r="S459" s="219">
        <f t="shared" ca="1" si="27"/>
        <v>46834</v>
      </c>
      <c r="T459" s="115" t="e">
        <f ca="1"/>
        <v>#VALUE!</v>
      </c>
      <c r="V459" s="219">
        <f t="shared" ca="1" si="28"/>
        <v>46834</v>
      </c>
      <c r="W459" s="115" t="e">
        <f ca="1"/>
        <v>#VALUE!</v>
      </c>
    </row>
    <row r="460" spans="13:23">
      <c r="M460" s="219">
        <f t="shared" ca="1" si="25"/>
        <v>46841</v>
      </c>
      <c r="N460" s="115" t="e">
        <f ca="1"/>
        <v>#VALUE!</v>
      </c>
      <c r="P460" s="219">
        <f t="shared" ca="1" si="26"/>
        <v>46841</v>
      </c>
      <c r="Q460" s="115" t="e">
        <f ca="1"/>
        <v>#VALUE!</v>
      </c>
      <c r="S460" s="219">
        <f t="shared" ca="1" si="27"/>
        <v>46841</v>
      </c>
      <c r="T460" s="115" t="e">
        <f ca="1"/>
        <v>#VALUE!</v>
      </c>
      <c r="V460" s="219">
        <f t="shared" ca="1" si="28"/>
        <v>46841</v>
      </c>
      <c r="W460" s="115" t="e">
        <f ca="1"/>
        <v>#VALUE!</v>
      </c>
    </row>
    <row r="461" spans="13:23">
      <c r="M461" s="219">
        <f t="shared" ref="M461:M524" ca="1" si="29">M460+7</f>
        <v>46848</v>
      </c>
      <c r="N461" s="115" t="e">
        <f ca="1"/>
        <v>#VALUE!</v>
      </c>
      <c r="P461" s="219">
        <f t="shared" ref="P461:P524" ca="1" si="30">P460+7</f>
        <v>46848</v>
      </c>
      <c r="Q461" s="115" t="e">
        <f ca="1"/>
        <v>#VALUE!</v>
      </c>
      <c r="S461" s="219">
        <f t="shared" ref="S461:S524" ca="1" si="31">S460+7</f>
        <v>46848</v>
      </c>
      <c r="T461" s="115" t="e">
        <f ca="1"/>
        <v>#VALUE!</v>
      </c>
      <c r="V461" s="219">
        <f t="shared" ref="V461:V524" ca="1" si="32">V460+7</f>
        <v>46848</v>
      </c>
      <c r="W461" s="115" t="e">
        <f ca="1"/>
        <v>#VALUE!</v>
      </c>
    </row>
    <row r="462" spans="13:23">
      <c r="M462" s="219">
        <f t="shared" ca="1" si="29"/>
        <v>46855</v>
      </c>
      <c r="N462" s="115" t="e">
        <f ca="1"/>
        <v>#VALUE!</v>
      </c>
      <c r="P462" s="219">
        <f t="shared" ca="1" si="30"/>
        <v>46855</v>
      </c>
      <c r="Q462" s="115" t="e">
        <f ca="1"/>
        <v>#VALUE!</v>
      </c>
      <c r="S462" s="219">
        <f t="shared" ca="1" si="31"/>
        <v>46855</v>
      </c>
      <c r="T462" s="115" t="e">
        <f ca="1"/>
        <v>#VALUE!</v>
      </c>
      <c r="V462" s="219">
        <f t="shared" ca="1" si="32"/>
        <v>46855</v>
      </c>
      <c r="W462" s="115" t="e">
        <f ca="1"/>
        <v>#VALUE!</v>
      </c>
    </row>
    <row r="463" spans="13:23">
      <c r="M463" s="219">
        <f t="shared" ca="1" si="29"/>
        <v>46862</v>
      </c>
      <c r="N463" s="115" t="e">
        <f ca="1"/>
        <v>#VALUE!</v>
      </c>
      <c r="P463" s="219">
        <f t="shared" ca="1" si="30"/>
        <v>46862</v>
      </c>
      <c r="Q463" s="115" t="e">
        <f ca="1"/>
        <v>#VALUE!</v>
      </c>
      <c r="S463" s="219">
        <f t="shared" ca="1" si="31"/>
        <v>46862</v>
      </c>
      <c r="T463" s="115" t="e">
        <f ca="1"/>
        <v>#VALUE!</v>
      </c>
      <c r="V463" s="219">
        <f t="shared" ca="1" si="32"/>
        <v>46862</v>
      </c>
      <c r="W463" s="115" t="e">
        <f ca="1"/>
        <v>#VALUE!</v>
      </c>
    </row>
    <row r="464" spans="13:23">
      <c r="M464" s="219">
        <f t="shared" ca="1" si="29"/>
        <v>46869</v>
      </c>
      <c r="N464" s="115" t="e">
        <f ca="1"/>
        <v>#VALUE!</v>
      </c>
      <c r="P464" s="219">
        <f t="shared" ca="1" si="30"/>
        <v>46869</v>
      </c>
      <c r="Q464" s="115" t="e">
        <f ca="1"/>
        <v>#VALUE!</v>
      </c>
      <c r="S464" s="219">
        <f t="shared" ca="1" si="31"/>
        <v>46869</v>
      </c>
      <c r="T464" s="115" t="e">
        <f ca="1"/>
        <v>#VALUE!</v>
      </c>
      <c r="V464" s="219">
        <f t="shared" ca="1" si="32"/>
        <v>46869</v>
      </c>
      <c r="W464" s="115" t="e">
        <f ca="1"/>
        <v>#VALUE!</v>
      </c>
    </row>
    <row r="465" spans="13:23">
      <c r="M465" s="219">
        <f t="shared" ca="1" si="29"/>
        <v>46876</v>
      </c>
      <c r="N465" s="115" t="e">
        <f ca="1"/>
        <v>#VALUE!</v>
      </c>
      <c r="P465" s="219">
        <f t="shared" ca="1" si="30"/>
        <v>46876</v>
      </c>
      <c r="Q465" s="115" t="e">
        <f ca="1"/>
        <v>#VALUE!</v>
      </c>
      <c r="S465" s="219">
        <f t="shared" ca="1" si="31"/>
        <v>46876</v>
      </c>
      <c r="T465" s="115" t="e">
        <f ca="1"/>
        <v>#VALUE!</v>
      </c>
      <c r="V465" s="219">
        <f t="shared" ca="1" si="32"/>
        <v>46876</v>
      </c>
      <c r="W465" s="115" t="e">
        <f ca="1"/>
        <v>#VALUE!</v>
      </c>
    </row>
    <row r="466" spans="13:23">
      <c r="M466" s="219">
        <f t="shared" ca="1" si="29"/>
        <v>46883</v>
      </c>
      <c r="N466" s="115" t="e">
        <f ca="1"/>
        <v>#VALUE!</v>
      </c>
      <c r="P466" s="219">
        <f t="shared" ca="1" si="30"/>
        <v>46883</v>
      </c>
      <c r="Q466" s="115" t="e">
        <f ca="1"/>
        <v>#VALUE!</v>
      </c>
      <c r="S466" s="219">
        <f t="shared" ca="1" si="31"/>
        <v>46883</v>
      </c>
      <c r="T466" s="115" t="e">
        <f ca="1"/>
        <v>#VALUE!</v>
      </c>
      <c r="V466" s="219">
        <f t="shared" ca="1" si="32"/>
        <v>46883</v>
      </c>
      <c r="W466" s="115" t="e">
        <f ca="1"/>
        <v>#VALUE!</v>
      </c>
    </row>
    <row r="467" spans="13:23">
      <c r="M467" s="219">
        <f t="shared" ca="1" si="29"/>
        <v>46890</v>
      </c>
      <c r="N467" s="115" t="e">
        <f ca="1"/>
        <v>#VALUE!</v>
      </c>
      <c r="P467" s="219">
        <f t="shared" ca="1" si="30"/>
        <v>46890</v>
      </c>
      <c r="Q467" s="115" t="e">
        <f ca="1"/>
        <v>#VALUE!</v>
      </c>
      <c r="S467" s="219">
        <f t="shared" ca="1" si="31"/>
        <v>46890</v>
      </c>
      <c r="T467" s="115" t="e">
        <f ca="1"/>
        <v>#VALUE!</v>
      </c>
      <c r="V467" s="219">
        <f t="shared" ca="1" si="32"/>
        <v>46890</v>
      </c>
      <c r="W467" s="115" t="e">
        <f ca="1"/>
        <v>#VALUE!</v>
      </c>
    </row>
    <row r="468" spans="13:23">
      <c r="M468" s="219">
        <f t="shared" ca="1" si="29"/>
        <v>46897</v>
      </c>
      <c r="N468" s="115" t="e">
        <f ca="1"/>
        <v>#VALUE!</v>
      </c>
      <c r="P468" s="219">
        <f t="shared" ca="1" si="30"/>
        <v>46897</v>
      </c>
      <c r="Q468" s="115" t="e">
        <f ca="1"/>
        <v>#VALUE!</v>
      </c>
      <c r="S468" s="219">
        <f t="shared" ca="1" si="31"/>
        <v>46897</v>
      </c>
      <c r="T468" s="115" t="e">
        <f ca="1"/>
        <v>#VALUE!</v>
      </c>
      <c r="V468" s="219">
        <f t="shared" ca="1" si="32"/>
        <v>46897</v>
      </c>
      <c r="W468" s="115" t="e">
        <f ca="1"/>
        <v>#VALUE!</v>
      </c>
    </row>
    <row r="469" spans="13:23">
      <c r="M469" s="219">
        <f t="shared" ca="1" si="29"/>
        <v>46904</v>
      </c>
      <c r="N469" s="115" t="e">
        <f ca="1"/>
        <v>#VALUE!</v>
      </c>
      <c r="P469" s="219">
        <f t="shared" ca="1" si="30"/>
        <v>46904</v>
      </c>
      <c r="Q469" s="115" t="e">
        <f ca="1"/>
        <v>#VALUE!</v>
      </c>
      <c r="S469" s="219">
        <f t="shared" ca="1" si="31"/>
        <v>46904</v>
      </c>
      <c r="T469" s="115" t="e">
        <f ca="1"/>
        <v>#VALUE!</v>
      </c>
      <c r="V469" s="219">
        <f t="shared" ca="1" si="32"/>
        <v>46904</v>
      </c>
      <c r="W469" s="115" t="e">
        <f ca="1"/>
        <v>#VALUE!</v>
      </c>
    </row>
    <row r="470" spans="13:23">
      <c r="M470" s="219">
        <f t="shared" ca="1" si="29"/>
        <v>46911</v>
      </c>
      <c r="N470" s="115" t="e">
        <f ca="1"/>
        <v>#VALUE!</v>
      </c>
      <c r="P470" s="219">
        <f t="shared" ca="1" si="30"/>
        <v>46911</v>
      </c>
      <c r="Q470" s="115" t="e">
        <f ca="1"/>
        <v>#VALUE!</v>
      </c>
      <c r="S470" s="219">
        <f t="shared" ca="1" si="31"/>
        <v>46911</v>
      </c>
      <c r="T470" s="115" t="e">
        <f ca="1"/>
        <v>#VALUE!</v>
      </c>
      <c r="V470" s="219">
        <f t="shared" ca="1" si="32"/>
        <v>46911</v>
      </c>
      <c r="W470" s="115" t="e">
        <f ca="1"/>
        <v>#VALUE!</v>
      </c>
    </row>
    <row r="471" spans="13:23">
      <c r="M471" s="219">
        <f t="shared" ca="1" si="29"/>
        <v>46918</v>
      </c>
      <c r="N471" s="115" t="e">
        <f ca="1"/>
        <v>#VALUE!</v>
      </c>
      <c r="P471" s="219">
        <f t="shared" ca="1" si="30"/>
        <v>46918</v>
      </c>
      <c r="Q471" s="115" t="e">
        <f ca="1"/>
        <v>#VALUE!</v>
      </c>
      <c r="S471" s="219">
        <f t="shared" ca="1" si="31"/>
        <v>46918</v>
      </c>
      <c r="T471" s="115" t="e">
        <f ca="1"/>
        <v>#VALUE!</v>
      </c>
      <c r="V471" s="219">
        <f t="shared" ca="1" si="32"/>
        <v>46918</v>
      </c>
      <c r="W471" s="115" t="e">
        <f ca="1"/>
        <v>#VALUE!</v>
      </c>
    </row>
    <row r="472" spans="13:23">
      <c r="M472" s="219">
        <f t="shared" ca="1" si="29"/>
        <v>46925</v>
      </c>
      <c r="N472" s="115" t="e">
        <f ca="1"/>
        <v>#VALUE!</v>
      </c>
      <c r="P472" s="219">
        <f t="shared" ca="1" si="30"/>
        <v>46925</v>
      </c>
      <c r="Q472" s="115" t="e">
        <f ca="1"/>
        <v>#VALUE!</v>
      </c>
      <c r="S472" s="219">
        <f t="shared" ca="1" si="31"/>
        <v>46925</v>
      </c>
      <c r="T472" s="115" t="e">
        <f ca="1"/>
        <v>#VALUE!</v>
      </c>
      <c r="V472" s="219">
        <f t="shared" ca="1" si="32"/>
        <v>46925</v>
      </c>
      <c r="W472" s="115" t="e">
        <f ca="1"/>
        <v>#VALUE!</v>
      </c>
    </row>
    <row r="473" spans="13:23">
      <c r="M473" s="219">
        <f t="shared" ca="1" si="29"/>
        <v>46932</v>
      </c>
      <c r="N473" s="115" t="e">
        <f ca="1"/>
        <v>#VALUE!</v>
      </c>
      <c r="P473" s="219">
        <f t="shared" ca="1" si="30"/>
        <v>46932</v>
      </c>
      <c r="Q473" s="115" t="e">
        <f ca="1"/>
        <v>#VALUE!</v>
      </c>
      <c r="S473" s="219">
        <f t="shared" ca="1" si="31"/>
        <v>46932</v>
      </c>
      <c r="T473" s="115" t="e">
        <f ca="1"/>
        <v>#VALUE!</v>
      </c>
      <c r="V473" s="219">
        <f t="shared" ca="1" si="32"/>
        <v>46932</v>
      </c>
      <c r="W473" s="115" t="e">
        <f ca="1"/>
        <v>#VALUE!</v>
      </c>
    </row>
    <row r="474" spans="13:23">
      <c r="M474" s="219">
        <f t="shared" ca="1" si="29"/>
        <v>46939</v>
      </c>
      <c r="N474" s="115" t="e">
        <f ca="1"/>
        <v>#VALUE!</v>
      </c>
      <c r="P474" s="219">
        <f t="shared" ca="1" si="30"/>
        <v>46939</v>
      </c>
      <c r="Q474" s="115" t="e">
        <f ca="1"/>
        <v>#VALUE!</v>
      </c>
      <c r="S474" s="219">
        <f t="shared" ca="1" si="31"/>
        <v>46939</v>
      </c>
      <c r="T474" s="115" t="e">
        <f ca="1"/>
        <v>#VALUE!</v>
      </c>
      <c r="V474" s="219">
        <f t="shared" ca="1" si="32"/>
        <v>46939</v>
      </c>
      <c r="W474" s="115" t="e">
        <f ca="1"/>
        <v>#VALUE!</v>
      </c>
    </row>
    <row r="475" spans="13:23">
      <c r="M475" s="219">
        <f t="shared" ca="1" si="29"/>
        <v>46946</v>
      </c>
      <c r="N475" s="115" t="e">
        <f ca="1"/>
        <v>#VALUE!</v>
      </c>
      <c r="P475" s="219">
        <f t="shared" ca="1" si="30"/>
        <v>46946</v>
      </c>
      <c r="Q475" s="115" t="e">
        <f ca="1"/>
        <v>#VALUE!</v>
      </c>
      <c r="S475" s="219">
        <f t="shared" ca="1" si="31"/>
        <v>46946</v>
      </c>
      <c r="T475" s="115" t="e">
        <f ca="1"/>
        <v>#VALUE!</v>
      </c>
      <c r="V475" s="219">
        <f t="shared" ca="1" si="32"/>
        <v>46946</v>
      </c>
      <c r="W475" s="115" t="e">
        <f ca="1"/>
        <v>#VALUE!</v>
      </c>
    </row>
    <row r="476" spans="13:23">
      <c r="M476" s="219">
        <f t="shared" ca="1" si="29"/>
        <v>46953</v>
      </c>
      <c r="N476" s="115" t="e">
        <f ca="1"/>
        <v>#VALUE!</v>
      </c>
      <c r="P476" s="219">
        <f t="shared" ca="1" si="30"/>
        <v>46953</v>
      </c>
      <c r="Q476" s="115" t="e">
        <f ca="1"/>
        <v>#VALUE!</v>
      </c>
      <c r="S476" s="219">
        <f t="shared" ca="1" si="31"/>
        <v>46953</v>
      </c>
      <c r="T476" s="115" t="e">
        <f ca="1"/>
        <v>#VALUE!</v>
      </c>
      <c r="V476" s="219">
        <f t="shared" ca="1" si="32"/>
        <v>46953</v>
      </c>
      <c r="W476" s="115" t="e">
        <f ca="1"/>
        <v>#VALUE!</v>
      </c>
    </row>
    <row r="477" spans="13:23">
      <c r="M477" s="219">
        <f t="shared" ca="1" si="29"/>
        <v>46960</v>
      </c>
      <c r="N477" s="115" t="e">
        <f ca="1"/>
        <v>#VALUE!</v>
      </c>
      <c r="P477" s="219">
        <f t="shared" ca="1" si="30"/>
        <v>46960</v>
      </c>
      <c r="Q477" s="115" t="e">
        <f ca="1"/>
        <v>#VALUE!</v>
      </c>
      <c r="S477" s="219">
        <f t="shared" ca="1" si="31"/>
        <v>46960</v>
      </c>
      <c r="T477" s="115" t="e">
        <f ca="1"/>
        <v>#VALUE!</v>
      </c>
      <c r="V477" s="219">
        <f t="shared" ca="1" si="32"/>
        <v>46960</v>
      </c>
      <c r="W477" s="115" t="e">
        <f ca="1"/>
        <v>#VALUE!</v>
      </c>
    </row>
    <row r="478" spans="13:23">
      <c r="M478" s="219">
        <f t="shared" ca="1" si="29"/>
        <v>46967</v>
      </c>
      <c r="N478" s="115" t="e">
        <f ca="1"/>
        <v>#VALUE!</v>
      </c>
      <c r="P478" s="219">
        <f t="shared" ca="1" si="30"/>
        <v>46967</v>
      </c>
      <c r="Q478" s="115" t="e">
        <f ca="1"/>
        <v>#VALUE!</v>
      </c>
      <c r="S478" s="219">
        <f t="shared" ca="1" si="31"/>
        <v>46967</v>
      </c>
      <c r="T478" s="115" t="e">
        <f ca="1"/>
        <v>#VALUE!</v>
      </c>
      <c r="V478" s="219">
        <f t="shared" ca="1" si="32"/>
        <v>46967</v>
      </c>
      <c r="W478" s="115" t="e">
        <f ca="1"/>
        <v>#VALUE!</v>
      </c>
    </row>
    <row r="479" spans="13:23">
      <c r="M479" s="219">
        <f t="shared" ca="1" si="29"/>
        <v>46974</v>
      </c>
      <c r="N479" s="115" t="e">
        <f ca="1"/>
        <v>#VALUE!</v>
      </c>
      <c r="P479" s="219">
        <f t="shared" ca="1" si="30"/>
        <v>46974</v>
      </c>
      <c r="Q479" s="115" t="e">
        <f ca="1"/>
        <v>#VALUE!</v>
      </c>
      <c r="S479" s="219">
        <f t="shared" ca="1" si="31"/>
        <v>46974</v>
      </c>
      <c r="T479" s="115" t="e">
        <f ca="1"/>
        <v>#VALUE!</v>
      </c>
      <c r="V479" s="219">
        <f t="shared" ca="1" si="32"/>
        <v>46974</v>
      </c>
      <c r="W479" s="115" t="e">
        <f ca="1"/>
        <v>#VALUE!</v>
      </c>
    </row>
    <row r="480" spans="13:23">
      <c r="M480" s="219">
        <f t="shared" ca="1" si="29"/>
        <v>46981</v>
      </c>
      <c r="N480" s="115" t="e">
        <f ca="1"/>
        <v>#VALUE!</v>
      </c>
      <c r="P480" s="219">
        <f t="shared" ca="1" si="30"/>
        <v>46981</v>
      </c>
      <c r="Q480" s="115" t="e">
        <f ca="1"/>
        <v>#VALUE!</v>
      </c>
      <c r="S480" s="219">
        <f t="shared" ca="1" si="31"/>
        <v>46981</v>
      </c>
      <c r="T480" s="115" t="e">
        <f ca="1"/>
        <v>#VALUE!</v>
      </c>
      <c r="V480" s="219">
        <f t="shared" ca="1" si="32"/>
        <v>46981</v>
      </c>
      <c r="W480" s="115" t="e">
        <f ca="1"/>
        <v>#VALUE!</v>
      </c>
    </row>
    <row r="481" spans="13:23">
      <c r="M481" s="219">
        <f t="shared" ca="1" si="29"/>
        <v>46988</v>
      </c>
      <c r="N481" s="115" t="e">
        <f ca="1"/>
        <v>#VALUE!</v>
      </c>
      <c r="P481" s="219">
        <f t="shared" ca="1" si="30"/>
        <v>46988</v>
      </c>
      <c r="Q481" s="115" t="e">
        <f ca="1"/>
        <v>#VALUE!</v>
      </c>
      <c r="S481" s="219">
        <f t="shared" ca="1" si="31"/>
        <v>46988</v>
      </c>
      <c r="T481" s="115" t="e">
        <f ca="1"/>
        <v>#VALUE!</v>
      </c>
      <c r="V481" s="219">
        <f t="shared" ca="1" si="32"/>
        <v>46988</v>
      </c>
      <c r="W481" s="115" t="e">
        <f ca="1"/>
        <v>#VALUE!</v>
      </c>
    </row>
    <row r="482" spans="13:23">
      <c r="M482" s="219">
        <f t="shared" ca="1" si="29"/>
        <v>46995</v>
      </c>
      <c r="N482" s="115" t="e">
        <f ca="1"/>
        <v>#VALUE!</v>
      </c>
      <c r="P482" s="219">
        <f t="shared" ca="1" si="30"/>
        <v>46995</v>
      </c>
      <c r="Q482" s="115" t="e">
        <f ca="1"/>
        <v>#VALUE!</v>
      </c>
      <c r="S482" s="219">
        <f t="shared" ca="1" si="31"/>
        <v>46995</v>
      </c>
      <c r="T482" s="115" t="e">
        <f ca="1"/>
        <v>#VALUE!</v>
      </c>
      <c r="V482" s="219">
        <f t="shared" ca="1" si="32"/>
        <v>46995</v>
      </c>
      <c r="W482" s="115" t="e">
        <f ca="1"/>
        <v>#VALUE!</v>
      </c>
    </row>
    <row r="483" spans="13:23">
      <c r="M483" s="219">
        <f t="shared" ca="1" si="29"/>
        <v>47002</v>
      </c>
      <c r="N483" s="115" t="e">
        <f ca="1"/>
        <v>#VALUE!</v>
      </c>
      <c r="P483" s="219">
        <f t="shared" ca="1" si="30"/>
        <v>47002</v>
      </c>
      <c r="Q483" s="115" t="e">
        <f ca="1"/>
        <v>#VALUE!</v>
      </c>
      <c r="S483" s="219">
        <f t="shared" ca="1" si="31"/>
        <v>47002</v>
      </c>
      <c r="T483" s="115" t="e">
        <f ca="1"/>
        <v>#VALUE!</v>
      </c>
      <c r="V483" s="219">
        <f t="shared" ca="1" si="32"/>
        <v>47002</v>
      </c>
      <c r="W483" s="115" t="e">
        <f ca="1"/>
        <v>#VALUE!</v>
      </c>
    </row>
    <row r="484" spans="13:23">
      <c r="M484" s="219">
        <f t="shared" ca="1" si="29"/>
        <v>47009</v>
      </c>
      <c r="N484" s="115" t="e">
        <f ca="1"/>
        <v>#VALUE!</v>
      </c>
      <c r="P484" s="219">
        <f t="shared" ca="1" si="30"/>
        <v>47009</v>
      </c>
      <c r="Q484" s="115" t="e">
        <f ca="1"/>
        <v>#VALUE!</v>
      </c>
      <c r="S484" s="219">
        <f t="shared" ca="1" si="31"/>
        <v>47009</v>
      </c>
      <c r="T484" s="115" t="e">
        <f ca="1"/>
        <v>#VALUE!</v>
      </c>
      <c r="V484" s="219">
        <f t="shared" ca="1" si="32"/>
        <v>47009</v>
      </c>
      <c r="W484" s="115" t="e">
        <f ca="1"/>
        <v>#VALUE!</v>
      </c>
    </row>
    <row r="485" spans="13:23">
      <c r="M485" s="219">
        <f t="shared" ca="1" si="29"/>
        <v>47016</v>
      </c>
      <c r="N485" s="115" t="e">
        <f ca="1"/>
        <v>#VALUE!</v>
      </c>
      <c r="P485" s="219">
        <f t="shared" ca="1" si="30"/>
        <v>47016</v>
      </c>
      <c r="Q485" s="115" t="e">
        <f ca="1"/>
        <v>#VALUE!</v>
      </c>
      <c r="S485" s="219">
        <f t="shared" ca="1" si="31"/>
        <v>47016</v>
      </c>
      <c r="T485" s="115" t="e">
        <f ca="1"/>
        <v>#VALUE!</v>
      </c>
      <c r="V485" s="219">
        <f t="shared" ca="1" si="32"/>
        <v>47016</v>
      </c>
      <c r="W485" s="115" t="e">
        <f ca="1"/>
        <v>#VALUE!</v>
      </c>
    </row>
    <row r="486" spans="13:23">
      <c r="M486" s="219">
        <f t="shared" ca="1" si="29"/>
        <v>47023</v>
      </c>
      <c r="N486" s="115" t="e">
        <f ca="1"/>
        <v>#VALUE!</v>
      </c>
      <c r="P486" s="219">
        <f t="shared" ca="1" si="30"/>
        <v>47023</v>
      </c>
      <c r="Q486" s="115" t="e">
        <f ca="1"/>
        <v>#VALUE!</v>
      </c>
      <c r="S486" s="219">
        <f t="shared" ca="1" si="31"/>
        <v>47023</v>
      </c>
      <c r="T486" s="115" t="e">
        <f ca="1"/>
        <v>#VALUE!</v>
      </c>
      <c r="V486" s="219">
        <f t="shared" ca="1" si="32"/>
        <v>47023</v>
      </c>
      <c r="W486" s="115" t="e">
        <f ca="1"/>
        <v>#VALUE!</v>
      </c>
    </row>
    <row r="487" spans="13:23">
      <c r="M487" s="219">
        <f t="shared" ca="1" si="29"/>
        <v>47030</v>
      </c>
      <c r="N487" s="115" t="e">
        <f ca="1"/>
        <v>#VALUE!</v>
      </c>
      <c r="P487" s="219">
        <f t="shared" ca="1" si="30"/>
        <v>47030</v>
      </c>
      <c r="Q487" s="115" t="e">
        <f ca="1"/>
        <v>#VALUE!</v>
      </c>
      <c r="S487" s="219">
        <f t="shared" ca="1" si="31"/>
        <v>47030</v>
      </c>
      <c r="T487" s="115" t="e">
        <f ca="1"/>
        <v>#VALUE!</v>
      </c>
      <c r="V487" s="219">
        <f t="shared" ca="1" si="32"/>
        <v>47030</v>
      </c>
      <c r="W487" s="115" t="e">
        <f ca="1"/>
        <v>#VALUE!</v>
      </c>
    </row>
    <row r="488" spans="13:23">
      <c r="M488" s="219">
        <f t="shared" ca="1" si="29"/>
        <v>47037</v>
      </c>
      <c r="N488" s="115" t="e">
        <f ca="1"/>
        <v>#VALUE!</v>
      </c>
      <c r="P488" s="219">
        <f t="shared" ca="1" si="30"/>
        <v>47037</v>
      </c>
      <c r="Q488" s="115" t="e">
        <f ca="1"/>
        <v>#VALUE!</v>
      </c>
      <c r="S488" s="219">
        <f t="shared" ca="1" si="31"/>
        <v>47037</v>
      </c>
      <c r="T488" s="115" t="e">
        <f ca="1"/>
        <v>#VALUE!</v>
      </c>
      <c r="V488" s="219">
        <f t="shared" ca="1" si="32"/>
        <v>47037</v>
      </c>
      <c r="W488" s="115" t="e">
        <f ca="1"/>
        <v>#VALUE!</v>
      </c>
    </row>
    <row r="489" spans="13:23">
      <c r="M489" s="219">
        <f t="shared" ca="1" si="29"/>
        <v>47044</v>
      </c>
      <c r="N489" s="115" t="e">
        <f ca="1"/>
        <v>#VALUE!</v>
      </c>
      <c r="P489" s="219">
        <f t="shared" ca="1" si="30"/>
        <v>47044</v>
      </c>
      <c r="Q489" s="115" t="e">
        <f ca="1"/>
        <v>#VALUE!</v>
      </c>
      <c r="S489" s="219">
        <f t="shared" ca="1" si="31"/>
        <v>47044</v>
      </c>
      <c r="T489" s="115" t="e">
        <f ca="1"/>
        <v>#VALUE!</v>
      </c>
      <c r="V489" s="219">
        <f t="shared" ca="1" si="32"/>
        <v>47044</v>
      </c>
      <c r="W489" s="115" t="e">
        <f ca="1"/>
        <v>#VALUE!</v>
      </c>
    </row>
    <row r="490" spans="13:23">
      <c r="M490" s="219">
        <f t="shared" ca="1" si="29"/>
        <v>47051</v>
      </c>
      <c r="N490" s="115" t="e">
        <f ca="1"/>
        <v>#VALUE!</v>
      </c>
      <c r="P490" s="219">
        <f t="shared" ca="1" si="30"/>
        <v>47051</v>
      </c>
      <c r="Q490" s="115" t="e">
        <f ca="1"/>
        <v>#VALUE!</v>
      </c>
      <c r="S490" s="219">
        <f t="shared" ca="1" si="31"/>
        <v>47051</v>
      </c>
      <c r="T490" s="115" t="e">
        <f ca="1"/>
        <v>#VALUE!</v>
      </c>
      <c r="V490" s="219">
        <f t="shared" ca="1" si="32"/>
        <v>47051</v>
      </c>
      <c r="W490" s="115" t="e">
        <f ca="1"/>
        <v>#VALUE!</v>
      </c>
    </row>
    <row r="491" spans="13:23">
      <c r="M491" s="219">
        <f t="shared" ca="1" si="29"/>
        <v>47058</v>
      </c>
      <c r="N491" s="115" t="e">
        <f ca="1"/>
        <v>#VALUE!</v>
      </c>
      <c r="P491" s="219">
        <f t="shared" ca="1" si="30"/>
        <v>47058</v>
      </c>
      <c r="Q491" s="115" t="e">
        <f ca="1"/>
        <v>#VALUE!</v>
      </c>
      <c r="S491" s="219">
        <f t="shared" ca="1" si="31"/>
        <v>47058</v>
      </c>
      <c r="T491" s="115" t="e">
        <f ca="1"/>
        <v>#VALUE!</v>
      </c>
      <c r="V491" s="219">
        <f t="shared" ca="1" si="32"/>
        <v>47058</v>
      </c>
      <c r="W491" s="115" t="e">
        <f ca="1"/>
        <v>#VALUE!</v>
      </c>
    </row>
    <row r="492" spans="13:23">
      <c r="M492" s="219">
        <f t="shared" ca="1" si="29"/>
        <v>47065</v>
      </c>
      <c r="N492" s="115" t="e">
        <f ca="1"/>
        <v>#VALUE!</v>
      </c>
      <c r="P492" s="219">
        <f t="shared" ca="1" si="30"/>
        <v>47065</v>
      </c>
      <c r="Q492" s="115" t="e">
        <f ca="1"/>
        <v>#VALUE!</v>
      </c>
      <c r="S492" s="219">
        <f t="shared" ca="1" si="31"/>
        <v>47065</v>
      </c>
      <c r="T492" s="115" t="e">
        <f ca="1"/>
        <v>#VALUE!</v>
      </c>
      <c r="V492" s="219">
        <f t="shared" ca="1" si="32"/>
        <v>47065</v>
      </c>
      <c r="W492" s="115" t="e">
        <f ca="1"/>
        <v>#VALUE!</v>
      </c>
    </row>
    <row r="493" spans="13:23">
      <c r="M493" s="219">
        <f t="shared" ca="1" si="29"/>
        <v>47072</v>
      </c>
      <c r="N493" s="115" t="e">
        <f ca="1"/>
        <v>#VALUE!</v>
      </c>
      <c r="P493" s="219">
        <f t="shared" ca="1" si="30"/>
        <v>47072</v>
      </c>
      <c r="Q493" s="115" t="e">
        <f ca="1"/>
        <v>#VALUE!</v>
      </c>
      <c r="S493" s="219">
        <f t="shared" ca="1" si="31"/>
        <v>47072</v>
      </c>
      <c r="T493" s="115" t="e">
        <f ca="1"/>
        <v>#VALUE!</v>
      </c>
      <c r="V493" s="219">
        <f t="shared" ca="1" si="32"/>
        <v>47072</v>
      </c>
      <c r="W493" s="115" t="e">
        <f ca="1"/>
        <v>#VALUE!</v>
      </c>
    </row>
    <row r="494" spans="13:23">
      <c r="M494" s="219">
        <f t="shared" ca="1" si="29"/>
        <v>47079</v>
      </c>
      <c r="N494" s="115" t="e">
        <f ca="1"/>
        <v>#VALUE!</v>
      </c>
      <c r="P494" s="219">
        <f t="shared" ca="1" si="30"/>
        <v>47079</v>
      </c>
      <c r="Q494" s="115" t="e">
        <f ca="1"/>
        <v>#VALUE!</v>
      </c>
      <c r="S494" s="219">
        <f t="shared" ca="1" si="31"/>
        <v>47079</v>
      </c>
      <c r="T494" s="115" t="e">
        <f ca="1"/>
        <v>#VALUE!</v>
      </c>
      <c r="V494" s="219">
        <f t="shared" ca="1" si="32"/>
        <v>47079</v>
      </c>
      <c r="W494" s="115" t="e">
        <f ca="1"/>
        <v>#VALUE!</v>
      </c>
    </row>
    <row r="495" spans="13:23">
      <c r="M495" s="219">
        <f t="shared" ca="1" si="29"/>
        <v>47086</v>
      </c>
      <c r="N495" s="115" t="e">
        <f ca="1"/>
        <v>#VALUE!</v>
      </c>
      <c r="P495" s="219">
        <f t="shared" ca="1" si="30"/>
        <v>47086</v>
      </c>
      <c r="Q495" s="115" t="e">
        <f ca="1"/>
        <v>#VALUE!</v>
      </c>
      <c r="S495" s="219">
        <f t="shared" ca="1" si="31"/>
        <v>47086</v>
      </c>
      <c r="T495" s="115" t="e">
        <f ca="1"/>
        <v>#VALUE!</v>
      </c>
      <c r="V495" s="219">
        <f t="shared" ca="1" si="32"/>
        <v>47086</v>
      </c>
      <c r="W495" s="115" t="e">
        <f ca="1"/>
        <v>#VALUE!</v>
      </c>
    </row>
    <row r="496" spans="13:23">
      <c r="M496" s="219">
        <f t="shared" ca="1" si="29"/>
        <v>47093</v>
      </c>
      <c r="N496" s="115" t="e">
        <f ca="1"/>
        <v>#VALUE!</v>
      </c>
      <c r="P496" s="219">
        <f t="shared" ca="1" si="30"/>
        <v>47093</v>
      </c>
      <c r="Q496" s="115" t="e">
        <f ca="1"/>
        <v>#VALUE!</v>
      </c>
      <c r="S496" s="219">
        <f t="shared" ca="1" si="31"/>
        <v>47093</v>
      </c>
      <c r="T496" s="115" t="e">
        <f ca="1"/>
        <v>#VALUE!</v>
      </c>
      <c r="V496" s="219">
        <f t="shared" ca="1" si="32"/>
        <v>47093</v>
      </c>
      <c r="W496" s="115" t="e">
        <f ca="1"/>
        <v>#VALUE!</v>
      </c>
    </row>
    <row r="497" spans="13:23">
      <c r="M497" s="219">
        <f t="shared" ca="1" si="29"/>
        <v>47100</v>
      </c>
      <c r="N497" s="115" t="e">
        <f ca="1"/>
        <v>#VALUE!</v>
      </c>
      <c r="P497" s="219">
        <f t="shared" ca="1" si="30"/>
        <v>47100</v>
      </c>
      <c r="Q497" s="115" t="e">
        <f ca="1"/>
        <v>#VALUE!</v>
      </c>
      <c r="S497" s="219">
        <f t="shared" ca="1" si="31"/>
        <v>47100</v>
      </c>
      <c r="T497" s="115" t="e">
        <f ca="1"/>
        <v>#VALUE!</v>
      </c>
      <c r="V497" s="219">
        <f t="shared" ca="1" si="32"/>
        <v>47100</v>
      </c>
      <c r="W497" s="115" t="e">
        <f ca="1"/>
        <v>#VALUE!</v>
      </c>
    </row>
    <row r="498" spans="13:23">
      <c r="M498" s="219">
        <f t="shared" ca="1" si="29"/>
        <v>47107</v>
      </c>
      <c r="N498" s="115" t="e">
        <f ca="1"/>
        <v>#VALUE!</v>
      </c>
      <c r="P498" s="219">
        <f t="shared" ca="1" si="30"/>
        <v>47107</v>
      </c>
      <c r="Q498" s="115" t="e">
        <f ca="1"/>
        <v>#VALUE!</v>
      </c>
      <c r="S498" s="219">
        <f t="shared" ca="1" si="31"/>
        <v>47107</v>
      </c>
      <c r="T498" s="115" t="e">
        <f ca="1"/>
        <v>#VALUE!</v>
      </c>
      <c r="V498" s="219">
        <f t="shared" ca="1" si="32"/>
        <v>47107</v>
      </c>
      <c r="W498" s="115" t="e">
        <f ca="1"/>
        <v>#VALUE!</v>
      </c>
    </row>
    <row r="499" spans="13:23">
      <c r="M499" s="219">
        <f t="shared" ca="1" si="29"/>
        <v>47114</v>
      </c>
      <c r="N499" s="115" t="e">
        <f ca="1"/>
        <v>#VALUE!</v>
      </c>
      <c r="P499" s="219">
        <f t="shared" ca="1" si="30"/>
        <v>47114</v>
      </c>
      <c r="Q499" s="115" t="e">
        <f ca="1"/>
        <v>#VALUE!</v>
      </c>
      <c r="S499" s="219">
        <f t="shared" ca="1" si="31"/>
        <v>47114</v>
      </c>
      <c r="T499" s="115" t="e">
        <f ca="1"/>
        <v>#VALUE!</v>
      </c>
      <c r="V499" s="219">
        <f t="shared" ca="1" si="32"/>
        <v>47114</v>
      </c>
      <c r="W499" s="115" t="e">
        <f ca="1"/>
        <v>#VALUE!</v>
      </c>
    </row>
    <row r="500" spans="13:23">
      <c r="M500" s="219">
        <f t="shared" ca="1" si="29"/>
        <v>47121</v>
      </c>
      <c r="N500" s="115" t="e">
        <f ca="1"/>
        <v>#VALUE!</v>
      </c>
      <c r="P500" s="219">
        <f t="shared" ca="1" si="30"/>
        <v>47121</v>
      </c>
      <c r="Q500" s="115" t="e">
        <f ca="1"/>
        <v>#VALUE!</v>
      </c>
      <c r="S500" s="219">
        <f t="shared" ca="1" si="31"/>
        <v>47121</v>
      </c>
      <c r="T500" s="115" t="e">
        <f ca="1"/>
        <v>#VALUE!</v>
      </c>
      <c r="V500" s="219">
        <f t="shared" ca="1" si="32"/>
        <v>47121</v>
      </c>
      <c r="W500" s="115" t="e">
        <f ca="1"/>
        <v>#VALUE!</v>
      </c>
    </row>
    <row r="501" spans="13:23">
      <c r="M501" s="219">
        <f t="shared" ca="1" si="29"/>
        <v>47128</v>
      </c>
      <c r="N501" s="115" t="e">
        <f ca="1"/>
        <v>#VALUE!</v>
      </c>
      <c r="P501" s="219">
        <f t="shared" ca="1" si="30"/>
        <v>47128</v>
      </c>
      <c r="Q501" s="115" t="e">
        <f ca="1"/>
        <v>#VALUE!</v>
      </c>
      <c r="S501" s="219">
        <f t="shared" ca="1" si="31"/>
        <v>47128</v>
      </c>
      <c r="T501" s="115" t="e">
        <f ca="1"/>
        <v>#VALUE!</v>
      </c>
      <c r="V501" s="219">
        <f t="shared" ca="1" si="32"/>
        <v>47128</v>
      </c>
      <c r="W501" s="115" t="e">
        <f ca="1"/>
        <v>#VALUE!</v>
      </c>
    </row>
    <row r="502" spans="13:23">
      <c r="M502" s="219">
        <f t="shared" ca="1" si="29"/>
        <v>47135</v>
      </c>
      <c r="N502" s="115" t="e">
        <f ca="1"/>
        <v>#VALUE!</v>
      </c>
      <c r="P502" s="219">
        <f t="shared" ca="1" si="30"/>
        <v>47135</v>
      </c>
      <c r="Q502" s="115" t="e">
        <f ca="1"/>
        <v>#VALUE!</v>
      </c>
      <c r="S502" s="219">
        <f t="shared" ca="1" si="31"/>
        <v>47135</v>
      </c>
      <c r="T502" s="115" t="e">
        <f ca="1"/>
        <v>#VALUE!</v>
      </c>
      <c r="V502" s="219">
        <f t="shared" ca="1" si="32"/>
        <v>47135</v>
      </c>
      <c r="W502" s="115" t="e">
        <f ca="1"/>
        <v>#VALUE!</v>
      </c>
    </row>
    <row r="503" spans="13:23">
      <c r="M503" s="219">
        <f t="shared" ca="1" si="29"/>
        <v>47142</v>
      </c>
      <c r="N503" s="115" t="e">
        <f ca="1"/>
        <v>#VALUE!</v>
      </c>
      <c r="P503" s="219">
        <f t="shared" ca="1" si="30"/>
        <v>47142</v>
      </c>
      <c r="Q503" s="115" t="e">
        <f ca="1"/>
        <v>#VALUE!</v>
      </c>
      <c r="S503" s="219">
        <f t="shared" ca="1" si="31"/>
        <v>47142</v>
      </c>
      <c r="T503" s="115" t="e">
        <f ca="1"/>
        <v>#VALUE!</v>
      </c>
      <c r="V503" s="219">
        <f t="shared" ca="1" si="32"/>
        <v>47142</v>
      </c>
      <c r="W503" s="115" t="e">
        <f ca="1"/>
        <v>#VALUE!</v>
      </c>
    </row>
    <row r="504" spans="13:23">
      <c r="M504" s="219">
        <f t="shared" ca="1" si="29"/>
        <v>47149</v>
      </c>
      <c r="N504" s="115" t="e">
        <f ca="1"/>
        <v>#VALUE!</v>
      </c>
      <c r="P504" s="219">
        <f t="shared" ca="1" si="30"/>
        <v>47149</v>
      </c>
      <c r="Q504" s="115" t="e">
        <f ca="1"/>
        <v>#VALUE!</v>
      </c>
      <c r="S504" s="219">
        <f t="shared" ca="1" si="31"/>
        <v>47149</v>
      </c>
      <c r="T504" s="115" t="e">
        <f ca="1"/>
        <v>#VALUE!</v>
      </c>
      <c r="V504" s="219">
        <f t="shared" ca="1" si="32"/>
        <v>47149</v>
      </c>
      <c r="W504" s="115" t="e">
        <f ca="1"/>
        <v>#VALUE!</v>
      </c>
    </row>
    <row r="505" spans="13:23">
      <c r="M505" s="219">
        <f t="shared" ca="1" si="29"/>
        <v>47156</v>
      </c>
      <c r="N505" s="115" t="e">
        <f ca="1"/>
        <v>#VALUE!</v>
      </c>
      <c r="P505" s="219">
        <f t="shared" ca="1" si="30"/>
        <v>47156</v>
      </c>
      <c r="Q505" s="115" t="e">
        <f ca="1"/>
        <v>#VALUE!</v>
      </c>
      <c r="S505" s="219">
        <f t="shared" ca="1" si="31"/>
        <v>47156</v>
      </c>
      <c r="T505" s="115" t="e">
        <f ca="1"/>
        <v>#VALUE!</v>
      </c>
      <c r="V505" s="219">
        <f t="shared" ca="1" si="32"/>
        <v>47156</v>
      </c>
      <c r="W505" s="115" t="e">
        <f ca="1"/>
        <v>#VALUE!</v>
      </c>
    </row>
    <row r="506" spans="13:23">
      <c r="M506" s="219">
        <f t="shared" ca="1" si="29"/>
        <v>47163</v>
      </c>
      <c r="N506" s="115" t="e">
        <f ca="1"/>
        <v>#VALUE!</v>
      </c>
      <c r="P506" s="219">
        <f t="shared" ca="1" si="30"/>
        <v>47163</v>
      </c>
      <c r="Q506" s="115" t="e">
        <f ca="1"/>
        <v>#VALUE!</v>
      </c>
      <c r="S506" s="219">
        <f t="shared" ca="1" si="31"/>
        <v>47163</v>
      </c>
      <c r="T506" s="115" t="e">
        <f ca="1"/>
        <v>#VALUE!</v>
      </c>
      <c r="V506" s="219">
        <f t="shared" ca="1" si="32"/>
        <v>47163</v>
      </c>
      <c r="W506" s="115" t="e">
        <f ca="1"/>
        <v>#VALUE!</v>
      </c>
    </row>
    <row r="507" spans="13:23">
      <c r="M507" s="219">
        <f t="shared" ca="1" si="29"/>
        <v>47170</v>
      </c>
      <c r="N507" s="115" t="e">
        <f ca="1"/>
        <v>#VALUE!</v>
      </c>
      <c r="P507" s="219">
        <f t="shared" ca="1" si="30"/>
        <v>47170</v>
      </c>
      <c r="Q507" s="115" t="e">
        <f ca="1"/>
        <v>#VALUE!</v>
      </c>
      <c r="S507" s="219">
        <f t="shared" ca="1" si="31"/>
        <v>47170</v>
      </c>
      <c r="T507" s="115" t="e">
        <f ca="1"/>
        <v>#VALUE!</v>
      </c>
      <c r="V507" s="219">
        <f t="shared" ca="1" si="32"/>
        <v>47170</v>
      </c>
      <c r="W507" s="115" t="e">
        <f ca="1"/>
        <v>#VALUE!</v>
      </c>
    </row>
    <row r="508" spans="13:23">
      <c r="M508" s="219">
        <f t="shared" ca="1" si="29"/>
        <v>47177</v>
      </c>
      <c r="N508" s="115" t="e">
        <f ca="1"/>
        <v>#VALUE!</v>
      </c>
      <c r="P508" s="219">
        <f t="shared" ca="1" si="30"/>
        <v>47177</v>
      </c>
      <c r="Q508" s="115" t="e">
        <f ca="1"/>
        <v>#VALUE!</v>
      </c>
      <c r="S508" s="219">
        <f t="shared" ca="1" si="31"/>
        <v>47177</v>
      </c>
      <c r="T508" s="115" t="e">
        <f ca="1"/>
        <v>#VALUE!</v>
      </c>
      <c r="V508" s="219">
        <f t="shared" ca="1" si="32"/>
        <v>47177</v>
      </c>
      <c r="W508" s="115" t="e">
        <f ca="1"/>
        <v>#VALUE!</v>
      </c>
    </row>
    <row r="509" spans="13:23">
      <c r="M509" s="219">
        <f t="shared" ca="1" si="29"/>
        <v>47184</v>
      </c>
      <c r="N509" s="115" t="e">
        <f ca="1"/>
        <v>#VALUE!</v>
      </c>
      <c r="P509" s="219">
        <f t="shared" ca="1" si="30"/>
        <v>47184</v>
      </c>
      <c r="Q509" s="115" t="e">
        <f ca="1"/>
        <v>#VALUE!</v>
      </c>
      <c r="S509" s="219">
        <f t="shared" ca="1" si="31"/>
        <v>47184</v>
      </c>
      <c r="T509" s="115" t="e">
        <f ca="1"/>
        <v>#VALUE!</v>
      </c>
      <c r="V509" s="219">
        <f t="shared" ca="1" si="32"/>
        <v>47184</v>
      </c>
      <c r="W509" s="115" t="e">
        <f ca="1"/>
        <v>#VALUE!</v>
      </c>
    </row>
    <row r="510" spans="13:23">
      <c r="M510" s="219">
        <f t="shared" ca="1" si="29"/>
        <v>47191</v>
      </c>
      <c r="N510" s="115" t="e">
        <f ca="1"/>
        <v>#VALUE!</v>
      </c>
      <c r="P510" s="219">
        <f t="shared" ca="1" si="30"/>
        <v>47191</v>
      </c>
      <c r="Q510" s="115" t="e">
        <f ca="1"/>
        <v>#VALUE!</v>
      </c>
      <c r="S510" s="219">
        <f t="shared" ca="1" si="31"/>
        <v>47191</v>
      </c>
      <c r="T510" s="115" t="e">
        <f ca="1"/>
        <v>#VALUE!</v>
      </c>
      <c r="V510" s="219">
        <f t="shared" ca="1" si="32"/>
        <v>47191</v>
      </c>
      <c r="W510" s="115" t="e">
        <f ca="1"/>
        <v>#VALUE!</v>
      </c>
    </row>
    <row r="511" spans="13:23">
      <c r="M511" s="219">
        <f t="shared" ca="1" si="29"/>
        <v>47198</v>
      </c>
      <c r="N511" s="115" t="e">
        <f ca="1"/>
        <v>#VALUE!</v>
      </c>
      <c r="P511" s="219">
        <f t="shared" ca="1" si="30"/>
        <v>47198</v>
      </c>
      <c r="Q511" s="115" t="e">
        <f ca="1"/>
        <v>#VALUE!</v>
      </c>
      <c r="S511" s="219">
        <f t="shared" ca="1" si="31"/>
        <v>47198</v>
      </c>
      <c r="T511" s="115" t="e">
        <f ca="1"/>
        <v>#VALUE!</v>
      </c>
      <c r="V511" s="219">
        <f t="shared" ca="1" si="32"/>
        <v>47198</v>
      </c>
      <c r="W511" s="115" t="e">
        <f ca="1"/>
        <v>#VALUE!</v>
      </c>
    </row>
    <row r="512" spans="13:23">
      <c r="M512" s="219">
        <f t="shared" ca="1" si="29"/>
        <v>47205</v>
      </c>
      <c r="N512" s="115" t="e">
        <f ca="1"/>
        <v>#VALUE!</v>
      </c>
      <c r="P512" s="219">
        <f t="shared" ca="1" si="30"/>
        <v>47205</v>
      </c>
      <c r="Q512" s="115" t="e">
        <f ca="1"/>
        <v>#VALUE!</v>
      </c>
      <c r="S512" s="219">
        <f t="shared" ca="1" si="31"/>
        <v>47205</v>
      </c>
      <c r="T512" s="115" t="e">
        <f ca="1"/>
        <v>#VALUE!</v>
      </c>
      <c r="V512" s="219">
        <f t="shared" ca="1" si="32"/>
        <v>47205</v>
      </c>
      <c r="W512" s="115" t="e">
        <f ca="1"/>
        <v>#VALUE!</v>
      </c>
    </row>
    <row r="513" spans="13:23">
      <c r="M513" s="219">
        <f t="shared" ca="1" si="29"/>
        <v>47212</v>
      </c>
      <c r="N513" s="115" t="e">
        <f ca="1"/>
        <v>#VALUE!</v>
      </c>
      <c r="P513" s="219">
        <f t="shared" ca="1" si="30"/>
        <v>47212</v>
      </c>
      <c r="Q513" s="115" t="e">
        <f ca="1"/>
        <v>#VALUE!</v>
      </c>
      <c r="S513" s="219">
        <f t="shared" ca="1" si="31"/>
        <v>47212</v>
      </c>
      <c r="T513" s="115" t="e">
        <f ca="1"/>
        <v>#VALUE!</v>
      </c>
      <c r="V513" s="219">
        <f t="shared" ca="1" si="32"/>
        <v>47212</v>
      </c>
      <c r="W513" s="115" t="e">
        <f ca="1"/>
        <v>#VALUE!</v>
      </c>
    </row>
    <row r="514" spans="13:23">
      <c r="M514" s="219">
        <f t="shared" ca="1" si="29"/>
        <v>47219</v>
      </c>
      <c r="N514" s="115" t="e">
        <f ca="1"/>
        <v>#VALUE!</v>
      </c>
      <c r="P514" s="219">
        <f t="shared" ca="1" si="30"/>
        <v>47219</v>
      </c>
      <c r="Q514" s="115" t="e">
        <f ca="1"/>
        <v>#VALUE!</v>
      </c>
      <c r="S514" s="219">
        <f t="shared" ca="1" si="31"/>
        <v>47219</v>
      </c>
      <c r="T514" s="115" t="e">
        <f ca="1"/>
        <v>#VALUE!</v>
      </c>
      <c r="V514" s="219">
        <f t="shared" ca="1" si="32"/>
        <v>47219</v>
      </c>
      <c r="W514" s="115" t="e">
        <f ca="1"/>
        <v>#VALUE!</v>
      </c>
    </row>
    <row r="515" spans="13:23">
      <c r="M515" s="219">
        <f t="shared" ca="1" si="29"/>
        <v>47226</v>
      </c>
      <c r="N515" s="115" t="e">
        <f ca="1"/>
        <v>#VALUE!</v>
      </c>
      <c r="P515" s="219">
        <f t="shared" ca="1" si="30"/>
        <v>47226</v>
      </c>
      <c r="Q515" s="115" t="e">
        <f ca="1"/>
        <v>#VALUE!</v>
      </c>
      <c r="S515" s="219">
        <f t="shared" ca="1" si="31"/>
        <v>47226</v>
      </c>
      <c r="T515" s="115" t="e">
        <f ca="1"/>
        <v>#VALUE!</v>
      </c>
      <c r="V515" s="219">
        <f t="shared" ca="1" si="32"/>
        <v>47226</v>
      </c>
      <c r="W515" s="115" t="e">
        <f ca="1"/>
        <v>#VALUE!</v>
      </c>
    </row>
    <row r="516" spans="13:23">
      <c r="M516" s="219">
        <f t="shared" ca="1" si="29"/>
        <v>47233</v>
      </c>
      <c r="N516" s="115" t="e">
        <f ca="1"/>
        <v>#VALUE!</v>
      </c>
      <c r="P516" s="219">
        <f t="shared" ca="1" si="30"/>
        <v>47233</v>
      </c>
      <c r="Q516" s="115" t="e">
        <f ca="1"/>
        <v>#VALUE!</v>
      </c>
      <c r="S516" s="219">
        <f t="shared" ca="1" si="31"/>
        <v>47233</v>
      </c>
      <c r="T516" s="115" t="e">
        <f ca="1"/>
        <v>#VALUE!</v>
      </c>
      <c r="V516" s="219">
        <f t="shared" ca="1" si="32"/>
        <v>47233</v>
      </c>
      <c r="W516" s="115" t="e">
        <f ca="1"/>
        <v>#VALUE!</v>
      </c>
    </row>
    <row r="517" spans="13:23">
      <c r="M517" s="219">
        <f t="shared" ca="1" si="29"/>
        <v>47240</v>
      </c>
      <c r="N517" s="115" t="e">
        <f ca="1"/>
        <v>#VALUE!</v>
      </c>
      <c r="P517" s="219">
        <f t="shared" ca="1" si="30"/>
        <v>47240</v>
      </c>
      <c r="Q517" s="115" t="e">
        <f ca="1"/>
        <v>#VALUE!</v>
      </c>
      <c r="S517" s="219">
        <f t="shared" ca="1" si="31"/>
        <v>47240</v>
      </c>
      <c r="T517" s="115" t="e">
        <f ca="1"/>
        <v>#VALUE!</v>
      </c>
      <c r="V517" s="219">
        <f t="shared" ca="1" si="32"/>
        <v>47240</v>
      </c>
      <c r="W517" s="115" t="e">
        <f ca="1"/>
        <v>#VALUE!</v>
      </c>
    </row>
    <row r="518" spans="13:23">
      <c r="M518" s="219">
        <f t="shared" ca="1" si="29"/>
        <v>47247</v>
      </c>
      <c r="N518" s="115" t="e">
        <f ca="1"/>
        <v>#VALUE!</v>
      </c>
      <c r="P518" s="219">
        <f t="shared" ca="1" si="30"/>
        <v>47247</v>
      </c>
      <c r="Q518" s="115" t="e">
        <f ca="1"/>
        <v>#VALUE!</v>
      </c>
      <c r="S518" s="219">
        <f t="shared" ca="1" si="31"/>
        <v>47247</v>
      </c>
      <c r="T518" s="115" t="e">
        <f ca="1"/>
        <v>#VALUE!</v>
      </c>
      <c r="V518" s="219">
        <f t="shared" ca="1" si="32"/>
        <v>47247</v>
      </c>
      <c r="W518" s="115" t="e">
        <f ca="1"/>
        <v>#VALUE!</v>
      </c>
    </row>
    <row r="519" spans="13:23">
      <c r="M519" s="219">
        <f t="shared" ca="1" si="29"/>
        <v>47254</v>
      </c>
      <c r="N519" s="115" t="e">
        <f ca="1"/>
        <v>#VALUE!</v>
      </c>
      <c r="P519" s="219">
        <f t="shared" ca="1" si="30"/>
        <v>47254</v>
      </c>
      <c r="Q519" s="115" t="e">
        <f ca="1"/>
        <v>#VALUE!</v>
      </c>
      <c r="S519" s="219">
        <f t="shared" ca="1" si="31"/>
        <v>47254</v>
      </c>
      <c r="T519" s="115" t="e">
        <f ca="1"/>
        <v>#VALUE!</v>
      </c>
      <c r="V519" s="219">
        <f t="shared" ca="1" si="32"/>
        <v>47254</v>
      </c>
      <c r="W519" s="115" t="e">
        <f ca="1"/>
        <v>#VALUE!</v>
      </c>
    </row>
    <row r="520" spans="13:23">
      <c r="M520" s="219">
        <f t="shared" ca="1" si="29"/>
        <v>47261</v>
      </c>
      <c r="N520" s="115" t="e">
        <f ca="1"/>
        <v>#VALUE!</v>
      </c>
      <c r="P520" s="219">
        <f t="shared" ca="1" si="30"/>
        <v>47261</v>
      </c>
      <c r="Q520" s="115" t="e">
        <f ca="1"/>
        <v>#VALUE!</v>
      </c>
      <c r="S520" s="219">
        <f t="shared" ca="1" si="31"/>
        <v>47261</v>
      </c>
      <c r="T520" s="115" t="e">
        <f ca="1"/>
        <v>#VALUE!</v>
      </c>
      <c r="V520" s="219">
        <f t="shared" ca="1" si="32"/>
        <v>47261</v>
      </c>
      <c r="W520" s="115" t="e">
        <f ca="1"/>
        <v>#VALUE!</v>
      </c>
    </row>
    <row r="521" spans="13:23">
      <c r="M521" s="219">
        <f t="shared" ca="1" si="29"/>
        <v>47268</v>
      </c>
      <c r="N521" s="115" t="e">
        <f ca="1"/>
        <v>#VALUE!</v>
      </c>
      <c r="P521" s="219">
        <f t="shared" ca="1" si="30"/>
        <v>47268</v>
      </c>
      <c r="Q521" s="115" t="e">
        <f ca="1"/>
        <v>#VALUE!</v>
      </c>
      <c r="S521" s="219">
        <f t="shared" ca="1" si="31"/>
        <v>47268</v>
      </c>
      <c r="T521" s="115" t="e">
        <f ca="1"/>
        <v>#VALUE!</v>
      </c>
      <c r="V521" s="219">
        <f t="shared" ca="1" si="32"/>
        <v>47268</v>
      </c>
      <c r="W521" s="115" t="e">
        <f ca="1"/>
        <v>#VALUE!</v>
      </c>
    </row>
    <row r="522" spans="13:23">
      <c r="M522" s="219">
        <f t="shared" ca="1" si="29"/>
        <v>47275</v>
      </c>
      <c r="N522" s="115" t="e">
        <f ca="1"/>
        <v>#VALUE!</v>
      </c>
      <c r="P522" s="219">
        <f t="shared" ca="1" si="30"/>
        <v>47275</v>
      </c>
      <c r="Q522" s="115" t="e">
        <f ca="1"/>
        <v>#VALUE!</v>
      </c>
      <c r="S522" s="219">
        <f t="shared" ca="1" si="31"/>
        <v>47275</v>
      </c>
      <c r="T522" s="115" t="e">
        <f ca="1"/>
        <v>#VALUE!</v>
      </c>
      <c r="V522" s="219">
        <f t="shared" ca="1" si="32"/>
        <v>47275</v>
      </c>
      <c r="W522" s="115" t="e">
        <f ca="1"/>
        <v>#VALUE!</v>
      </c>
    </row>
    <row r="523" spans="13:23">
      <c r="M523" s="219">
        <f t="shared" ca="1" si="29"/>
        <v>47282</v>
      </c>
      <c r="N523" s="115" t="e">
        <f ca="1"/>
        <v>#VALUE!</v>
      </c>
      <c r="P523" s="219">
        <f t="shared" ca="1" si="30"/>
        <v>47282</v>
      </c>
      <c r="Q523" s="115" t="e">
        <f ca="1"/>
        <v>#VALUE!</v>
      </c>
      <c r="S523" s="219">
        <f t="shared" ca="1" si="31"/>
        <v>47282</v>
      </c>
      <c r="T523" s="115" t="e">
        <f ca="1"/>
        <v>#VALUE!</v>
      </c>
      <c r="V523" s="219">
        <f t="shared" ca="1" si="32"/>
        <v>47282</v>
      </c>
      <c r="W523" s="115" t="e">
        <f ca="1"/>
        <v>#VALUE!</v>
      </c>
    </row>
    <row r="524" spans="13:23">
      <c r="M524" s="219">
        <f t="shared" ca="1" si="29"/>
        <v>47289</v>
      </c>
      <c r="N524" s="115" t="e">
        <f ca="1"/>
        <v>#VALUE!</v>
      </c>
      <c r="P524" s="219">
        <f t="shared" ca="1" si="30"/>
        <v>47289</v>
      </c>
      <c r="Q524" s="115" t="e">
        <f ca="1"/>
        <v>#VALUE!</v>
      </c>
      <c r="S524" s="219">
        <f t="shared" ca="1" si="31"/>
        <v>47289</v>
      </c>
      <c r="T524" s="115" t="e">
        <f ca="1"/>
        <v>#VALUE!</v>
      </c>
      <c r="V524" s="219">
        <f t="shared" ca="1" si="32"/>
        <v>47289</v>
      </c>
      <c r="W524" s="115" t="e">
        <f ca="1"/>
        <v>#VALUE!</v>
      </c>
    </row>
    <row r="525" spans="13:23">
      <c r="M525" s="219">
        <f t="shared" ref="M525:M588" ca="1" si="33">M524+7</f>
        <v>47296</v>
      </c>
      <c r="N525" s="115" t="e">
        <f ca="1"/>
        <v>#VALUE!</v>
      </c>
      <c r="P525" s="219">
        <f t="shared" ref="P525:P588" ca="1" si="34">P524+7</f>
        <v>47296</v>
      </c>
      <c r="Q525" s="115" t="e">
        <f ca="1"/>
        <v>#VALUE!</v>
      </c>
      <c r="S525" s="219">
        <f t="shared" ref="S525:S588" ca="1" si="35">S524+7</f>
        <v>47296</v>
      </c>
      <c r="T525" s="115" t="e">
        <f ca="1"/>
        <v>#VALUE!</v>
      </c>
      <c r="V525" s="219">
        <f t="shared" ref="V525:V588" ca="1" si="36">V524+7</f>
        <v>47296</v>
      </c>
      <c r="W525" s="115" t="e">
        <f ca="1"/>
        <v>#VALUE!</v>
      </c>
    </row>
    <row r="526" spans="13:23">
      <c r="M526" s="219">
        <f t="shared" ca="1" si="33"/>
        <v>47303</v>
      </c>
      <c r="N526" s="115" t="e">
        <f ca="1"/>
        <v>#VALUE!</v>
      </c>
      <c r="P526" s="219">
        <f t="shared" ca="1" si="34"/>
        <v>47303</v>
      </c>
      <c r="Q526" s="115" t="e">
        <f ca="1"/>
        <v>#VALUE!</v>
      </c>
      <c r="S526" s="219">
        <f t="shared" ca="1" si="35"/>
        <v>47303</v>
      </c>
      <c r="T526" s="115" t="e">
        <f ca="1"/>
        <v>#VALUE!</v>
      </c>
      <c r="V526" s="219">
        <f t="shared" ca="1" si="36"/>
        <v>47303</v>
      </c>
      <c r="W526" s="115" t="e">
        <f ca="1"/>
        <v>#VALUE!</v>
      </c>
    </row>
    <row r="527" spans="13:23">
      <c r="M527" s="219">
        <f t="shared" ca="1" si="33"/>
        <v>47310</v>
      </c>
      <c r="N527" s="115" t="e">
        <f ca="1"/>
        <v>#VALUE!</v>
      </c>
      <c r="P527" s="219">
        <f t="shared" ca="1" si="34"/>
        <v>47310</v>
      </c>
      <c r="Q527" s="115" t="e">
        <f ca="1"/>
        <v>#VALUE!</v>
      </c>
      <c r="S527" s="219">
        <f t="shared" ca="1" si="35"/>
        <v>47310</v>
      </c>
      <c r="T527" s="115" t="e">
        <f ca="1"/>
        <v>#VALUE!</v>
      </c>
      <c r="V527" s="219">
        <f t="shared" ca="1" si="36"/>
        <v>47310</v>
      </c>
      <c r="W527" s="115" t="e">
        <f ca="1"/>
        <v>#VALUE!</v>
      </c>
    </row>
    <row r="528" spans="13:23">
      <c r="M528" s="219">
        <f t="shared" ca="1" si="33"/>
        <v>47317</v>
      </c>
      <c r="N528" s="115" t="e">
        <f ca="1"/>
        <v>#VALUE!</v>
      </c>
      <c r="P528" s="219">
        <f t="shared" ca="1" si="34"/>
        <v>47317</v>
      </c>
      <c r="Q528" s="115" t="e">
        <f ca="1"/>
        <v>#VALUE!</v>
      </c>
      <c r="S528" s="219">
        <f t="shared" ca="1" si="35"/>
        <v>47317</v>
      </c>
      <c r="T528" s="115" t="e">
        <f ca="1"/>
        <v>#VALUE!</v>
      </c>
      <c r="V528" s="219">
        <f t="shared" ca="1" si="36"/>
        <v>47317</v>
      </c>
      <c r="W528" s="115" t="e">
        <f ca="1"/>
        <v>#VALUE!</v>
      </c>
    </row>
    <row r="529" spans="13:23">
      <c r="M529" s="219">
        <f t="shared" ca="1" si="33"/>
        <v>47324</v>
      </c>
      <c r="N529" s="115" t="e">
        <f ca="1"/>
        <v>#VALUE!</v>
      </c>
      <c r="P529" s="219">
        <f t="shared" ca="1" si="34"/>
        <v>47324</v>
      </c>
      <c r="Q529" s="115" t="e">
        <f ca="1"/>
        <v>#VALUE!</v>
      </c>
      <c r="S529" s="219">
        <f t="shared" ca="1" si="35"/>
        <v>47324</v>
      </c>
      <c r="T529" s="115" t="e">
        <f ca="1"/>
        <v>#VALUE!</v>
      </c>
      <c r="V529" s="219">
        <f t="shared" ca="1" si="36"/>
        <v>47324</v>
      </c>
      <c r="W529" s="115" t="e">
        <f ca="1"/>
        <v>#VALUE!</v>
      </c>
    </row>
    <row r="530" spans="13:23">
      <c r="M530" s="219">
        <f t="shared" ca="1" si="33"/>
        <v>47331</v>
      </c>
      <c r="N530" s="115" t="e">
        <f ca="1"/>
        <v>#VALUE!</v>
      </c>
      <c r="P530" s="219">
        <f t="shared" ca="1" si="34"/>
        <v>47331</v>
      </c>
      <c r="Q530" s="115" t="e">
        <f ca="1"/>
        <v>#VALUE!</v>
      </c>
      <c r="S530" s="219">
        <f t="shared" ca="1" si="35"/>
        <v>47331</v>
      </c>
      <c r="T530" s="115" t="e">
        <f ca="1"/>
        <v>#VALUE!</v>
      </c>
      <c r="V530" s="219">
        <f t="shared" ca="1" si="36"/>
        <v>47331</v>
      </c>
      <c r="W530" s="115" t="e">
        <f ca="1"/>
        <v>#VALUE!</v>
      </c>
    </row>
    <row r="531" spans="13:23">
      <c r="M531" s="219">
        <f t="shared" ca="1" si="33"/>
        <v>47338</v>
      </c>
      <c r="N531" s="115" t="e">
        <f ca="1"/>
        <v>#VALUE!</v>
      </c>
      <c r="P531" s="219">
        <f t="shared" ca="1" si="34"/>
        <v>47338</v>
      </c>
      <c r="Q531" s="115" t="e">
        <f ca="1"/>
        <v>#VALUE!</v>
      </c>
      <c r="S531" s="219">
        <f t="shared" ca="1" si="35"/>
        <v>47338</v>
      </c>
      <c r="T531" s="115" t="e">
        <f ca="1"/>
        <v>#VALUE!</v>
      </c>
      <c r="V531" s="219">
        <f t="shared" ca="1" si="36"/>
        <v>47338</v>
      </c>
      <c r="W531" s="115" t="e">
        <f ca="1"/>
        <v>#VALUE!</v>
      </c>
    </row>
    <row r="532" spans="13:23">
      <c r="M532" s="219">
        <f t="shared" ca="1" si="33"/>
        <v>47345</v>
      </c>
      <c r="N532" s="115" t="e">
        <f ca="1"/>
        <v>#VALUE!</v>
      </c>
      <c r="P532" s="219">
        <f t="shared" ca="1" si="34"/>
        <v>47345</v>
      </c>
      <c r="Q532" s="115" t="e">
        <f ca="1"/>
        <v>#VALUE!</v>
      </c>
      <c r="S532" s="219">
        <f t="shared" ca="1" si="35"/>
        <v>47345</v>
      </c>
      <c r="T532" s="115" t="e">
        <f ca="1"/>
        <v>#VALUE!</v>
      </c>
      <c r="V532" s="219">
        <f t="shared" ca="1" si="36"/>
        <v>47345</v>
      </c>
      <c r="W532" s="115" t="e">
        <f ca="1"/>
        <v>#VALUE!</v>
      </c>
    </row>
    <row r="533" spans="13:23">
      <c r="M533" s="219">
        <f t="shared" ca="1" si="33"/>
        <v>47352</v>
      </c>
      <c r="N533" s="115" t="e">
        <f ca="1"/>
        <v>#VALUE!</v>
      </c>
      <c r="P533" s="219">
        <f t="shared" ca="1" si="34"/>
        <v>47352</v>
      </c>
      <c r="Q533" s="115" t="e">
        <f ca="1"/>
        <v>#VALUE!</v>
      </c>
      <c r="S533" s="219">
        <f t="shared" ca="1" si="35"/>
        <v>47352</v>
      </c>
      <c r="T533" s="115" t="e">
        <f ca="1"/>
        <v>#VALUE!</v>
      </c>
      <c r="V533" s="219">
        <f t="shared" ca="1" si="36"/>
        <v>47352</v>
      </c>
      <c r="W533" s="115" t="e">
        <f ca="1"/>
        <v>#VALUE!</v>
      </c>
    </row>
    <row r="534" spans="13:23">
      <c r="M534" s="219">
        <f t="shared" ca="1" si="33"/>
        <v>47359</v>
      </c>
      <c r="N534" s="115" t="e">
        <f ca="1"/>
        <v>#VALUE!</v>
      </c>
      <c r="P534" s="219">
        <f t="shared" ca="1" si="34"/>
        <v>47359</v>
      </c>
      <c r="Q534" s="115" t="e">
        <f ca="1"/>
        <v>#VALUE!</v>
      </c>
      <c r="S534" s="219">
        <f t="shared" ca="1" si="35"/>
        <v>47359</v>
      </c>
      <c r="T534" s="115" t="e">
        <f ca="1"/>
        <v>#VALUE!</v>
      </c>
      <c r="V534" s="219">
        <f t="shared" ca="1" si="36"/>
        <v>47359</v>
      </c>
      <c r="W534" s="115" t="e">
        <f ca="1"/>
        <v>#VALUE!</v>
      </c>
    </row>
    <row r="535" spans="13:23">
      <c r="M535" s="219">
        <f t="shared" ca="1" si="33"/>
        <v>47366</v>
      </c>
      <c r="N535" s="115" t="e">
        <f ca="1"/>
        <v>#VALUE!</v>
      </c>
      <c r="P535" s="219">
        <f t="shared" ca="1" si="34"/>
        <v>47366</v>
      </c>
      <c r="Q535" s="115" t="e">
        <f ca="1"/>
        <v>#VALUE!</v>
      </c>
      <c r="S535" s="219">
        <f t="shared" ca="1" si="35"/>
        <v>47366</v>
      </c>
      <c r="T535" s="115" t="e">
        <f ca="1"/>
        <v>#VALUE!</v>
      </c>
      <c r="V535" s="219">
        <f t="shared" ca="1" si="36"/>
        <v>47366</v>
      </c>
      <c r="W535" s="115" t="e">
        <f ca="1"/>
        <v>#VALUE!</v>
      </c>
    </row>
    <row r="536" spans="13:23">
      <c r="M536" s="219">
        <f t="shared" ca="1" si="33"/>
        <v>47373</v>
      </c>
      <c r="N536" s="115" t="e">
        <f ca="1"/>
        <v>#VALUE!</v>
      </c>
      <c r="P536" s="219">
        <f t="shared" ca="1" si="34"/>
        <v>47373</v>
      </c>
      <c r="Q536" s="115" t="e">
        <f ca="1"/>
        <v>#VALUE!</v>
      </c>
      <c r="S536" s="219">
        <f t="shared" ca="1" si="35"/>
        <v>47373</v>
      </c>
      <c r="T536" s="115" t="e">
        <f ca="1"/>
        <v>#VALUE!</v>
      </c>
      <c r="V536" s="219">
        <f t="shared" ca="1" si="36"/>
        <v>47373</v>
      </c>
      <c r="W536" s="115" t="e">
        <f ca="1"/>
        <v>#VALUE!</v>
      </c>
    </row>
    <row r="537" spans="13:23">
      <c r="M537" s="219">
        <f t="shared" ca="1" si="33"/>
        <v>47380</v>
      </c>
      <c r="N537" s="115" t="e">
        <f ca="1"/>
        <v>#VALUE!</v>
      </c>
      <c r="P537" s="219">
        <f t="shared" ca="1" si="34"/>
        <v>47380</v>
      </c>
      <c r="Q537" s="115" t="e">
        <f ca="1"/>
        <v>#VALUE!</v>
      </c>
      <c r="S537" s="219">
        <f t="shared" ca="1" si="35"/>
        <v>47380</v>
      </c>
      <c r="T537" s="115" t="e">
        <f ca="1"/>
        <v>#VALUE!</v>
      </c>
      <c r="V537" s="219">
        <f t="shared" ca="1" si="36"/>
        <v>47380</v>
      </c>
      <c r="W537" s="115" t="e">
        <f ca="1"/>
        <v>#VALUE!</v>
      </c>
    </row>
    <row r="538" spans="13:23">
      <c r="M538" s="219">
        <f t="shared" ca="1" si="33"/>
        <v>47387</v>
      </c>
      <c r="N538" s="115" t="e">
        <f ca="1"/>
        <v>#VALUE!</v>
      </c>
      <c r="P538" s="219">
        <f t="shared" ca="1" si="34"/>
        <v>47387</v>
      </c>
      <c r="Q538" s="115" t="e">
        <f ca="1"/>
        <v>#VALUE!</v>
      </c>
      <c r="S538" s="219">
        <f t="shared" ca="1" si="35"/>
        <v>47387</v>
      </c>
      <c r="T538" s="115" t="e">
        <f ca="1"/>
        <v>#VALUE!</v>
      </c>
      <c r="V538" s="219">
        <f t="shared" ca="1" si="36"/>
        <v>47387</v>
      </c>
      <c r="W538" s="115" t="e">
        <f ca="1"/>
        <v>#VALUE!</v>
      </c>
    </row>
    <row r="539" spans="13:23">
      <c r="M539" s="219">
        <f t="shared" ca="1" si="33"/>
        <v>47394</v>
      </c>
      <c r="N539" s="115" t="e">
        <f ca="1"/>
        <v>#VALUE!</v>
      </c>
      <c r="P539" s="219">
        <f t="shared" ca="1" si="34"/>
        <v>47394</v>
      </c>
      <c r="Q539" s="115" t="e">
        <f ca="1"/>
        <v>#VALUE!</v>
      </c>
      <c r="S539" s="219">
        <f t="shared" ca="1" si="35"/>
        <v>47394</v>
      </c>
      <c r="T539" s="115" t="e">
        <f ca="1"/>
        <v>#VALUE!</v>
      </c>
      <c r="V539" s="219">
        <f t="shared" ca="1" si="36"/>
        <v>47394</v>
      </c>
      <c r="W539" s="115" t="e">
        <f ca="1"/>
        <v>#VALUE!</v>
      </c>
    </row>
    <row r="540" spans="13:23">
      <c r="M540" s="219">
        <f t="shared" ca="1" si="33"/>
        <v>47401</v>
      </c>
      <c r="N540" s="115" t="e">
        <f ca="1"/>
        <v>#VALUE!</v>
      </c>
      <c r="P540" s="219">
        <f t="shared" ca="1" si="34"/>
        <v>47401</v>
      </c>
      <c r="Q540" s="115" t="e">
        <f ca="1"/>
        <v>#VALUE!</v>
      </c>
      <c r="S540" s="219">
        <f t="shared" ca="1" si="35"/>
        <v>47401</v>
      </c>
      <c r="T540" s="115" t="e">
        <f ca="1"/>
        <v>#VALUE!</v>
      </c>
      <c r="V540" s="219">
        <f t="shared" ca="1" si="36"/>
        <v>47401</v>
      </c>
      <c r="W540" s="115" t="e">
        <f ca="1"/>
        <v>#VALUE!</v>
      </c>
    </row>
    <row r="541" spans="13:23">
      <c r="M541" s="219">
        <f t="shared" ca="1" si="33"/>
        <v>47408</v>
      </c>
      <c r="N541" s="115" t="e">
        <f ca="1"/>
        <v>#VALUE!</v>
      </c>
      <c r="P541" s="219">
        <f t="shared" ca="1" si="34"/>
        <v>47408</v>
      </c>
      <c r="Q541" s="115" t="e">
        <f ca="1"/>
        <v>#VALUE!</v>
      </c>
      <c r="S541" s="219">
        <f t="shared" ca="1" si="35"/>
        <v>47408</v>
      </c>
      <c r="T541" s="115" t="e">
        <f ca="1"/>
        <v>#VALUE!</v>
      </c>
      <c r="V541" s="219">
        <f t="shared" ca="1" si="36"/>
        <v>47408</v>
      </c>
      <c r="W541" s="115" t="e">
        <f ca="1"/>
        <v>#VALUE!</v>
      </c>
    </row>
    <row r="542" spans="13:23">
      <c r="M542" s="219">
        <f t="shared" ca="1" si="33"/>
        <v>47415</v>
      </c>
      <c r="N542" s="115" t="e">
        <f ca="1"/>
        <v>#VALUE!</v>
      </c>
      <c r="P542" s="219">
        <f t="shared" ca="1" si="34"/>
        <v>47415</v>
      </c>
      <c r="Q542" s="115" t="e">
        <f ca="1"/>
        <v>#VALUE!</v>
      </c>
      <c r="S542" s="219">
        <f t="shared" ca="1" si="35"/>
        <v>47415</v>
      </c>
      <c r="T542" s="115" t="e">
        <f ca="1"/>
        <v>#VALUE!</v>
      </c>
      <c r="V542" s="219">
        <f t="shared" ca="1" si="36"/>
        <v>47415</v>
      </c>
      <c r="W542" s="115" t="e">
        <f ca="1"/>
        <v>#VALUE!</v>
      </c>
    </row>
    <row r="543" spans="13:23">
      <c r="M543" s="219">
        <f t="shared" ca="1" si="33"/>
        <v>47422</v>
      </c>
      <c r="N543" s="115" t="e">
        <f ca="1"/>
        <v>#VALUE!</v>
      </c>
      <c r="P543" s="219">
        <f t="shared" ca="1" si="34"/>
        <v>47422</v>
      </c>
      <c r="Q543" s="115" t="e">
        <f ca="1"/>
        <v>#VALUE!</v>
      </c>
      <c r="S543" s="219">
        <f t="shared" ca="1" si="35"/>
        <v>47422</v>
      </c>
      <c r="T543" s="115" t="e">
        <f ca="1"/>
        <v>#VALUE!</v>
      </c>
      <c r="V543" s="219">
        <f t="shared" ca="1" si="36"/>
        <v>47422</v>
      </c>
      <c r="W543" s="115" t="e">
        <f ca="1"/>
        <v>#VALUE!</v>
      </c>
    </row>
    <row r="544" spans="13:23">
      <c r="M544" s="219">
        <f t="shared" ca="1" si="33"/>
        <v>47429</v>
      </c>
      <c r="N544" s="115" t="e">
        <f ca="1"/>
        <v>#VALUE!</v>
      </c>
      <c r="P544" s="219">
        <f t="shared" ca="1" si="34"/>
        <v>47429</v>
      </c>
      <c r="Q544" s="115" t="e">
        <f ca="1"/>
        <v>#VALUE!</v>
      </c>
      <c r="S544" s="219">
        <f t="shared" ca="1" si="35"/>
        <v>47429</v>
      </c>
      <c r="T544" s="115" t="e">
        <f ca="1"/>
        <v>#VALUE!</v>
      </c>
      <c r="V544" s="219">
        <f t="shared" ca="1" si="36"/>
        <v>47429</v>
      </c>
      <c r="W544" s="115" t="e">
        <f ca="1"/>
        <v>#VALUE!</v>
      </c>
    </row>
    <row r="545" spans="13:23">
      <c r="M545" s="219">
        <f t="shared" ca="1" si="33"/>
        <v>47436</v>
      </c>
      <c r="N545" s="115" t="e">
        <f ca="1"/>
        <v>#VALUE!</v>
      </c>
      <c r="P545" s="219">
        <f t="shared" ca="1" si="34"/>
        <v>47436</v>
      </c>
      <c r="Q545" s="115" t="e">
        <f ca="1"/>
        <v>#VALUE!</v>
      </c>
      <c r="S545" s="219">
        <f t="shared" ca="1" si="35"/>
        <v>47436</v>
      </c>
      <c r="T545" s="115" t="e">
        <f ca="1"/>
        <v>#VALUE!</v>
      </c>
      <c r="V545" s="219">
        <f t="shared" ca="1" si="36"/>
        <v>47436</v>
      </c>
      <c r="W545" s="115" t="e">
        <f ca="1"/>
        <v>#VALUE!</v>
      </c>
    </row>
    <row r="546" spans="13:23">
      <c r="M546" s="219">
        <f t="shared" ca="1" si="33"/>
        <v>47443</v>
      </c>
      <c r="N546" s="115" t="e">
        <f ca="1"/>
        <v>#VALUE!</v>
      </c>
      <c r="P546" s="219">
        <f t="shared" ca="1" si="34"/>
        <v>47443</v>
      </c>
      <c r="Q546" s="115" t="e">
        <f ca="1"/>
        <v>#VALUE!</v>
      </c>
      <c r="S546" s="219">
        <f t="shared" ca="1" si="35"/>
        <v>47443</v>
      </c>
      <c r="T546" s="115" t="e">
        <f ca="1"/>
        <v>#VALUE!</v>
      </c>
      <c r="V546" s="219">
        <f t="shared" ca="1" si="36"/>
        <v>47443</v>
      </c>
      <c r="W546" s="115" t="e">
        <f ca="1"/>
        <v>#VALUE!</v>
      </c>
    </row>
    <row r="547" spans="13:23">
      <c r="M547" s="219">
        <f t="shared" ca="1" si="33"/>
        <v>47450</v>
      </c>
      <c r="N547" s="115" t="e">
        <f ca="1"/>
        <v>#VALUE!</v>
      </c>
      <c r="P547" s="219">
        <f t="shared" ca="1" si="34"/>
        <v>47450</v>
      </c>
      <c r="Q547" s="115" t="e">
        <f ca="1"/>
        <v>#VALUE!</v>
      </c>
      <c r="S547" s="219">
        <f t="shared" ca="1" si="35"/>
        <v>47450</v>
      </c>
      <c r="T547" s="115" t="e">
        <f ca="1"/>
        <v>#VALUE!</v>
      </c>
      <c r="V547" s="219">
        <f t="shared" ca="1" si="36"/>
        <v>47450</v>
      </c>
      <c r="W547" s="115" t="e">
        <f ca="1"/>
        <v>#VALUE!</v>
      </c>
    </row>
    <row r="548" spans="13:23">
      <c r="M548" s="219">
        <f t="shared" ca="1" si="33"/>
        <v>47457</v>
      </c>
      <c r="N548" s="115" t="e">
        <f ca="1"/>
        <v>#VALUE!</v>
      </c>
      <c r="P548" s="219">
        <f t="shared" ca="1" si="34"/>
        <v>47457</v>
      </c>
      <c r="Q548" s="115" t="e">
        <f ca="1"/>
        <v>#VALUE!</v>
      </c>
      <c r="S548" s="219">
        <f t="shared" ca="1" si="35"/>
        <v>47457</v>
      </c>
      <c r="T548" s="115" t="e">
        <f ca="1"/>
        <v>#VALUE!</v>
      </c>
      <c r="V548" s="219">
        <f t="shared" ca="1" si="36"/>
        <v>47457</v>
      </c>
      <c r="W548" s="115" t="e">
        <f ca="1"/>
        <v>#VALUE!</v>
      </c>
    </row>
    <row r="549" spans="13:23">
      <c r="M549" s="219">
        <f t="shared" ca="1" si="33"/>
        <v>47464</v>
      </c>
      <c r="N549" s="115" t="e">
        <f ca="1"/>
        <v>#VALUE!</v>
      </c>
      <c r="P549" s="219">
        <f t="shared" ca="1" si="34"/>
        <v>47464</v>
      </c>
      <c r="Q549" s="115" t="e">
        <f ca="1"/>
        <v>#VALUE!</v>
      </c>
      <c r="S549" s="219">
        <f t="shared" ca="1" si="35"/>
        <v>47464</v>
      </c>
      <c r="T549" s="115" t="e">
        <f ca="1"/>
        <v>#VALUE!</v>
      </c>
      <c r="V549" s="219">
        <f t="shared" ca="1" si="36"/>
        <v>47464</v>
      </c>
      <c r="W549" s="115" t="e">
        <f ca="1"/>
        <v>#VALUE!</v>
      </c>
    </row>
    <row r="550" spans="13:23">
      <c r="M550" s="219">
        <f t="shared" ca="1" si="33"/>
        <v>47471</v>
      </c>
      <c r="N550" s="115" t="e">
        <f ca="1"/>
        <v>#VALUE!</v>
      </c>
      <c r="P550" s="219">
        <f t="shared" ca="1" si="34"/>
        <v>47471</v>
      </c>
      <c r="Q550" s="115" t="e">
        <f ca="1"/>
        <v>#VALUE!</v>
      </c>
      <c r="S550" s="219">
        <f t="shared" ca="1" si="35"/>
        <v>47471</v>
      </c>
      <c r="T550" s="115" t="e">
        <f ca="1"/>
        <v>#VALUE!</v>
      </c>
      <c r="V550" s="219">
        <f t="shared" ca="1" si="36"/>
        <v>47471</v>
      </c>
      <c r="W550" s="115" t="e">
        <f ca="1"/>
        <v>#VALUE!</v>
      </c>
    </row>
    <row r="551" spans="13:23">
      <c r="M551" s="219">
        <f t="shared" ca="1" si="33"/>
        <v>47478</v>
      </c>
      <c r="N551" s="115" t="e">
        <f ca="1"/>
        <v>#VALUE!</v>
      </c>
      <c r="P551" s="219">
        <f t="shared" ca="1" si="34"/>
        <v>47478</v>
      </c>
      <c r="Q551" s="115" t="e">
        <f ca="1"/>
        <v>#VALUE!</v>
      </c>
      <c r="S551" s="219">
        <f t="shared" ca="1" si="35"/>
        <v>47478</v>
      </c>
      <c r="T551" s="115" t="e">
        <f ca="1"/>
        <v>#VALUE!</v>
      </c>
      <c r="V551" s="219">
        <f t="shared" ca="1" si="36"/>
        <v>47478</v>
      </c>
      <c r="W551" s="115" t="e">
        <f ca="1"/>
        <v>#VALUE!</v>
      </c>
    </row>
    <row r="552" spans="13:23">
      <c r="M552" s="219">
        <f t="shared" ca="1" si="33"/>
        <v>47485</v>
      </c>
      <c r="N552" s="115" t="e">
        <f ca="1"/>
        <v>#VALUE!</v>
      </c>
      <c r="P552" s="219">
        <f t="shared" ca="1" si="34"/>
        <v>47485</v>
      </c>
      <c r="Q552" s="115" t="e">
        <f ca="1"/>
        <v>#VALUE!</v>
      </c>
      <c r="S552" s="219">
        <f t="shared" ca="1" si="35"/>
        <v>47485</v>
      </c>
      <c r="T552" s="115" t="e">
        <f ca="1"/>
        <v>#VALUE!</v>
      </c>
      <c r="V552" s="219">
        <f t="shared" ca="1" si="36"/>
        <v>47485</v>
      </c>
      <c r="W552" s="115" t="e">
        <f ca="1"/>
        <v>#VALUE!</v>
      </c>
    </row>
    <row r="553" spans="13:23">
      <c r="M553" s="219">
        <f t="shared" ca="1" si="33"/>
        <v>47492</v>
      </c>
      <c r="N553" s="115" t="e">
        <f ca="1"/>
        <v>#VALUE!</v>
      </c>
      <c r="P553" s="219">
        <f t="shared" ca="1" si="34"/>
        <v>47492</v>
      </c>
      <c r="Q553" s="115" t="e">
        <f ca="1"/>
        <v>#VALUE!</v>
      </c>
      <c r="S553" s="219">
        <f t="shared" ca="1" si="35"/>
        <v>47492</v>
      </c>
      <c r="T553" s="115" t="e">
        <f ca="1"/>
        <v>#VALUE!</v>
      </c>
      <c r="V553" s="219">
        <f t="shared" ca="1" si="36"/>
        <v>47492</v>
      </c>
      <c r="W553" s="115" t="e">
        <f ca="1"/>
        <v>#VALUE!</v>
      </c>
    </row>
    <row r="554" spans="13:23">
      <c r="M554" s="219">
        <f t="shared" ca="1" si="33"/>
        <v>47499</v>
      </c>
      <c r="N554" s="115" t="e">
        <f ca="1"/>
        <v>#VALUE!</v>
      </c>
      <c r="P554" s="219">
        <f t="shared" ca="1" si="34"/>
        <v>47499</v>
      </c>
      <c r="Q554" s="115" t="e">
        <f ca="1"/>
        <v>#VALUE!</v>
      </c>
      <c r="S554" s="219">
        <f t="shared" ca="1" si="35"/>
        <v>47499</v>
      </c>
      <c r="T554" s="115" t="e">
        <f ca="1"/>
        <v>#VALUE!</v>
      </c>
      <c r="V554" s="219">
        <f t="shared" ca="1" si="36"/>
        <v>47499</v>
      </c>
      <c r="W554" s="115" t="e">
        <f ca="1"/>
        <v>#VALUE!</v>
      </c>
    </row>
    <row r="555" spans="13:23">
      <c r="M555" s="219">
        <f t="shared" ca="1" si="33"/>
        <v>47506</v>
      </c>
      <c r="N555" s="115" t="e">
        <f ca="1"/>
        <v>#VALUE!</v>
      </c>
      <c r="P555" s="219">
        <f t="shared" ca="1" si="34"/>
        <v>47506</v>
      </c>
      <c r="Q555" s="115" t="e">
        <f ca="1"/>
        <v>#VALUE!</v>
      </c>
      <c r="S555" s="219">
        <f t="shared" ca="1" si="35"/>
        <v>47506</v>
      </c>
      <c r="T555" s="115" t="e">
        <f ca="1"/>
        <v>#VALUE!</v>
      </c>
      <c r="V555" s="219">
        <f t="shared" ca="1" si="36"/>
        <v>47506</v>
      </c>
      <c r="W555" s="115" t="e">
        <f ca="1"/>
        <v>#VALUE!</v>
      </c>
    </row>
    <row r="556" spans="13:23">
      <c r="M556" s="219">
        <f t="shared" ca="1" si="33"/>
        <v>47513</v>
      </c>
      <c r="N556" s="115" t="e">
        <f ca="1"/>
        <v>#VALUE!</v>
      </c>
      <c r="P556" s="219">
        <f t="shared" ca="1" si="34"/>
        <v>47513</v>
      </c>
      <c r="Q556" s="115" t="e">
        <f ca="1"/>
        <v>#VALUE!</v>
      </c>
      <c r="S556" s="219">
        <f t="shared" ca="1" si="35"/>
        <v>47513</v>
      </c>
      <c r="T556" s="115" t="e">
        <f ca="1"/>
        <v>#VALUE!</v>
      </c>
      <c r="V556" s="219">
        <f t="shared" ca="1" si="36"/>
        <v>47513</v>
      </c>
      <c r="W556" s="115" t="e">
        <f ca="1"/>
        <v>#VALUE!</v>
      </c>
    </row>
    <row r="557" spans="13:23">
      <c r="M557" s="219">
        <f t="shared" ca="1" si="33"/>
        <v>47520</v>
      </c>
      <c r="N557" s="115" t="e">
        <f ca="1"/>
        <v>#VALUE!</v>
      </c>
      <c r="P557" s="219">
        <f t="shared" ca="1" si="34"/>
        <v>47520</v>
      </c>
      <c r="Q557" s="115" t="e">
        <f ca="1"/>
        <v>#VALUE!</v>
      </c>
      <c r="S557" s="219">
        <f t="shared" ca="1" si="35"/>
        <v>47520</v>
      </c>
      <c r="T557" s="115" t="e">
        <f ca="1"/>
        <v>#VALUE!</v>
      </c>
      <c r="V557" s="219">
        <f t="shared" ca="1" si="36"/>
        <v>47520</v>
      </c>
      <c r="W557" s="115" t="e">
        <f ca="1"/>
        <v>#VALUE!</v>
      </c>
    </row>
    <row r="558" spans="13:23">
      <c r="M558" s="219">
        <f t="shared" ca="1" si="33"/>
        <v>47527</v>
      </c>
      <c r="N558" s="115" t="e">
        <f ca="1"/>
        <v>#VALUE!</v>
      </c>
      <c r="P558" s="219">
        <f t="shared" ca="1" si="34"/>
        <v>47527</v>
      </c>
      <c r="Q558" s="115" t="e">
        <f ca="1"/>
        <v>#VALUE!</v>
      </c>
      <c r="S558" s="219">
        <f t="shared" ca="1" si="35"/>
        <v>47527</v>
      </c>
      <c r="T558" s="115" t="e">
        <f ca="1"/>
        <v>#VALUE!</v>
      </c>
      <c r="V558" s="219">
        <f t="shared" ca="1" si="36"/>
        <v>47527</v>
      </c>
      <c r="W558" s="115" t="e">
        <f ca="1"/>
        <v>#VALUE!</v>
      </c>
    </row>
    <row r="559" spans="13:23">
      <c r="M559" s="219">
        <f t="shared" ca="1" si="33"/>
        <v>47534</v>
      </c>
      <c r="N559" s="115" t="e">
        <f ca="1"/>
        <v>#VALUE!</v>
      </c>
      <c r="P559" s="219">
        <f t="shared" ca="1" si="34"/>
        <v>47534</v>
      </c>
      <c r="Q559" s="115" t="e">
        <f ca="1"/>
        <v>#VALUE!</v>
      </c>
      <c r="S559" s="219">
        <f t="shared" ca="1" si="35"/>
        <v>47534</v>
      </c>
      <c r="T559" s="115" t="e">
        <f ca="1"/>
        <v>#VALUE!</v>
      </c>
      <c r="V559" s="219">
        <f t="shared" ca="1" si="36"/>
        <v>47534</v>
      </c>
      <c r="W559" s="115" t="e">
        <f ca="1"/>
        <v>#VALUE!</v>
      </c>
    </row>
    <row r="560" spans="13:23">
      <c r="M560" s="219">
        <f t="shared" ca="1" si="33"/>
        <v>47541</v>
      </c>
      <c r="N560" s="115" t="e">
        <f ca="1"/>
        <v>#VALUE!</v>
      </c>
      <c r="P560" s="219">
        <f t="shared" ca="1" si="34"/>
        <v>47541</v>
      </c>
      <c r="Q560" s="115" t="e">
        <f ca="1"/>
        <v>#VALUE!</v>
      </c>
      <c r="S560" s="219">
        <f t="shared" ca="1" si="35"/>
        <v>47541</v>
      </c>
      <c r="T560" s="115" t="e">
        <f ca="1"/>
        <v>#VALUE!</v>
      </c>
      <c r="V560" s="219">
        <f t="shared" ca="1" si="36"/>
        <v>47541</v>
      </c>
      <c r="W560" s="115" t="e">
        <f ca="1"/>
        <v>#VALUE!</v>
      </c>
    </row>
    <row r="561" spans="13:23">
      <c r="M561" s="219">
        <f t="shared" ca="1" si="33"/>
        <v>47548</v>
      </c>
      <c r="N561" s="115" t="e">
        <f ca="1"/>
        <v>#VALUE!</v>
      </c>
      <c r="P561" s="219">
        <f t="shared" ca="1" si="34"/>
        <v>47548</v>
      </c>
      <c r="Q561" s="115" t="e">
        <f ca="1"/>
        <v>#VALUE!</v>
      </c>
      <c r="S561" s="219">
        <f t="shared" ca="1" si="35"/>
        <v>47548</v>
      </c>
      <c r="T561" s="115" t="e">
        <f ca="1"/>
        <v>#VALUE!</v>
      </c>
      <c r="V561" s="219">
        <f t="shared" ca="1" si="36"/>
        <v>47548</v>
      </c>
      <c r="W561" s="115" t="e">
        <f ca="1"/>
        <v>#VALUE!</v>
      </c>
    </row>
    <row r="562" spans="13:23">
      <c r="M562" s="219">
        <f t="shared" ca="1" si="33"/>
        <v>47555</v>
      </c>
      <c r="N562" s="115" t="e">
        <f ca="1"/>
        <v>#VALUE!</v>
      </c>
      <c r="P562" s="219">
        <f t="shared" ca="1" si="34"/>
        <v>47555</v>
      </c>
      <c r="Q562" s="115" t="e">
        <f ca="1"/>
        <v>#VALUE!</v>
      </c>
      <c r="S562" s="219">
        <f t="shared" ca="1" si="35"/>
        <v>47555</v>
      </c>
      <c r="T562" s="115" t="e">
        <f ca="1"/>
        <v>#VALUE!</v>
      </c>
      <c r="V562" s="219">
        <f t="shared" ca="1" si="36"/>
        <v>47555</v>
      </c>
      <c r="W562" s="115" t="e">
        <f ca="1"/>
        <v>#VALUE!</v>
      </c>
    </row>
    <row r="563" spans="13:23">
      <c r="M563" s="219">
        <f t="shared" ca="1" si="33"/>
        <v>47562</v>
      </c>
      <c r="N563" s="115" t="e">
        <f ca="1"/>
        <v>#VALUE!</v>
      </c>
      <c r="P563" s="219">
        <f t="shared" ca="1" si="34"/>
        <v>47562</v>
      </c>
      <c r="Q563" s="115" t="e">
        <f ca="1"/>
        <v>#VALUE!</v>
      </c>
      <c r="S563" s="219">
        <f t="shared" ca="1" si="35"/>
        <v>47562</v>
      </c>
      <c r="T563" s="115" t="e">
        <f ca="1"/>
        <v>#VALUE!</v>
      </c>
      <c r="V563" s="219">
        <f t="shared" ca="1" si="36"/>
        <v>47562</v>
      </c>
      <c r="W563" s="115" t="e">
        <f ca="1"/>
        <v>#VALUE!</v>
      </c>
    </row>
    <row r="564" spans="13:23">
      <c r="M564" s="219">
        <f t="shared" ca="1" si="33"/>
        <v>47569</v>
      </c>
      <c r="N564" s="115" t="e">
        <f ca="1"/>
        <v>#VALUE!</v>
      </c>
      <c r="P564" s="219">
        <f t="shared" ca="1" si="34"/>
        <v>47569</v>
      </c>
      <c r="Q564" s="115" t="e">
        <f ca="1"/>
        <v>#VALUE!</v>
      </c>
      <c r="S564" s="219">
        <f t="shared" ca="1" si="35"/>
        <v>47569</v>
      </c>
      <c r="T564" s="115" t="e">
        <f ca="1"/>
        <v>#VALUE!</v>
      </c>
      <c r="V564" s="219">
        <f t="shared" ca="1" si="36"/>
        <v>47569</v>
      </c>
      <c r="W564" s="115" t="e">
        <f ca="1"/>
        <v>#VALUE!</v>
      </c>
    </row>
    <row r="565" spans="13:23">
      <c r="M565" s="219">
        <f t="shared" ca="1" si="33"/>
        <v>47576</v>
      </c>
      <c r="N565" s="115" t="e">
        <f ca="1"/>
        <v>#VALUE!</v>
      </c>
      <c r="P565" s="219">
        <f t="shared" ca="1" si="34"/>
        <v>47576</v>
      </c>
      <c r="Q565" s="115" t="e">
        <f ca="1"/>
        <v>#VALUE!</v>
      </c>
      <c r="S565" s="219">
        <f t="shared" ca="1" si="35"/>
        <v>47576</v>
      </c>
      <c r="T565" s="115" t="e">
        <f ca="1"/>
        <v>#VALUE!</v>
      </c>
      <c r="V565" s="219">
        <f t="shared" ca="1" si="36"/>
        <v>47576</v>
      </c>
      <c r="W565" s="115" t="e">
        <f ca="1"/>
        <v>#VALUE!</v>
      </c>
    </row>
    <row r="566" spans="13:23">
      <c r="M566" s="219">
        <f t="shared" ca="1" si="33"/>
        <v>47583</v>
      </c>
      <c r="N566" s="115" t="e">
        <f ca="1"/>
        <v>#VALUE!</v>
      </c>
      <c r="P566" s="219">
        <f t="shared" ca="1" si="34"/>
        <v>47583</v>
      </c>
      <c r="Q566" s="115" t="e">
        <f ca="1"/>
        <v>#VALUE!</v>
      </c>
      <c r="S566" s="219">
        <f t="shared" ca="1" si="35"/>
        <v>47583</v>
      </c>
      <c r="T566" s="115" t="e">
        <f ca="1"/>
        <v>#VALUE!</v>
      </c>
      <c r="V566" s="219">
        <f t="shared" ca="1" si="36"/>
        <v>47583</v>
      </c>
      <c r="W566" s="115" t="e">
        <f ca="1"/>
        <v>#VALUE!</v>
      </c>
    </row>
    <row r="567" spans="13:23">
      <c r="M567" s="219">
        <f t="shared" ca="1" si="33"/>
        <v>47590</v>
      </c>
      <c r="N567" s="115" t="e">
        <f ca="1"/>
        <v>#VALUE!</v>
      </c>
      <c r="P567" s="219">
        <f t="shared" ca="1" si="34"/>
        <v>47590</v>
      </c>
      <c r="Q567" s="115" t="e">
        <f ca="1"/>
        <v>#VALUE!</v>
      </c>
      <c r="S567" s="219">
        <f t="shared" ca="1" si="35"/>
        <v>47590</v>
      </c>
      <c r="T567" s="115" t="e">
        <f ca="1"/>
        <v>#VALUE!</v>
      </c>
      <c r="V567" s="219">
        <f t="shared" ca="1" si="36"/>
        <v>47590</v>
      </c>
      <c r="W567" s="115" t="e">
        <f ca="1"/>
        <v>#VALUE!</v>
      </c>
    </row>
    <row r="568" spans="13:23">
      <c r="M568" s="219">
        <f t="shared" ca="1" si="33"/>
        <v>47597</v>
      </c>
      <c r="N568" s="115" t="e">
        <f ca="1"/>
        <v>#VALUE!</v>
      </c>
      <c r="P568" s="219">
        <f t="shared" ca="1" si="34"/>
        <v>47597</v>
      </c>
      <c r="Q568" s="115" t="e">
        <f ca="1"/>
        <v>#VALUE!</v>
      </c>
      <c r="S568" s="219">
        <f t="shared" ca="1" si="35"/>
        <v>47597</v>
      </c>
      <c r="T568" s="115" t="e">
        <f ca="1"/>
        <v>#VALUE!</v>
      </c>
      <c r="V568" s="219">
        <f t="shared" ca="1" si="36"/>
        <v>47597</v>
      </c>
      <c r="W568" s="115" t="e">
        <f ca="1"/>
        <v>#VALUE!</v>
      </c>
    </row>
    <row r="569" spans="13:23">
      <c r="M569" s="219">
        <f t="shared" ca="1" si="33"/>
        <v>47604</v>
      </c>
      <c r="N569" s="115" t="e">
        <f ca="1"/>
        <v>#VALUE!</v>
      </c>
      <c r="P569" s="219">
        <f t="shared" ca="1" si="34"/>
        <v>47604</v>
      </c>
      <c r="Q569" s="115" t="e">
        <f ca="1"/>
        <v>#VALUE!</v>
      </c>
      <c r="S569" s="219">
        <f t="shared" ca="1" si="35"/>
        <v>47604</v>
      </c>
      <c r="T569" s="115" t="e">
        <f ca="1"/>
        <v>#VALUE!</v>
      </c>
      <c r="V569" s="219">
        <f t="shared" ca="1" si="36"/>
        <v>47604</v>
      </c>
      <c r="W569" s="115" t="e">
        <f ca="1"/>
        <v>#VALUE!</v>
      </c>
    </row>
    <row r="570" spans="13:23">
      <c r="M570" s="219">
        <f t="shared" ca="1" si="33"/>
        <v>47611</v>
      </c>
      <c r="N570" s="115" t="e">
        <f ca="1"/>
        <v>#VALUE!</v>
      </c>
      <c r="P570" s="219">
        <f t="shared" ca="1" si="34"/>
        <v>47611</v>
      </c>
      <c r="Q570" s="115" t="e">
        <f ca="1"/>
        <v>#VALUE!</v>
      </c>
      <c r="S570" s="219">
        <f t="shared" ca="1" si="35"/>
        <v>47611</v>
      </c>
      <c r="T570" s="115" t="e">
        <f ca="1"/>
        <v>#VALUE!</v>
      </c>
      <c r="V570" s="219">
        <f t="shared" ca="1" si="36"/>
        <v>47611</v>
      </c>
      <c r="W570" s="115" t="e">
        <f ca="1"/>
        <v>#VALUE!</v>
      </c>
    </row>
    <row r="571" spans="13:23">
      <c r="M571" s="219">
        <f t="shared" ca="1" si="33"/>
        <v>47618</v>
      </c>
      <c r="N571" s="115" t="e">
        <f ca="1"/>
        <v>#VALUE!</v>
      </c>
      <c r="P571" s="219">
        <f t="shared" ca="1" si="34"/>
        <v>47618</v>
      </c>
      <c r="Q571" s="115" t="e">
        <f ca="1"/>
        <v>#VALUE!</v>
      </c>
      <c r="S571" s="219">
        <f t="shared" ca="1" si="35"/>
        <v>47618</v>
      </c>
      <c r="T571" s="115" t="e">
        <f ca="1"/>
        <v>#VALUE!</v>
      </c>
      <c r="V571" s="219">
        <f t="shared" ca="1" si="36"/>
        <v>47618</v>
      </c>
      <c r="W571" s="115" t="e">
        <f ca="1"/>
        <v>#VALUE!</v>
      </c>
    </row>
    <row r="572" spans="13:23">
      <c r="M572" s="219">
        <f t="shared" ca="1" si="33"/>
        <v>47625</v>
      </c>
      <c r="N572" s="115" t="e">
        <f ca="1"/>
        <v>#VALUE!</v>
      </c>
      <c r="P572" s="219">
        <f t="shared" ca="1" si="34"/>
        <v>47625</v>
      </c>
      <c r="Q572" s="115" t="e">
        <f ca="1"/>
        <v>#VALUE!</v>
      </c>
      <c r="S572" s="219">
        <f t="shared" ca="1" si="35"/>
        <v>47625</v>
      </c>
      <c r="T572" s="115" t="e">
        <f ca="1"/>
        <v>#VALUE!</v>
      </c>
      <c r="V572" s="219">
        <f t="shared" ca="1" si="36"/>
        <v>47625</v>
      </c>
      <c r="W572" s="115" t="e">
        <f ca="1"/>
        <v>#VALUE!</v>
      </c>
    </row>
    <row r="573" spans="13:23">
      <c r="M573" s="219">
        <f t="shared" ca="1" si="33"/>
        <v>47632</v>
      </c>
      <c r="N573" s="115" t="e">
        <f ca="1"/>
        <v>#VALUE!</v>
      </c>
      <c r="P573" s="219">
        <f t="shared" ca="1" si="34"/>
        <v>47632</v>
      </c>
      <c r="Q573" s="115" t="e">
        <f ca="1"/>
        <v>#VALUE!</v>
      </c>
      <c r="S573" s="219">
        <f t="shared" ca="1" si="35"/>
        <v>47632</v>
      </c>
      <c r="T573" s="115" t="e">
        <f ca="1"/>
        <v>#VALUE!</v>
      </c>
      <c r="V573" s="219">
        <f t="shared" ca="1" si="36"/>
        <v>47632</v>
      </c>
      <c r="W573" s="115" t="e">
        <f ca="1"/>
        <v>#VALUE!</v>
      </c>
    </row>
    <row r="574" spans="13:23">
      <c r="M574" s="219">
        <f t="shared" ca="1" si="33"/>
        <v>47639</v>
      </c>
      <c r="N574" s="115" t="e">
        <f ca="1"/>
        <v>#VALUE!</v>
      </c>
      <c r="P574" s="219">
        <f t="shared" ca="1" si="34"/>
        <v>47639</v>
      </c>
      <c r="Q574" s="115" t="e">
        <f ca="1"/>
        <v>#VALUE!</v>
      </c>
      <c r="S574" s="219">
        <f t="shared" ca="1" si="35"/>
        <v>47639</v>
      </c>
      <c r="T574" s="115" t="e">
        <f ca="1"/>
        <v>#VALUE!</v>
      </c>
      <c r="V574" s="219">
        <f t="shared" ca="1" si="36"/>
        <v>47639</v>
      </c>
      <c r="W574" s="115" t="e">
        <f ca="1"/>
        <v>#VALUE!</v>
      </c>
    </row>
    <row r="575" spans="13:23">
      <c r="M575" s="219">
        <f t="shared" ca="1" si="33"/>
        <v>47646</v>
      </c>
      <c r="N575" s="115" t="e">
        <f ca="1"/>
        <v>#VALUE!</v>
      </c>
      <c r="P575" s="219">
        <f t="shared" ca="1" si="34"/>
        <v>47646</v>
      </c>
      <c r="Q575" s="115" t="e">
        <f ca="1"/>
        <v>#VALUE!</v>
      </c>
      <c r="S575" s="219">
        <f t="shared" ca="1" si="35"/>
        <v>47646</v>
      </c>
      <c r="T575" s="115" t="e">
        <f ca="1"/>
        <v>#VALUE!</v>
      </c>
      <c r="V575" s="219">
        <f t="shared" ca="1" si="36"/>
        <v>47646</v>
      </c>
      <c r="W575" s="115" t="e">
        <f ca="1"/>
        <v>#VALUE!</v>
      </c>
    </row>
    <row r="576" spans="13:23">
      <c r="M576" s="219">
        <f t="shared" ca="1" si="33"/>
        <v>47653</v>
      </c>
      <c r="N576" s="115" t="e">
        <f ca="1"/>
        <v>#VALUE!</v>
      </c>
      <c r="P576" s="219">
        <f t="shared" ca="1" si="34"/>
        <v>47653</v>
      </c>
      <c r="Q576" s="115" t="e">
        <f ca="1"/>
        <v>#VALUE!</v>
      </c>
      <c r="S576" s="219">
        <f t="shared" ca="1" si="35"/>
        <v>47653</v>
      </c>
      <c r="T576" s="115" t="e">
        <f ca="1"/>
        <v>#VALUE!</v>
      </c>
      <c r="V576" s="219">
        <f t="shared" ca="1" si="36"/>
        <v>47653</v>
      </c>
      <c r="W576" s="115" t="e">
        <f ca="1"/>
        <v>#VALUE!</v>
      </c>
    </row>
    <row r="577" spans="13:23">
      <c r="M577" s="219">
        <f t="shared" ca="1" si="33"/>
        <v>47660</v>
      </c>
      <c r="N577" s="115" t="e">
        <f ca="1"/>
        <v>#VALUE!</v>
      </c>
      <c r="P577" s="219">
        <f t="shared" ca="1" si="34"/>
        <v>47660</v>
      </c>
      <c r="Q577" s="115" t="e">
        <f ca="1"/>
        <v>#VALUE!</v>
      </c>
      <c r="S577" s="219">
        <f t="shared" ca="1" si="35"/>
        <v>47660</v>
      </c>
      <c r="T577" s="115" t="e">
        <f ca="1"/>
        <v>#VALUE!</v>
      </c>
      <c r="V577" s="219">
        <f t="shared" ca="1" si="36"/>
        <v>47660</v>
      </c>
      <c r="W577" s="115" t="e">
        <f ca="1"/>
        <v>#VALUE!</v>
      </c>
    </row>
    <row r="578" spans="13:23">
      <c r="M578" s="219">
        <f t="shared" ca="1" si="33"/>
        <v>47667</v>
      </c>
      <c r="N578" s="115" t="e">
        <f ca="1"/>
        <v>#VALUE!</v>
      </c>
      <c r="P578" s="219">
        <f t="shared" ca="1" si="34"/>
        <v>47667</v>
      </c>
      <c r="Q578" s="115" t="e">
        <f ca="1"/>
        <v>#VALUE!</v>
      </c>
      <c r="S578" s="219">
        <f t="shared" ca="1" si="35"/>
        <v>47667</v>
      </c>
      <c r="T578" s="115" t="e">
        <f ca="1"/>
        <v>#VALUE!</v>
      </c>
      <c r="V578" s="219">
        <f t="shared" ca="1" si="36"/>
        <v>47667</v>
      </c>
      <c r="W578" s="115" t="e">
        <f ca="1"/>
        <v>#VALUE!</v>
      </c>
    </row>
    <row r="579" spans="13:23">
      <c r="M579" s="219">
        <f t="shared" ca="1" si="33"/>
        <v>47674</v>
      </c>
      <c r="N579" s="115" t="e">
        <f ca="1"/>
        <v>#VALUE!</v>
      </c>
      <c r="P579" s="219">
        <f t="shared" ca="1" si="34"/>
        <v>47674</v>
      </c>
      <c r="Q579" s="115" t="e">
        <f ca="1"/>
        <v>#VALUE!</v>
      </c>
      <c r="S579" s="219">
        <f t="shared" ca="1" si="35"/>
        <v>47674</v>
      </c>
      <c r="T579" s="115" t="e">
        <f ca="1"/>
        <v>#VALUE!</v>
      </c>
      <c r="V579" s="219">
        <f t="shared" ca="1" si="36"/>
        <v>47674</v>
      </c>
      <c r="W579" s="115" t="e">
        <f ca="1"/>
        <v>#VALUE!</v>
      </c>
    </row>
    <row r="580" spans="13:23">
      <c r="M580" s="219">
        <f t="shared" ca="1" si="33"/>
        <v>47681</v>
      </c>
      <c r="N580" s="115" t="e">
        <f ca="1"/>
        <v>#VALUE!</v>
      </c>
      <c r="P580" s="219">
        <f t="shared" ca="1" si="34"/>
        <v>47681</v>
      </c>
      <c r="Q580" s="115" t="e">
        <f ca="1"/>
        <v>#VALUE!</v>
      </c>
      <c r="S580" s="219">
        <f t="shared" ca="1" si="35"/>
        <v>47681</v>
      </c>
      <c r="T580" s="115" t="e">
        <f ca="1"/>
        <v>#VALUE!</v>
      </c>
      <c r="V580" s="219">
        <f t="shared" ca="1" si="36"/>
        <v>47681</v>
      </c>
      <c r="W580" s="115" t="e">
        <f ca="1"/>
        <v>#VALUE!</v>
      </c>
    </row>
    <row r="581" spans="13:23">
      <c r="M581" s="219">
        <f t="shared" ca="1" si="33"/>
        <v>47688</v>
      </c>
      <c r="N581" s="115" t="e">
        <f ca="1"/>
        <v>#VALUE!</v>
      </c>
      <c r="P581" s="219">
        <f t="shared" ca="1" si="34"/>
        <v>47688</v>
      </c>
      <c r="Q581" s="115" t="e">
        <f ca="1"/>
        <v>#VALUE!</v>
      </c>
      <c r="S581" s="219">
        <f t="shared" ca="1" si="35"/>
        <v>47688</v>
      </c>
      <c r="T581" s="115" t="e">
        <f ca="1"/>
        <v>#VALUE!</v>
      </c>
      <c r="V581" s="219">
        <f t="shared" ca="1" si="36"/>
        <v>47688</v>
      </c>
      <c r="W581" s="115" t="e">
        <f ca="1"/>
        <v>#VALUE!</v>
      </c>
    </row>
    <row r="582" spans="13:23">
      <c r="M582" s="219">
        <f t="shared" ca="1" si="33"/>
        <v>47695</v>
      </c>
      <c r="N582" s="115" t="e">
        <f ca="1"/>
        <v>#VALUE!</v>
      </c>
      <c r="P582" s="219">
        <f t="shared" ca="1" si="34"/>
        <v>47695</v>
      </c>
      <c r="Q582" s="115" t="e">
        <f ca="1"/>
        <v>#VALUE!</v>
      </c>
      <c r="S582" s="219">
        <f t="shared" ca="1" si="35"/>
        <v>47695</v>
      </c>
      <c r="T582" s="115" t="e">
        <f ca="1"/>
        <v>#VALUE!</v>
      </c>
      <c r="V582" s="219">
        <f t="shared" ca="1" si="36"/>
        <v>47695</v>
      </c>
      <c r="W582" s="115" t="e">
        <f ca="1"/>
        <v>#VALUE!</v>
      </c>
    </row>
    <row r="583" spans="13:23">
      <c r="M583" s="219">
        <f t="shared" ca="1" si="33"/>
        <v>47702</v>
      </c>
      <c r="N583" s="115" t="e">
        <f ca="1"/>
        <v>#VALUE!</v>
      </c>
      <c r="P583" s="219">
        <f t="shared" ca="1" si="34"/>
        <v>47702</v>
      </c>
      <c r="Q583" s="115" t="e">
        <f ca="1"/>
        <v>#VALUE!</v>
      </c>
      <c r="S583" s="219">
        <f t="shared" ca="1" si="35"/>
        <v>47702</v>
      </c>
      <c r="T583" s="115" t="e">
        <f ca="1"/>
        <v>#VALUE!</v>
      </c>
      <c r="V583" s="219">
        <f t="shared" ca="1" si="36"/>
        <v>47702</v>
      </c>
      <c r="W583" s="115" t="e">
        <f ca="1"/>
        <v>#VALUE!</v>
      </c>
    </row>
    <row r="584" spans="13:23">
      <c r="M584" s="219">
        <f t="shared" ca="1" si="33"/>
        <v>47709</v>
      </c>
      <c r="N584" s="115" t="e">
        <f ca="1"/>
        <v>#VALUE!</v>
      </c>
      <c r="P584" s="219">
        <f t="shared" ca="1" si="34"/>
        <v>47709</v>
      </c>
      <c r="Q584" s="115" t="e">
        <f ca="1"/>
        <v>#VALUE!</v>
      </c>
      <c r="S584" s="219">
        <f t="shared" ca="1" si="35"/>
        <v>47709</v>
      </c>
      <c r="T584" s="115" t="e">
        <f ca="1"/>
        <v>#VALUE!</v>
      </c>
      <c r="V584" s="219">
        <f t="shared" ca="1" si="36"/>
        <v>47709</v>
      </c>
      <c r="W584" s="115" t="e">
        <f ca="1"/>
        <v>#VALUE!</v>
      </c>
    </row>
    <row r="585" spans="13:23">
      <c r="M585" s="219">
        <f t="shared" ca="1" si="33"/>
        <v>47716</v>
      </c>
      <c r="N585" s="115" t="e">
        <f ca="1"/>
        <v>#VALUE!</v>
      </c>
      <c r="P585" s="219">
        <f t="shared" ca="1" si="34"/>
        <v>47716</v>
      </c>
      <c r="Q585" s="115" t="e">
        <f ca="1"/>
        <v>#VALUE!</v>
      </c>
      <c r="S585" s="219">
        <f t="shared" ca="1" si="35"/>
        <v>47716</v>
      </c>
      <c r="T585" s="115" t="e">
        <f ca="1"/>
        <v>#VALUE!</v>
      </c>
      <c r="V585" s="219">
        <f t="shared" ca="1" si="36"/>
        <v>47716</v>
      </c>
      <c r="W585" s="115" t="e">
        <f ca="1"/>
        <v>#VALUE!</v>
      </c>
    </row>
    <row r="586" spans="13:23">
      <c r="M586" s="219">
        <f t="shared" ca="1" si="33"/>
        <v>47723</v>
      </c>
      <c r="N586" s="115" t="e">
        <f ca="1"/>
        <v>#VALUE!</v>
      </c>
      <c r="P586" s="219">
        <f t="shared" ca="1" si="34"/>
        <v>47723</v>
      </c>
      <c r="Q586" s="115" t="e">
        <f ca="1"/>
        <v>#VALUE!</v>
      </c>
      <c r="S586" s="219">
        <f t="shared" ca="1" si="35"/>
        <v>47723</v>
      </c>
      <c r="T586" s="115" t="e">
        <f ca="1"/>
        <v>#VALUE!</v>
      </c>
      <c r="V586" s="219">
        <f t="shared" ca="1" si="36"/>
        <v>47723</v>
      </c>
      <c r="W586" s="115" t="e">
        <f ca="1"/>
        <v>#VALUE!</v>
      </c>
    </row>
    <row r="587" spans="13:23">
      <c r="M587" s="219">
        <f t="shared" ca="1" si="33"/>
        <v>47730</v>
      </c>
      <c r="N587" s="115" t="e">
        <f ca="1"/>
        <v>#VALUE!</v>
      </c>
      <c r="P587" s="219">
        <f t="shared" ca="1" si="34"/>
        <v>47730</v>
      </c>
      <c r="Q587" s="115" t="e">
        <f ca="1"/>
        <v>#VALUE!</v>
      </c>
      <c r="S587" s="219">
        <f t="shared" ca="1" si="35"/>
        <v>47730</v>
      </c>
      <c r="T587" s="115" t="e">
        <f ca="1"/>
        <v>#VALUE!</v>
      </c>
      <c r="V587" s="219">
        <f t="shared" ca="1" si="36"/>
        <v>47730</v>
      </c>
      <c r="W587" s="115" t="e">
        <f ca="1"/>
        <v>#VALUE!</v>
      </c>
    </row>
    <row r="588" spans="13:23">
      <c r="M588" s="219">
        <f t="shared" ca="1" si="33"/>
        <v>47737</v>
      </c>
      <c r="N588" s="115" t="e">
        <f ca="1"/>
        <v>#VALUE!</v>
      </c>
      <c r="P588" s="219">
        <f t="shared" ca="1" si="34"/>
        <v>47737</v>
      </c>
      <c r="Q588" s="115" t="e">
        <f ca="1"/>
        <v>#VALUE!</v>
      </c>
      <c r="S588" s="219">
        <f t="shared" ca="1" si="35"/>
        <v>47737</v>
      </c>
      <c r="T588" s="115" t="e">
        <f ca="1"/>
        <v>#VALUE!</v>
      </c>
      <c r="V588" s="219">
        <f t="shared" ca="1" si="36"/>
        <v>47737</v>
      </c>
      <c r="W588" s="115" t="e">
        <f ca="1"/>
        <v>#VALUE!</v>
      </c>
    </row>
    <row r="589" spans="13:23">
      <c r="M589" s="219">
        <f t="shared" ref="M589:M652" ca="1" si="37">M588+7</f>
        <v>47744</v>
      </c>
      <c r="N589" s="115" t="e">
        <f ca="1"/>
        <v>#VALUE!</v>
      </c>
      <c r="P589" s="219">
        <f t="shared" ref="P589:P652" ca="1" si="38">P588+7</f>
        <v>47744</v>
      </c>
      <c r="Q589" s="115" t="e">
        <f ca="1"/>
        <v>#VALUE!</v>
      </c>
      <c r="S589" s="219">
        <f t="shared" ref="S589:S652" ca="1" si="39">S588+7</f>
        <v>47744</v>
      </c>
      <c r="T589" s="115" t="e">
        <f ca="1"/>
        <v>#VALUE!</v>
      </c>
      <c r="V589" s="219">
        <f t="shared" ref="V589:V652" ca="1" si="40">V588+7</f>
        <v>47744</v>
      </c>
      <c r="W589" s="115" t="e">
        <f ca="1"/>
        <v>#VALUE!</v>
      </c>
    </row>
    <row r="590" spans="13:23">
      <c r="M590" s="219">
        <f t="shared" ca="1" si="37"/>
        <v>47751</v>
      </c>
      <c r="N590" s="115" t="e">
        <f ca="1"/>
        <v>#VALUE!</v>
      </c>
      <c r="P590" s="219">
        <f t="shared" ca="1" si="38"/>
        <v>47751</v>
      </c>
      <c r="Q590" s="115" t="e">
        <f ca="1"/>
        <v>#VALUE!</v>
      </c>
      <c r="S590" s="219">
        <f t="shared" ca="1" si="39"/>
        <v>47751</v>
      </c>
      <c r="T590" s="115" t="e">
        <f ca="1"/>
        <v>#VALUE!</v>
      </c>
      <c r="V590" s="219">
        <f t="shared" ca="1" si="40"/>
        <v>47751</v>
      </c>
      <c r="W590" s="115" t="e">
        <f ca="1"/>
        <v>#VALUE!</v>
      </c>
    </row>
    <row r="591" spans="13:23">
      <c r="M591" s="219">
        <f t="shared" ca="1" si="37"/>
        <v>47758</v>
      </c>
      <c r="N591" s="115" t="e">
        <f ca="1"/>
        <v>#VALUE!</v>
      </c>
      <c r="P591" s="219">
        <f t="shared" ca="1" si="38"/>
        <v>47758</v>
      </c>
      <c r="Q591" s="115" t="e">
        <f ca="1"/>
        <v>#VALUE!</v>
      </c>
      <c r="S591" s="219">
        <f t="shared" ca="1" si="39"/>
        <v>47758</v>
      </c>
      <c r="T591" s="115" t="e">
        <f ca="1"/>
        <v>#VALUE!</v>
      </c>
      <c r="V591" s="219">
        <f t="shared" ca="1" si="40"/>
        <v>47758</v>
      </c>
      <c r="W591" s="115" t="e">
        <f ca="1"/>
        <v>#VALUE!</v>
      </c>
    </row>
    <row r="592" spans="13:23">
      <c r="M592" s="219">
        <f t="shared" ca="1" si="37"/>
        <v>47765</v>
      </c>
      <c r="N592" s="115" t="e">
        <f ca="1"/>
        <v>#VALUE!</v>
      </c>
      <c r="P592" s="219">
        <f t="shared" ca="1" si="38"/>
        <v>47765</v>
      </c>
      <c r="Q592" s="115" t="e">
        <f ca="1"/>
        <v>#VALUE!</v>
      </c>
      <c r="S592" s="219">
        <f t="shared" ca="1" si="39"/>
        <v>47765</v>
      </c>
      <c r="T592" s="115" t="e">
        <f ca="1"/>
        <v>#VALUE!</v>
      </c>
      <c r="V592" s="219">
        <f t="shared" ca="1" si="40"/>
        <v>47765</v>
      </c>
      <c r="W592" s="115" t="e">
        <f ca="1"/>
        <v>#VALUE!</v>
      </c>
    </row>
    <row r="593" spans="13:23">
      <c r="M593" s="219">
        <f t="shared" ca="1" si="37"/>
        <v>47772</v>
      </c>
      <c r="N593" s="115" t="e">
        <f ca="1"/>
        <v>#VALUE!</v>
      </c>
      <c r="P593" s="219">
        <f t="shared" ca="1" si="38"/>
        <v>47772</v>
      </c>
      <c r="Q593" s="115" t="e">
        <f ca="1"/>
        <v>#VALUE!</v>
      </c>
      <c r="S593" s="219">
        <f t="shared" ca="1" si="39"/>
        <v>47772</v>
      </c>
      <c r="T593" s="115" t="e">
        <f ca="1"/>
        <v>#VALUE!</v>
      </c>
      <c r="V593" s="219">
        <f t="shared" ca="1" si="40"/>
        <v>47772</v>
      </c>
      <c r="W593" s="115" t="e">
        <f ca="1"/>
        <v>#VALUE!</v>
      </c>
    </row>
    <row r="594" spans="13:23">
      <c r="M594" s="219">
        <f t="shared" ca="1" si="37"/>
        <v>47779</v>
      </c>
      <c r="N594" s="115" t="e">
        <f ca="1"/>
        <v>#VALUE!</v>
      </c>
      <c r="P594" s="219">
        <f t="shared" ca="1" si="38"/>
        <v>47779</v>
      </c>
      <c r="Q594" s="115" t="e">
        <f ca="1"/>
        <v>#VALUE!</v>
      </c>
      <c r="S594" s="219">
        <f t="shared" ca="1" si="39"/>
        <v>47779</v>
      </c>
      <c r="T594" s="115" t="e">
        <f ca="1"/>
        <v>#VALUE!</v>
      </c>
      <c r="V594" s="219">
        <f t="shared" ca="1" si="40"/>
        <v>47779</v>
      </c>
      <c r="W594" s="115" t="e">
        <f ca="1"/>
        <v>#VALUE!</v>
      </c>
    </row>
    <row r="595" spans="13:23">
      <c r="M595" s="219">
        <f t="shared" ca="1" si="37"/>
        <v>47786</v>
      </c>
      <c r="N595" s="115" t="e">
        <f ca="1"/>
        <v>#VALUE!</v>
      </c>
      <c r="P595" s="219">
        <f t="shared" ca="1" si="38"/>
        <v>47786</v>
      </c>
      <c r="Q595" s="115" t="e">
        <f ca="1"/>
        <v>#VALUE!</v>
      </c>
      <c r="S595" s="219">
        <f t="shared" ca="1" si="39"/>
        <v>47786</v>
      </c>
      <c r="T595" s="115" t="e">
        <f ca="1"/>
        <v>#VALUE!</v>
      </c>
      <c r="V595" s="219">
        <f t="shared" ca="1" si="40"/>
        <v>47786</v>
      </c>
      <c r="W595" s="115" t="e">
        <f ca="1"/>
        <v>#VALUE!</v>
      </c>
    </row>
    <row r="596" spans="13:23">
      <c r="M596" s="219">
        <f t="shared" ca="1" si="37"/>
        <v>47793</v>
      </c>
      <c r="N596" s="115" t="e">
        <f ca="1"/>
        <v>#VALUE!</v>
      </c>
      <c r="P596" s="219">
        <f t="shared" ca="1" si="38"/>
        <v>47793</v>
      </c>
      <c r="Q596" s="115" t="e">
        <f ca="1"/>
        <v>#VALUE!</v>
      </c>
      <c r="S596" s="219">
        <f t="shared" ca="1" si="39"/>
        <v>47793</v>
      </c>
      <c r="T596" s="115" t="e">
        <f ca="1"/>
        <v>#VALUE!</v>
      </c>
      <c r="V596" s="219">
        <f t="shared" ca="1" si="40"/>
        <v>47793</v>
      </c>
      <c r="W596" s="115" t="e">
        <f ca="1"/>
        <v>#VALUE!</v>
      </c>
    </row>
    <row r="597" spans="13:23">
      <c r="M597" s="219">
        <f t="shared" ca="1" si="37"/>
        <v>47800</v>
      </c>
      <c r="N597" s="115" t="e">
        <f ca="1"/>
        <v>#VALUE!</v>
      </c>
      <c r="P597" s="219">
        <f t="shared" ca="1" si="38"/>
        <v>47800</v>
      </c>
      <c r="Q597" s="115" t="e">
        <f ca="1"/>
        <v>#VALUE!</v>
      </c>
      <c r="S597" s="219">
        <f t="shared" ca="1" si="39"/>
        <v>47800</v>
      </c>
      <c r="T597" s="115" t="e">
        <f ca="1"/>
        <v>#VALUE!</v>
      </c>
      <c r="V597" s="219">
        <f t="shared" ca="1" si="40"/>
        <v>47800</v>
      </c>
      <c r="W597" s="115" t="e">
        <f ca="1"/>
        <v>#VALUE!</v>
      </c>
    </row>
    <row r="598" spans="13:23">
      <c r="M598" s="219">
        <f t="shared" ca="1" si="37"/>
        <v>47807</v>
      </c>
      <c r="N598" s="115" t="e">
        <f ca="1"/>
        <v>#VALUE!</v>
      </c>
      <c r="P598" s="219">
        <f t="shared" ca="1" si="38"/>
        <v>47807</v>
      </c>
      <c r="Q598" s="115" t="e">
        <f ca="1"/>
        <v>#VALUE!</v>
      </c>
      <c r="S598" s="219">
        <f t="shared" ca="1" si="39"/>
        <v>47807</v>
      </c>
      <c r="T598" s="115" t="e">
        <f ca="1"/>
        <v>#VALUE!</v>
      </c>
      <c r="V598" s="219">
        <f t="shared" ca="1" si="40"/>
        <v>47807</v>
      </c>
      <c r="W598" s="115" t="e">
        <f ca="1"/>
        <v>#VALUE!</v>
      </c>
    </row>
    <row r="599" spans="13:23">
      <c r="M599" s="219">
        <f t="shared" ca="1" si="37"/>
        <v>47814</v>
      </c>
      <c r="N599" s="115" t="e">
        <f ca="1"/>
        <v>#VALUE!</v>
      </c>
      <c r="P599" s="219">
        <f t="shared" ca="1" si="38"/>
        <v>47814</v>
      </c>
      <c r="Q599" s="115" t="e">
        <f ca="1"/>
        <v>#VALUE!</v>
      </c>
      <c r="S599" s="219">
        <f t="shared" ca="1" si="39"/>
        <v>47814</v>
      </c>
      <c r="T599" s="115" t="e">
        <f ca="1"/>
        <v>#VALUE!</v>
      </c>
      <c r="V599" s="219">
        <f t="shared" ca="1" si="40"/>
        <v>47814</v>
      </c>
      <c r="W599" s="115" t="e">
        <f ca="1"/>
        <v>#VALUE!</v>
      </c>
    </row>
    <row r="600" spans="13:23">
      <c r="M600" s="219">
        <f t="shared" ca="1" si="37"/>
        <v>47821</v>
      </c>
      <c r="N600" s="115" t="e">
        <f ca="1"/>
        <v>#VALUE!</v>
      </c>
      <c r="P600" s="219">
        <f t="shared" ca="1" si="38"/>
        <v>47821</v>
      </c>
      <c r="Q600" s="115" t="e">
        <f ca="1"/>
        <v>#VALUE!</v>
      </c>
      <c r="S600" s="219">
        <f t="shared" ca="1" si="39"/>
        <v>47821</v>
      </c>
      <c r="T600" s="115" t="e">
        <f ca="1"/>
        <v>#VALUE!</v>
      </c>
      <c r="V600" s="219">
        <f t="shared" ca="1" si="40"/>
        <v>47821</v>
      </c>
      <c r="W600" s="115" t="e">
        <f ca="1"/>
        <v>#VALUE!</v>
      </c>
    </row>
    <row r="601" spans="13:23">
      <c r="M601" s="219">
        <f t="shared" ca="1" si="37"/>
        <v>47828</v>
      </c>
      <c r="N601" s="115" t="e">
        <f ca="1"/>
        <v>#VALUE!</v>
      </c>
      <c r="P601" s="219">
        <f t="shared" ca="1" si="38"/>
        <v>47828</v>
      </c>
      <c r="Q601" s="115" t="e">
        <f ca="1"/>
        <v>#VALUE!</v>
      </c>
      <c r="S601" s="219">
        <f t="shared" ca="1" si="39"/>
        <v>47828</v>
      </c>
      <c r="T601" s="115" t="e">
        <f ca="1"/>
        <v>#VALUE!</v>
      </c>
      <c r="V601" s="219">
        <f t="shared" ca="1" si="40"/>
        <v>47828</v>
      </c>
      <c r="W601" s="115" t="e">
        <f ca="1"/>
        <v>#VALUE!</v>
      </c>
    </row>
    <row r="602" spans="13:23">
      <c r="M602" s="219">
        <f t="shared" ca="1" si="37"/>
        <v>47835</v>
      </c>
      <c r="N602" s="115" t="e">
        <f ca="1"/>
        <v>#VALUE!</v>
      </c>
      <c r="P602" s="219">
        <f t="shared" ca="1" si="38"/>
        <v>47835</v>
      </c>
      <c r="Q602" s="115" t="e">
        <f ca="1"/>
        <v>#VALUE!</v>
      </c>
      <c r="S602" s="219">
        <f t="shared" ca="1" si="39"/>
        <v>47835</v>
      </c>
      <c r="T602" s="115" t="e">
        <f ca="1"/>
        <v>#VALUE!</v>
      </c>
      <c r="V602" s="219">
        <f t="shared" ca="1" si="40"/>
        <v>47835</v>
      </c>
      <c r="W602" s="115" t="e">
        <f ca="1"/>
        <v>#VALUE!</v>
      </c>
    </row>
    <row r="603" spans="13:23">
      <c r="M603" s="219">
        <f t="shared" ca="1" si="37"/>
        <v>47842</v>
      </c>
      <c r="N603" s="115" t="e">
        <f ca="1"/>
        <v>#VALUE!</v>
      </c>
      <c r="P603" s="219">
        <f t="shared" ca="1" si="38"/>
        <v>47842</v>
      </c>
      <c r="Q603" s="115" t="e">
        <f ca="1"/>
        <v>#VALUE!</v>
      </c>
      <c r="S603" s="219">
        <f t="shared" ca="1" si="39"/>
        <v>47842</v>
      </c>
      <c r="T603" s="115" t="e">
        <f ca="1"/>
        <v>#VALUE!</v>
      </c>
      <c r="V603" s="219">
        <f t="shared" ca="1" si="40"/>
        <v>47842</v>
      </c>
      <c r="W603" s="115" t="e">
        <f ca="1"/>
        <v>#VALUE!</v>
      </c>
    </row>
    <row r="604" spans="13:23">
      <c r="M604" s="219">
        <f t="shared" ca="1" si="37"/>
        <v>47849</v>
      </c>
      <c r="N604" s="115" t="e">
        <f ca="1"/>
        <v>#VALUE!</v>
      </c>
      <c r="P604" s="219">
        <f t="shared" ca="1" si="38"/>
        <v>47849</v>
      </c>
      <c r="Q604" s="115" t="e">
        <f ca="1"/>
        <v>#VALUE!</v>
      </c>
      <c r="S604" s="219">
        <f t="shared" ca="1" si="39"/>
        <v>47849</v>
      </c>
      <c r="T604" s="115" t="e">
        <f ca="1"/>
        <v>#VALUE!</v>
      </c>
      <c r="V604" s="219">
        <f t="shared" ca="1" si="40"/>
        <v>47849</v>
      </c>
      <c r="W604" s="115" t="e">
        <f ca="1"/>
        <v>#VALUE!</v>
      </c>
    </row>
    <row r="605" spans="13:23">
      <c r="M605" s="219">
        <f t="shared" ca="1" si="37"/>
        <v>47856</v>
      </c>
      <c r="N605" s="115" t="e">
        <f ca="1"/>
        <v>#VALUE!</v>
      </c>
      <c r="P605" s="219">
        <f t="shared" ca="1" si="38"/>
        <v>47856</v>
      </c>
      <c r="Q605" s="115" t="e">
        <f ca="1"/>
        <v>#VALUE!</v>
      </c>
      <c r="S605" s="219">
        <f t="shared" ca="1" si="39"/>
        <v>47856</v>
      </c>
      <c r="T605" s="115" t="e">
        <f ca="1"/>
        <v>#VALUE!</v>
      </c>
      <c r="V605" s="219">
        <f t="shared" ca="1" si="40"/>
        <v>47856</v>
      </c>
      <c r="W605" s="115" t="e">
        <f ca="1"/>
        <v>#VALUE!</v>
      </c>
    </row>
    <row r="606" spans="13:23">
      <c r="M606" s="219">
        <f t="shared" ca="1" si="37"/>
        <v>47863</v>
      </c>
      <c r="N606" s="115" t="e">
        <f ca="1"/>
        <v>#VALUE!</v>
      </c>
      <c r="P606" s="219">
        <f t="shared" ca="1" si="38"/>
        <v>47863</v>
      </c>
      <c r="Q606" s="115" t="e">
        <f ca="1"/>
        <v>#VALUE!</v>
      </c>
      <c r="S606" s="219">
        <f t="shared" ca="1" si="39"/>
        <v>47863</v>
      </c>
      <c r="T606" s="115" t="e">
        <f ca="1"/>
        <v>#VALUE!</v>
      </c>
      <c r="V606" s="219">
        <f t="shared" ca="1" si="40"/>
        <v>47863</v>
      </c>
      <c r="W606" s="115" t="e">
        <f ca="1"/>
        <v>#VALUE!</v>
      </c>
    </row>
    <row r="607" spans="13:23">
      <c r="M607" s="219">
        <f t="shared" ca="1" si="37"/>
        <v>47870</v>
      </c>
      <c r="N607" s="115" t="e">
        <f ca="1"/>
        <v>#VALUE!</v>
      </c>
      <c r="P607" s="219">
        <f t="shared" ca="1" si="38"/>
        <v>47870</v>
      </c>
      <c r="Q607" s="115" t="e">
        <f ca="1"/>
        <v>#VALUE!</v>
      </c>
      <c r="S607" s="219">
        <f t="shared" ca="1" si="39"/>
        <v>47870</v>
      </c>
      <c r="T607" s="115" t="e">
        <f ca="1"/>
        <v>#VALUE!</v>
      </c>
      <c r="V607" s="219">
        <f t="shared" ca="1" si="40"/>
        <v>47870</v>
      </c>
      <c r="W607" s="115" t="e">
        <f ca="1"/>
        <v>#VALUE!</v>
      </c>
    </row>
    <row r="608" spans="13:23">
      <c r="M608" s="219">
        <f t="shared" ca="1" si="37"/>
        <v>47877</v>
      </c>
      <c r="N608" s="115" t="e">
        <f ca="1"/>
        <v>#VALUE!</v>
      </c>
      <c r="P608" s="219">
        <f t="shared" ca="1" si="38"/>
        <v>47877</v>
      </c>
      <c r="Q608" s="115" t="e">
        <f ca="1"/>
        <v>#VALUE!</v>
      </c>
      <c r="S608" s="219">
        <f t="shared" ca="1" si="39"/>
        <v>47877</v>
      </c>
      <c r="T608" s="115" t="e">
        <f ca="1"/>
        <v>#VALUE!</v>
      </c>
      <c r="V608" s="219">
        <f t="shared" ca="1" si="40"/>
        <v>47877</v>
      </c>
      <c r="W608" s="115" t="e">
        <f ca="1"/>
        <v>#VALUE!</v>
      </c>
    </row>
    <row r="609" spans="13:23">
      <c r="M609" s="219">
        <f t="shared" ca="1" si="37"/>
        <v>47884</v>
      </c>
      <c r="N609" s="115" t="e">
        <f ca="1"/>
        <v>#VALUE!</v>
      </c>
      <c r="P609" s="219">
        <f t="shared" ca="1" si="38"/>
        <v>47884</v>
      </c>
      <c r="Q609" s="115" t="e">
        <f ca="1"/>
        <v>#VALUE!</v>
      </c>
      <c r="S609" s="219">
        <f t="shared" ca="1" si="39"/>
        <v>47884</v>
      </c>
      <c r="T609" s="115" t="e">
        <f ca="1"/>
        <v>#VALUE!</v>
      </c>
      <c r="V609" s="219">
        <f t="shared" ca="1" si="40"/>
        <v>47884</v>
      </c>
      <c r="W609" s="115" t="e">
        <f ca="1"/>
        <v>#VALUE!</v>
      </c>
    </row>
    <row r="610" spans="13:23">
      <c r="M610" s="219">
        <f t="shared" ca="1" si="37"/>
        <v>47891</v>
      </c>
      <c r="N610" s="115" t="e">
        <f ca="1"/>
        <v>#VALUE!</v>
      </c>
      <c r="P610" s="219">
        <f t="shared" ca="1" si="38"/>
        <v>47891</v>
      </c>
      <c r="Q610" s="115" t="e">
        <f ca="1"/>
        <v>#VALUE!</v>
      </c>
      <c r="S610" s="219">
        <f t="shared" ca="1" si="39"/>
        <v>47891</v>
      </c>
      <c r="T610" s="115" t="e">
        <f ca="1"/>
        <v>#VALUE!</v>
      </c>
      <c r="V610" s="219">
        <f t="shared" ca="1" si="40"/>
        <v>47891</v>
      </c>
      <c r="W610" s="115" t="e">
        <f ca="1"/>
        <v>#VALUE!</v>
      </c>
    </row>
    <row r="611" spans="13:23">
      <c r="M611" s="219">
        <f t="shared" ca="1" si="37"/>
        <v>47898</v>
      </c>
      <c r="N611" s="115" t="e">
        <f ca="1"/>
        <v>#VALUE!</v>
      </c>
      <c r="P611" s="219">
        <f t="shared" ca="1" si="38"/>
        <v>47898</v>
      </c>
      <c r="Q611" s="115" t="e">
        <f ca="1"/>
        <v>#VALUE!</v>
      </c>
      <c r="S611" s="219">
        <f t="shared" ca="1" si="39"/>
        <v>47898</v>
      </c>
      <c r="T611" s="115" t="e">
        <f ca="1"/>
        <v>#VALUE!</v>
      </c>
      <c r="V611" s="219">
        <f t="shared" ca="1" si="40"/>
        <v>47898</v>
      </c>
      <c r="W611" s="115" t="e">
        <f ca="1"/>
        <v>#VALUE!</v>
      </c>
    </row>
    <row r="612" spans="13:23">
      <c r="M612" s="219">
        <f t="shared" ca="1" si="37"/>
        <v>47905</v>
      </c>
      <c r="N612" s="115" t="e">
        <f ca="1"/>
        <v>#VALUE!</v>
      </c>
      <c r="P612" s="219">
        <f t="shared" ca="1" si="38"/>
        <v>47905</v>
      </c>
      <c r="Q612" s="115" t="e">
        <f ca="1"/>
        <v>#VALUE!</v>
      </c>
      <c r="S612" s="219">
        <f t="shared" ca="1" si="39"/>
        <v>47905</v>
      </c>
      <c r="T612" s="115" t="e">
        <f ca="1"/>
        <v>#VALUE!</v>
      </c>
      <c r="V612" s="219">
        <f t="shared" ca="1" si="40"/>
        <v>47905</v>
      </c>
      <c r="W612" s="115" t="e">
        <f ca="1"/>
        <v>#VALUE!</v>
      </c>
    </row>
    <row r="613" spans="13:23">
      <c r="M613" s="219">
        <f t="shared" ca="1" si="37"/>
        <v>47912</v>
      </c>
      <c r="N613" s="115" t="e">
        <f ca="1"/>
        <v>#VALUE!</v>
      </c>
      <c r="P613" s="219">
        <f t="shared" ca="1" si="38"/>
        <v>47912</v>
      </c>
      <c r="Q613" s="115" t="e">
        <f ca="1"/>
        <v>#VALUE!</v>
      </c>
      <c r="S613" s="219">
        <f t="shared" ca="1" si="39"/>
        <v>47912</v>
      </c>
      <c r="T613" s="115" t="e">
        <f ca="1"/>
        <v>#VALUE!</v>
      </c>
      <c r="V613" s="219">
        <f t="shared" ca="1" si="40"/>
        <v>47912</v>
      </c>
      <c r="W613" s="115" t="e">
        <f ca="1"/>
        <v>#VALUE!</v>
      </c>
    </row>
    <row r="614" spans="13:23">
      <c r="M614" s="219">
        <f t="shared" ca="1" si="37"/>
        <v>47919</v>
      </c>
      <c r="N614" s="115" t="e">
        <f ca="1"/>
        <v>#VALUE!</v>
      </c>
      <c r="P614" s="219">
        <f t="shared" ca="1" si="38"/>
        <v>47919</v>
      </c>
      <c r="Q614" s="115" t="e">
        <f ca="1"/>
        <v>#VALUE!</v>
      </c>
      <c r="S614" s="219">
        <f t="shared" ca="1" si="39"/>
        <v>47919</v>
      </c>
      <c r="T614" s="115" t="e">
        <f ca="1"/>
        <v>#VALUE!</v>
      </c>
      <c r="V614" s="219">
        <f t="shared" ca="1" si="40"/>
        <v>47919</v>
      </c>
      <c r="W614" s="115" t="e">
        <f ca="1"/>
        <v>#VALUE!</v>
      </c>
    </row>
    <row r="615" spans="13:23">
      <c r="M615" s="219">
        <f t="shared" ca="1" si="37"/>
        <v>47926</v>
      </c>
      <c r="N615" s="115" t="e">
        <f ca="1"/>
        <v>#VALUE!</v>
      </c>
      <c r="P615" s="219">
        <f t="shared" ca="1" si="38"/>
        <v>47926</v>
      </c>
      <c r="Q615" s="115" t="e">
        <f ca="1"/>
        <v>#VALUE!</v>
      </c>
      <c r="S615" s="219">
        <f t="shared" ca="1" si="39"/>
        <v>47926</v>
      </c>
      <c r="T615" s="115" t="e">
        <f ca="1"/>
        <v>#VALUE!</v>
      </c>
      <c r="V615" s="219">
        <f t="shared" ca="1" si="40"/>
        <v>47926</v>
      </c>
      <c r="W615" s="115" t="e">
        <f ca="1"/>
        <v>#VALUE!</v>
      </c>
    </row>
    <row r="616" spans="13:23">
      <c r="M616" s="219">
        <f t="shared" ca="1" si="37"/>
        <v>47933</v>
      </c>
      <c r="N616" s="115" t="e">
        <f ca="1"/>
        <v>#VALUE!</v>
      </c>
      <c r="P616" s="219">
        <f t="shared" ca="1" si="38"/>
        <v>47933</v>
      </c>
      <c r="Q616" s="115" t="e">
        <f ca="1"/>
        <v>#VALUE!</v>
      </c>
      <c r="S616" s="219">
        <f t="shared" ca="1" si="39"/>
        <v>47933</v>
      </c>
      <c r="T616" s="115" t="e">
        <f ca="1"/>
        <v>#VALUE!</v>
      </c>
      <c r="V616" s="219">
        <f t="shared" ca="1" si="40"/>
        <v>47933</v>
      </c>
      <c r="W616" s="115" t="e">
        <f ca="1"/>
        <v>#VALUE!</v>
      </c>
    </row>
    <row r="617" spans="13:23">
      <c r="M617" s="219">
        <f t="shared" ca="1" si="37"/>
        <v>47940</v>
      </c>
      <c r="N617" s="115" t="e">
        <f ca="1"/>
        <v>#VALUE!</v>
      </c>
      <c r="P617" s="219">
        <f t="shared" ca="1" si="38"/>
        <v>47940</v>
      </c>
      <c r="Q617" s="115" t="e">
        <f ca="1"/>
        <v>#VALUE!</v>
      </c>
      <c r="S617" s="219">
        <f t="shared" ca="1" si="39"/>
        <v>47940</v>
      </c>
      <c r="T617" s="115" t="e">
        <f ca="1"/>
        <v>#VALUE!</v>
      </c>
      <c r="V617" s="219">
        <f t="shared" ca="1" si="40"/>
        <v>47940</v>
      </c>
      <c r="W617" s="115" t="e">
        <f ca="1"/>
        <v>#VALUE!</v>
      </c>
    </row>
    <row r="618" spans="13:23">
      <c r="M618" s="219">
        <f t="shared" ca="1" si="37"/>
        <v>47947</v>
      </c>
      <c r="N618" s="115" t="e">
        <f ca="1"/>
        <v>#VALUE!</v>
      </c>
      <c r="P618" s="219">
        <f t="shared" ca="1" si="38"/>
        <v>47947</v>
      </c>
      <c r="Q618" s="115" t="e">
        <f ca="1"/>
        <v>#VALUE!</v>
      </c>
      <c r="S618" s="219">
        <f t="shared" ca="1" si="39"/>
        <v>47947</v>
      </c>
      <c r="T618" s="115" t="e">
        <f ca="1"/>
        <v>#VALUE!</v>
      </c>
      <c r="V618" s="219">
        <f t="shared" ca="1" si="40"/>
        <v>47947</v>
      </c>
      <c r="W618" s="115" t="e">
        <f ca="1"/>
        <v>#VALUE!</v>
      </c>
    </row>
    <row r="619" spans="13:23">
      <c r="M619" s="219">
        <f t="shared" ca="1" si="37"/>
        <v>47954</v>
      </c>
      <c r="N619" s="115" t="e">
        <f ca="1"/>
        <v>#VALUE!</v>
      </c>
      <c r="P619" s="219">
        <f t="shared" ca="1" si="38"/>
        <v>47954</v>
      </c>
      <c r="Q619" s="115" t="e">
        <f ca="1"/>
        <v>#VALUE!</v>
      </c>
      <c r="S619" s="219">
        <f t="shared" ca="1" si="39"/>
        <v>47954</v>
      </c>
      <c r="T619" s="115" t="e">
        <f ca="1"/>
        <v>#VALUE!</v>
      </c>
      <c r="V619" s="219">
        <f t="shared" ca="1" si="40"/>
        <v>47954</v>
      </c>
      <c r="W619" s="115" t="e">
        <f ca="1"/>
        <v>#VALUE!</v>
      </c>
    </row>
    <row r="620" spans="13:23">
      <c r="M620" s="219">
        <f t="shared" ca="1" si="37"/>
        <v>47961</v>
      </c>
      <c r="N620" s="115" t="e">
        <f ca="1"/>
        <v>#VALUE!</v>
      </c>
      <c r="P620" s="219">
        <f t="shared" ca="1" si="38"/>
        <v>47961</v>
      </c>
      <c r="Q620" s="115" t="e">
        <f ca="1"/>
        <v>#VALUE!</v>
      </c>
      <c r="S620" s="219">
        <f t="shared" ca="1" si="39"/>
        <v>47961</v>
      </c>
      <c r="T620" s="115" t="e">
        <f ca="1"/>
        <v>#VALUE!</v>
      </c>
      <c r="V620" s="219">
        <f t="shared" ca="1" si="40"/>
        <v>47961</v>
      </c>
      <c r="W620" s="115" t="e">
        <f ca="1"/>
        <v>#VALUE!</v>
      </c>
    </row>
    <row r="621" spans="13:23">
      <c r="M621" s="219">
        <f t="shared" ca="1" si="37"/>
        <v>47968</v>
      </c>
      <c r="N621" s="115" t="e">
        <f ca="1"/>
        <v>#VALUE!</v>
      </c>
      <c r="P621" s="219">
        <f t="shared" ca="1" si="38"/>
        <v>47968</v>
      </c>
      <c r="Q621" s="115" t="e">
        <f ca="1"/>
        <v>#VALUE!</v>
      </c>
      <c r="S621" s="219">
        <f t="shared" ca="1" si="39"/>
        <v>47968</v>
      </c>
      <c r="T621" s="115" t="e">
        <f ca="1"/>
        <v>#VALUE!</v>
      </c>
      <c r="V621" s="219">
        <f t="shared" ca="1" si="40"/>
        <v>47968</v>
      </c>
      <c r="W621" s="115" t="e">
        <f ca="1"/>
        <v>#VALUE!</v>
      </c>
    </row>
    <row r="622" spans="13:23">
      <c r="M622" s="219">
        <f t="shared" ca="1" si="37"/>
        <v>47975</v>
      </c>
      <c r="N622" s="115" t="e">
        <f ca="1"/>
        <v>#VALUE!</v>
      </c>
      <c r="P622" s="219">
        <f t="shared" ca="1" si="38"/>
        <v>47975</v>
      </c>
      <c r="Q622" s="115" t="e">
        <f ca="1"/>
        <v>#VALUE!</v>
      </c>
      <c r="S622" s="219">
        <f t="shared" ca="1" si="39"/>
        <v>47975</v>
      </c>
      <c r="T622" s="115" t="e">
        <f ca="1"/>
        <v>#VALUE!</v>
      </c>
      <c r="V622" s="219">
        <f t="shared" ca="1" si="40"/>
        <v>47975</v>
      </c>
      <c r="W622" s="115" t="e">
        <f ca="1"/>
        <v>#VALUE!</v>
      </c>
    </row>
    <row r="623" spans="13:23">
      <c r="M623" s="219">
        <f t="shared" ca="1" si="37"/>
        <v>47982</v>
      </c>
      <c r="N623" s="115" t="e">
        <f ca="1"/>
        <v>#VALUE!</v>
      </c>
      <c r="P623" s="219">
        <f t="shared" ca="1" si="38"/>
        <v>47982</v>
      </c>
      <c r="Q623" s="115" t="e">
        <f ca="1"/>
        <v>#VALUE!</v>
      </c>
      <c r="S623" s="219">
        <f t="shared" ca="1" si="39"/>
        <v>47982</v>
      </c>
      <c r="T623" s="115" t="e">
        <f ca="1"/>
        <v>#VALUE!</v>
      </c>
      <c r="V623" s="219">
        <f t="shared" ca="1" si="40"/>
        <v>47982</v>
      </c>
      <c r="W623" s="115" t="e">
        <f ca="1"/>
        <v>#VALUE!</v>
      </c>
    </row>
    <row r="624" spans="13:23">
      <c r="M624" s="219">
        <f t="shared" ca="1" si="37"/>
        <v>47989</v>
      </c>
      <c r="N624" s="115" t="e">
        <f ca="1"/>
        <v>#VALUE!</v>
      </c>
      <c r="P624" s="219">
        <f t="shared" ca="1" si="38"/>
        <v>47989</v>
      </c>
      <c r="Q624" s="115" t="e">
        <f ca="1"/>
        <v>#VALUE!</v>
      </c>
      <c r="S624" s="219">
        <f t="shared" ca="1" si="39"/>
        <v>47989</v>
      </c>
      <c r="T624" s="115" t="e">
        <f ca="1"/>
        <v>#VALUE!</v>
      </c>
      <c r="V624" s="219">
        <f t="shared" ca="1" si="40"/>
        <v>47989</v>
      </c>
      <c r="W624" s="115" t="e">
        <f ca="1"/>
        <v>#VALUE!</v>
      </c>
    </row>
    <row r="625" spans="13:23">
      <c r="M625" s="219">
        <f t="shared" ca="1" si="37"/>
        <v>47996</v>
      </c>
      <c r="N625" s="115" t="e">
        <f ca="1"/>
        <v>#VALUE!</v>
      </c>
      <c r="P625" s="219">
        <f t="shared" ca="1" si="38"/>
        <v>47996</v>
      </c>
      <c r="Q625" s="115" t="e">
        <f ca="1"/>
        <v>#VALUE!</v>
      </c>
      <c r="S625" s="219">
        <f t="shared" ca="1" si="39"/>
        <v>47996</v>
      </c>
      <c r="T625" s="115" t="e">
        <f ca="1"/>
        <v>#VALUE!</v>
      </c>
      <c r="V625" s="219">
        <f t="shared" ca="1" si="40"/>
        <v>47996</v>
      </c>
      <c r="W625" s="115" t="e">
        <f ca="1"/>
        <v>#VALUE!</v>
      </c>
    </row>
    <row r="626" spans="13:23">
      <c r="M626" s="219">
        <f t="shared" ca="1" si="37"/>
        <v>48003</v>
      </c>
      <c r="N626" s="115" t="e">
        <f ca="1"/>
        <v>#VALUE!</v>
      </c>
      <c r="P626" s="219">
        <f t="shared" ca="1" si="38"/>
        <v>48003</v>
      </c>
      <c r="Q626" s="115" t="e">
        <f ca="1"/>
        <v>#VALUE!</v>
      </c>
      <c r="S626" s="219">
        <f t="shared" ca="1" si="39"/>
        <v>48003</v>
      </c>
      <c r="T626" s="115" t="e">
        <f ca="1"/>
        <v>#VALUE!</v>
      </c>
      <c r="V626" s="219">
        <f t="shared" ca="1" si="40"/>
        <v>48003</v>
      </c>
      <c r="W626" s="115" t="e">
        <f ca="1"/>
        <v>#VALUE!</v>
      </c>
    </row>
    <row r="627" spans="13:23">
      <c r="M627" s="219">
        <f t="shared" ca="1" si="37"/>
        <v>48010</v>
      </c>
      <c r="N627" s="115" t="e">
        <f ca="1"/>
        <v>#VALUE!</v>
      </c>
      <c r="P627" s="219">
        <f t="shared" ca="1" si="38"/>
        <v>48010</v>
      </c>
      <c r="Q627" s="115" t="e">
        <f ca="1"/>
        <v>#VALUE!</v>
      </c>
      <c r="S627" s="219">
        <f t="shared" ca="1" si="39"/>
        <v>48010</v>
      </c>
      <c r="T627" s="115" t="e">
        <f ca="1"/>
        <v>#VALUE!</v>
      </c>
      <c r="V627" s="219">
        <f t="shared" ca="1" si="40"/>
        <v>48010</v>
      </c>
      <c r="W627" s="115" t="e">
        <f ca="1"/>
        <v>#VALUE!</v>
      </c>
    </row>
    <row r="628" spans="13:23">
      <c r="M628" s="219">
        <f t="shared" ca="1" si="37"/>
        <v>48017</v>
      </c>
      <c r="N628" s="115" t="e">
        <f ca="1"/>
        <v>#VALUE!</v>
      </c>
      <c r="P628" s="219">
        <f t="shared" ca="1" si="38"/>
        <v>48017</v>
      </c>
      <c r="Q628" s="115" t="e">
        <f ca="1"/>
        <v>#VALUE!</v>
      </c>
      <c r="S628" s="219">
        <f t="shared" ca="1" si="39"/>
        <v>48017</v>
      </c>
      <c r="T628" s="115" t="e">
        <f ca="1"/>
        <v>#VALUE!</v>
      </c>
      <c r="V628" s="219">
        <f t="shared" ca="1" si="40"/>
        <v>48017</v>
      </c>
      <c r="W628" s="115" t="e">
        <f ca="1"/>
        <v>#VALUE!</v>
      </c>
    </row>
    <row r="629" spans="13:23">
      <c r="M629" s="219">
        <f t="shared" ca="1" si="37"/>
        <v>48024</v>
      </c>
      <c r="N629" s="115" t="e">
        <f ca="1"/>
        <v>#VALUE!</v>
      </c>
      <c r="P629" s="219">
        <f t="shared" ca="1" si="38"/>
        <v>48024</v>
      </c>
      <c r="Q629" s="115" t="e">
        <f ca="1"/>
        <v>#VALUE!</v>
      </c>
      <c r="S629" s="219">
        <f t="shared" ca="1" si="39"/>
        <v>48024</v>
      </c>
      <c r="T629" s="115" t="e">
        <f ca="1"/>
        <v>#VALUE!</v>
      </c>
      <c r="V629" s="219">
        <f t="shared" ca="1" si="40"/>
        <v>48024</v>
      </c>
      <c r="W629" s="115" t="e">
        <f ca="1"/>
        <v>#VALUE!</v>
      </c>
    </row>
    <row r="630" spans="13:23">
      <c r="M630" s="219">
        <f t="shared" ca="1" si="37"/>
        <v>48031</v>
      </c>
      <c r="N630" s="115" t="e">
        <f ca="1"/>
        <v>#VALUE!</v>
      </c>
      <c r="P630" s="219">
        <f t="shared" ca="1" si="38"/>
        <v>48031</v>
      </c>
      <c r="Q630" s="115" t="e">
        <f ca="1"/>
        <v>#VALUE!</v>
      </c>
      <c r="S630" s="219">
        <f t="shared" ca="1" si="39"/>
        <v>48031</v>
      </c>
      <c r="T630" s="115" t="e">
        <f ca="1"/>
        <v>#VALUE!</v>
      </c>
      <c r="V630" s="219">
        <f t="shared" ca="1" si="40"/>
        <v>48031</v>
      </c>
      <c r="W630" s="115" t="e">
        <f ca="1"/>
        <v>#VALUE!</v>
      </c>
    </row>
    <row r="631" spans="13:23">
      <c r="M631" s="219">
        <f t="shared" ca="1" si="37"/>
        <v>48038</v>
      </c>
      <c r="N631" s="115" t="e">
        <f ca="1"/>
        <v>#VALUE!</v>
      </c>
      <c r="P631" s="219">
        <f t="shared" ca="1" si="38"/>
        <v>48038</v>
      </c>
      <c r="Q631" s="115" t="e">
        <f ca="1"/>
        <v>#VALUE!</v>
      </c>
      <c r="S631" s="219">
        <f t="shared" ca="1" si="39"/>
        <v>48038</v>
      </c>
      <c r="T631" s="115" t="e">
        <f ca="1"/>
        <v>#VALUE!</v>
      </c>
      <c r="V631" s="219">
        <f t="shared" ca="1" si="40"/>
        <v>48038</v>
      </c>
      <c r="W631" s="115" t="e">
        <f ca="1"/>
        <v>#VALUE!</v>
      </c>
    </row>
    <row r="632" spans="13:23">
      <c r="M632" s="219">
        <f t="shared" ca="1" si="37"/>
        <v>48045</v>
      </c>
      <c r="N632" s="115" t="e">
        <f ca="1"/>
        <v>#VALUE!</v>
      </c>
      <c r="P632" s="219">
        <f t="shared" ca="1" si="38"/>
        <v>48045</v>
      </c>
      <c r="Q632" s="115" t="e">
        <f ca="1"/>
        <v>#VALUE!</v>
      </c>
      <c r="S632" s="219">
        <f t="shared" ca="1" si="39"/>
        <v>48045</v>
      </c>
      <c r="T632" s="115" t="e">
        <f ca="1"/>
        <v>#VALUE!</v>
      </c>
      <c r="V632" s="219">
        <f t="shared" ca="1" si="40"/>
        <v>48045</v>
      </c>
      <c r="W632" s="115" t="e">
        <f ca="1"/>
        <v>#VALUE!</v>
      </c>
    </row>
    <row r="633" spans="13:23">
      <c r="M633" s="219">
        <f t="shared" ca="1" si="37"/>
        <v>48052</v>
      </c>
      <c r="N633" s="115" t="e">
        <f ca="1"/>
        <v>#VALUE!</v>
      </c>
      <c r="P633" s="219">
        <f t="shared" ca="1" si="38"/>
        <v>48052</v>
      </c>
      <c r="Q633" s="115" t="e">
        <f ca="1"/>
        <v>#VALUE!</v>
      </c>
      <c r="S633" s="219">
        <f t="shared" ca="1" si="39"/>
        <v>48052</v>
      </c>
      <c r="T633" s="115" t="e">
        <f ca="1"/>
        <v>#VALUE!</v>
      </c>
      <c r="V633" s="219">
        <f t="shared" ca="1" si="40"/>
        <v>48052</v>
      </c>
      <c r="W633" s="115" t="e">
        <f ca="1"/>
        <v>#VALUE!</v>
      </c>
    </row>
    <row r="634" spans="13:23">
      <c r="M634" s="219">
        <f t="shared" ca="1" si="37"/>
        <v>48059</v>
      </c>
      <c r="N634" s="115" t="e">
        <f ca="1"/>
        <v>#VALUE!</v>
      </c>
      <c r="P634" s="219">
        <f t="shared" ca="1" si="38"/>
        <v>48059</v>
      </c>
      <c r="Q634" s="115" t="e">
        <f ca="1"/>
        <v>#VALUE!</v>
      </c>
      <c r="S634" s="219">
        <f t="shared" ca="1" si="39"/>
        <v>48059</v>
      </c>
      <c r="T634" s="115" t="e">
        <f ca="1"/>
        <v>#VALUE!</v>
      </c>
      <c r="V634" s="219">
        <f t="shared" ca="1" si="40"/>
        <v>48059</v>
      </c>
      <c r="W634" s="115" t="e">
        <f ca="1"/>
        <v>#VALUE!</v>
      </c>
    </row>
    <row r="635" spans="13:23">
      <c r="M635" s="219">
        <f t="shared" ca="1" si="37"/>
        <v>48066</v>
      </c>
      <c r="N635" s="115" t="e">
        <f ca="1"/>
        <v>#VALUE!</v>
      </c>
      <c r="P635" s="219">
        <f t="shared" ca="1" si="38"/>
        <v>48066</v>
      </c>
      <c r="Q635" s="115" t="e">
        <f ca="1"/>
        <v>#VALUE!</v>
      </c>
      <c r="S635" s="219">
        <f t="shared" ca="1" si="39"/>
        <v>48066</v>
      </c>
      <c r="T635" s="115" t="e">
        <f ca="1"/>
        <v>#VALUE!</v>
      </c>
      <c r="V635" s="219">
        <f t="shared" ca="1" si="40"/>
        <v>48066</v>
      </c>
      <c r="W635" s="115" t="e">
        <f ca="1"/>
        <v>#VALUE!</v>
      </c>
    </row>
    <row r="636" spans="13:23">
      <c r="M636" s="219">
        <f t="shared" ca="1" si="37"/>
        <v>48073</v>
      </c>
      <c r="N636" s="115" t="e">
        <f ca="1"/>
        <v>#VALUE!</v>
      </c>
      <c r="P636" s="219">
        <f t="shared" ca="1" si="38"/>
        <v>48073</v>
      </c>
      <c r="Q636" s="115" t="e">
        <f ca="1"/>
        <v>#VALUE!</v>
      </c>
      <c r="S636" s="219">
        <f t="shared" ca="1" si="39"/>
        <v>48073</v>
      </c>
      <c r="T636" s="115" t="e">
        <f ca="1"/>
        <v>#VALUE!</v>
      </c>
      <c r="V636" s="219">
        <f t="shared" ca="1" si="40"/>
        <v>48073</v>
      </c>
      <c r="W636" s="115" t="e">
        <f ca="1"/>
        <v>#VALUE!</v>
      </c>
    </row>
    <row r="637" spans="13:23">
      <c r="M637" s="219">
        <f t="shared" ca="1" si="37"/>
        <v>48080</v>
      </c>
      <c r="N637" s="115" t="e">
        <f ca="1"/>
        <v>#VALUE!</v>
      </c>
      <c r="P637" s="219">
        <f t="shared" ca="1" si="38"/>
        <v>48080</v>
      </c>
      <c r="Q637" s="115" t="e">
        <f ca="1"/>
        <v>#VALUE!</v>
      </c>
      <c r="S637" s="219">
        <f t="shared" ca="1" si="39"/>
        <v>48080</v>
      </c>
      <c r="T637" s="115" t="e">
        <f ca="1"/>
        <v>#VALUE!</v>
      </c>
      <c r="V637" s="219">
        <f t="shared" ca="1" si="40"/>
        <v>48080</v>
      </c>
      <c r="W637" s="115" t="e">
        <f ca="1"/>
        <v>#VALUE!</v>
      </c>
    </row>
    <row r="638" spans="13:23">
      <c r="M638" s="219">
        <f t="shared" ca="1" si="37"/>
        <v>48087</v>
      </c>
      <c r="N638" s="115" t="e">
        <f ca="1"/>
        <v>#VALUE!</v>
      </c>
      <c r="P638" s="219">
        <f t="shared" ca="1" si="38"/>
        <v>48087</v>
      </c>
      <c r="Q638" s="115" t="e">
        <f ca="1"/>
        <v>#VALUE!</v>
      </c>
      <c r="S638" s="219">
        <f t="shared" ca="1" si="39"/>
        <v>48087</v>
      </c>
      <c r="T638" s="115" t="e">
        <f ca="1"/>
        <v>#VALUE!</v>
      </c>
      <c r="V638" s="219">
        <f t="shared" ca="1" si="40"/>
        <v>48087</v>
      </c>
      <c r="W638" s="115" t="e">
        <f ca="1"/>
        <v>#VALUE!</v>
      </c>
    </row>
    <row r="639" spans="13:23">
      <c r="M639" s="219">
        <f t="shared" ca="1" si="37"/>
        <v>48094</v>
      </c>
      <c r="N639" s="115" t="e">
        <f ca="1"/>
        <v>#VALUE!</v>
      </c>
      <c r="P639" s="219">
        <f t="shared" ca="1" si="38"/>
        <v>48094</v>
      </c>
      <c r="Q639" s="115" t="e">
        <f ca="1"/>
        <v>#VALUE!</v>
      </c>
      <c r="S639" s="219">
        <f t="shared" ca="1" si="39"/>
        <v>48094</v>
      </c>
      <c r="T639" s="115" t="e">
        <f ca="1"/>
        <v>#VALUE!</v>
      </c>
      <c r="V639" s="219">
        <f t="shared" ca="1" si="40"/>
        <v>48094</v>
      </c>
      <c r="W639" s="115" t="e">
        <f ca="1"/>
        <v>#VALUE!</v>
      </c>
    </row>
    <row r="640" spans="13:23">
      <c r="M640" s="219">
        <f t="shared" ca="1" si="37"/>
        <v>48101</v>
      </c>
      <c r="N640" s="115" t="e">
        <f ca="1"/>
        <v>#VALUE!</v>
      </c>
      <c r="P640" s="219">
        <f t="shared" ca="1" si="38"/>
        <v>48101</v>
      </c>
      <c r="Q640" s="115" t="e">
        <f ca="1"/>
        <v>#VALUE!</v>
      </c>
      <c r="S640" s="219">
        <f t="shared" ca="1" si="39"/>
        <v>48101</v>
      </c>
      <c r="T640" s="115" t="e">
        <f ca="1"/>
        <v>#VALUE!</v>
      </c>
      <c r="V640" s="219">
        <f t="shared" ca="1" si="40"/>
        <v>48101</v>
      </c>
      <c r="W640" s="115" t="e">
        <f ca="1"/>
        <v>#VALUE!</v>
      </c>
    </row>
    <row r="641" spans="13:23">
      <c r="M641" s="219">
        <f t="shared" ca="1" si="37"/>
        <v>48108</v>
      </c>
      <c r="N641" s="115" t="e">
        <f ca="1"/>
        <v>#VALUE!</v>
      </c>
      <c r="P641" s="219">
        <f t="shared" ca="1" si="38"/>
        <v>48108</v>
      </c>
      <c r="Q641" s="115" t="e">
        <f ca="1"/>
        <v>#VALUE!</v>
      </c>
      <c r="S641" s="219">
        <f t="shared" ca="1" si="39"/>
        <v>48108</v>
      </c>
      <c r="T641" s="115" t="e">
        <f ca="1"/>
        <v>#VALUE!</v>
      </c>
      <c r="V641" s="219">
        <f t="shared" ca="1" si="40"/>
        <v>48108</v>
      </c>
      <c r="W641" s="115" t="e">
        <f ca="1"/>
        <v>#VALUE!</v>
      </c>
    </row>
    <row r="642" spans="13:23">
      <c r="M642" s="219">
        <f t="shared" ca="1" si="37"/>
        <v>48115</v>
      </c>
      <c r="N642" s="115" t="e">
        <f ca="1"/>
        <v>#VALUE!</v>
      </c>
      <c r="P642" s="219">
        <f t="shared" ca="1" si="38"/>
        <v>48115</v>
      </c>
      <c r="Q642" s="115" t="e">
        <f ca="1"/>
        <v>#VALUE!</v>
      </c>
      <c r="S642" s="219">
        <f t="shared" ca="1" si="39"/>
        <v>48115</v>
      </c>
      <c r="T642" s="115" t="e">
        <f ca="1"/>
        <v>#VALUE!</v>
      </c>
      <c r="V642" s="219">
        <f t="shared" ca="1" si="40"/>
        <v>48115</v>
      </c>
      <c r="W642" s="115" t="e">
        <f ca="1"/>
        <v>#VALUE!</v>
      </c>
    </row>
    <row r="643" spans="13:23">
      <c r="M643" s="219">
        <f t="shared" ca="1" si="37"/>
        <v>48122</v>
      </c>
      <c r="N643" s="115" t="e">
        <f ca="1"/>
        <v>#VALUE!</v>
      </c>
      <c r="P643" s="219">
        <f t="shared" ca="1" si="38"/>
        <v>48122</v>
      </c>
      <c r="Q643" s="115" t="e">
        <f ca="1"/>
        <v>#VALUE!</v>
      </c>
      <c r="S643" s="219">
        <f t="shared" ca="1" si="39"/>
        <v>48122</v>
      </c>
      <c r="T643" s="115" t="e">
        <f ca="1"/>
        <v>#VALUE!</v>
      </c>
      <c r="V643" s="219">
        <f t="shared" ca="1" si="40"/>
        <v>48122</v>
      </c>
      <c r="W643" s="115" t="e">
        <f ca="1"/>
        <v>#VALUE!</v>
      </c>
    </row>
    <row r="644" spans="13:23">
      <c r="M644" s="219">
        <f t="shared" ca="1" si="37"/>
        <v>48129</v>
      </c>
      <c r="N644" s="115" t="e">
        <f ca="1"/>
        <v>#VALUE!</v>
      </c>
      <c r="P644" s="219">
        <f t="shared" ca="1" si="38"/>
        <v>48129</v>
      </c>
      <c r="Q644" s="115" t="e">
        <f ca="1"/>
        <v>#VALUE!</v>
      </c>
      <c r="S644" s="219">
        <f t="shared" ca="1" si="39"/>
        <v>48129</v>
      </c>
      <c r="T644" s="115" t="e">
        <f ca="1"/>
        <v>#VALUE!</v>
      </c>
      <c r="V644" s="219">
        <f t="shared" ca="1" si="40"/>
        <v>48129</v>
      </c>
      <c r="W644" s="115" t="e">
        <f ca="1"/>
        <v>#VALUE!</v>
      </c>
    </row>
    <row r="645" spans="13:23">
      <c r="M645" s="219">
        <f t="shared" ca="1" si="37"/>
        <v>48136</v>
      </c>
      <c r="N645" s="115" t="e">
        <f ca="1"/>
        <v>#VALUE!</v>
      </c>
      <c r="P645" s="219">
        <f t="shared" ca="1" si="38"/>
        <v>48136</v>
      </c>
      <c r="Q645" s="115" t="e">
        <f ca="1"/>
        <v>#VALUE!</v>
      </c>
      <c r="S645" s="219">
        <f t="shared" ca="1" si="39"/>
        <v>48136</v>
      </c>
      <c r="T645" s="115" t="e">
        <f ca="1"/>
        <v>#VALUE!</v>
      </c>
      <c r="V645" s="219">
        <f t="shared" ca="1" si="40"/>
        <v>48136</v>
      </c>
      <c r="W645" s="115" t="e">
        <f ca="1"/>
        <v>#VALUE!</v>
      </c>
    </row>
    <row r="646" spans="13:23">
      <c r="M646" s="219">
        <f t="shared" ca="1" si="37"/>
        <v>48143</v>
      </c>
      <c r="N646" s="115" t="e">
        <f ca="1"/>
        <v>#VALUE!</v>
      </c>
      <c r="P646" s="219">
        <f t="shared" ca="1" si="38"/>
        <v>48143</v>
      </c>
      <c r="Q646" s="115" t="e">
        <f ca="1"/>
        <v>#VALUE!</v>
      </c>
      <c r="S646" s="219">
        <f t="shared" ca="1" si="39"/>
        <v>48143</v>
      </c>
      <c r="T646" s="115" t="e">
        <f ca="1"/>
        <v>#VALUE!</v>
      </c>
      <c r="V646" s="219">
        <f t="shared" ca="1" si="40"/>
        <v>48143</v>
      </c>
      <c r="W646" s="115" t="e">
        <f ca="1"/>
        <v>#VALUE!</v>
      </c>
    </row>
    <row r="647" spans="13:23">
      <c r="M647" s="219">
        <f t="shared" ca="1" si="37"/>
        <v>48150</v>
      </c>
      <c r="N647" s="115" t="e">
        <f ca="1"/>
        <v>#VALUE!</v>
      </c>
      <c r="P647" s="219">
        <f t="shared" ca="1" si="38"/>
        <v>48150</v>
      </c>
      <c r="Q647" s="115" t="e">
        <f ca="1"/>
        <v>#VALUE!</v>
      </c>
      <c r="S647" s="219">
        <f t="shared" ca="1" si="39"/>
        <v>48150</v>
      </c>
      <c r="T647" s="115" t="e">
        <f ca="1"/>
        <v>#VALUE!</v>
      </c>
      <c r="V647" s="219">
        <f t="shared" ca="1" si="40"/>
        <v>48150</v>
      </c>
      <c r="W647" s="115" t="e">
        <f ca="1"/>
        <v>#VALUE!</v>
      </c>
    </row>
    <row r="648" spans="13:23">
      <c r="M648" s="219">
        <f t="shared" ca="1" si="37"/>
        <v>48157</v>
      </c>
      <c r="N648" s="115" t="e">
        <f ca="1"/>
        <v>#VALUE!</v>
      </c>
      <c r="P648" s="219">
        <f t="shared" ca="1" si="38"/>
        <v>48157</v>
      </c>
      <c r="Q648" s="115" t="e">
        <f ca="1"/>
        <v>#VALUE!</v>
      </c>
      <c r="S648" s="219">
        <f t="shared" ca="1" si="39"/>
        <v>48157</v>
      </c>
      <c r="T648" s="115" t="e">
        <f ca="1"/>
        <v>#VALUE!</v>
      </c>
      <c r="V648" s="219">
        <f t="shared" ca="1" si="40"/>
        <v>48157</v>
      </c>
      <c r="W648" s="115" t="e">
        <f ca="1"/>
        <v>#VALUE!</v>
      </c>
    </row>
    <row r="649" spans="13:23">
      <c r="M649" s="219">
        <f t="shared" ca="1" si="37"/>
        <v>48164</v>
      </c>
      <c r="N649" s="115" t="e">
        <f ca="1"/>
        <v>#VALUE!</v>
      </c>
      <c r="P649" s="219">
        <f t="shared" ca="1" si="38"/>
        <v>48164</v>
      </c>
      <c r="Q649" s="115" t="e">
        <f ca="1"/>
        <v>#VALUE!</v>
      </c>
      <c r="S649" s="219">
        <f t="shared" ca="1" si="39"/>
        <v>48164</v>
      </c>
      <c r="T649" s="115" t="e">
        <f ca="1"/>
        <v>#VALUE!</v>
      </c>
      <c r="V649" s="219">
        <f t="shared" ca="1" si="40"/>
        <v>48164</v>
      </c>
      <c r="W649" s="115" t="e">
        <f ca="1"/>
        <v>#VALUE!</v>
      </c>
    </row>
    <row r="650" spans="13:23">
      <c r="M650" s="219">
        <f t="shared" ca="1" si="37"/>
        <v>48171</v>
      </c>
      <c r="N650" s="115" t="e">
        <f ca="1"/>
        <v>#VALUE!</v>
      </c>
      <c r="P650" s="219">
        <f t="shared" ca="1" si="38"/>
        <v>48171</v>
      </c>
      <c r="Q650" s="115" t="e">
        <f ca="1"/>
        <v>#VALUE!</v>
      </c>
      <c r="S650" s="219">
        <f t="shared" ca="1" si="39"/>
        <v>48171</v>
      </c>
      <c r="T650" s="115" t="e">
        <f ca="1"/>
        <v>#VALUE!</v>
      </c>
      <c r="V650" s="219">
        <f t="shared" ca="1" si="40"/>
        <v>48171</v>
      </c>
      <c r="W650" s="115" t="e">
        <f ca="1"/>
        <v>#VALUE!</v>
      </c>
    </row>
    <row r="651" spans="13:23">
      <c r="M651" s="219">
        <f t="shared" ca="1" si="37"/>
        <v>48178</v>
      </c>
      <c r="N651" s="115" t="e">
        <f ca="1"/>
        <v>#VALUE!</v>
      </c>
      <c r="P651" s="219">
        <f t="shared" ca="1" si="38"/>
        <v>48178</v>
      </c>
      <c r="Q651" s="115" t="e">
        <f ca="1"/>
        <v>#VALUE!</v>
      </c>
      <c r="S651" s="219">
        <f t="shared" ca="1" si="39"/>
        <v>48178</v>
      </c>
      <c r="T651" s="115" t="e">
        <f ca="1"/>
        <v>#VALUE!</v>
      </c>
      <c r="V651" s="219">
        <f t="shared" ca="1" si="40"/>
        <v>48178</v>
      </c>
      <c r="W651" s="115" t="e">
        <f ca="1"/>
        <v>#VALUE!</v>
      </c>
    </row>
    <row r="652" spans="13:23">
      <c r="M652" s="219">
        <f t="shared" ca="1" si="37"/>
        <v>48185</v>
      </c>
      <c r="N652" s="115" t="e">
        <f ca="1"/>
        <v>#VALUE!</v>
      </c>
      <c r="P652" s="219">
        <f t="shared" ca="1" si="38"/>
        <v>48185</v>
      </c>
      <c r="Q652" s="115" t="e">
        <f ca="1"/>
        <v>#VALUE!</v>
      </c>
      <c r="S652" s="219">
        <f t="shared" ca="1" si="39"/>
        <v>48185</v>
      </c>
      <c r="T652" s="115" t="e">
        <f ca="1"/>
        <v>#VALUE!</v>
      </c>
      <c r="V652" s="219">
        <f t="shared" ca="1" si="40"/>
        <v>48185</v>
      </c>
      <c r="W652" s="115" t="e">
        <f ca="1"/>
        <v>#VALUE!</v>
      </c>
    </row>
    <row r="653" spans="13:23">
      <c r="M653" s="219">
        <f t="shared" ref="M653:M716" ca="1" si="41">M652+7</f>
        <v>48192</v>
      </c>
      <c r="N653" s="115" t="e">
        <f ca="1"/>
        <v>#VALUE!</v>
      </c>
      <c r="P653" s="219">
        <f t="shared" ref="P653:P716" ca="1" si="42">P652+7</f>
        <v>48192</v>
      </c>
      <c r="Q653" s="115" t="e">
        <f ca="1"/>
        <v>#VALUE!</v>
      </c>
      <c r="S653" s="219">
        <f t="shared" ref="S653:S716" ca="1" si="43">S652+7</f>
        <v>48192</v>
      </c>
      <c r="T653" s="115" t="e">
        <f ca="1"/>
        <v>#VALUE!</v>
      </c>
      <c r="V653" s="219">
        <f t="shared" ref="V653:V716" ca="1" si="44">V652+7</f>
        <v>48192</v>
      </c>
      <c r="W653" s="115" t="e">
        <f ca="1"/>
        <v>#VALUE!</v>
      </c>
    </row>
    <row r="654" spans="13:23">
      <c r="M654" s="219">
        <f t="shared" ca="1" si="41"/>
        <v>48199</v>
      </c>
      <c r="N654" s="115" t="e">
        <f ca="1"/>
        <v>#VALUE!</v>
      </c>
      <c r="P654" s="219">
        <f t="shared" ca="1" si="42"/>
        <v>48199</v>
      </c>
      <c r="Q654" s="115" t="e">
        <f ca="1"/>
        <v>#VALUE!</v>
      </c>
      <c r="S654" s="219">
        <f t="shared" ca="1" si="43"/>
        <v>48199</v>
      </c>
      <c r="T654" s="115" t="e">
        <f ca="1"/>
        <v>#VALUE!</v>
      </c>
      <c r="V654" s="219">
        <f t="shared" ca="1" si="44"/>
        <v>48199</v>
      </c>
      <c r="W654" s="115" t="e">
        <f ca="1"/>
        <v>#VALUE!</v>
      </c>
    </row>
    <row r="655" spans="13:23">
      <c r="M655" s="219">
        <f t="shared" ca="1" si="41"/>
        <v>48206</v>
      </c>
      <c r="N655" s="115" t="e">
        <f ca="1"/>
        <v>#VALUE!</v>
      </c>
      <c r="P655" s="219">
        <f t="shared" ca="1" si="42"/>
        <v>48206</v>
      </c>
      <c r="Q655" s="115" t="e">
        <f ca="1"/>
        <v>#VALUE!</v>
      </c>
      <c r="S655" s="219">
        <f t="shared" ca="1" si="43"/>
        <v>48206</v>
      </c>
      <c r="T655" s="115" t="e">
        <f ca="1"/>
        <v>#VALUE!</v>
      </c>
      <c r="V655" s="219">
        <f t="shared" ca="1" si="44"/>
        <v>48206</v>
      </c>
      <c r="W655" s="115" t="e">
        <f ca="1"/>
        <v>#VALUE!</v>
      </c>
    </row>
    <row r="656" spans="13:23">
      <c r="M656" s="219">
        <f t="shared" ca="1" si="41"/>
        <v>48213</v>
      </c>
      <c r="N656" s="115" t="e">
        <f ca="1"/>
        <v>#VALUE!</v>
      </c>
      <c r="P656" s="219">
        <f t="shared" ca="1" si="42"/>
        <v>48213</v>
      </c>
      <c r="Q656" s="115" t="e">
        <f ca="1"/>
        <v>#VALUE!</v>
      </c>
      <c r="S656" s="219">
        <f t="shared" ca="1" si="43"/>
        <v>48213</v>
      </c>
      <c r="T656" s="115" t="e">
        <f ca="1"/>
        <v>#VALUE!</v>
      </c>
      <c r="V656" s="219">
        <f t="shared" ca="1" si="44"/>
        <v>48213</v>
      </c>
      <c r="W656" s="115" t="e">
        <f ca="1"/>
        <v>#VALUE!</v>
      </c>
    </row>
    <row r="657" spans="13:23">
      <c r="M657" s="219">
        <f t="shared" ca="1" si="41"/>
        <v>48220</v>
      </c>
      <c r="N657" s="115" t="e">
        <f ca="1"/>
        <v>#VALUE!</v>
      </c>
      <c r="P657" s="219">
        <f t="shared" ca="1" si="42"/>
        <v>48220</v>
      </c>
      <c r="Q657" s="115" t="e">
        <f ca="1"/>
        <v>#VALUE!</v>
      </c>
      <c r="S657" s="219">
        <f t="shared" ca="1" si="43"/>
        <v>48220</v>
      </c>
      <c r="T657" s="115" t="e">
        <f ca="1"/>
        <v>#VALUE!</v>
      </c>
      <c r="V657" s="219">
        <f t="shared" ca="1" si="44"/>
        <v>48220</v>
      </c>
      <c r="W657" s="115" t="e">
        <f ca="1"/>
        <v>#VALUE!</v>
      </c>
    </row>
    <row r="658" spans="13:23">
      <c r="M658" s="219">
        <f t="shared" ca="1" si="41"/>
        <v>48227</v>
      </c>
      <c r="N658" s="115" t="e">
        <f ca="1"/>
        <v>#VALUE!</v>
      </c>
      <c r="P658" s="219">
        <f t="shared" ca="1" si="42"/>
        <v>48227</v>
      </c>
      <c r="Q658" s="115" t="e">
        <f ca="1"/>
        <v>#VALUE!</v>
      </c>
      <c r="S658" s="219">
        <f t="shared" ca="1" si="43"/>
        <v>48227</v>
      </c>
      <c r="T658" s="115" t="e">
        <f ca="1"/>
        <v>#VALUE!</v>
      </c>
      <c r="V658" s="219">
        <f t="shared" ca="1" si="44"/>
        <v>48227</v>
      </c>
      <c r="W658" s="115" t="e">
        <f ca="1"/>
        <v>#VALUE!</v>
      </c>
    </row>
    <row r="659" spans="13:23">
      <c r="M659" s="219">
        <f t="shared" ca="1" si="41"/>
        <v>48234</v>
      </c>
      <c r="N659" s="115" t="e">
        <f ca="1"/>
        <v>#VALUE!</v>
      </c>
      <c r="P659" s="219">
        <f t="shared" ca="1" si="42"/>
        <v>48234</v>
      </c>
      <c r="Q659" s="115" t="e">
        <f ca="1"/>
        <v>#VALUE!</v>
      </c>
      <c r="S659" s="219">
        <f t="shared" ca="1" si="43"/>
        <v>48234</v>
      </c>
      <c r="T659" s="115" t="e">
        <f ca="1"/>
        <v>#VALUE!</v>
      </c>
      <c r="V659" s="219">
        <f t="shared" ca="1" si="44"/>
        <v>48234</v>
      </c>
      <c r="W659" s="115" t="e">
        <f ca="1"/>
        <v>#VALUE!</v>
      </c>
    </row>
    <row r="660" spans="13:23">
      <c r="M660" s="219">
        <f t="shared" ca="1" si="41"/>
        <v>48241</v>
      </c>
      <c r="N660" s="115" t="e">
        <f ca="1"/>
        <v>#VALUE!</v>
      </c>
      <c r="P660" s="219">
        <f t="shared" ca="1" si="42"/>
        <v>48241</v>
      </c>
      <c r="Q660" s="115" t="e">
        <f ca="1"/>
        <v>#VALUE!</v>
      </c>
      <c r="S660" s="219">
        <f t="shared" ca="1" si="43"/>
        <v>48241</v>
      </c>
      <c r="T660" s="115" t="e">
        <f ca="1"/>
        <v>#VALUE!</v>
      </c>
      <c r="V660" s="219">
        <f t="shared" ca="1" si="44"/>
        <v>48241</v>
      </c>
      <c r="W660" s="115" t="e">
        <f ca="1"/>
        <v>#VALUE!</v>
      </c>
    </row>
    <row r="661" spans="13:23">
      <c r="M661" s="219">
        <f t="shared" ca="1" si="41"/>
        <v>48248</v>
      </c>
      <c r="N661" s="115" t="e">
        <f ca="1"/>
        <v>#VALUE!</v>
      </c>
      <c r="P661" s="219">
        <f t="shared" ca="1" si="42"/>
        <v>48248</v>
      </c>
      <c r="Q661" s="115" t="e">
        <f ca="1"/>
        <v>#VALUE!</v>
      </c>
      <c r="S661" s="219">
        <f t="shared" ca="1" si="43"/>
        <v>48248</v>
      </c>
      <c r="T661" s="115" t="e">
        <f ca="1"/>
        <v>#VALUE!</v>
      </c>
      <c r="V661" s="219">
        <f t="shared" ca="1" si="44"/>
        <v>48248</v>
      </c>
      <c r="W661" s="115" t="e">
        <f ca="1"/>
        <v>#VALUE!</v>
      </c>
    </row>
    <row r="662" spans="13:23">
      <c r="M662" s="219">
        <f t="shared" ca="1" si="41"/>
        <v>48255</v>
      </c>
      <c r="N662" s="115" t="e">
        <f ca="1"/>
        <v>#VALUE!</v>
      </c>
      <c r="P662" s="219">
        <f t="shared" ca="1" si="42"/>
        <v>48255</v>
      </c>
      <c r="Q662" s="115" t="e">
        <f ca="1"/>
        <v>#VALUE!</v>
      </c>
      <c r="S662" s="219">
        <f t="shared" ca="1" si="43"/>
        <v>48255</v>
      </c>
      <c r="T662" s="115" t="e">
        <f ca="1"/>
        <v>#VALUE!</v>
      </c>
      <c r="V662" s="219">
        <f t="shared" ca="1" si="44"/>
        <v>48255</v>
      </c>
      <c r="W662" s="115" t="e">
        <f ca="1"/>
        <v>#VALUE!</v>
      </c>
    </row>
    <row r="663" spans="13:23">
      <c r="M663" s="219">
        <f t="shared" ca="1" si="41"/>
        <v>48262</v>
      </c>
      <c r="N663" s="115" t="e">
        <f ca="1"/>
        <v>#VALUE!</v>
      </c>
      <c r="P663" s="219">
        <f t="shared" ca="1" si="42"/>
        <v>48262</v>
      </c>
      <c r="Q663" s="115" t="e">
        <f ca="1"/>
        <v>#VALUE!</v>
      </c>
      <c r="S663" s="219">
        <f t="shared" ca="1" si="43"/>
        <v>48262</v>
      </c>
      <c r="T663" s="115" t="e">
        <f ca="1"/>
        <v>#VALUE!</v>
      </c>
      <c r="V663" s="219">
        <f t="shared" ca="1" si="44"/>
        <v>48262</v>
      </c>
      <c r="W663" s="115" t="e">
        <f ca="1"/>
        <v>#VALUE!</v>
      </c>
    </row>
    <row r="664" spans="13:23">
      <c r="M664" s="219">
        <f t="shared" ca="1" si="41"/>
        <v>48269</v>
      </c>
      <c r="N664" s="115" t="e">
        <f ca="1"/>
        <v>#VALUE!</v>
      </c>
      <c r="P664" s="219">
        <f t="shared" ca="1" si="42"/>
        <v>48269</v>
      </c>
      <c r="Q664" s="115" t="e">
        <f ca="1"/>
        <v>#VALUE!</v>
      </c>
      <c r="S664" s="219">
        <f t="shared" ca="1" si="43"/>
        <v>48269</v>
      </c>
      <c r="T664" s="115" t="e">
        <f ca="1"/>
        <v>#VALUE!</v>
      </c>
      <c r="V664" s="219">
        <f t="shared" ca="1" si="44"/>
        <v>48269</v>
      </c>
      <c r="W664" s="115" t="e">
        <f ca="1"/>
        <v>#VALUE!</v>
      </c>
    </row>
    <row r="665" spans="13:23">
      <c r="M665" s="219">
        <f t="shared" ca="1" si="41"/>
        <v>48276</v>
      </c>
      <c r="N665" s="115" t="e">
        <f ca="1"/>
        <v>#VALUE!</v>
      </c>
      <c r="P665" s="219">
        <f t="shared" ca="1" si="42"/>
        <v>48276</v>
      </c>
      <c r="Q665" s="115" t="e">
        <f ca="1"/>
        <v>#VALUE!</v>
      </c>
      <c r="S665" s="219">
        <f t="shared" ca="1" si="43"/>
        <v>48276</v>
      </c>
      <c r="T665" s="115" t="e">
        <f ca="1"/>
        <v>#VALUE!</v>
      </c>
      <c r="V665" s="219">
        <f t="shared" ca="1" si="44"/>
        <v>48276</v>
      </c>
      <c r="W665" s="115" t="e">
        <f ca="1"/>
        <v>#VALUE!</v>
      </c>
    </row>
    <row r="666" spans="13:23">
      <c r="M666" s="219">
        <f t="shared" ca="1" si="41"/>
        <v>48283</v>
      </c>
      <c r="N666" s="115" t="e">
        <f ca="1"/>
        <v>#VALUE!</v>
      </c>
      <c r="P666" s="219">
        <f t="shared" ca="1" si="42"/>
        <v>48283</v>
      </c>
      <c r="Q666" s="115" t="e">
        <f ca="1"/>
        <v>#VALUE!</v>
      </c>
      <c r="S666" s="219">
        <f t="shared" ca="1" si="43"/>
        <v>48283</v>
      </c>
      <c r="T666" s="115" t="e">
        <f ca="1"/>
        <v>#VALUE!</v>
      </c>
      <c r="V666" s="219">
        <f t="shared" ca="1" si="44"/>
        <v>48283</v>
      </c>
      <c r="W666" s="115" t="e">
        <f ca="1"/>
        <v>#VALUE!</v>
      </c>
    </row>
    <row r="667" spans="13:23">
      <c r="M667" s="219">
        <f t="shared" ca="1" si="41"/>
        <v>48290</v>
      </c>
      <c r="N667" s="115" t="e">
        <f ca="1"/>
        <v>#VALUE!</v>
      </c>
      <c r="P667" s="219">
        <f t="shared" ca="1" si="42"/>
        <v>48290</v>
      </c>
      <c r="Q667" s="115" t="e">
        <f ca="1"/>
        <v>#VALUE!</v>
      </c>
      <c r="S667" s="219">
        <f t="shared" ca="1" si="43"/>
        <v>48290</v>
      </c>
      <c r="T667" s="115" t="e">
        <f ca="1"/>
        <v>#VALUE!</v>
      </c>
      <c r="V667" s="219">
        <f t="shared" ca="1" si="44"/>
        <v>48290</v>
      </c>
      <c r="W667" s="115" t="e">
        <f ca="1"/>
        <v>#VALUE!</v>
      </c>
    </row>
    <row r="668" spans="13:23">
      <c r="M668" s="219">
        <f t="shared" ca="1" si="41"/>
        <v>48297</v>
      </c>
      <c r="N668" s="115" t="e">
        <f ca="1"/>
        <v>#VALUE!</v>
      </c>
      <c r="P668" s="219">
        <f t="shared" ca="1" si="42"/>
        <v>48297</v>
      </c>
      <c r="Q668" s="115" t="e">
        <f ca="1"/>
        <v>#VALUE!</v>
      </c>
      <c r="S668" s="219">
        <f t="shared" ca="1" si="43"/>
        <v>48297</v>
      </c>
      <c r="T668" s="115" t="e">
        <f ca="1"/>
        <v>#VALUE!</v>
      </c>
      <c r="V668" s="219">
        <f t="shared" ca="1" si="44"/>
        <v>48297</v>
      </c>
      <c r="W668" s="115" t="e">
        <f ca="1"/>
        <v>#VALUE!</v>
      </c>
    </row>
    <row r="669" spans="13:23">
      <c r="M669" s="219">
        <f t="shared" ca="1" si="41"/>
        <v>48304</v>
      </c>
      <c r="N669" s="115" t="e">
        <f ca="1"/>
        <v>#VALUE!</v>
      </c>
      <c r="P669" s="219">
        <f t="shared" ca="1" si="42"/>
        <v>48304</v>
      </c>
      <c r="Q669" s="115" t="e">
        <f ca="1"/>
        <v>#VALUE!</v>
      </c>
      <c r="S669" s="219">
        <f t="shared" ca="1" si="43"/>
        <v>48304</v>
      </c>
      <c r="T669" s="115" t="e">
        <f ca="1"/>
        <v>#VALUE!</v>
      </c>
      <c r="V669" s="219">
        <f t="shared" ca="1" si="44"/>
        <v>48304</v>
      </c>
      <c r="W669" s="115" t="e">
        <f ca="1"/>
        <v>#VALUE!</v>
      </c>
    </row>
    <row r="670" spans="13:23">
      <c r="M670" s="219">
        <f t="shared" ca="1" si="41"/>
        <v>48311</v>
      </c>
      <c r="N670" s="115" t="e">
        <f ca="1"/>
        <v>#VALUE!</v>
      </c>
      <c r="P670" s="219">
        <f t="shared" ca="1" si="42"/>
        <v>48311</v>
      </c>
      <c r="Q670" s="115" t="e">
        <f ca="1"/>
        <v>#VALUE!</v>
      </c>
      <c r="S670" s="219">
        <f t="shared" ca="1" si="43"/>
        <v>48311</v>
      </c>
      <c r="T670" s="115" t="e">
        <f ca="1"/>
        <v>#VALUE!</v>
      </c>
      <c r="V670" s="219">
        <f t="shared" ca="1" si="44"/>
        <v>48311</v>
      </c>
      <c r="W670" s="115" t="e">
        <f ca="1"/>
        <v>#VALUE!</v>
      </c>
    </row>
    <row r="671" spans="13:23">
      <c r="M671" s="219">
        <f t="shared" ca="1" si="41"/>
        <v>48318</v>
      </c>
      <c r="N671" s="115" t="e">
        <f ca="1"/>
        <v>#VALUE!</v>
      </c>
      <c r="P671" s="219">
        <f t="shared" ca="1" si="42"/>
        <v>48318</v>
      </c>
      <c r="Q671" s="115" t="e">
        <f ca="1"/>
        <v>#VALUE!</v>
      </c>
      <c r="S671" s="219">
        <f t="shared" ca="1" si="43"/>
        <v>48318</v>
      </c>
      <c r="T671" s="115" t="e">
        <f ca="1"/>
        <v>#VALUE!</v>
      </c>
      <c r="V671" s="219">
        <f t="shared" ca="1" si="44"/>
        <v>48318</v>
      </c>
      <c r="W671" s="115" t="e">
        <f ca="1"/>
        <v>#VALUE!</v>
      </c>
    </row>
    <row r="672" spans="13:23">
      <c r="M672" s="219">
        <f t="shared" ca="1" si="41"/>
        <v>48325</v>
      </c>
      <c r="N672" s="115" t="e">
        <f ca="1"/>
        <v>#VALUE!</v>
      </c>
      <c r="P672" s="219">
        <f t="shared" ca="1" si="42"/>
        <v>48325</v>
      </c>
      <c r="Q672" s="115" t="e">
        <f ca="1"/>
        <v>#VALUE!</v>
      </c>
      <c r="S672" s="219">
        <f t="shared" ca="1" si="43"/>
        <v>48325</v>
      </c>
      <c r="T672" s="115" t="e">
        <f ca="1"/>
        <v>#VALUE!</v>
      </c>
      <c r="V672" s="219">
        <f t="shared" ca="1" si="44"/>
        <v>48325</v>
      </c>
      <c r="W672" s="115" t="e">
        <f ca="1"/>
        <v>#VALUE!</v>
      </c>
    </row>
    <row r="673" spans="13:23">
      <c r="M673" s="219">
        <f t="shared" ca="1" si="41"/>
        <v>48332</v>
      </c>
      <c r="N673" s="115" t="e">
        <f ca="1"/>
        <v>#VALUE!</v>
      </c>
      <c r="P673" s="219">
        <f t="shared" ca="1" si="42"/>
        <v>48332</v>
      </c>
      <c r="Q673" s="115" t="e">
        <f ca="1"/>
        <v>#VALUE!</v>
      </c>
      <c r="S673" s="219">
        <f t="shared" ca="1" si="43"/>
        <v>48332</v>
      </c>
      <c r="T673" s="115" t="e">
        <f ca="1"/>
        <v>#VALUE!</v>
      </c>
      <c r="V673" s="219">
        <f t="shared" ca="1" si="44"/>
        <v>48332</v>
      </c>
      <c r="W673" s="115" t="e">
        <f ca="1"/>
        <v>#VALUE!</v>
      </c>
    </row>
    <row r="674" spans="13:23">
      <c r="M674" s="219">
        <f t="shared" ca="1" si="41"/>
        <v>48339</v>
      </c>
      <c r="N674" s="115" t="e">
        <f ca="1"/>
        <v>#VALUE!</v>
      </c>
      <c r="P674" s="219">
        <f t="shared" ca="1" si="42"/>
        <v>48339</v>
      </c>
      <c r="Q674" s="115" t="e">
        <f ca="1"/>
        <v>#VALUE!</v>
      </c>
      <c r="S674" s="219">
        <f t="shared" ca="1" si="43"/>
        <v>48339</v>
      </c>
      <c r="T674" s="115" t="e">
        <f ca="1"/>
        <v>#VALUE!</v>
      </c>
      <c r="V674" s="219">
        <f t="shared" ca="1" si="44"/>
        <v>48339</v>
      </c>
      <c r="W674" s="115" t="e">
        <f ca="1"/>
        <v>#VALUE!</v>
      </c>
    </row>
    <row r="675" spans="13:23">
      <c r="M675" s="219">
        <f t="shared" ca="1" si="41"/>
        <v>48346</v>
      </c>
      <c r="N675" s="115" t="e">
        <f ca="1"/>
        <v>#VALUE!</v>
      </c>
      <c r="P675" s="219">
        <f t="shared" ca="1" si="42"/>
        <v>48346</v>
      </c>
      <c r="Q675" s="115" t="e">
        <f ca="1"/>
        <v>#VALUE!</v>
      </c>
      <c r="S675" s="219">
        <f t="shared" ca="1" si="43"/>
        <v>48346</v>
      </c>
      <c r="T675" s="115" t="e">
        <f ca="1"/>
        <v>#VALUE!</v>
      </c>
      <c r="V675" s="219">
        <f t="shared" ca="1" si="44"/>
        <v>48346</v>
      </c>
      <c r="W675" s="115" t="e">
        <f ca="1"/>
        <v>#VALUE!</v>
      </c>
    </row>
    <row r="676" spans="13:23">
      <c r="M676" s="219">
        <f t="shared" ca="1" si="41"/>
        <v>48353</v>
      </c>
      <c r="N676" s="115" t="e">
        <f ca="1"/>
        <v>#VALUE!</v>
      </c>
      <c r="P676" s="219">
        <f t="shared" ca="1" si="42"/>
        <v>48353</v>
      </c>
      <c r="Q676" s="115" t="e">
        <f ca="1"/>
        <v>#VALUE!</v>
      </c>
      <c r="S676" s="219">
        <f t="shared" ca="1" si="43"/>
        <v>48353</v>
      </c>
      <c r="T676" s="115" t="e">
        <f ca="1"/>
        <v>#VALUE!</v>
      </c>
      <c r="V676" s="219">
        <f t="shared" ca="1" si="44"/>
        <v>48353</v>
      </c>
      <c r="W676" s="115" t="e">
        <f ca="1"/>
        <v>#VALUE!</v>
      </c>
    </row>
    <row r="677" spans="13:23">
      <c r="M677" s="219">
        <f t="shared" ca="1" si="41"/>
        <v>48360</v>
      </c>
      <c r="N677" s="115" t="e">
        <f ca="1"/>
        <v>#VALUE!</v>
      </c>
      <c r="P677" s="219">
        <f t="shared" ca="1" si="42"/>
        <v>48360</v>
      </c>
      <c r="Q677" s="115" t="e">
        <f ca="1"/>
        <v>#VALUE!</v>
      </c>
      <c r="S677" s="219">
        <f t="shared" ca="1" si="43"/>
        <v>48360</v>
      </c>
      <c r="T677" s="115" t="e">
        <f ca="1"/>
        <v>#VALUE!</v>
      </c>
      <c r="V677" s="219">
        <f t="shared" ca="1" si="44"/>
        <v>48360</v>
      </c>
      <c r="W677" s="115" t="e">
        <f ca="1"/>
        <v>#VALUE!</v>
      </c>
    </row>
    <row r="678" spans="13:23">
      <c r="M678" s="219">
        <f t="shared" ca="1" si="41"/>
        <v>48367</v>
      </c>
      <c r="N678" s="115" t="e">
        <f ca="1"/>
        <v>#VALUE!</v>
      </c>
      <c r="P678" s="219">
        <f t="shared" ca="1" si="42"/>
        <v>48367</v>
      </c>
      <c r="Q678" s="115" t="e">
        <f ca="1"/>
        <v>#VALUE!</v>
      </c>
      <c r="S678" s="219">
        <f t="shared" ca="1" si="43"/>
        <v>48367</v>
      </c>
      <c r="T678" s="115" t="e">
        <f ca="1"/>
        <v>#VALUE!</v>
      </c>
      <c r="V678" s="219">
        <f t="shared" ca="1" si="44"/>
        <v>48367</v>
      </c>
      <c r="W678" s="115" t="e">
        <f ca="1"/>
        <v>#VALUE!</v>
      </c>
    </row>
    <row r="679" spans="13:23">
      <c r="M679" s="219">
        <f t="shared" ca="1" si="41"/>
        <v>48374</v>
      </c>
      <c r="N679" s="115" t="e">
        <f ca="1"/>
        <v>#VALUE!</v>
      </c>
      <c r="P679" s="219">
        <f t="shared" ca="1" si="42"/>
        <v>48374</v>
      </c>
      <c r="Q679" s="115" t="e">
        <f ca="1"/>
        <v>#VALUE!</v>
      </c>
      <c r="S679" s="219">
        <f t="shared" ca="1" si="43"/>
        <v>48374</v>
      </c>
      <c r="T679" s="115" t="e">
        <f ca="1"/>
        <v>#VALUE!</v>
      </c>
      <c r="V679" s="219">
        <f t="shared" ca="1" si="44"/>
        <v>48374</v>
      </c>
      <c r="W679" s="115" t="e">
        <f ca="1"/>
        <v>#VALUE!</v>
      </c>
    </row>
    <row r="680" spans="13:23">
      <c r="M680" s="219">
        <f t="shared" ca="1" si="41"/>
        <v>48381</v>
      </c>
      <c r="N680" s="115" t="e">
        <f ca="1"/>
        <v>#VALUE!</v>
      </c>
      <c r="P680" s="219">
        <f t="shared" ca="1" si="42"/>
        <v>48381</v>
      </c>
      <c r="Q680" s="115" t="e">
        <f ca="1"/>
        <v>#VALUE!</v>
      </c>
      <c r="S680" s="219">
        <f t="shared" ca="1" si="43"/>
        <v>48381</v>
      </c>
      <c r="T680" s="115" t="e">
        <f ca="1"/>
        <v>#VALUE!</v>
      </c>
      <c r="V680" s="219">
        <f t="shared" ca="1" si="44"/>
        <v>48381</v>
      </c>
      <c r="W680" s="115" t="e">
        <f ca="1"/>
        <v>#VALUE!</v>
      </c>
    </row>
    <row r="681" spans="13:23">
      <c r="M681" s="219">
        <f t="shared" ca="1" si="41"/>
        <v>48388</v>
      </c>
      <c r="N681" s="115" t="e">
        <f ca="1"/>
        <v>#VALUE!</v>
      </c>
      <c r="P681" s="219">
        <f t="shared" ca="1" si="42"/>
        <v>48388</v>
      </c>
      <c r="Q681" s="115" t="e">
        <f ca="1"/>
        <v>#VALUE!</v>
      </c>
      <c r="S681" s="219">
        <f t="shared" ca="1" si="43"/>
        <v>48388</v>
      </c>
      <c r="T681" s="115" t="e">
        <f ca="1"/>
        <v>#VALUE!</v>
      </c>
      <c r="V681" s="219">
        <f t="shared" ca="1" si="44"/>
        <v>48388</v>
      </c>
      <c r="W681" s="115" t="e">
        <f ca="1"/>
        <v>#VALUE!</v>
      </c>
    </row>
    <row r="682" spans="13:23">
      <c r="M682" s="219">
        <f t="shared" ca="1" si="41"/>
        <v>48395</v>
      </c>
      <c r="N682" s="115" t="e">
        <f ca="1"/>
        <v>#VALUE!</v>
      </c>
      <c r="P682" s="219">
        <f t="shared" ca="1" si="42"/>
        <v>48395</v>
      </c>
      <c r="Q682" s="115" t="e">
        <f ca="1"/>
        <v>#VALUE!</v>
      </c>
      <c r="S682" s="219">
        <f t="shared" ca="1" si="43"/>
        <v>48395</v>
      </c>
      <c r="T682" s="115" t="e">
        <f ca="1"/>
        <v>#VALUE!</v>
      </c>
      <c r="V682" s="219">
        <f t="shared" ca="1" si="44"/>
        <v>48395</v>
      </c>
      <c r="W682" s="115" t="e">
        <f ca="1"/>
        <v>#VALUE!</v>
      </c>
    </row>
    <row r="683" spans="13:23">
      <c r="M683" s="219">
        <f t="shared" ca="1" si="41"/>
        <v>48402</v>
      </c>
      <c r="N683" s="115" t="e">
        <f ca="1"/>
        <v>#VALUE!</v>
      </c>
      <c r="P683" s="219">
        <f t="shared" ca="1" si="42"/>
        <v>48402</v>
      </c>
      <c r="Q683" s="115" t="e">
        <f ca="1"/>
        <v>#VALUE!</v>
      </c>
      <c r="S683" s="219">
        <f t="shared" ca="1" si="43"/>
        <v>48402</v>
      </c>
      <c r="T683" s="115" t="e">
        <f ca="1"/>
        <v>#VALUE!</v>
      </c>
      <c r="V683" s="219">
        <f t="shared" ca="1" si="44"/>
        <v>48402</v>
      </c>
      <c r="W683" s="115" t="e">
        <f ca="1"/>
        <v>#VALUE!</v>
      </c>
    </row>
    <row r="684" spans="13:23">
      <c r="M684" s="219">
        <f t="shared" ca="1" si="41"/>
        <v>48409</v>
      </c>
      <c r="N684" s="115" t="e">
        <f ca="1"/>
        <v>#VALUE!</v>
      </c>
      <c r="P684" s="219">
        <f t="shared" ca="1" si="42"/>
        <v>48409</v>
      </c>
      <c r="Q684" s="115" t="e">
        <f ca="1"/>
        <v>#VALUE!</v>
      </c>
      <c r="S684" s="219">
        <f t="shared" ca="1" si="43"/>
        <v>48409</v>
      </c>
      <c r="T684" s="115" t="e">
        <f ca="1"/>
        <v>#VALUE!</v>
      </c>
      <c r="V684" s="219">
        <f t="shared" ca="1" si="44"/>
        <v>48409</v>
      </c>
      <c r="W684" s="115" t="e">
        <f ca="1"/>
        <v>#VALUE!</v>
      </c>
    </row>
    <row r="685" spans="13:23">
      <c r="M685" s="219">
        <f t="shared" ca="1" si="41"/>
        <v>48416</v>
      </c>
      <c r="N685" s="115" t="e">
        <f ca="1"/>
        <v>#VALUE!</v>
      </c>
      <c r="P685" s="219">
        <f t="shared" ca="1" si="42"/>
        <v>48416</v>
      </c>
      <c r="Q685" s="115" t="e">
        <f ca="1"/>
        <v>#VALUE!</v>
      </c>
      <c r="S685" s="219">
        <f t="shared" ca="1" si="43"/>
        <v>48416</v>
      </c>
      <c r="T685" s="115" t="e">
        <f ca="1"/>
        <v>#VALUE!</v>
      </c>
      <c r="V685" s="219">
        <f t="shared" ca="1" si="44"/>
        <v>48416</v>
      </c>
      <c r="W685" s="115" t="e">
        <f ca="1"/>
        <v>#VALUE!</v>
      </c>
    </row>
    <row r="686" spans="13:23">
      <c r="M686" s="219">
        <f t="shared" ca="1" si="41"/>
        <v>48423</v>
      </c>
      <c r="N686" s="115" t="e">
        <f ca="1"/>
        <v>#VALUE!</v>
      </c>
      <c r="P686" s="219">
        <f t="shared" ca="1" si="42"/>
        <v>48423</v>
      </c>
      <c r="Q686" s="115" t="e">
        <f ca="1"/>
        <v>#VALUE!</v>
      </c>
      <c r="S686" s="219">
        <f t="shared" ca="1" si="43"/>
        <v>48423</v>
      </c>
      <c r="T686" s="115" t="e">
        <f ca="1"/>
        <v>#VALUE!</v>
      </c>
      <c r="V686" s="219">
        <f t="shared" ca="1" si="44"/>
        <v>48423</v>
      </c>
      <c r="W686" s="115" t="e">
        <f ca="1"/>
        <v>#VALUE!</v>
      </c>
    </row>
    <row r="687" spans="13:23">
      <c r="M687" s="219">
        <f t="shared" ca="1" si="41"/>
        <v>48430</v>
      </c>
      <c r="N687" s="115" t="e">
        <f ca="1"/>
        <v>#VALUE!</v>
      </c>
      <c r="P687" s="219">
        <f t="shared" ca="1" si="42"/>
        <v>48430</v>
      </c>
      <c r="Q687" s="115" t="e">
        <f ca="1"/>
        <v>#VALUE!</v>
      </c>
      <c r="S687" s="219">
        <f t="shared" ca="1" si="43"/>
        <v>48430</v>
      </c>
      <c r="T687" s="115" t="e">
        <f ca="1"/>
        <v>#VALUE!</v>
      </c>
      <c r="V687" s="219">
        <f t="shared" ca="1" si="44"/>
        <v>48430</v>
      </c>
      <c r="W687" s="115" t="e">
        <f ca="1"/>
        <v>#VALUE!</v>
      </c>
    </row>
    <row r="688" spans="13:23">
      <c r="M688" s="219">
        <f t="shared" ca="1" si="41"/>
        <v>48437</v>
      </c>
      <c r="N688" s="115" t="e">
        <f ca="1"/>
        <v>#VALUE!</v>
      </c>
      <c r="P688" s="219">
        <f t="shared" ca="1" si="42"/>
        <v>48437</v>
      </c>
      <c r="Q688" s="115" t="e">
        <f ca="1"/>
        <v>#VALUE!</v>
      </c>
      <c r="S688" s="219">
        <f t="shared" ca="1" si="43"/>
        <v>48437</v>
      </c>
      <c r="T688" s="115" t="e">
        <f ca="1"/>
        <v>#VALUE!</v>
      </c>
      <c r="V688" s="219">
        <f t="shared" ca="1" si="44"/>
        <v>48437</v>
      </c>
      <c r="W688" s="115" t="e">
        <f ca="1"/>
        <v>#VALUE!</v>
      </c>
    </row>
    <row r="689" spans="13:23">
      <c r="M689" s="219">
        <f t="shared" ca="1" si="41"/>
        <v>48444</v>
      </c>
      <c r="N689" s="115" t="e">
        <f ca="1"/>
        <v>#VALUE!</v>
      </c>
      <c r="P689" s="219">
        <f t="shared" ca="1" si="42"/>
        <v>48444</v>
      </c>
      <c r="Q689" s="115" t="e">
        <f ca="1"/>
        <v>#VALUE!</v>
      </c>
      <c r="S689" s="219">
        <f t="shared" ca="1" si="43"/>
        <v>48444</v>
      </c>
      <c r="T689" s="115" t="e">
        <f ca="1"/>
        <v>#VALUE!</v>
      </c>
      <c r="V689" s="219">
        <f t="shared" ca="1" si="44"/>
        <v>48444</v>
      </c>
      <c r="W689" s="115" t="e">
        <f ca="1"/>
        <v>#VALUE!</v>
      </c>
    </row>
    <row r="690" spans="13:23">
      <c r="M690" s="219">
        <f t="shared" ca="1" si="41"/>
        <v>48451</v>
      </c>
      <c r="N690" s="115" t="e">
        <f ca="1"/>
        <v>#VALUE!</v>
      </c>
      <c r="P690" s="219">
        <f t="shared" ca="1" si="42"/>
        <v>48451</v>
      </c>
      <c r="Q690" s="115" t="e">
        <f ca="1"/>
        <v>#VALUE!</v>
      </c>
      <c r="S690" s="219">
        <f t="shared" ca="1" si="43"/>
        <v>48451</v>
      </c>
      <c r="T690" s="115" t="e">
        <f ca="1"/>
        <v>#VALUE!</v>
      </c>
      <c r="V690" s="219">
        <f t="shared" ca="1" si="44"/>
        <v>48451</v>
      </c>
      <c r="W690" s="115" t="e">
        <f ca="1"/>
        <v>#VALUE!</v>
      </c>
    </row>
    <row r="691" spans="13:23">
      <c r="M691" s="219">
        <f t="shared" ca="1" si="41"/>
        <v>48458</v>
      </c>
      <c r="N691" s="115" t="e">
        <f ca="1"/>
        <v>#VALUE!</v>
      </c>
      <c r="P691" s="219">
        <f t="shared" ca="1" si="42"/>
        <v>48458</v>
      </c>
      <c r="Q691" s="115" t="e">
        <f ca="1"/>
        <v>#VALUE!</v>
      </c>
      <c r="S691" s="219">
        <f t="shared" ca="1" si="43"/>
        <v>48458</v>
      </c>
      <c r="T691" s="115" t="e">
        <f ca="1"/>
        <v>#VALUE!</v>
      </c>
      <c r="V691" s="219">
        <f t="shared" ca="1" si="44"/>
        <v>48458</v>
      </c>
      <c r="W691" s="115" t="e">
        <f ca="1"/>
        <v>#VALUE!</v>
      </c>
    </row>
    <row r="692" spans="13:23">
      <c r="M692" s="219">
        <f t="shared" ca="1" si="41"/>
        <v>48465</v>
      </c>
      <c r="N692" s="115" t="e">
        <f ca="1"/>
        <v>#VALUE!</v>
      </c>
      <c r="P692" s="219">
        <f t="shared" ca="1" si="42"/>
        <v>48465</v>
      </c>
      <c r="Q692" s="115" t="e">
        <f ca="1"/>
        <v>#VALUE!</v>
      </c>
      <c r="S692" s="219">
        <f t="shared" ca="1" si="43"/>
        <v>48465</v>
      </c>
      <c r="T692" s="115" t="e">
        <f ca="1"/>
        <v>#VALUE!</v>
      </c>
      <c r="V692" s="219">
        <f t="shared" ca="1" si="44"/>
        <v>48465</v>
      </c>
      <c r="W692" s="115" t="e">
        <f ca="1"/>
        <v>#VALUE!</v>
      </c>
    </row>
    <row r="693" spans="13:23">
      <c r="M693" s="219">
        <f t="shared" ca="1" si="41"/>
        <v>48472</v>
      </c>
      <c r="N693" s="115" t="e">
        <f ca="1"/>
        <v>#VALUE!</v>
      </c>
      <c r="P693" s="219">
        <f t="shared" ca="1" si="42"/>
        <v>48472</v>
      </c>
      <c r="Q693" s="115" t="e">
        <f ca="1"/>
        <v>#VALUE!</v>
      </c>
      <c r="S693" s="219">
        <f t="shared" ca="1" si="43"/>
        <v>48472</v>
      </c>
      <c r="T693" s="115" t="e">
        <f ca="1"/>
        <v>#VALUE!</v>
      </c>
      <c r="V693" s="219">
        <f t="shared" ca="1" si="44"/>
        <v>48472</v>
      </c>
      <c r="W693" s="115" t="e">
        <f ca="1"/>
        <v>#VALUE!</v>
      </c>
    </row>
    <row r="694" spans="13:23">
      <c r="M694" s="219">
        <f t="shared" ca="1" si="41"/>
        <v>48479</v>
      </c>
      <c r="N694" s="115" t="e">
        <f ca="1"/>
        <v>#VALUE!</v>
      </c>
      <c r="P694" s="219">
        <f t="shared" ca="1" si="42"/>
        <v>48479</v>
      </c>
      <c r="Q694" s="115" t="e">
        <f ca="1"/>
        <v>#VALUE!</v>
      </c>
      <c r="S694" s="219">
        <f t="shared" ca="1" si="43"/>
        <v>48479</v>
      </c>
      <c r="T694" s="115" t="e">
        <f ca="1"/>
        <v>#VALUE!</v>
      </c>
      <c r="V694" s="219">
        <f t="shared" ca="1" si="44"/>
        <v>48479</v>
      </c>
      <c r="W694" s="115" t="e">
        <f ca="1"/>
        <v>#VALUE!</v>
      </c>
    </row>
    <row r="695" spans="13:23">
      <c r="M695" s="219">
        <f t="shared" ca="1" si="41"/>
        <v>48486</v>
      </c>
      <c r="N695" s="115" t="e">
        <f ca="1"/>
        <v>#VALUE!</v>
      </c>
      <c r="P695" s="219">
        <f t="shared" ca="1" si="42"/>
        <v>48486</v>
      </c>
      <c r="Q695" s="115" t="e">
        <f ca="1"/>
        <v>#VALUE!</v>
      </c>
      <c r="S695" s="219">
        <f t="shared" ca="1" si="43"/>
        <v>48486</v>
      </c>
      <c r="T695" s="115" t="e">
        <f ca="1"/>
        <v>#VALUE!</v>
      </c>
      <c r="V695" s="219">
        <f t="shared" ca="1" si="44"/>
        <v>48486</v>
      </c>
      <c r="W695" s="115" t="e">
        <f ca="1"/>
        <v>#VALUE!</v>
      </c>
    </row>
    <row r="696" spans="13:23">
      <c r="M696" s="219">
        <f t="shared" ca="1" si="41"/>
        <v>48493</v>
      </c>
      <c r="N696" s="115" t="e">
        <f ca="1"/>
        <v>#VALUE!</v>
      </c>
      <c r="P696" s="219">
        <f t="shared" ca="1" si="42"/>
        <v>48493</v>
      </c>
      <c r="Q696" s="115" t="e">
        <f ca="1"/>
        <v>#VALUE!</v>
      </c>
      <c r="S696" s="219">
        <f t="shared" ca="1" si="43"/>
        <v>48493</v>
      </c>
      <c r="T696" s="115" t="e">
        <f ca="1"/>
        <v>#VALUE!</v>
      </c>
      <c r="V696" s="219">
        <f t="shared" ca="1" si="44"/>
        <v>48493</v>
      </c>
      <c r="W696" s="115" t="e">
        <f ca="1"/>
        <v>#VALUE!</v>
      </c>
    </row>
    <row r="697" spans="13:23">
      <c r="M697" s="219">
        <f t="shared" ca="1" si="41"/>
        <v>48500</v>
      </c>
      <c r="N697" s="115" t="e">
        <f ca="1"/>
        <v>#VALUE!</v>
      </c>
      <c r="P697" s="219">
        <f t="shared" ca="1" si="42"/>
        <v>48500</v>
      </c>
      <c r="Q697" s="115" t="e">
        <f ca="1"/>
        <v>#VALUE!</v>
      </c>
      <c r="S697" s="219">
        <f t="shared" ca="1" si="43"/>
        <v>48500</v>
      </c>
      <c r="T697" s="115" t="e">
        <f ca="1"/>
        <v>#VALUE!</v>
      </c>
      <c r="V697" s="219">
        <f t="shared" ca="1" si="44"/>
        <v>48500</v>
      </c>
      <c r="W697" s="115" t="e">
        <f ca="1"/>
        <v>#VALUE!</v>
      </c>
    </row>
    <row r="698" spans="13:23">
      <c r="M698" s="219">
        <f t="shared" ca="1" si="41"/>
        <v>48507</v>
      </c>
      <c r="N698" s="115" t="e">
        <f ca="1"/>
        <v>#VALUE!</v>
      </c>
      <c r="P698" s="219">
        <f t="shared" ca="1" si="42"/>
        <v>48507</v>
      </c>
      <c r="Q698" s="115" t="e">
        <f ca="1"/>
        <v>#VALUE!</v>
      </c>
      <c r="S698" s="219">
        <f t="shared" ca="1" si="43"/>
        <v>48507</v>
      </c>
      <c r="T698" s="115" t="e">
        <f ca="1"/>
        <v>#VALUE!</v>
      </c>
      <c r="V698" s="219">
        <f t="shared" ca="1" si="44"/>
        <v>48507</v>
      </c>
      <c r="W698" s="115" t="e">
        <f ca="1"/>
        <v>#VALUE!</v>
      </c>
    </row>
    <row r="699" spans="13:23">
      <c r="M699" s="219">
        <f t="shared" ca="1" si="41"/>
        <v>48514</v>
      </c>
      <c r="N699" s="115" t="e">
        <f ca="1"/>
        <v>#VALUE!</v>
      </c>
      <c r="P699" s="219">
        <f t="shared" ca="1" si="42"/>
        <v>48514</v>
      </c>
      <c r="Q699" s="115" t="e">
        <f ca="1"/>
        <v>#VALUE!</v>
      </c>
      <c r="S699" s="219">
        <f t="shared" ca="1" si="43"/>
        <v>48514</v>
      </c>
      <c r="T699" s="115" t="e">
        <f ca="1"/>
        <v>#VALUE!</v>
      </c>
      <c r="V699" s="219">
        <f t="shared" ca="1" si="44"/>
        <v>48514</v>
      </c>
      <c r="W699" s="115" t="e">
        <f ca="1"/>
        <v>#VALUE!</v>
      </c>
    </row>
    <row r="700" spans="13:23">
      <c r="M700" s="219">
        <f t="shared" ca="1" si="41"/>
        <v>48521</v>
      </c>
      <c r="N700" s="115" t="e">
        <f ca="1"/>
        <v>#VALUE!</v>
      </c>
      <c r="P700" s="219">
        <f t="shared" ca="1" si="42"/>
        <v>48521</v>
      </c>
      <c r="Q700" s="115" t="e">
        <f ca="1"/>
        <v>#VALUE!</v>
      </c>
      <c r="S700" s="219">
        <f t="shared" ca="1" si="43"/>
        <v>48521</v>
      </c>
      <c r="T700" s="115" t="e">
        <f ca="1"/>
        <v>#VALUE!</v>
      </c>
      <c r="V700" s="219">
        <f t="shared" ca="1" si="44"/>
        <v>48521</v>
      </c>
      <c r="W700" s="115" t="e">
        <f ca="1"/>
        <v>#VALUE!</v>
      </c>
    </row>
    <row r="701" spans="13:23">
      <c r="M701" s="219">
        <f t="shared" ca="1" si="41"/>
        <v>48528</v>
      </c>
      <c r="N701" s="115" t="e">
        <f ca="1"/>
        <v>#VALUE!</v>
      </c>
      <c r="P701" s="219">
        <f t="shared" ca="1" si="42"/>
        <v>48528</v>
      </c>
      <c r="Q701" s="115" t="e">
        <f ca="1"/>
        <v>#VALUE!</v>
      </c>
      <c r="S701" s="219">
        <f t="shared" ca="1" si="43"/>
        <v>48528</v>
      </c>
      <c r="T701" s="115" t="e">
        <f ca="1"/>
        <v>#VALUE!</v>
      </c>
      <c r="V701" s="219">
        <f t="shared" ca="1" si="44"/>
        <v>48528</v>
      </c>
      <c r="W701" s="115" t="e">
        <f ca="1"/>
        <v>#VALUE!</v>
      </c>
    </row>
    <row r="702" spans="13:23">
      <c r="M702" s="219">
        <f t="shared" ca="1" si="41"/>
        <v>48535</v>
      </c>
      <c r="N702" s="115" t="e">
        <f ca="1"/>
        <v>#VALUE!</v>
      </c>
      <c r="P702" s="219">
        <f t="shared" ca="1" si="42"/>
        <v>48535</v>
      </c>
      <c r="Q702" s="115" t="e">
        <f ca="1"/>
        <v>#VALUE!</v>
      </c>
      <c r="S702" s="219">
        <f t="shared" ca="1" si="43"/>
        <v>48535</v>
      </c>
      <c r="T702" s="115" t="e">
        <f ca="1"/>
        <v>#VALUE!</v>
      </c>
      <c r="V702" s="219">
        <f t="shared" ca="1" si="44"/>
        <v>48535</v>
      </c>
      <c r="W702" s="115" t="e">
        <f ca="1"/>
        <v>#VALUE!</v>
      </c>
    </row>
    <row r="703" spans="13:23">
      <c r="M703" s="219">
        <f t="shared" ca="1" si="41"/>
        <v>48542</v>
      </c>
      <c r="N703" s="115" t="e">
        <f ca="1"/>
        <v>#VALUE!</v>
      </c>
      <c r="P703" s="219">
        <f t="shared" ca="1" si="42"/>
        <v>48542</v>
      </c>
      <c r="Q703" s="115" t="e">
        <f ca="1"/>
        <v>#VALUE!</v>
      </c>
      <c r="S703" s="219">
        <f t="shared" ca="1" si="43"/>
        <v>48542</v>
      </c>
      <c r="T703" s="115" t="e">
        <f ca="1"/>
        <v>#VALUE!</v>
      </c>
      <c r="V703" s="219">
        <f t="shared" ca="1" si="44"/>
        <v>48542</v>
      </c>
      <c r="W703" s="115" t="e">
        <f ca="1"/>
        <v>#VALUE!</v>
      </c>
    </row>
    <row r="704" spans="13:23">
      <c r="M704" s="219">
        <f t="shared" ca="1" si="41"/>
        <v>48549</v>
      </c>
      <c r="N704" s="115" t="e">
        <f ca="1"/>
        <v>#VALUE!</v>
      </c>
      <c r="P704" s="219">
        <f t="shared" ca="1" si="42"/>
        <v>48549</v>
      </c>
      <c r="Q704" s="115" t="e">
        <f ca="1"/>
        <v>#VALUE!</v>
      </c>
      <c r="S704" s="219">
        <f t="shared" ca="1" si="43"/>
        <v>48549</v>
      </c>
      <c r="T704" s="115" t="e">
        <f ca="1"/>
        <v>#VALUE!</v>
      </c>
      <c r="V704" s="219">
        <f t="shared" ca="1" si="44"/>
        <v>48549</v>
      </c>
      <c r="W704" s="115" t="e">
        <f ca="1"/>
        <v>#VALUE!</v>
      </c>
    </row>
    <row r="705" spans="13:23">
      <c r="M705" s="219">
        <f t="shared" ca="1" si="41"/>
        <v>48556</v>
      </c>
      <c r="N705" s="115" t="e">
        <f ca="1"/>
        <v>#VALUE!</v>
      </c>
      <c r="P705" s="219">
        <f t="shared" ca="1" si="42"/>
        <v>48556</v>
      </c>
      <c r="Q705" s="115" t="e">
        <f ca="1"/>
        <v>#VALUE!</v>
      </c>
      <c r="S705" s="219">
        <f t="shared" ca="1" si="43"/>
        <v>48556</v>
      </c>
      <c r="T705" s="115" t="e">
        <f ca="1"/>
        <v>#VALUE!</v>
      </c>
      <c r="V705" s="219">
        <f t="shared" ca="1" si="44"/>
        <v>48556</v>
      </c>
      <c r="W705" s="115" t="e">
        <f ca="1"/>
        <v>#VALUE!</v>
      </c>
    </row>
    <row r="706" spans="13:23">
      <c r="M706" s="219">
        <f t="shared" ca="1" si="41"/>
        <v>48563</v>
      </c>
      <c r="N706" s="115" t="e">
        <f ca="1"/>
        <v>#VALUE!</v>
      </c>
      <c r="P706" s="219">
        <f t="shared" ca="1" si="42"/>
        <v>48563</v>
      </c>
      <c r="Q706" s="115" t="e">
        <f ca="1"/>
        <v>#VALUE!</v>
      </c>
      <c r="S706" s="219">
        <f t="shared" ca="1" si="43"/>
        <v>48563</v>
      </c>
      <c r="T706" s="115" t="e">
        <f ca="1"/>
        <v>#VALUE!</v>
      </c>
      <c r="V706" s="219">
        <f t="shared" ca="1" si="44"/>
        <v>48563</v>
      </c>
      <c r="W706" s="115" t="e">
        <f ca="1"/>
        <v>#VALUE!</v>
      </c>
    </row>
    <row r="707" spans="13:23">
      <c r="M707" s="219">
        <f t="shared" ca="1" si="41"/>
        <v>48570</v>
      </c>
      <c r="N707" s="115" t="e">
        <f ca="1"/>
        <v>#VALUE!</v>
      </c>
      <c r="P707" s="219">
        <f t="shared" ca="1" si="42"/>
        <v>48570</v>
      </c>
      <c r="Q707" s="115" t="e">
        <f ca="1"/>
        <v>#VALUE!</v>
      </c>
      <c r="S707" s="219">
        <f t="shared" ca="1" si="43"/>
        <v>48570</v>
      </c>
      <c r="T707" s="115" t="e">
        <f ca="1"/>
        <v>#VALUE!</v>
      </c>
      <c r="V707" s="219">
        <f t="shared" ca="1" si="44"/>
        <v>48570</v>
      </c>
      <c r="W707" s="115" t="e">
        <f ca="1"/>
        <v>#VALUE!</v>
      </c>
    </row>
    <row r="708" spans="13:23">
      <c r="M708" s="219">
        <f t="shared" ca="1" si="41"/>
        <v>48577</v>
      </c>
      <c r="N708" s="115" t="e">
        <f ca="1"/>
        <v>#VALUE!</v>
      </c>
      <c r="P708" s="219">
        <f t="shared" ca="1" si="42"/>
        <v>48577</v>
      </c>
      <c r="Q708" s="115" t="e">
        <f ca="1"/>
        <v>#VALUE!</v>
      </c>
      <c r="S708" s="219">
        <f t="shared" ca="1" si="43"/>
        <v>48577</v>
      </c>
      <c r="T708" s="115" t="e">
        <f ca="1"/>
        <v>#VALUE!</v>
      </c>
      <c r="V708" s="219">
        <f t="shared" ca="1" si="44"/>
        <v>48577</v>
      </c>
      <c r="W708" s="115" t="e">
        <f ca="1"/>
        <v>#VALUE!</v>
      </c>
    </row>
    <row r="709" spans="13:23">
      <c r="M709" s="219">
        <f t="shared" ca="1" si="41"/>
        <v>48584</v>
      </c>
      <c r="N709" s="115" t="e">
        <f ca="1"/>
        <v>#VALUE!</v>
      </c>
      <c r="P709" s="219">
        <f t="shared" ca="1" si="42"/>
        <v>48584</v>
      </c>
      <c r="Q709" s="115" t="e">
        <f ca="1"/>
        <v>#VALUE!</v>
      </c>
      <c r="S709" s="219">
        <f t="shared" ca="1" si="43"/>
        <v>48584</v>
      </c>
      <c r="T709" s="115" t="e">
        <f ca="1"/>
        <v>#VALUE!</v>
      </c>
      <c r="V709" s="219">
        <f t="shared" ca="1" si="44"/>
        <v>48584</v>
      </c>
      <c r="W709" s="115" t="e">
        <f ca="1"/>
        <v>#VALUE!</v>
      </c>
    </row>
    <row r="710" spans="13:23">
      <c r="M710" s="219">
        <f t="shared" ca="1" si="41"/>
        <v>48591</v>
      </c>
      <c r="N710" s="115" t="e">
        <f ca="1"/>
        <v>#VALUE!</v>
      </c>
      <c r="P710" s="219">
        <f t="shared" ca="1" si="42"/>
        <v>48591</v>
      </c>
      <c r="Q710" s="115" t="e">
        <f ca="1"/>
        <v>#VALUE!</v>
      </c>
      <c r="S710" s="219">
        <f t="shared" ca="1" si="43"/>
        <v>48591</v>
      </c>
      <c r="T710" s="115" t="e">
        <f ca="1"/>
        <v>#VALUE!</v>
      </c>
      <c r="V710" s="219">
        <f t="shared" ca="1" si="44"/>
        <v>48591</v>
      </c>
      <c r="W710" s="115" t="e">
        <f ca="1"/>
        <v>#VALUE!</v>
      </c>
    </row>
    <row r="711" spans="13:23">
      <c r="M711" s="219">
        <f t="shared" ca="1" si="41"/>
        <v>48598</v>
      </c>
      <c r="N711" s="115" t="e">
        <f ca="1"/>
        <v>#VALUE!</v>
      </c>
      <c r="P711" s="219">
        <f t="shared" ca="1" si="42"/>
        <v>48598</v>
      </c>
      <c r="Q711" s="115" t="e">
        <f ca="1"/>
        <v>#VALUE!</v>
      </c>
      <c r="S711" s="219">
        <f t="shared" ca="1" si="43"/>
        <v>48598</v>
      </c>
      <c r="T711" s="115" t="e">
        <f ca="1"/>
        <v>#VALUE!</v>
      </c>
      <c r="V711" s="219">
        <f t="shared" ca="1" si="44"/>
        <v>48598</v>
      </c>
      <c r="W711" s="115" t="e">
        <f ca="1"/>
        <v>#VALUE!</v>
      </c>
    </row>
    <row r="712" spans="13:23">
      <c r="M712" s="219">
        <f t="shared" ca="1" si="41"/>
        <v>48605</v>
      </c>
      <c r="N712" s="115" t="e">
        <f ca="1"/>
        <v>#VALUE!</v>
      </c>
      <c r="P712" s="219">
        <f t="shared" ca="1" si="42"/>
        <v>48605</v>
      </c>
      <c r="Q712" s="115" t="e">
        <f ca="1"/>
        <v>#VALUE!</v>
      </c>
      <c r="S712" s="219">
        <f t="shared" ca="1" si="43"/>
        <v>48605</v>
      </c>
      <c r="T712" s="115" t="e">
        <f ca="1"/>
        <v>#VALUE!</v>
      </c>
      <c r="V712" s="219">
        <f t="shared" ca="1" si="44"/>
        <v>48605</v>
      </c>
      <c r="W712" s="115" t="e">
        <f ca="1"/>
        <v>#VALUE!</v>
      </c>
    </row>
    <row r="713" spans="13:23">
      <c r="M713" s="219">
        <f t="shared" ca="1" si="41"/>
        <v>48612</v>
      </c>
      <c r="N713" s="115" t="e">
        <f ca="1"/>
        <v>#VALUE!</v>
      </c>
      <c r="P713" s="219">
        <f t="shared" ca="1" si="42"/>
        <v>48612</v>
      </c>
      <c r="Q713" s="115" t="e">
        <f ca="1"/>
        <v>#VALUE!</v>
      </c>
      <c r="S713" s="219">
        <f t="shared" ca="1" si="43"/>
        <v>48612</v>
      </c>
      <c r="T713" s="115" t="e">
        <f ca="1"/>
        <v>#VALUE!</v>
      </c>
      <c r="V713" s="219">
        <f t="shared" ca="1" si="44"/>
        <v>48612</v>
      </c>
      <c r="W713" s="115" t="e">
        <f ca="1"/>
        <v>#VALUE!</v>
      </c>
    </row>
    <row r="714" spans="13:23">
      <c r="M714" s="219">
        <f t="shared" ca="1" si="41"/>
        <v>48619</v>
      </c>
      <c r="N714" s="115" t="e">
        <f ca="1"/>
        <v>#VALUE!</v>
      </c>
      <c r="P714" s="219">
        <f t="shared" ca="1" si="42"/>
        <v>48619</v>
      </c>
      <c r="Q714" s="115" t="e">
        <f ca="1"/>
        <v>#VALUE!</v>
      </c>
      <c r="S714" s="219">
        <f t="shared" ca="1" si="43"/>
        <v>48619</v>
      </c>
      <c r="T714" s="115" t="e">
        <f ca="1"/>
        <v>#VALUE!</v>
      </c>
      <c r="V714" s="219">
        <f t="shared" ca="1" si="44"/>
        <v>48619</v>
      </c>
      <c r="W714" s="115" t="e">
        <f ca="1"/>
        <v>#VALUE!</v>
      </c>
    </row>
    <row r="715" spans="13:23">
      <c r="M715" s="219">
        <f t="shared" ca="1" si="41"/>
        <v>48626</v>
      </c>
      <c r="N715" s="115" t="e">
        <f ca="1"/>
        <v>#VALUE!</v>
      </c>
      <c r="P715" s="219">
        <f t="shared" ca="1" si="42"/>
        <v>48626</v>
      </c>
      <c r="Q715" s="115" t="e">
        <f ca="1"/>
        <v>#VALUE!</v>
      </c>
      <c r="S715" s="219">
        <f t="shared" ca="1" si="43"/>
        <v>48626</v>
      </c>
      <c r="T715" s="115" t="e">
        <f ca="1"/>
        <v>#VALUE!</v>
      </c>
      <c r="V715" s="219">
        <f t="shared" ca="1" si="44"/>
        <v>48626</v>
      </c>
      <c r="W715" s="115" t="e">
        <f ca="1"/>
        <v>#VALUE!</v>
      </c>
    </row>
    <row r="716" spans="13:23">
      <c r="M716" s="219">
        <f t="shared" ca="1" si="41"/>
        <v>48633</v>
      </c>
      <c r="N716" s="115" t="e">
        <f ca="1"/>
        <v>#VALUE!</v>
      </c>
      <c r="P716" s="219">
        <f t="shared" ca="1" si="42"/>
        <v>48633</v>
      </c>
      <c r="Q716" s="115" t="e">
        <f ca="1"/>
        <v>#VALUE!</v>
      </c>
      <c r="S716" s="219">
        <f t="shared" ca="1" si="43"/>
        <v>48633</v>
      </c>
      <c r="T716" s="115" t="e">
        <f ca="1"/>
        <v>#VALUE!</v>
      </c>
      <c r="V716" s="219">
        <f t="shared" ca="1" si="44"/>
        <v>48633</v>
      </c>
      <c r="W716" s="115" t="e">
        <f ca="1"/>
        <v>#VALUE!</v>
      </c>
    </row>
    <row r="717" spans="13:23">
      <c r="M717" s="219">
        <f t="shared" ref="M717:M780" ca="1" si="45">M716+7</f>
        <v>48640</v>
      </c>
      <c r="N717" s="115" t="e">
        <f ca="1"/>
        <v>#VALUE!</v>
      </c>
      <c r="P717" s="219">
        <f t="shared" ref="P717:P780" ca="1" si="46">P716+7</f>
        <v>48640</v>
      </c>
      <c r="Q717" s="115" t="e">
        <f ca="1"/>
        <v>#VALUE!</v>
      </c>
      <c r="S717" s="219">
        <f t="shared" ref="S717:S780" ca="1" si="47">S716+7</f>
        <v>48640</v>
      </c>
      <c r="T717" s="115" t="e">
        <f ca="1"/>
        <v>#VALUE!</v>
      </c>
      <c r="V717" s="219">
        <f t="shared" ref="V717:V780" ca="1" si="48">V716+7</f>
        <v>48640</v>
      </c>
      <c r="W717" s="115" t="e">
        <f ca="1"/>
        <v>#VALUE!</v>
      </c>
    </row>
    <row r="718" spans="13:23">
      <c r="M718" s="219">
        <f t="shared" ca="1" si="45"/>
        <v>48647</v>
      </c>
      <c r="N718" s="115" t="e">
        <f ca="1"/>
        <v>#VALUE!</v>
      </c>
      <c r="P718" s="219">
        <f t="shared" ca="1" si="46"/>
        <v>48647</v>
      </c>
      <c r="Q718" s="115" t="e">
        <f ca="1"/>
        <v>#VALUE!</v>
      </c>
      <c r="S718" s="219">
        <f t="shared" ca="1" si="47"/>
        <v>48647</v>
      </c>
      <c r="T718" s="115" t="e">
        <f ca="1"/>
        <v>#VALUE!</v>
      </c>
      <c r="V718" s="219">
        <f t="shared" ca="1" si="48"/>
        <v>48647</v>
      </c>
      <c r="W718" s="115" t="e">
        <f ca="1"/>
        <v>#VALUE!</v>
      </c>
    </row>
    <row r="719" spans="13:23">
      <c r="M719" s="219">
        <f t="shared" ca="1" si="45"/>
        <v>48654</v>
      </c>
      <c r="N719" s="115" t="e">
        <f ca="1"/>
        <v>#VALUE!</v>
      </c>
      <c r="P719" s="219">
        <f t="shared" ca="1" si="46"/>
        <v>48654</v>
      </c>
      <c r="Q719" s="115" t="e">
        <f ca="1"/>
        <v>#VALUE!</v>
      </c>
      <c r="S719" s="219">
        <f t="shared" ca="1" si="47"/>
        <v>48654</v>
      </c>
      <c r="T719" s="115" t="e">
        <f ca="1"/>
        <v>#VALUE!</v>
      </c>
      <c r="V719" s="219">
        <f t="shared" ca="1" si="48"/>
        <v>48654</v>
      </c>
      <c r="W719" s="115" t="e">
        <f ca="1"/>
        <v>#VALUE!</v>
      </c>
    </row>
    <row r="720" spans="13:23">
      <c r="M720" s="219">
        <f t="shared" ca="1" si="45"/>
        <v>48661</v>
      </c>
      <c r="N720" s="115" t="e">
        <f ca="1"/>
        <v>#VALUE!</v>
      </c>
      <c r="P720" s="219">
        <f t="shared" ca="1" si="46"/>
        <v>48661</v>
      </c>
      <c r="Q720" s="115" t="e">
        <f ca="1"/>
        <v>#VALUE!</v>
      </c>
      <c r="S720" s="219">
        <f t="shared" ca="1" si="47"/>
        <v>48661</v>
      </c>
      <c r="T720" s="115" t="e">
        <f ca="1"/>
        <v>#VALUE!</v>
      </c>
      <c r="V720" s="219">
        <f t="shared" ca="1" si="48"/>
        <v>48661</v>
      </c>
      <c r="W720" s="115" t="e">
        <f ca="1"/>
        <v>#VALUE!</v>
      </c>
    </row>
    <row r="721" spans="13:23">
      <c r="M721" s="219">
        <f t="shared" ca="1" si="45"/>
        <v>48668</v>
      </c>
      <c r="N721" s="115" t="e">
        <f ca="1"/>
        <v>#VALUE!</v>
      </c>
      <c r="P721" s="219">
        <f t="shared" ca="1" si="46"/>
        <v>48668</v>
      </c>
      <c r="Q721" s="115" t="e">
        <f ca="1"/>
        <v>#VALUE!</v>
      </c>
      <c r="S721" s="219">
        <f t="shared" ca="1" si="47"/>
        <v>48668</v>
      </c>
      <c r="T721" s="115" t="e">
        <f ca="1"/>
        <v>#VALUE!</v>
      </c>
      <c r="V721" s="219">
        <f t="shared" ca="1" si="48"/>
        <v>48668</v>
      </c>
      <c r="W721" s="115" t="e">
        <f ca="1"/>
        <v>#VALUE!</v>
      </c>
    </row>
    <row r="722" spans="13:23">
      <c r="M722" s="219">
        <f t="shared" ca="1" si="45"/>
        <v>48675</v>
      </c>
      <c r="N722" s="115" t="e">
        <f ca="1"/>
        <v>#VALUE!</v>
      </c>
      <c r="P722" s="219">
        <f t="shared" ca="1" si="46"/>
        <v>48675</v>
      </c>
      <c r="Q722" s="115" t="e">
        <f ca="1"/>
        <v>#VALUE!</v>
      </c>
      <c r="S722" s="219">
        <f t="shared" ca="1" si="47"/>
        <v>48675</v>
      </c>
      <c r="T722" s="115" t="e">
        <f ca="1"/>
        <v>#VALUE!</v>
      </c>
      <c r="V722" s="219">
        <f t="shared" ca="1" si="48"/>
        <v>48675</v>
      </c>
      <c r="W722" s="115" t="e">
        <f ca="1"/>
        <v>#VALUE!</v>
      </c>
    </row>
    <row r="723" spans="13:23">
      <c r="M723" s="219">
        <f t="shared" ca="1" si="45"/>
        <v>48682</v>
      </c>
      <c r="N723" s="115" t="e">
        <f ca="1"/>
        <v>#VALUE!</v>
      </c>
      <c r="P723" s="219">
        <f t="shared" ca="1" si="46"/>
        <v>48682</v>
      </c>
      <c r="Q723" s="115" t="e">
        <f ca="1"/>
        <v>#VALUE!</v>
      </c>
      <c r="S723" s="219">
        <f t="shared" ca="1" si="47"/>
        <v>48682</v>
      </c>
      <c r="T723" s="115" t="e">
        <f ca="1"/>
        <v>#VALUE!</v>
      </c>
      <c r="V723" s="219">
        <f t="shared" ca="1" si="48"/>
        <v>48682</v>
      </c>
      <c r="W723" s="115" t="e">
        <f ca="1"/>
        <v>#VALUE!</v>
      </c>
    </row>
    <row r="724" spans="13:23">
      <c r="M724" s="219">
        <f t="shared" ca="1" si="45"/>
        <v>48689</v>
      </c>
      <c r="N724" s="115" t="e">
        <f ca="1"/>
        <v>#VALUE!</v>
      </c>
      <c r="P724" s="219">
        <f t="shared" ca="1" si="46"/>
        <v>48689</v>
      </c>
      <c r="Q724" s="115" t="e">
        <f ca="1"/>
        <v>#VALUE!</v>
      </c>
      <c r="S724" s="219">
        <f t="shared" ca="1" si="47"/>
        <v>48689</v>
      </c>
      <c r="T724" s="115" t="e">
        <f ca="1"/>
        <v>#VALUE!</v>
      </c>
      <c r="V724" s="219">
        <f t="shared" ca="1" si="48"/>
        <v>48689</v>
      </c>
      <c r="W724" s="115" t="e">
        <f ca="1"/>
        <v>#VALUE!</v>
      </c>
    </row>
    <row r="725" spans="13:23">
      <c r="M725" s="219">
        <f t="shared" ca="1" si="45"/>
        <v>48696</v>
      </c>
      <c r="N725" s="115" t="e">
        <f ca="1"/>
        <v>#VALUE!</v>
      </c>
      <c r="P725" s="219">
        <f t="shared" ca="1" si="46"/>
        <v>48696</v>
      </c>
      <c r="Q725" s="115" t="e">
        <f ca="1"/>
        <v>#VALUE!</v>
      </c>
      <c r="S725" s="219">
        <f t="shared" ca="1" si="47"/>
        <v>48696</v>
      </c>
      <c r="T725" s="115" t="e">
        <f ca="1"/>
        <v>#VALUE!</v>
      </c>
      <c r="V725" s="219">
        <f t="shared" ca="1" si="48"/>
        <v>48696</v>
      </c>
      <c r="W725" s="115" t="e">
        <f ca="1"/>
        <v>#VALUE!</v>
      </c>
    </row>
    <row r="726" spans="13:23">
      <c r="M726" s="219">
        <f t="shared" ca="1" si="45"/>
        <v>48703</v>
      </c>
      <c r="N726" s="115" t="e">
        <f ca="1"/>
        <v>#VALUE!</v>
      </c>
      <c r="P726" s="219">
        <f t="shared" ca="1" si="46"/>
        <v>48703</v>
      </c>
      <c r="Q726" s="115" t="e">
        <f ca="1"/>
        <v>#VALUE!</v>
      </c>
      <c r="S726" s="219">
        <f t="shared" ca="1" si="47"/>
        <v>48703</v>
      </c>
      <c r="T726" s="115" t="e">
        <f ca="1"/>
        <v>#VALUE!</v>
      </c>
      <c r="V726" s="219">
        <f t="shared" ca="1" si="48"/>
        <v>48703</v>
      </c>
      <c r="W726" s="115" t="e">
        <f ca="1"/>
        <v>#VALUE!</v>
      </c>
    </row>
    <row r="727" spans="13:23">
      <c r="M727" s="219">
        <f t="shared" ca="1" si="45"/>
        <v>48710</v>
      </c>
      <c r="N727" s="115" t="e">
        <f ca="1"/>
        <v>#VALUE!</v>
      </c>
      <c r="P727" s="219">
        <f t="shared" ca="1" si="46"/>
        <v>48710</v>
      </c>
      <c r="Q727" s="115" t="e">
        <f ca="1"/>
        <v>#VALUE!</v>
      </c>
      <c r="S727" s="219">
        <f t="shared" ca="1" si="47"/>
        <v>48710</v>
      </c>
      <c r="T727" s="115" t="e">
        <f ca="1"/>
        <v>#VALUE!</v>
      </c>
      <c r="V727" s="219">
        <f t="shared" ca="1" si="48"/>
        <v>48710</v>
      </c>
      <c r="W727" s="115" t="e">
        <f ca="1"/>
        <v>#VALUE!</v>
      </c>
    </row>
    <row r="728" spans="13:23">
      <c r="M728" s="219">
        <f t="shared" ca="1" si="45"/>
        <v>48717</v>
      </c>
      <c r="N728" s="115" t="e">
        <f ca="1"/>
        <v>#VALUE!</v>
      </c>
      <c r="P728" s="219">
        <f t="shared" ca="1" si="46"/>
        <v>48717</v>
      </c>
      <c r="Q728" s="115" t="e">
        <f ca="1"/>
        <v>#VALUE!</v>
      </c>
      <c r="S728" s="219">
        <f t="shared" ca="1" si="47"/>
        <v>48717</v>
      </c>
      <c r="T728" s="115" t="e">
        <f ca="1"/>
        <v>#VALUE!</v>
      </c>
      <c r="V728" s="219">
        <f t="shared" ca="1" si="48"/>
        <v>48717</v>
      </c>
      <c r="W728" s="115" t="e">
        <f ca="1"/>
        <v>#VALUE!</v>
      </c>
    </row>
    <row r="729" spans="13:23">
      <c r="M729" s="219">
        <f t="shared" ca="1" si="45"/>
        <v>48724</v>
      </c>
      <c r="N729" s="115" t="e">
        <f ca="1"/>
        <v>#VALUE!</v>
      </c>
      <c r="P729" s="219">
        <f t="shared" ca="1" si="46"/>
        <v>48724</v>
      </c>
      <c r="Q729" s="115" t="e">
        <f ca="1"/>
        <v>#VALUE!</v>
      </c>
      <c r="S729" s="219">
        <f t="shared" ca="1" si="47"/>
        <v>48724</v>
      </c>
      <c r="T729" s="115" t="e">
        <f ca="1"/>
        <v>#VALUE!</v>
      </c>
      <c r="V729" s="219">
        <f t="shared" ca="1" si="48"/>
        <v>48724</v>
      </c>
      <c r="W729" s="115" t="e">
        <f ca="1"/>
        <v>#VALUE!</v>
      </c>
    </row>
    <row r="730" spans="13:23">
      <c r="M730" s="219">
        <f t="shared" ca="1" si="45"/>
        <v>48731</v>
      </c>
      <c r="N730" s="115" t="e">
        <f ca="1"/>
        <v>#VALUE!</v>
      </c>
      <c r="P730" s="219">
        <f t="shared" ca="1" si="46"/>
        <v>48731</v>
      </c>
      <c r="Q730" s="115" t="e">
        <f ca="1"/>
        <v>#VALUE!</v>
      </c>
      <c r="S730" s="219">
        <f t="shared" ca="1" si="47"/>
        <v>48731</v>
      </c>
      <c r="T730" s="115" t="e">
        <f ca="1"/>
        <v>#VALUE!</v>
      </c>
      <c r="V730" s="219">
        <f t="shared" ca="1" si="48"/>
        <v>48731</v>
      </c>
      <c r="W730" s="115" t="e">
        <f ca="1"/>
        <v>#VALUE!</v>
      </c>
    </row>
    <row r="731" spans="13:23">
      <c r="M731" s="219">
        <f t="shared" ca="1" si="45"/>
        <v>48738</v>
      </c>
      <c r="N731" s="115" t="e">
        <f ca="1"/>
        <v>#VALUE!</v>
      </c>
      <c r="P731" s="219">
        <f t="shared" ca="1" si="46"/>
        <v>48738</v>
      </c>
      <c r="Q731" s="115" t="e">
        <f ca="1"/>
        <v>#VALUE!</v>
      </c>
      <c r="S731" s="219">
        <f t="shared" ca="1" si="47"/>
        <v>48738</v>
      </c>
      <c r="T731" s="115" t="e">
        <f ca="1"/>
        <v>#VALUE!</v>
      </c>
      <c r="V731" s="219">
        <f t="shared" ca="1" si="48"/>
        <v>48738</v>
      </c>
      <c r="W731" s="115" t="e">
        <f ca="1"/>
        <v>#VALUE!</v>
      </c>
    </row>
    <row r="732" spans="13:23">
      <c r="M732" s="219">
        <f t="shared" ca="1" si="45"/>
        <v>48745</v>
      </c>
      <c r="N732" s="115" t="e">
        <f ca="1"/>
        <v>#VALUE!</v>
      </c>
      <c r="P732" s="219">
        <f t="shared" ca="1" si="46"/>
        <v>48745</v>
      </c>
      <c r="Q732" s="115" t="e">
        <f ca="1"/>
        <v>#VALUE!</v>
      </c>
      <c r="S732" s="219">
        <f t="shared" ca="1" si="47"/>
        <v>48745</v>
      </c>
      <c r="T732" s="115" t="e">
        <f ca="1"/>
        <v>#VALUE!</v>
      </c>
      <c r="V732" s="219">
        <f t="shared" ca="1" si="48"/>
        <v>48745</v>
      </c>
      <c r="W732" s="115" t="e">
        <f ca="1"/>
        <v>#VALUE!</v>
      </c>
    </row>
    <row r="733" spans="13:23">
      <c r="M733" s="219">
        <f t="shared" ca="1" si="45"/>
        <v>48752</v>
      </c>
      <c r="N733" s="115" t="e">
        <f ca="1"/>
        <v>#VALUE!</v>
      </c>
      <c r="P733" s="219">
        <f t="shared" ca="1" si="46"/>
        <v>48752</v>
      </c>
      <c r="Q733" s="115" t="e">
        <f ca="1"/>
        <v>#VALUE!</v>
      </c>
      <c r="S733" s="219">
        <f t="shared" ca="1" si="47"/>
        <v>48752</v>
      </c>
      <c r="T733" s="115" t="e">
        <f ca="1"/>
        <v>#VALUE!</v>
      </c>
      <c r="V733" s="219">
        <f t="shared" ca="1" si="48"/>
        <v>48752</v>
      </c>
      <c r="W733" s="115" t="e">
        <f ca="1"/>
        <v>#VALUE!</v>
      </c>
    </row>
    <row r="734" spans="13:23">
      <c r="M734" s="219">
        <f t="shared" ca="1" si="45"/>
        <v>48759</v>
      </c>
      <c r="N734" s="115" t="e">
        <f ca="1"/>
        <v>#VALUE!</v>
      </c>
      <c r="P734" s="219">
        <f t="shared" ca="1" si="46"/>
        <v>48759</v>
      </c>
      <c r="Q734" s="115" t="e">
        <f ca="1"/>
        <v>#VALUE!</v>
      </c>
      <c r="S734" s="219">
        <f t="shared" ca="1" si="47"/>
        <v>48759</v>
      </c>
      <c r="T734" s="115" t="e">
        <f ca="1"/>
        <v>#VALUE!</v>
      </c>
      <c r="V734" s="219">
        <f t="shared" ca="1" si="48"/>
        <v>48759</v>
      </c>
      <c r="W734" s="115" t="e">
        <f ca="1"/>
        <v>#VALUE!</v>
      </c>
    </row>
    <row r="735" spans="13:23">
      <c r="M735" s="219">
        <f t="shared" ca="1" si="45"/>
        <v>48766</v>
      </c>
      <c r="N735" s="115" t="e">
        <f ca="1"/>
        <v>#VALUE!</v>
      </c>
      <c r="P735" s="219">
        <f t="shared" ca="1" si="46"/>
        <v>48766</v>
      </c>
      <c r="Q735" s="115" t="e">
        <f ca="1"/>
        <v>#VALUE!</v>
      </c>
      <c r="S735" s="219">
        <f t="shared" ca="1" si="47"/>
        <v>48766</v>
      </c>
      <c r="T735" s="115" t="e">
        <f ca="1"/>
        <v>#VALUE!</v>
      </c>
      <c r="V735" s="219">
        <f t="shared" ca="1" si="48"/>
        <v>48766</v>
      </c>
      <c r="W735" s="115" t="e">
        <f ca="1"/>
        <v>#VALUE!</v>
      </c>
    </row>
    <row r="736" spans="13:23">
      <c r="M736" s="219">
        <f t="shared" ca="1" si="45"/>
        <v>48773</v>
      </c>
      <c r="N736" s="115" t="e">
        <f ca="1"/>
        <v>#VALUE!</v>
      </c>
      <c r="P736" s="219">
        <f t="shared" ca="1" si="46"/>
        <v>48773</v>
      </c>
      <c r="Q736" s="115" t="e">
        <f ca="1"/>
        <v>#VALUE!</v>
      </c>
      <c r="S736" s="219">
        <f t="shared" ca="1" si="47"/>
        <v>48773</v>
      </c>
      <c r="T736" s="115" t="e">
        <f ca="1"/>
        <v>#VALUE!</v>
      </c>
      <c r="V736" s="219">
        <f t="shared" ca="1" si="48"/>
        <v>48773</v>
      </c>
      <c r="W736" s="115" t="e">
        <f ca="1"/>
        <v>#VALUE!</v>
      </c>
    </row>
    <row r="737" spans="13:23">
      <c r="M737" s="219">
        <f t="shared" ca="1" si="45"/>
        <v>48780</v>
      </c>
      <c r="N737" s="115" t="e">
        <f ca="1"/>
        <v>#VALUE!</v>
      </c>
      <c r="P737" s="219">
        <f t="shared" ca="1" si="46"/>
        <v>48780</v>
      </c>
      <c r="Q737" s="115" t="e">
        <f ca="1"/>
        <v>#VALUE!</v>
      </c>
      <c r="S737" s="219">
        <f t="shared" ca="1" si="47"/>
        <v>48780</v>
      </c>
      <c r="T737" s="115" t="e">
        <f ca="1"/>
        <v>#VALUE!</v>
      </c>
      <c r="V737" s="219">
        <f t="shared" ca="1" si="48"/>
        <v>48780</v>
      </c>
      <c r="W737" s="115" t="e">
        <f ca="1"/>
        <v>#VALUE!</v>
      </c>
    </row>
    <row r="738" spans="13:23">
      <c r="M738" s="219">
        <f t="shared" ca="1" si="45"/>
        <v>48787</v>
      </c>
      <c r="N738" s="115" t="e">
        <f ca="1"/>
        <v>#VALUE!</v>
      </c>
      <c r="P738" s="219">
        <f t="shared" ca="1" si="46"/>
        <v>48787</v>
      </c>
      <c r="Q738" s="115" t="e">
        <f ca="1"/>
        <v>#VALUE!</v>
      </c>
      <c r="S738" s="219">
        <f t="shared" ca="1" si="47"/>
        <v>48787</v>
      </c>
      <c r="T738" s="115" t="e">
        <f ca="1"/>
        <v>#VALUE!</v>
      </c>
      <c r="V738" s="219">
        <f t="shared" ca="1" si="48"/>
        <v>48787</v>
      </c>
      <c r="W738" s="115" t="e">
        <f ca="1"/>
        <v>#VALUE!</v>
      </c>
    </row>
    <row r="739" spans="13:23">
      <c r="M739" s="219">
        <f t="shared" ca="1" si="45"/>
        <v>48794</v>
      </c>
      <c r="N739" s="115" t="e">
        <f ca="1"/>
        <v>#VALUE!</v>
      </c>
      <c r="P739" s="219">
        <f t="shared" ca="1" si="46"/>
        <v>48794</v>
      </c>
      <c r="Q739" s="115" t="e">
        <f ca="1"/>
        <v>#VALUE!</v>
      </c>
      <c r="S739" s="219">
        <f t="shared" ca="1" si="47"/>
        <v>48794</v>
      </c>
      <c r="T739" s="115" t="e">
        <f ca="1"/>
        <v>#VALUE!</v>
      </c>
      <c r="V739" s="219">
        <f t="shared" ca="1" si="48"/>
        <v>48794</v>
      </c>
      <c r="W739" s="115" t="e">
        <f ca="1"/>
        <v>#VALUE!</v>
      </c>
    </row>
    <row r="740" spans="13:23">
      <c r="M740" s="219">
        <f t="shared" ca="1" si="45"/>
        <v>48801</v>
      </c>
      <c r="N740" s="115" t="e">
        <f ca="1"/>
        <v>#VALUE!</v>
      </c>
      <c r="P740" s="219">
        <f t="shared" ca="1" si="46"/>
        <v>48801</v>
      </c>
      <c r="Q740" s="115" t="e">
        <f ca="1"/>
        <v>#VALUE!</v>
      </c>
      <c r="S740" s="219">
        <f t="shared" ca="1" si="47"/>
        <v>48801</v>
      </c>
      <c r="T740" s="115" t="e">
        <f ca="1"/>
        <v>#VALUE!</v>
      </c>
      <c r="V740" s="219">
        <f t="shared" ca="1" si="48"/>
        <v>48801</v>
      </c>
      <c r="W740" s="115" t="e">
        <f ca="1"/>
        <v>#VALUE!</v>
      </c>
    </row>
    <row r="741" spans="13:23">
      <c r="M741" s="219">
        <f t="shared" ca="1" si="45"/>
        <v>48808</v>
      </c>
      <c r="N741" s="115" t="e">
        <f ca="1"/>
        <v>#VALUE!</v>
      </c>
      <c r="P741" s="219">
        <f t="shared" ca="1" si="46"/>
        <v>48808</v>
      </c>
      <c r="Q741" s="115" t="e">
        <f ca="1"/>
        <v>#VALUE!</v>
      </c>
      <c r="S741" s="219">
        <f t="shared" ca="1" si="47"/>
        <v>48808</v>
      </c>
      <c r="T741" s="115" t="e">
        <f ca="1"/>
        <v>#VALUE!</v>
      </c>
      <c r="V741" s="219">
        <f t="shared" ca="1" si="48"/>
        <v>48808</v>
      </c>
      <c r="W741" s="115" t="e">
        <f ca="1"/>
        <v>#VALUE!</v>
      </c>
    </row>
    <row r="742" spans="13:23">
      <c r="M742" s="219">
        <f t="shared" ca="1" si="45"/>
        <v>48815</v>
      </c>
      <c r="N742" s="115" t="e">
        <f ca="1"/>
        <v>#VALUE!</v>
      </c>
      <c r="P742" s="219">
        <f t="shared" ca="1" si="46"/>
        <v>48815</v>
      </c>
      <c r="Q742" s="115" t="e">
        <f ca="1"/>
        <v>#VALUE!</v>
      </c>
      <c r="S742" s="219">
        <f t="shared" ca="1" si="47"/>
        <v>48815</v>
      </c>
      <c r="T742" s="115" t="e">
        <f ca="1"/>
        <v>#VALUE!</v>
      </c>
      <c r="V742" s="219">
        <f t="shared" ca="1" si="48"/>
        <v>48815</v>
      </c>
      <c r="W742" s="115" t="e">
        <f ca="1"/>
        <v>#VALUE!</v>
      </c>
    </row>
    <row r="743" spans="13:23">
      <c r="M743" s="219">
        <f t="shared" ca="1" si="45"/>
        <v>48822</v>
      </c>
      <c r="N743" s="115" t="e">
        <f ca="1"/>
        <v>#VALUE!</v>
      </c>
      <c r="P743" s="219">
        <f t="shared" ca="1" si="46"/>
        <v>48822</v>
      </c>
      <c r="Q743" s="115" t="e">
        <f ca="1"/>
        <v>#VALUE!</v>
      </c>
      <c r="S743" s="219">
        <f t="shared" ca="1" si="47"/>
        <v>48822</v>
      </c>
      <c r="T743" s="115" t="e">
        <f ca="1"/>
        <v>#VALUE!</v>
      </c>
      <c r="V743" s="219">
        <f t="shared" ca="1" si="48"/>
        <v>48822</v>
      </c>
      <c r="W743" s="115" t="e">
        <f ca="1"/>
        <v>#VALUE!</v>
      </c>
    </row>
    <row r="744" spans="13:23">
      <c r="M744" s="219">
        <f t="shared" ca="1" si="45"/>
        <v>48829</v>
      </c>
      <c r="N744" s="115" t="e">
        <f ca="1"/>
        <v>#VALUE!</v>
      </c>
      <c r="P744" s="219">
        <f t="shared" ca="1" si="46"/>
        <v>48829</v>
      </c>
      <c r="Q744" s="115" t="e">
        <f ca="1"/>
        <v>#VALUE!</v>
      </c>
      <c r="S744" s="219">
        <f t="shared" ca="1" si="47"/>
        <v>48829</v>
      </c>
      <c r="T744" s="115" t="e">
        <f ca="1"/>
        <v>#VALUE!</v>
      </c>
      <c r="V744" s="219">
        <f t="shared" ca="1" si="48"/>
        <v>48829</v>
      </c>
      <c r="W744" s="115" t="e">
        <f ca="1"/>
        <v>#VALUE!</v>
      </c>
    </row>
    <row r="745" spans="13:23">
      <c r="M745" s="219">
        <f t="shared" ca="1" si="45"/>
        <v>48836</v>
      </c>
      <c r="N745" s="115" t="e">
        <f ca="1"/>
        <v>#VALUE!</v>
      </c>
      <c r="P745" s="219">
        <f t="shared" ca="1" si="46"/>
        <v>48836</v>
      </c>
      <c r="Q745" s="115" t="e">
        <f ca="1"/>
        <v>#VALUE!</v>
      </c>
      <c r="S745" s="219">
        <f t="shared" ca="1" si="47"/>
        <v>48836</v>
      </c>
      <c r="T745" s="115" t="e">
        <f ca="1"/>
        <v>#VALUE!</v>
      </c>
      <c r="V745" s="219">
        <f t="shared" ca="1" si="48"/>
        <v>48836</v>
      </c>
      <c r="W745" s="115" t="e">
        <f ca="1"/>
        <v>#VALUE!</v>
      </c>
    </row>
    <row r="746" spans="13:23">
      <c r="M746" s="219">
        <f t="shared" ca="1" si="45"/>
        <v>48843</v>
      </c>
      <c r="N746" s="115" t="e">
        <f ca="1"/>
        <v>#VALUE!</v>
      </c>
      <c r="P746" s="219">
        <f t="shared" ca="1" si="46"/>
        <v>48843</v>
      </c>
      <c r="Q746" s="115" t="e">
        <f ca="1"/>
        <v>#VALUE!</v>
      </c>
      <c r="S746" s="219">
        <f t="shared" ca="1" si="47"/>
        <v>48843</v>
      </c>
      <c r="T746" s="115" t="e">
        <f ca="1"/>
        <v>#VALUE!</v>
      </c>
      <c r="V746" s="219">
        <f t="shared" ca="1" si="48"/>
        <v>48843</v>
      </c>
      <c r="W746" s="115" t="e">
        <f ca="1"/>
        <v>#VALUE!</v>
      </c>
    </row>
    <row r="747" spans="13:23">
      <c r="M747" s="219">
        <f t="shared" ca="1" si="45"/>
        <v>48850</v>
      </c>
      <c r="N747" s="115" t="e">
        <f ca="1"/>
        <v>#VALUE!</v>
      </c>
      <c r="P747" s="219">
        <f t="shared" ca="1" si="46"/>
        <v>48850</v>
      </c>
      <c r="Q747" s="115" t="e">
        <f ca="1"/>
        <v>#VALUE!</v>
      </c>
      <c r="S747" s="219">
        <f t="shared" ca="1" si="47"/>
        <v>48850</v>
      </c>
      <c r="T747" s="115" t="e">
        <f ca="1"/>
        <v>#VALUE!</v>
      </c>
      <c r="V747" s="219">
        <f t="shared" ca="1" si="48"/>
        <v>48850</v>
      </c>
      <c r="W747" s="115" t="e">
        <f ca="1"/>
        <v>#VALUE!</v>
      </c>
    </row>
    <row r="748" spans="13:23">
      <c r="M748" s="219">
        <f t="shared" ca="1" si="45"/>
        <v>48857</v>
      </c>
      <c r="N748" s="115" t="e">
        <f ca="1"/>
        <v>#VALUE!</v>
      </c>
      <c r="P748" s="219">
        <f t="shared" ca="1" si="46"/>
        <v>48857</v>
      </c>
      <c r="Q748" s="115" t="e">
        <f ca="1"/>
        <v>#VALUE!</v>
      </c>
      <c r="S748" s="219">
        <f t="shared" ca="1" si="47"/>
        <v>48857</v>
      </c>
      <c r="T748" s="115" t="e">
        <f ca="1"/>
        <v>#VALUE!</v>
      </c>
      <c r="V748" s="219">
        <f t="shared" ca="1" si="48"/>
        <v>48857</v>
      </c>
      <c r="W748" s="115" t="e">
        <f ca="1"/>
        <v>#VALUE!</v>
      </c>
    </row>
    <row r="749" spans="13:23">
      <c r="M749" s="219">
        <f t="shared" ca="1" si="45"/>
        <v>48864</v>
      </c>
      <c r="N749" s="115" t="e">
        <f ca="1"/>
        <v>#VALUE!</v>
      </c>
      <c r="P749" s="219">
        <f t="shared" ca="1" si="46"/>
        <v>48864</v>
      </c>
      <c r="Q749" s="115" t="e">
        <f ca="1"/>
        <v>#VALUE!</v>
      </c>
      <c r="S749" s="219">
        <f t="shared" ca="1" si="47"/>
        <v>48864</v>
      </c>
      <c r="T749" s="115" t="e">
        <f ca="1"/>
        <v>#VALUE!</v>
      </c>
      <c r="V749" s="219">
        <f t="shared" ca="1" si="48"/>
        <v>48864</v>
      </c>
      <c r="W749" s="115" t="e">
        <f ca="1"/>
        <v>#VALUE!</v>
      </c>
    </row>
    <row r="750" spans="13:23">
      <c r="M750" s="219">
        <f t="shared" ca="1" si="45"/>
        <v>48871</v>
      </c>
      <c r="N750" s="115" t="e">
        <f ca="1"/>
        <v>#VALUE!</v>
      </c>
      <c r="P750" s="219">
        <f t="shared" ca="1" si="46"/>
        <v>48871</v>
      </c>
      <c r="Q750" s="115" t="e">
        <f ca="1"/>
        <v>#VALUE!</v>
      </c>
      <c r="S750" s="219">
        <f t="shared" ca="1" si="47"/>
        <v>48871</v>
      </c>
      <c r="T750" s="115" t="e">
        <f ca="1"/>
        <v>#VALUE!</v>
      </c>
      <c r="V750" s="219">
        <f t="shared" ca="1" si="48"/>
        <v>48871</v>
      </c>
      <c r="W750" s="115" t="e">
        <f ca="1"/>
        <v>#VALUE!</v>
      </c>
    </row>
    <row r="751" spans="13:23">
      <c r="M751" s="219">
        <f t="shared" ca="1" si="45"/>
        <v>48878</v>
      </c>
      <c r="N751" s="115" t="e">
        <f ca="1"/>
        <v>#VALUE!</v>
      </c>
      <c r="P751" s="219">
        <f t="shared" ca="1" si="46"/>
        <v>48878</v>
      </c>
      <c r="Q751" s="115" t="e">
        <f ca="1"/>
        <v>#VALUE!</v>
      </c>
      <c r="S751" s="219">
        <f t="shared" ca="1" si="47"/>
        <v>48878</v>
      </c>
      <c r="T751" s="115" t="e">
        <f ca="1"/>
        <v>#VALUE!</v>
      </c>
      <c r="V751" s="219">
        <f t="shared" ca="1" si="48"/>
        <v>48878</v>
      </c>
      <c r="W751" s="115" t="e">
        <f ca="1"/>
        <v>#VALUE!</v>
      </c>
    </row>
    <row r="752" spans="13:23">
      <c r="M752" s="219">
        <f t="shared" ca="1" si="45"/>
        <v>48885</v>
      </c>
      <c r="N752" s="115" t="e">
        <f ca="1"/>
        <v>#VALUE!</v>
      </c>
      <c r="P752" s="219">
        <f t="shared" ca="1" si="46"/>
        <v>48885</v>
      </c>
      <c r="Q752" s="115" t="e">
        <f ca="1"/>
        <v>#VALUE!</v>
      </c>
      <c r="S752" s="219">
        <f t="shared" ca="1" si="47"/>
        <v>48885</v>
      </c>
      <c r="T752" s="115" t="e">
        <f ca="1"/>
        <v>#VALUE!</v>
      </c>
      <c r="V752" s="219">
        <f t="shared" ca="1" si="48"/>
        <v>48885</v>
      </c>
      <c r="W752" s="115" t="e">
        <f ca="1"/>
        <v>#VALUE!</v>
      </c>
    </row>
    <row r="753" spans="13:23">
      <c r="M753" s="219">
        <f t="shared" ca="1" si="45"/>
        <v>48892</v>
      </c>
      <c r="N753" s="115" t="e">
        <f ca="1"/>
        <v>#VALUE!</v>
      </c>
      <c r="P753" s="219">
        <f t="shared" ca="1" si="46"/>
        <v>48892</v>
      </c>
      <c r="Q753" s="115" t="e">
        <f ca="1"/>
        <v>#VALUE!</v>
      </c>
      <c r="S753" s="219">
        <f t="shared" ca="1" si="47"/>
        <v>48892</v>
      </c>
      <c r="T753" s="115" t="e">
        <f ca="1"/>
        <v>#VALUE!</v>
      </c>
      <c r="V753" s="219">
        <f t="shared" ca="1" si="48"/>
        <v>48892</v>
      </c>
      <c r="W753" s="115" t="e">
        <f ca="1"/>
        <v>#VALUE!</v>
      </c>
    </row>
    <row r="754" spans="13:23">
      <c r="M754" s="219">
        <f t="shared" ca="1" si="45"/>
        <v>48899</v>
      </c>
      <c r="N754" s="115" t="e">
        <f ca="1"/>
        <v>#VALUE!</v>
      </c>
      <c r="P754" s="219">
        <f t="shared" ca="1" si="46"/>
        <v>48899</v>
      </c>
      <c r="Q754" s="115" t="e">
        <f ca="1"/>
        <v>#VALUE!</v>
      </c>
      <c r="S754" s="219">
        <f t="shared" ca="1" si="47"/>
        <v>48899</v>
      </c>
      <c r="T754" s="115" t="e">
        <f ca="1"/>
        <v>#VALUE!</v>
      </c>
      <c r="V754" s="219">
        <f t="shared" ca="1" si="48"/>
        <v>48899</v>
      </c>
      <c r="W754" s="115" t="e">
        <f ca="1"/>
        <v>#VALUE!</v>
      </c>
    </row>
    <row r="755" spans="13:23">
      <c r="M755" s="219">
        <f t="shared" ca="1" si="45"/>
        <v>48906</v>
      </c>
      <c r="N755" s="115" t="e">
        <f ca="1"/>
        <v>#VALUE!</v>
      </c>
      <c r="P755" s="219">
        <f t="shared" ca="1" si="46"/>
        <v>48906</v>
      </c>
      <c r="Q755" s="115" t="e">
        <f ca="1"/>
        <v>#VALUE!</v>
      </c>
      <c r="S755" s="219">
        <f t="shared" ca="1" si="47"/>
        <v>48906</v>
      </c>
      <c r="T755" s="115" t="e">
        <f ca="1"/>
        <v>#VALUE!</v>
      </c>
      <c r="V755" s="219">
        <f t="shared" ca="1" si="48"/>
        <v>48906</v>
      </c>
      <c r="W755" s="115" t="e">
        <f ca="1"/>
        <v>#VALUE!</v>
      </c>
    </row>
    <row r="756" spans="13:23">
      <c r="M756" s="219">
        <f t="shared" ca="1" si="45"/>
        <v>48913</v>
      </c>
      <c r="N756" s="115" t="e">
        <f ca="1"/>
        <v>#VALUE!</v>
      </c>
      <c r="P756" s="219">
        <f t="shared" ca="1" si="46"/>
        <v>48913</v>
      </c>
      <c r="Q756" s="115" t="e">
        <f ca="1"/>
        <v>#VALUE!</v>
      </c>
      <c r="S756" s="219">
        <f t="shared" ca="1" si="47"/>
        <v>48913</v>
      </c>
      <c r="T756" s="115" t="e">
        <f ca="1"/>
        <v>#VALUE!</v>
      </c>
      <c r="V756" s="219">
        <f t="shared" ca="1" si="48"/>
        <v>48913</v>
      </c>
      <c r="W756" s="115" t="e">
        <f ca="1"/>
        <v>#VALUE!</v>
      </c>
    </row>
    <row r="757" spans="13:23">
      <c r="M757" s="219">
        <f t="shared" ca="1" si="45"/>
        <v>48920</v>
      </c>
      <c r="N757" s="115" t="e">
        <f ca="1"/>
        <v>#VALUE!</v>
      </c>
      <c r="P757" s="219">
        <f t="shared" ca="1" si="46"/>
        <v>48920</v>
      </c>
      <c r="Q757" s="115" t="e">
        <f ca="1"/>
        <v>#VALUE!</v>
      </c>
      <c r="S757" s="219">
        <f t="shared" ca="1" si="47"/>
        <v>48920</v>
      </c>
      <c r="T757" s="115" t="e">
        <f ca="1"/>
        <v>#VALUE!</v>
      </c>
      <c r="V757" s="219">
        <f t="shared" ca="1" si="48"/>
        <v>48920</v>
      </c>
      <c r="W757" s="115" t="e">
        <f ca="1"/>
        <v>#VALUE!</v>
      </c>
    </row>
    <row r="758" spans="13:23">
      <c r="M758" s="219">
        <f t="shared" ca="1" si="45"/>
        <v>48927</v>
      </c>
      <c r="N758" s="115" t="e">
        <f ca="1"/>
        <v>#VALUE!</v>
      </c>
      <c r="P758" s="219">
        <f t="shared" ca="1" si="46"/>
        <v>48927</v>
      </c>
      <c r="Q758" s="115" t="e">
        <f ca="1"/>
        <v>#VALUE!</v>
      </c>
      <c r="S758" s="219">
        <f t="shared" ca="1" si="47"/>
        <v>48927</v>
      </c>
      <c r="T758" s="115" t="e">
        <f ca="1"/>
        <v>#VALUE!</v>
      </c>
      <c r="V758" s="219">
        <f t="shared" ca="1" si="48"/>
        <v>48927</v>
      </c>
      <c r="W758" s="115" t="e">
        <f ca="1"/>
        <v>#VALUE!</v>
      </c>
    </row>
    <row r="759" spans="13:23">
      <c r="M759" s="219">
        <f t="shared" ca="1" si="45"/>
        <v>48934</v>
      </c>
      <c r="N759" s="115" t="e">
        <f ca="1"/>
        <v>#VALUE!</v>
      </c>
      <c r="P759" s="219">
        <f t="shared" ca="1" si="46"/>
        <v>48934</v>
      </c>
      <c r="Q759" s="115" t="e">
        <f ca="1"/>
        <v>#VALUE!</v>
      </c>
      <c r="S759" s="219">
        <f t="shared" ca="1" si="47"/>
        <v>48934</v>
      </c>
      <c r="T759" s="115" t="e">
        <f ca="1"/>
        <v>#VALUE!</v>
      </c>
      <c r="V759" s="219">
        <f t="shared" ca="1" si="48"/>
        <v>48934</v>
      </c>
      <c r="W759" s="115" t="e">
        <f ca="1"/>
        <v>#VALUE!</v>
      </c>
    </row>
    <row r="760" spans="13:23">
      <c r="M760" s="219">
        <f t="shared" ca="1" si="45"/>
        <v>48941</v>
      </c>
      <c r="N760" s="115" t="e">
        <f ca="1"/>
        <v>#VALUE!</v>
      </c>
      <c r="P760" s="219">
        <f t="shared" ca="1" si="46"/>
        <v>48941</v>
      </c>
      <c r="Q760" s="115" t="e">
        <f ca="1"/>
        <v>#VALUE!</v>
      </c>
      <c r="S760" s="219">
        <f t="shared" ca="1" si="47"/>
        <v>48941</v>
      </c>
      <c r="T760" s="115" t="e">
        <f ca="1"/>
        <v>#VALUE!</v>
      </c>
      <c r="V760" s="219">
        <f t="shared" ca="1" si="48"/>
        <v>48941</v>
      </c>
      <c r="W760" s="115" t="e">
        <f ca="1"/>
        <v>#VALUE!</v>
      </c>
    </row>
    <row r="761" spans="13:23">
      <c r="M761" s="219">
        <f t="shared" ca="1" si="45"/>
        <v>48948</v>
      </c>
      <c r="N761" s="115" t="e">
        <f ca="1"/>
        <v>#VALUE!</v>
      </c>
      <c r="P761" s="219">
        <f t="shared" ca="1" si="46"/>
        <v>48948</v>
      </c>
      <c r="Q761" s="115" t="e">
        <f ca="1"/>
        <v>#VALUE!</v>
      </c>
      <c r="S761" s="219">
        <f t="shared" ca="1" si="47"/>
        <v>48948</v>
      </c>
      <c r="T761" s="115" t="e">
        <f ca="1"/>
        <v>#VALUE!</v>
      </c>
      <c r="V761" s="219">
        <f t="shared" ca="1" si="48"/>
        <v>48948</v>
      </c>
      <c r="W761" s="115" t="e">
        <f ca="1"/>
        <v>#VALUE!</v>
      </c>
    </row>
    <row r="762" spans="13:23">
      <c r="M762" s="219">
        <f t="shared" ca="1" si="45"/>
        <v>48955</v>
      </c>
      <c r="N762" s="115" t="e">
        <f ca="1"/>
        <v>#VALUE!</v>
      </c>
      <c r="P762" s="219">
        <f t="shared" ca="1" si="46"/>
        <v>48955</v>
      </c>
      <c r="Q762" s="115" t="e">
        <f ca="1"/>
        <v>#VALUE!</v>
      </c>
      <c r="S762" s="219">
        <f t="shared" ca="1" si="47"/>
        <v>48955</v>
      </c>
      <c r="T762" s="115" t="e">
        <f ca="1"/>
        <v>#VALUE!</v>
      </c>
      <c r="V762" s="219">
        <f t="shared" ca="1" si="48"/>
        <v>48955</v>
      </c>
      <c r="W762" s="115" t="e">
        <f ca="1"/>
        <v>#VALUE!</v>
      </c>
    </row>
    <row r="763" spans="13:23">
      <c r="M763" s="219">
        <f t="shared" ca="1" si="45"/>
        <v>48962</v>
      </c>
      <c r="N763" s="115" t="e">
        <f ca="1"/>
        <v>#VALUE!</v>
      </c>
      <c r="P763" s="219">
        <f t="shared" ca="1" si="46"/>
        <v>48962</v>
      </c>
      <c r="Q763" s="115" t="e">
        <f ca="1"/>
        <v>#VALUE!</v>
      </c>
      <c r="S763" s="219">
        <f t="shared" ca="1" si="47"/>
        <v>48962</v>
      </c>
      <c r="T763" s="115" t="e">
        <f ca="1"/>
        <v>#VALUE!</v>
      </c>
      <c r="V763" s="219">
        <f t="shared" ca="1" si="48"/>
        <v>48962</v>
      </c>
      <c r="W763" s="115" t="e">
        <f ca="1"/>
        <v>#VALUE!</v>
      </c>
    </row>
    <row r="764" spans="13:23">
      <c r="M764" s="219">
        <f t="shared" ca="1" si="45"/>
        <v>48969</v>
      </c>
      <c r="N764" s="115" t="e">
        <f ca="1"/>
        <v>#VALUE!</v>
      </c>
      <c r="P764" s="219">
        <f t="shared" ca="1" si="46"/>
        <v>48969</v>
      </c>
      <c r="Q764" s="115" t="e">
        <f ca="1"/>
        <v>#VALUE!</v>
      </c>
      <c r="S764" s="219">
        <f t="shared" ca="1" si="47"/>
        <v>48969</v>
      </c>
      <c r="T764" s="115" t="e">
        <f ca="1"/>
        <v>#VALUE!</v>
      </c>
      <c r="V764" s="219">
        <f t="shared" ca="1" si="48"/>
        <v>48969</v>
      </c>
      <c r="W764" s="115" t="e">
        <f ca="1"/>
        <v>#VALUE!</v>
      </c>
    </row>
    <row r="765" spans="13:23">
      <c r="M765" s="219">
        <f t="shared" ca="1" si="45"/>
        <v>48976</v>
      </c>
      <c r="N765" s="115" t="e">
        <f ca="1"/>
        <v>#VALUE!</v>
      </c>
      <c r="P765" s="219">
        <f t="shared" ca="1" si="46"/>
        <v>48976</v>
      </c>
      <c r="Q765" s="115" t="e">
        <f ca="1"/>
        <v>#VALUE!</v>
      </c>
      <c r="S765" s="219">
        <f t="shared" ca="1" si="47"/>
        <v>48976</v>
      </c>
      <c r="T765" s="115" t="e">
        <f ca="1"/>
        <v>#VALUE!</v>
      </c>
      <c r="V765" s="219">
        <f t="shared" ca="1" si="48"/>
        <v>48976</v>
      </c>
      <c r="W765" s="115" t="e">
        <f ca="1"/>
        <v>#VALUE!</v>
      </c>
    </row>
    <row r="766" spans="13:23">
      <c r="M766" s="219">
        <f t="shared" ca="1" si="45"/>
        <v>48983</v>
      </c>
      <c r="N766" s="115" t="e">
        <f ca="1"/>
        <v>#VALUE!</v>
      </c>
      <c r="P766" s="219">
        <f t="shared" ca="1" si="46"/>
        <v>48983</v>
      </c>
      <c r="Q766" s="115" t="e">
        <f ca="1"/>
        <v>#VALUE!</v>
      </c>
      <c r="S766" s="219">
        <f t="shared" ca="1" si="47"/>
        <v>48983</v>
      </c>
      <c r="T766" s="115" t="e">
        <f ca="1"/>
        <v>#VALUE!</v>
      </c>
      <c r="V766" s="219">
        <f t="shared" ca="1" si="48"/>
        <v>48983</v>
      </c>
      <c r="W766" s="115" t="e">
        <f ca="1"/>
        <v>#VALUE!</v>
      </c>
    </row>
    <row r="767" spans="13:23">
      <c r="M767" s="219">
        <f t="shared" ca="1" si="45"/>
        <v>48990</v>
      </c>
      <c r="N767" s="115" t="e">
        <f ca="1"/>
        <v>#VALUE!</v>
      </c>
      <c r="P767" s="219">
        <f t="shared" ca="1" si="46"/>
        <v>48990</v>
      </c>
      <c r="Q767" s="115" t="e">
        <f ca="1"/>
        <v>#VALUE!</v>
      </c>
      <c r="S767" s="219">
        <f t="shared" ca="1" si="47"/>
        <v>48990</v>
      </c>
      <c r="T767" s="115" t="e">
        <f ca="1"/>
        <v>#VALUE!</v>
      </c>
      <c r="V767" s="219">
        <f t="shared" ca="1" si="48"/>
        <v>48990</v>
      </c>
      <c r="W767" s="115" t="e">
        <f ca="1"/>
        <v>#VALUE!</v>
      </c>
    </row>
    <row r="768" spans="13:23">
      <c r="M768" s="219">
        <f t="shared" ca="1" si="45"/>
        <v>48997</v>
      </c>
      <c r="N768" s="115" t="e">
        <f ca="1"/>
        <v>#VALUE!</v>
      </c>
      <c r="P768" s="219">
        <f t="shared" ca="1" si="46"/>
        <v>48997</v>
      </c>
      <c r="Q768" s="115" t="e">
        <f ca="1"/>
        <v>#VALUE!</v>
      </c>
      <c r="S768" s="219">
        <f t="shared" ca="1" si="47"/>
        <v>48997</v>
      </c>
      <c r="T768" s="115" t="e">
        <f ca="1"/>
        <v>#VALUE!</v>
      </c>
      <c r="V768" s="219">
        <f t="shared" ca="1" si="48"/>
        <v>48997</v>
      </c>
      <c r="W768" s="115" t="e">
        <f ca="1"/>
        <v>#VALUE!</v>
      </c>
    </row>
    <row r="769" spans="13:23">
      <c r="M769" s="219">
        <f t="shared" ca="1" si="45"/>
        <v>49004</v>
      </c>
      <c r="N769" s="115" t="e">
        <f ca="1"/>
        <v>#VALUE!</v>
      </c>
      <c r="P769" s="219">
        <f t="shared" ca="1" si="46"/>
        <v>49004</v>
      </c>
      <c r="Q769" s="115" t="e">
        <f ca="1"/>
        <v>#VALUE!</v>
      </c>
      <c r="S769" s="219">
        <f t="shared" ca="1" si="47"/>
        <v>49004</v>
      </c>
      <c r="T769" s="115" t="e">
        <f ca="1"/>
        <v>#VALUE!</v>
      </c>
      <c r="V769" s="219">
        <f t="shared" ca="1" si="48"/>
        <v>49004</v>
      </c>
      <c r="W769" s="115" t="e">
        <f ca="1"/>
        <v>#VALUE!</v>
      </c>
    </row>
    <row r="770" spans="13:23">
      <c r="M770" s="219">
        <f t="shared" ca="1" si="45"/>
        <v>49011</v>
      </c>
      <c r="N770" s="115" t="e">
        <f ca="1"/>
        <v>#VALUE!</v>
      </c>
      <c r="P770" s="219">
        <f t="shared" ca="1" si="46"/>
        <v>49011</v>
      </c>
      <c r="Q770" s="115" t="e">
        <f ca="1"/>
        <v>#VALUE!</v>
      </c>
      <c r="S770" s="219">
        <f t="shared" ca="1" si="47"/>
        <v>49011</v>
      </c>
      <c r="T770" s="115" t="e">
        <f ca="1"/>
        <v>#VALUE!</v>
      </c>
      <c r="V770" s="219">
        <f t="shared" ca="1" si="48"/>
        <v>49011</v>
      </c>
      <c r="W770" s="115" t="e">
        <f ca="1"/>
        <v>#VALUE!</v>
      </c>
    </row>
    <row r="771" spans="13:23">
      <c r="M771" s="219">
        <f t="shared" ca="1" si="45"/>
        <v>49018</v>
      </c>
      <c r="N771" s="115" t="e">
        <f ca="1"/>
        <v>#VALUE!</v>
      </c>
      <c r="P771" s="219">
        <f t="shared" ca="1" si="46"/>
        <v>49018</v>
      </c>
      <c r="Q771" s="115" t="e">
        <f ca="1"/>
        <v>#VALUE!</v>
      </c>
      <c r="S771" s="219">
        <f t="shared" ca="1" si="47"/>
        <v>49018</v>
      </c>
      <c r="T771" s="115" t="e">
        <f ca="1"/>
        <v>#VALUE!</v>
      </c>
      <c r="V771" s="219">
        <f t="shared" ca="1" si="48"/>
        <v>49018</v>
      </c>
      <c r="W771" s="115" t="e">
        <f ca="1"/>
        <v>#VALUE!</v>
      </c>
    </row>
    <row r="772" spans="13:23">
      <c r="M772" s="219">
        <f t="shared" ca="1" si="45"/>
        <v>49025</v>
      </c>
      <c r="N772" s="115" t="e">
        <f ca="1"/>
        <v>#VALUE!</v>
      </c>
      <c r="P772" s="219">
        <f t="shared" ca="1" si="46"/>
        <v>49025</v>
      </c>
      <c r="Q772" s="115" t="e">
        <f ca="1"/>
        <v>#VALUE!</v>
      </c>
      <c r="S772" s="219">
        <f t="shared" ca="1" si="47"/>
        <v>49025</v>
      </c>
      <c r="T772" s="115" t="e">
        <f ca="1"/>
        <v>#VALUE!</v>
      </c>
      <c r="V772" s="219">
        <f t="shared" ca="1" si="48"/>
        <v>49025</v>
      </c>
      <c r="W772" s="115" t="e">
        <f ca="1"/>
        <v>#VALUE!</v>
      </c>
    </row>
    <row r="773" spans="13:23">
      <c r="M773" s="219">
        <f t="shared" ca="1" si="45"/>
        <v>49032</v>
      </c>
      <c r="N773" s="115" t="e">
        <f ca="1"/>
        <v>#VALUE!</v>
      </c>
      <c r="P773" s="219">
        <f t="shared" ca="1" si="46"/>
        <v>49032</v>
      </c>
      <c r="Q773" s="115" t="e">
        <f ca="1"/>
        <v>#VALUE!</v>
      </c>
      <c r="S773" s="219">
        <f t="shared" ca="1" si="47"/>
        <v>49032</v>
      </c>
      <c r="T773" s="115" t="e">
        <f ca="1"/>
        <v>#VALUE!</v>
      </c>
      <c r="V773" s="219">
        <f t="shared" ca="1" si="48"/>
        <v>49032</v>
      </c>
      <c r="W773" s="115" t="e">
        <f ca="1"/>
        <v>#VALUE!</v>
      </c>
    </row>
    <row r="774" spans="13:23">
      <c r="M774" s="219">
        <f t="shared" ca="1" si="45"/>
        <v>49039</v>
      </c>
      <c r="N774" s="115" t="e">
        <f ca="1"/>
        <v>#VALUE!</v>
      </c>
      <c r="P774" s="219">
        <f t="shared" ca="1" si="46"/>
        <v>49039</v>
      </c>
      <c r="Q774" s="115" t="e">
        <f ca="1"/>
        <v>#VALUE!</v>
      </c>
      <c r="S774" s="219">
        <f t="shared" ca="1" si="47"/>
        <v>49039</v>
      </c>
      <c r="T774" s="115" t="e">
        <f ca="1"/>
        <v>#VALUE!</v>
      </c>
      <c r="V774" s="219">
        <f t="shared" ca="1" si="48"/>
        <v>49039</v>
      </c>
      <c r="W774" s="115" t="e">
        <f ca="1"/>
        <v>#VALUE!</v>
      </c>
    </row>
    <row r="775" spans="13:23">
      <c r="M775" s="219">
        <f t="shared" ca="1" si="45"/>
        <v>49046</v>
      </c>
      <c r="N775" s="115" t="e">
        <f ca="1"/>
        <v>#VALUE!</v>
      </c>
      <c r="P775" s="219">
        <f t="shared" ca="1" si="46"/>
        <v>49046</v>
      </c>
      <c r="Q775" s="115" t="e">
        <f ca="1"/>
        <v>#VALUE!</v>
      </c>
      <c r="S775" s="219">
        <f t="shared" ca="1" si="47"/>
        <v>49046</v>
      </c>
      <c r="T775" s="115" t="e">
        <f ca="1"/>
        <v>#VALUE!</v>
      </c>
      <c r="V775" s="219">
        <f t="shared" ca="1" si="48"/>
        <v>49046</v>
      </c>
      <c r="W775" s="115" t="e">
        <f ca="1"/>
        <v>#VALUE!</v>
      </c>
    </row>
    <row r="776" spans="13:23">
      <c r="M776" s="219">
        <f t="shared" ca="1" si="45"/>
        <v>49053</v>
      </c>
      <c r="N776" s="115" t="e">
        <f ca="1"/>
        <v>#VALUE!</v>
      </c>
      <c r="P776" s="219">
        <f t="shared" ca="1" si="46"/>
        <v>49053</v>
      </c>
      <c r="Q776" s="115" t="e">
        <f ca="1"/>
        <v>#VALUE!</v>
      </c>
      <c r="S776" s="219">
        <f t="shared" ca="1" si="47"/>
        <v>49053</v>
      </c>
      <c r="T776" s="115" t="e">
        <f ca="1"/>
        <v>#VALUE!</v>
      </c>
      <c r="V776" s="219">
        <f t="shared" ca="1" si="48"/>
        <v>49053</v>
      </c>
      <c r="W776" s="115" t="e">
        <f ca="1"/>
        <v>#VALUE!</v>
      </c>
    </row>
    <row r="777" spans="13:23">
      <c r="M777" s="219">
        <f t="shared" ca="1" si="45"/>
        <v>49060</v>
      </c>
      <c r="N777" s="115" t="e">
        <f ca="1"/>
        <v>#VALUE!</v>
      </c>
      <c r="P777" s="219">
        <f t="shared" ca="1" si="46"/>
        <v>49060</v>
      </c>
      <c r="Q777" s="115" t="e">
        <f ca="1"/>
        <v>#VALUE!</v>
      </c>
      <c r="S777" s="219">
        <f t="shared" ca="1" si="47"/>
        <v>49060</v>
      </c>
      <c r="T777" s="115" t="e">
        <f ca="1"/>
        <v>#VALUE!</v>
      </c>
      <c r="V777" s="219">
        <f t="shared" ca="1" si="48"/>
        <v>49060</v>
      </c>
      <c r="W777" s="115" t="e">
        <f ca="1"/>
        <v>#VALUE!</v>
      </c>
    </row>
    <row r="778" spans="13:23">
      <c r="M778" s="219">
        <f t="shared" ca="1" si="45"/>
        <v>49067</v>
      </c>
      <c r="N778" s="115" t="e">
        <f ca="1"/>
        <v>#VALUE!</v>
      </c>
      <c r="P778" s="219">
        <f t="shared" ca="1" si="46"/>
        <v>49067</v>
      </c>
      <c r="Q778" s="115" t="e">
        <f ca="1"/>
        <v>#VALUE!</v>
      </c>
      <c r="S778" s="219">
        <f t="shared" ca="1" si="47"/>
        <v>49067</v>
      </c>
      <c r="T778" s="115" t="e">
        <f ca="1"/>
        <v>#VALUE!</v>
      </c>
      <c r="V778" s="219">
        <f t="shared" ca="1" si="48"/>
        <v>49067</v>
      </c>
      <c r="W778" s="115" t="e">
        <f ca="1"/>
        <v>#VALUE!</v>
      </c>
    </row>
    <row r="779" spans="13:23">
      <c r="M779" s="219">
        <f t="shared" ca="1" si="45"/>
        <v>49074</v>
      </c>
      <c r="N779" s="115" t="e">
        <f ca="1"/>
        <v>#VALUE!</v>
      </c>
      <c r="P779" s="219">
        <f t="shared" ca="1" si="46"/>
        <v>49074</v>
      </c>
      <c r="Q779" s="115" t="e">
        <f ca="1"/>
        <v>#VALUE!</v>
      </c>
      <c r="S779" s="219">
        <f t="shared" ca="1" si="47"/>
        <v>49074</v>
      </c>
      <c r="T779" s="115" t="e">
        <f ca="1"/>
        <v>#VALUE!</v>
      </c>
      <c r="V779" s="219">
        <f t="shared" ca="1" si="48"/>
        <v>49074</v>
      </c>
      <c r="W779" s="115" t="e">
        <f ca="1"/>
        <v>#VALUE!</v>
      </c>
    </row>
    <row r="780" spans="13:23">
      <c r="M780" s="219">
        <f t="shared" ca="1" si="45"/>
        <v>49081</v>
      </c>
      <c r="N780" s="115" t="e">
        <f ca="1"/>
        <v>#VALUE!</v>
      </c>
      <c r="P780" s="219">
        <f t="shared" ca="1" si="46"/>
        <v>49081</v>
      </c>
      <c r="Q780" s="115" t="e">
        <f ca="1"/>
        <v>#VALUE!</v>
      </c>
      <c r="S780" s="219">
        <f t="shared" ca="1" si="47"/>
        <v>49081</v>
      </c>
      <c r="T780" s="115" t="e">
        <f ca="1"/>
        <v>#VALUE!</v>
      </c>
      <c r="V780" s="219">
        <f t="shared" ca="1" si="48"/>
        <v>49081</v>
      </c>
      <c r="W780" s="115" t="e">
        <f ca="1"/>
        <v>#VALUE!</v>
      </c>
    </row>
    <row r="781" spans="13:23">
      <c r="M781" s="219">
        <f t="shared" ref="M781:M844" ca="1" si="49">M780+7</f>
        <v>49088</v>
      </c>
      <c r="N781" s="115" t="e">
        <f ca="1"/>
        <v>#VALUE!</v>
      </c>
      <c r="P781" s="219">
        <f t="shared" ref="P781:P844" ca="1" si="50">P780+7</f>
        <v>49088</v>
      </c>
      <c r="Q781" s="115" t="e">
        <f ca="1"/>
        <v>#VALUE!</v>
      </c>
      <c r="S781" s="219">
        <f t="shared" ref="S781:S844" ca="1" si="51">S780+7</f>
        <v>49088</v>
      </c>
      <c r="T781" s="115" t="e">
        <f ca="1"/>
        <v>#VALUE!</v>
      </c>
      <c r="V781" s="219">
        <f t="shared" ref="V781:V844" ca="1" si="52">V780+7</f>
        <v>49088</v>
      </c>
      <c r="W781" s="115" t="e">
        <f ca="1"/>
        <v>#VALUE!</v>
      </c>
    </row>
    <row r="782" spans="13:23">
      <c r="M782" s="219">
        <f t="shared" ca="1" si="49"/>
        <v>49095</v>
      </c>
      <c r="N782" s="115" t="e">
        <f ca="1"/>
        <v>#VALUE!</v>
      </c>
      <c r="P782" s="219">
        <f t="shared" ca="1" si="50"/>
        <v>49095</v>
      </c>
      <c r="Q782" s="115" t="e">
        <f ca="1"/>
        <v>#VALUE!</v>
      </c>
      <c r="S782" s="219">
        <f t="shared" ca="1" si="51"/>
        <v>49095</v>
      </c>
      <c r="T782" s="115" t="e">
        <f ca="1"/>
        <v>#VALUE!</v>
      </c>
      <c r="V782" s="219">
        <f t="shared" ca="1" si="52"/>
        <v>49095</v>
      </c>
      <c r="W782" s="115" t="e">
        <f ca="1"/>
        <v>#VALUE!</v>
      </c>
    </row>
    <row r="783" spans="13:23">
      <c r="M783" s="219">
        <f t="shared" ca="1" si="49"/>
        <v>49102</v>
      </c>
      <c r="N783" s="115" t="e">
        <f ca="1"/>
        <v>#VALUE!</v>
      </c>
      <c r="P783" s="219">
        <f t="shared" ca="1" si="50"/>
        <v>49102</v>
      </c>
      <c r="Q783" s="115" t="e">
        <f ca="1"/>
        <v>#VALUE!</v>
      </c>
      <c r="S783" s="219">
        <f t="shared" ca="1" si="51"/>
        <v>49102</v>
      </c>
      <c r="T783" s="115" t="e">
        <f ca="1"/>
        <v>#VALUE!</v>
      </c>
      <c r="V783" s="219">
        <f t="shared" ca="1" si="52"/>
        <v>49102</v>
      </c>
      <c r="W783" s="115" t="e">
        <f ca="1"/>
        <v>#VALUE!</v>
      </c>
    </row>
    <row r="784" spans="13:23">
      <c r="M784" s="219">
        <f t="shared" ca="1" si="49"/>
        <v>49109</v>
      </c>
      <c r="N784" s="115" t="e">
        <f ca="1"/>
        <v>#VALUE!</v>
      </c>
      <c r="P784" s="219">
        <f t="shared" ca="1" si="50"/>
        <v>49109</v>
      </c>
      <c r="Q784" s="115" t="e">
        <f ca="1"/>
        <v>#VALUE!</v>
      </c>
      <c r="S784" s="219">
        <f t="shared" ca="1" si="51"/>
        <v>49109</v>
      </c>
      <c r="T784" s="115" t="e">
        <f ca="1"/>
        <v>#VALUE!</v>
      </c>
      <c r="V784" s="219">
        <f t="shared" ca="1" si="52"/>
        <v>49109</v>
      </c>
      <c r="W784" s="115" t="e">
        <f ca="1"/>
        <v>#VALUE!</v>
      </c>
    </row>
    <row r="785" spans="13:23">
      <c r="M785" s="219">
        <f t="shared" ca="1" si="49"/>
        <v>49116</v>
      </c>
      <c r="N785" s="115" t="e">
        <f ca="1"/>
        <v>#VALUE!</v>
      </c>
      <c r="P785" s="219">
        <f t="shared" ca="1" si="50"/>
        <v>49116</v>
      </c>
      <c r="Q785" s="115" t="e">
        <f ca="1"/>
        <v>#VALUE!</v>
      </c>
      <c r="S785" s="219">
        <f t="shared" ca="1" si="51"/>
        <v>49116</v>
      </c>
      <c r="T785" s="115" t="e">
        <f ca="1"/>
        <v>#VALUE!</v>
      </c>
      <c r="V785" s="219">
        <f t="shared" ca="1" si="52"/>
        <v>49116</v>
      </c>
      <c r="W785" s="115" t="e">
        <f ca="1"/>
        <v>#VALUE!</v>
      </c>
    </row>
    <row r="786" spans="13:23">
      <c r="M786" s="219">
        <f t="shared" ca="1" si="49"/>
        <v>49123</v>
      </c>
      <c r="N786" s="115" t="e">
        <f ca="1"/>
        <v>#VALUE!</v>
      </c>
      <c r="P786" s="219">
        <f t="shared" ca="1" si="50"/>
        <v>49123</v>
      </c>
      <c r="Q786" s="115" t="e">
        <f ca="1"/>
        <v>#VALUE!</v>
      </c>
      <c r="S786" s="219">
        <f t="shared" ca="1" si="51"/>
        <v>49123</v>
      </c>
      <c r="T786" s="115" t="e">
        <f ca="1"/>
        <v>#VALUE!</v>
      </c>
      <c r="V786" s="219">
        <f t="shared" ca="1" si="52"/>
        <v>49123</v>
      </c>
      <c r="W786" s="115" t="e">
        <f ca="1"/>
        <v>#VALUE!</v>
      </c>
    </row>
    <row r="787" spans="13:23">
      <c r="M787" s="219">
        <f t="shared" ca="1" si="49"/>
        <v>49130</v>
      </c>
      <c r="N787" s="115" t="e">
        <f ca="1"/>
        <v>#VALUE!</v>
      </c>
      <c r="P787" s="219">
        <f t="shared" ca="1" si="50"/>
        <v>49130</v>
      </c>
      <c r="Q787" s="115" t="e">
        <f ca="1"/>
        <v>#VALUE!</v>
      </c>
      <c r="S787" s="219">
        <f t="shared" ca="1" si="51"/>
        <v>49130</v>
      </c>
      <c r="T787" s="115" t="e">
        <f ca="1"/>
        <v>#VALUE!</v>
      </c>
      <c r="V787" s="219">
        <f t="shared" ca="1" si="52"/>
        <v>49130</v>
      </c>
      <c r="W787" s="115" t="e">
        <f ca="1"/>
        <v>#VALUE!</v>
      </c>
    </row>
    <row r="788" spans="13:23">
      <c r="M788" s="219">
        <f t="shared" ca="1" si="49"/>
        <v>49137</v>
      </c>
      <c r="N788" s="115" t="e">
        <f ca="1"/>
        <v>#VALUE!</v>
      </c>
      <c r="P788" s="219">
        <f t="shared" ca="1" si="50"/>
        <v>49137</v>
      </c>
      <c r="Q788" s="115" t="e">
        <f ca="1"/>
        <v>#VALUE!</v>
      </c>
      <c r="S788" s="219">
        <f t="shared" ca="1" si="51"/>
        <v>49137</v>
      </c>
      <c r="T788" s="115" t="e">
        <f ca="1"/>
        <v>#VALUE!</v>
      </c>
      <c r="V788" s="219">
        <f t="shared" ca="1" si="52"/>
        <v>49137</v>
      </c>
      <c r="W788" s="115" t="e">
        <f ca="1"/>
        <v>#VALUE!</v>
      </c>
    </row>
    <row r="789" spans="13:23">
      <c r="M789" s="219">
        <f t="shared" ca="1" si="49"/>
        <v>49144</v>
      </c>
      <c r="N789" s="115" t="e">
        <f ca="1"/>
        <v>#VALUE!</v>
      </c>
      <c r="P789" s="219">
        <f t="shared" ca="1" si="50"/>
        <v>49144</v>
      </c>
      <c r="Q789" s="115" t="e">
        <f ca="1"/>
        <v>#VALUE!</v>
      </c>
      <c r="S789" s="219">
        <f t="shared" ca="1" si="51"/>
        <v>49144</v>
      </c>
      <c r="T789" s="115" t="e">
        <f ca="1"/>
        <v>#VALUE!</v>
      </c>
      <c r="V789" s="219">
        <f t="shared" ca="1" si="52"/>
        <v>49144</v>
      </c>
      <c r="W789" s="115" t="e">
        <f ca="1"/>
        <v>#VALUE!</v>
      </c>
    </row>
    <row r="790" spans="13:23">
      <c r="M790" s="219">
        <f t="shared" ca="1" si="49"/>
        <v>49151</v>
      </c>
      <c r="N790" s="115" t="e">
        <f ca="1"/>
        <v>#VALUE!</v>
      </c>
      <c r="P790" s="219">
        <f t="shared" ca="1" si="50"/>
        <v>49151</v>
      </c>
      <c r="Q790" s="115" t="e">
        <f ca="1"/>
        <v>#VALUE!</v>
      </c>
      <c r="S790" s="219">
        <f t="shared" ca="1" si="51"/>
        <v>49151</v>
      </c>
      <c r="T790" s="115" t="e">
        <f ca="1"/>
        <v>#VALUE!</v>
      </c>
      <c r="V790" s="219">
        <f t="shared" ca="1" si="52"/>
        <v>49151</v>
      </c>
      <c r="W790" s="115" t="e">
        <f ca="1"/>
        <v>#VALUE!</v>
      </c>
    </row>
    <row r="791" spans="13:23">
      <c r="M791" s="219">
        <f t="shared" ca="1" si="49"/>
        <v>49158</v>
      </c>
      <c r="N791" s="115" t="e">
        <f ca="1"/>
        <v>#VALUE!</v>
      </c>
      <c r="P791" s="219">
        <f t="shared" ca="1" si="50"/>
        <v>49158</v>
      </c>
      <c r="Q791" s="115" t="e">
        <f ca="1"/>
        <v>#VALUE!</v>
      </c>
      <c r="S791" s="219">
        <f t="shared" ca="1" si="51"/>
        <v>49158</v>
      </c>
      <c r="T791" s="115" t="e">
        <f ca="1"/>
        <v>#VALUE!</v>
      </c>
      <c r="V791" s="219">
        <f t="shared" ca="1" si="52"/>
        <v>49158</v>
      </c>
      <c r="W791" s="115" t="e">
        <f ca="1"/>
        <v>#VALUE!</v>
      </c>
    </row>
    <row r="792" spans="13:23">
      <c r="M792" s="219">
        <f t="shared" ca="1" si="49"/>
        <v>49165</v>
      </c>
      <c r="N792" s="115" t="e">
        <f ca="1"/>
        <v>#VALUE!</v>
      </c>
      <c r="P792" s="219">
        <f t="shared" ca="1" si="50"/>
        <v>49165</v>
      </c>
      <c r="Q792" s="115" t="e">
        <f ca="1"/>
        <v>#VALUE!</v>
      </c>
      <c r="S792" s="219">
        <f t="shared" ca="1" si="51"/>
        <v>49165</v>
      </c>
      <c r="T792" s="115" t="e">
        <f ca="1"/>
        <v>#VALUE!</v>
      </c>
      <c r="V792" s="219">
        <f t="shared" ca="1" si="52"/>
        <v>49165</v>
      </c>
      <c r="W792" s="115" t="e">
        <f ca="1"/>
        <v>#VALUE!</v>
      </c>
    </row>
    <row r="793" spans="13:23">
      <c r="M793" s="219">
        <f t="shared" ca="1" si="49"/>
        <v>49172</v>
      </c>
      <c r="N793" s="115" t="e">
        <f ca="1"/>
        <v>#VALUE!</v>
      </c>
      <c r="P793" s="219">
        <f t="shared" ca="1" si="50"/>
        <v>49172</v>
      </c>
      <c r="Q793" s="115" t="e">
        <f ca="1"/>
        <v>#VALUE!</v>
      </c>
      <c r="S793" s="219">
        <f t="shared" ca="1" si="51"/>
        <v>49172</v>
      </c>
      <c r="T793" s="115" t="e">
        <f ca="1"/>
        <v>#VALUE!</v>
      </c>
      <c r="V793" s="219">
        <f t="shared" ca="1" si="52"/>
        <v>49172</v>
      </c>
      <c r="W793" s="115" t="e">
        <f ca="1"/>
        <v>#VALUE!</v>
      </c>
    </row>
    <row r="794" spans="13:23">
      <c r="M794" s="219">
        <f t="shared" ca="1" si="49"/>
        <v>49179</v>
      </c>
      <c r="N794" s="115" t="e">
        <f ca="1"/>
        <v>#VALUE!</v>
      </c>
      <c r="P794" s="219">
        <f t="shared" ca="1" si="50"/>
        <v>49179</v>
      </c>
      <c r="Q794" s="115" t="e">
        <f ca="1"/>
        <v>#VALUE!</v>
      </c>
      <c r="S794" s="219">
        <f t="shared" ca="1" si="51"/>
        <v>49179</v>
      </c>
      <c r="T794" s="115" t="e">
        <f ca="1"/>
        <v>#VALUE!</v>
      </c>
      <c r="V794" s="219">
        <f t="shared" ca="1" si="52"/>
        <v>49179</v>
      </c>
      <c r="W794" s="115" t="e">
        <f ca="1"/>
        <v>#VALUE!</v>
      </c>
    </row>
    <row r="795" spans="13:23">
      <c r="M795" s="219">
        <f t="shared" ca="1" si="49"/>
        <v>49186</v>
      </c>
      <c r="N795" s="115" t="e">
        <f ca="1"/>
        <v>#VALUE!</v>
      </c>
      <c r="P795" s="219">
        <f t="shared" ca="1" si="50"/>
        <v>49186</v>
      </c>
      <c r="Q795" s="115" t="e">
        <f ca="1"/>
        <v>#VALUE!</v>
      </c>
      <c r="S795" s="219">
        <f t="shared" ca="1" si="51"/>
        <v>49186</v>
      </c>
      <c r="T795" s="115" t="e">
        <f ca="1"/>
        <v>#VALUE!</v>
      </c>
      <c r="V795" s="219">
        <f t="shared" ca="1" si="52"/>
        <v>49186</v>
      </c>
      <c r="W795" s="115" t="e">
        <f ca="1"/>
        <v>#VALUE!</v>
      </c>
    </row>
    <row r="796" spans="13:23">
      <c r="M796" s="219">
        <f t="shared" ca="1" si="49"/>
        <v>49193</v>
      </c>
      <c r="N796" s="115" t="e">
        <f ca="1"/>
        <v>#VALUE!</v>
      </c>
      <c r="P796" s="219">
        <f t="shared" ca="1" si="50"/>
        <v>49193</v>
      </c>
      <c r="Q796" s="115" t="e">
        <f ca="1"/>
        <v>#VALUE!</v>
      </c>
      <c r="S796" s="219">
        <f t="shared" ca="1" si="51"/>
        <v>49193</v>
      </c>
      <c r="T796" s="115" t="e">
        <f ca="1"/>
        <v>#VALUE!</v>
      </c>
      <c r="V796" s="219">
        <f t="shared" ca="1" si="52"/>
        <v>49193</v>
      </c>
      <c r="W796" s="115" t="e">
        <f ca="1"/>
        <v>#VALUE!</v>
      </c>
    </row>
    <row r="797" spans="13:23">
      <c r="M797" s="219">
        <f t="shared" ca="1" si="49"/>
        <v>49200</v>
      </c>
      <c r="N797" s="115" t="e">
        <f ca="1"/>
        <v>#VALUE!</v>
      </c>
      <c r="P797" s="219">
        <f t="shared" ca="1" si="50"/>
        <v>49200</v>
      </c>
      <c r="Q797" s="115" t="e">
        <f ca="1"/>
        <v>#VALUE!</v>
      </c>
      <c r="S797" s="219">
        <f t="shared" ca="1" si="51"/>
        <v>49200</v>
      </c>
      <c r="T797" s="115" t="e">
        <f ca="1"/>
        <v>#VALUE!</v>
      </c>
      <c r="V797" s="219">
        <f t="shared" ca="1" si="52"/>
        <v>49200</v>
      </c>
      <c r="W797" s="115" t="e">
        <f ca="1"/>
        <v>#VALUE!</v>
      </c>
    </row>
    <row r="798" spans="13:23">
      <c r="M798" s="219">
        <f t="shared" ca="1" si="49"/>
        <v>49207</v>
      </c>
      <c r="N798" s="115" t="e">
        <f ca="1"/>
        <v>#VALUE!</v>
      </c>
      <c r="P798" s="219">
        <f t="shared" ca="1" si="50"/>
        <v>49207</v>
      </c>
      <c r="Q798" s="115" t="e">
        <f ca="1"/>
        <v>#VALUE!</v>
      </c>
      <c r="S798" s="219">
        <f t="shared" ca="1" si="51"/>
        <v>49207</v>
      </c>
      <c r="T798" s="115" t="e">
        <f ca="1"/>
        <v>#VALUE!</v>
      </c>
      <c r="V798" s="219">
        <f t="shared" ca="1" si="52"/>
        <v>49207</v>
      </c>
      <c r="W798" s="115" t="e">
        <f ca="1"/>
        <v>#VALUE!</v>
      </c>
    </row>
    <row r="799" spans="13:23">
      <c r="M799" s="219">
        <f t="shared" ca="1" si="49"/>
        <v>49214</v>
      </c>
      <c r="N799" s="115" t="e">
        <f ca="1"/>
        <v>#VALUE!</v>
      </c>
      <c r="P799" s="219">
        <f t="shared" ca="1" si="50"/>
        <v>49214</v>
      </c>
      <c r="Q799" s="115" t="e">
        <f ca="1"/>
        <v>#VALUE!</v>
      </c>
      <c r="S799" s="219">
        <f t="shared" ca="1" si="51"/>
        <v>49214</v>
      </c>
      <c r="T799" s="115" t="e">
        <f ca="1"/>
        <v>#VALUE!</v>
      </c>
      <c r="V799" s="219">
        <f t="shared" ca="1" si="52"/>
        <v>49214</v>
      </c>
      <c r="W799" s="115" t="e">
        <f ca="1"/>
        <v>#VALUE!</v>
      </c>
    </row>
    <row r="800" spans="13:23">
      <c r="M800" s="219">
        <f t="shared" ca="1" si="49"/>
        <v>49221</v>
      </c>
      <c r="N800" s="115" t="e">
        <f ca="1"/>
        <v>#VALUE!</v>
      </c>
      <c r="P800" s="219">
        <f t="shared" ca="1" si="50"/>
        <v>49221</v>
      </c>
      <c r="Q800" s="115" t="e">
        <f ca="1"/>
        <v>#VALUE!</v>
      </c>
      <c r="S800" s="219">
        <f t="shared" ca="1" si="51"/>
        <v>49221</v>
      </c>
      <c r="T800" s="115" t="e">
        <f ca="1"/>
        <v>#VALUE!</v>
      </c>
      <c r="V800" s="219">
        <f t="shared" ca="1" si="52"/>
        <v>49221</v>
      </c>
      <c r="W800" s="115" t="e">
        <f ca="1"/>
        <v>#VALUE!</v>
      </c>
    </row>
    <row r="801" spans="13:23">
      <c r="M801" s="219">
        <f t="shared" ca="1" si="49"/>
        <v>49228</v>
      </c>
      <c r="N801" s="115" t="e">
        <f ca="1"/>
        <v>#VALUE!</v>
      </c>
      <c r="P801" s="219">
        <f t="shared" ca="1" si="50"/>
        <v>49228</v>
      </c>
      <c r="Q801" s="115" t="e">
        <f ca="1"/>
        <v>#VALUE!</v>
      </c>
      <c r="S801" s="219">
        <f t="shared" ca="1" si="51"/>
        <v>49228</v>
      </c>
      <c r="T801" s="115" t="e">
        <f ca="1"/>
        <v>#VALUE!</v>
      </c>
      <c r="V801" s="219">
        <f t="shared" ca="1" si="52"/>
        <v>49228</v>
      </c>
      <c r="W801" s="115" t="e">
        <f ca="1"/>
        <v>#VALUE!</v>
      </c>
    </row>
    <row r="802" spans="13:23">
      <c r="M802" s="219">
        <f t="shared" ca="1" si="49"/>
        <v>49235</v>
      </c>
      <c r="N802" s="115" t="e">
        <f ca="1"/>
        <v>#VALUE!</v>
      </c>
      <c r="P802" s="219">
        <f t="shared" ca="1" si="50"/>
        <v>49235</v>
      </c>
      <c r="Q802" s="115" t="e">
        <f ca="1"/>
        <v>#VALUE!</v>
      </c>
      <c r="S802" s="219">
        <f t="shared" ca="1" si="51"/>
        <v>49235</v>
      </c>
      <c r="T802" s="115" t="e">
        <f ca="1"/>
        <v>#VALUE!</v>
      </c>
      <c r="V802" s="219">
        <f t="shared" ca="1" si="52"/>
        <v>49235</v>
      </c>
      <c r="W802" s="115" t="e">
        <f ca="1"/>
        <v>#VALUE!</v>
      </c>
    </row>
    <row r="803" spans="13:23">
      <c r="M803" s="219">
        <f t="shared" ca="1" si="49"/>
        <v>49242</v>
      </c>
      <c r="N803" s="115" t="e">
        <f ca="1"/>
        <v>#VALUE!</v>
      </c>
      <c r="P803" s="219">
        <f t="shared" ca="1" si="50"/>
        <v>49242</v>
      </c>
      <c r="Q803" s="115" t="e">
        <f ca="1"/>
        <v>#VALUE!</v>
      </c>
      <c r="S803" s="219">
        <f t="shared" ca="1" si="51"/>
        <v>49242</v>
      </c>
      <c r="T803" s="115" t="e">
        <f ca="1"/>
        <v>#VALUE!</v>
      </c>
      <c r="V803" s="219">
        <f t="shared" ca="1" si="52"/>
        <v>49242</v>
      </c>
      <c r="W803" s="115" t="e">
        <f ca="1"/>
        <v>#VALUE!</v>
      </c>
    </row>
    <row r="804" spans="13:23">
      <c r="M804" s="219">
        <f t="shared" ca="1" si="49"/>
        <v>49249</v>
      </c>
      <c r="N804" s="115" t="e">
        <f ca="1"/>
        <v>#VALUE!</v>
      </c>
      <c r="P804" s="219">
        <f t="shared" ca="1" si="50"/>
        <v>49249</v>
      </c>
      <c r="Q804" s="115" t="e">
        <f ca="1"/>
        <v>#VALUE!</v>
      </c>
      <c r="S804" s="219">
        <f t="shared" ca="1" si="51"/>
        <v>49249</v>
      </c>
      <c r="T804" s="115" t="e">
        <f ca="1"/>
        <v>#VALUE!</v>
      </c>
      <c r="V804" s="219">
        <f t="shared" ca="1" si="52"/>
        <v>49249</v>
      </c>
      <c r="W804" s="115" t="e">
        <f ca="1"/>
        <v>#VALUE!</v>
      </c>
    </row>
    <row r="805" spans="13:23">
      <c r="M805" s="219">
        <f t="shared" ca="1" si="49"/>
        <v>49256</v>
      </c>
      <c r="N805" s="115" t="e">
        <f ca="1"/>
        <v>#VALUE!</v>
      </c>
      <c r="P805" s="219">
        <f t="shared" ca="1" si="50"/>
        <v>49256</v>
      </c>
      <c r="Q805" s="115" t="e">
        <f ca="1"/>
        <v>#VALUE!</v>
      </c>
      <c r="S805" s="219">
        <f t="shared" ca="1" si="51"/>
        <v>49256</v>
      </c>
      <c r="T805" s="115" t="e">
        <f ca="1"/>
        <v>#VALUE!</v>
      </c>
      <c r="V805" s="219">
        <f t="shared" ca="1" si="52"/>
        <v>49256</v>
      </c>
      <c r="W805" s="115" t="e">
        <f ca="1"/>
        <v>#VALUE!</v>
      </c>
    </row>
    <row r="806" spans="13:23">
      <c r="M806" s="219">
        <f t="shared" ca="1" si="49"/>
        <v>49263</v>
      </c>
      <c r="N806" s="115" t="e">
        <f ca="1"/>
        <v>#VALUE!</v>
      </c>
      <c r="P806" s="219">
        <f t="shared" ca="1" si="50"/>
        <v>49263</v>
      </c>
      <c r="Q806" s="115" t="e">
        <f ca="1"/>
        <v>#VALUE!</v>
      </c>
      <c r="S806" s="219">
        <f t="shared" ca="1" si="51"/>
        <v>49263</v>
      </c>
      <c r="T806" s="115" t="e">
        <f ca="1"/>
        <v>#VALUE!</v>
      </c>
      <c r="V806" s="219">
        <f t="shared" ca="1" si="52"/>
        <v>49263</v>
      </c>
      <c r="W806" s="115" t="e">
        <f ca="1"/>
        <v>#VALUE!</v>
      </c>
    </row>
    <row r="807" spans="13:23">
      <c r="M807" s="219">
        <f t="shared" ca="1" si="49"/>
        <v>49270</v>
      </c>
      <c r="N807" s="115" t="e">
        <f ca="1"/>
        <v>#VALUE!</v>
      </c>
      <c r="P807" s="219">
        <f t="shared" ca="1" si="50"/>
        <v>49270</v>
      </c>
      <c r="Q807" s="115" t="e">
        <f ca="1"/>
        <v>#VALUE!</v>
      </c>
      <c r="S807" s="219">
        <f t="shared" ca="1" si="51"/>
        <v>49270</v>
      </c>
      <c r="T807" s="115" t="e">
        <f ca="1"/>
        <v>#VALUE!</v>
      </c>
      <c r="V807" s="219">
        <f t="shared" ca="1" si="52"/>
        <v>49270</v>
      </c>
      <c r="W807" s="115" t="e">
        <f ca="1"/>
        <v>#VALUE!</v>
      </c>
    </row>
    <row r="808" spans="13:23">
      <c r="M808" s="219">
        <f t="shared" ca="1" si="49"/>
        <v>49277</v>
      </c>
      <c r="N808" s="115" t="e">
        <f ca="1"/>
        <v>#VALUE!</v>
      </c>
      <c r="P808" s="219">
        <f t="shared" ca="1" si="50"/>
        <v>49277</v>
      </c>
      <c r="Q808" s="115" t="e">
        <f ca="1"/>
        <v>#VALUE!</v>
      </c>
      <c r="S808" s="219">
        <f t="shared" ca="1" si="51"/>
        <v>49277</v>
      </c>
      <c r="T808" s="115" t="e">
        <f ca="1"/>
        <v>#VALUE!</v>
      </c>
      <c r="V808" s="219">
        <f t="shared" ca="1" si="52"/>
        <v>49277</v>
      </c>
      <c r="W808" s="115" t="e">
        <f ca="1"/>
        <v>#VALUE!</v>
      </c>
    </row>
    <row r="809" spans="13:23">
      <c r="M809" s="219">
        <f t="shared" ca="1" si="49"/>
        <v>49284</v>
      </c>
      <c r="N809" s="115" t="e">
        <f ca="1"/>
        <v>#VALUE!</v>
      </c>
      <c r="P809" s="219">
        <f t="shared" ca="1" si="50"/>
        <v>49284</v>
      </c>
      <c r="Q809" s="115" t="e">
        <f ca="1"/>
        <v>#VALUE!</v>
      </c>
      <c r="S809" s="219">
        <f t="shared" ca="1" si="51"/>
        <v>49284</v>
      </c>
      <c r="T809" s="115" t="e">
        <f ca="1"/>
        <v>#VALUE!</v>
      </c>
      <c r="V809" s="219">
        <f t="shared" ca="1" si="52"/>
        <v>49284</v>
      </c>
      <c r="W809" s="115" t="e">
        <f ca="1"/>
        <v>#VALUE!</v>
      </c>
    </row>
    <row r="810" spans="13:23">
      <c r="M810" s="219">
        <f t="shared" ca="1" si="49"/>
        <v>49291</v>
      </c>
      <c r="N810" s="115" t="e">
        <f ca="1"/>
        <v>#VALUE!</v>
      </c>
      <c r="P810" s="219">
        <f t="shared" ca="1" si="50"/>
        <v>49291</v>
      </c>
      <c r="Q810" s="115" t="e">
        <f ca="1"/>
        <v>#VALUE!</v>
      </c>
      <c r="S810" s="219">
        <f t="shared" ca="1" si="51"/>
        <v>49291</v>
      </c>
      <c r="T810" s="115" t="e">
        <f ca="1"/>
        <v>#VALUE!</v>
      </c>
      <c r="V810" s="219">
        <f t="shared" ca="1" si="52"/>
        <v>49291</v>
      </c>
      <c r="W810" s="115" t="e">
        <f ca="1"/>
        <v>#VALUE!</v>
      </c>
    </row>
    <row r="811" spans="13:23">
      <c r="M811" s="219">
        <f t="shared" ca="1" si="49"/>
        <v>49298</v>
      </c>
      <c r="N811" s="115" t="e">
        <f ca="1"/>
        <v>#VALUE!</v>
      </c>
      <c r="P811" s="219">
        <f t="shared" ca="1" si="50"/>
        <v>49298</v>
      </c>
      <c r="Q811" s="115" t="e">
        <f ca="1"/>
        <v>#VALUE!</v>
      </c>
      <c r="S811" s="219">
        <f t="shared" ca="1" si="51"/>
        <v>49298</v>
      </c>
      <c r="T811" s="115" t="e">
        <f ca="1"/>
        <v>#VALUE!</v>
      </c>
      <c r="V811" s="219">
        <f t="shared" ca="1" si="52"/>
        <v>49298</v>
      </c>
      <c r="W811" s="115" t="e">
        <f ca="1"/>
        <v>#VALUE!</v>
      </c>
    </row>
    <row r="812" spans="13:23">
      <c r="M812" s="219">
        <f t="shared" ca="1" si="49"/>
        <v>49305</v>
      </c>
      <c r="N812" s="115" t="e">
        <f ca="1"/>
        <v>#VALUE!</v>
      </c>
      <c r="P812" s="219">
        <f t="shared" ca="1" si="50"/>
        <v>49305</v>
      </c>
      <c r="Q812" s="115" t="e">
        <f ca="1"/>
        <v>#VALUE!</v>
      </c>
      <c r="S812" s="219">
        <f t="shared" ca="1" si="51"/>
        <v>49305</v>
      </c>
      <c r="T812" s="115" t="e">
        <f ca="1"/>
        <v>#VALUE!</v>
      </c>
      <c r="V812" s="219">
        <f t="shared" ca="1" si="52"/>
        <v>49305</v>
      </c>
      <c r="W812" s="115" t="e">
        <f ca="1"/>
        <v>#VALUE!</v>
      </c>
    </row>
    <row r="813" spans="13:23">
      <c r="M813" s="219">
        <f t="shared" ca="1" si="49"/>
        <v>49312</v>
      </c>
      <c r="N813" s="115" t="e">
        <f ca="1"/>
        <v>#VALUE!</v>
      </c>
      <c r="P813" s="219">
        <f t="shared" ca="1" si="50"/>
        <v>49312</v>
      </c>
      <c r="Q813" s="115" t="e">
        <f ca="1"/>
        <v>#VALUE!</v>
      </c>
      <c r="S813" s="219">
        <f t="shared" ca="1" si="51"/>
        <v>49312</v>
      </c>
      <c r="T813" s="115" t="e">
        <f ca="1"/>
        <v>#VALUE!</v>
      </c>
      <c r="V813" s="219">
        <f t="shared" ca="1" si="52"/>
        <v>49312</v>
      </c>
      <c r="W813" s="115" t="e">
        <f ca="1"/>
        <v>#VALUE!</v>
      </c>
    </row>
    <row r="814" spans="13:23">
      <c r="M814" s="219">
        <f t="shared" ca="1" si="49"/>
        <v>49319</v>
      </c>
      <c r="N814" s="115" t="e">
        <f ca="1"/>
        <v>#VALUE!</v>
      </c>
      <c r="P814" s="219">
        <f t="shared" ca="1" si="50"/>
        <v>49319</v>
      </c>
      <c r="Q814" s="115" t="e">
        <f ca="1"/>
        <v>#VALUE!</v>
      </c>
      <c r="S814" s="219">
        <f t="shared" ca="1" si="51"/>
        <v>49319</v>
      </c>
      <c r="T814" s="115" t="e">
        <f ca="1"/>
        <v>#VALUE!</v>
      </c>
      <c r="V814" s="219">
        <f t="shared" ca="1" si="52"/>
        <v>49319</v>
      </c>
      <c r="W814" s="115" t="e">
        <f ca="1"/>
        <v>#VALUE!</v>
      </c>
    </row>
    <row r="815" spans="13:23">
      <c r="M815" s="219">
        <f t="shared" ca="1" si="49"/>
        <v>49326</v>
      </c>
      <c r="N815" s="115" t="e">
        <f ca="1"/>
        <v>#VALUE!</v>
      </c>
      <c r="P815" s="219">
        <f t="shared" ca="1" si="50"/>
        <v>49326</v>
      </c>
      <c r="Q815" s="115" t="e">
        <f ca="1"/>
        <v>#VALUE!</v>
      </c>
      <c r="S815" s="219">
        <f t="shared" ca="1" si="51"/>
        <v>49326</v>
      </c>
      <c r="T815" s="115" t="e">
        <f ca="1"/>
        <v>#VALUE!</v>
      </c>
      <c r="V815" s="219">
        <f t="shared" ca="1" si="52"/>
        <v>49326</v>
      </c>
      <c r="W815" s="115" t="e">
        <f ca="1"/>
        <v>#VALUE!</v>
      </c>
    </row>
    <row r="816" spans="13:23">
      <c r="M816" s="219">
        <f t="shared" ca="1" si="49"/>
        <v>49333</v>
      </c>
      <c r="N816" s="115" t="e">
        <f ca="1"/>
        <v>#VALUE!</v>
      </c>
      <c r="P816" s="219">
        <f t="shared" ca="1" si="50"/>
        <v>49333</v>
      </c>
      <c r="Q816" s="115" t="e">
        <f ca="1"/>
        <v>#VALUE!</v>
      </c>
      <c r="S816" s="219">
        <f t="shared" ca="1" si="51"/>
        <v>49333</v>
      </c>
      <c r="T816" s="115" t="e">
        <f ca="1"/>
        <v>#VALUE!</v>
      </c>
      <c r="V816" s="219">
        <f t="shared" ca="1" si="52"/>
        <v>49333</v>
      </c>
      <c r="W816" s="115" t="e">
        <f ca="1"/>
        <v>#VALUE!</v>
      </c>
    </row>
    <row r="817" spans="13:23">
      <c r="M817" s="219">
        <f t="shared" ca="1" si="49"/>
        <v>49340</v>
      </c>
      <c r="N817" s="115" t="e">
        <f ca="1"/>
        <v>#VALUE!</v>
      </c>
      <c r="P817" s="219">
        <f t="shared" ca="1" si="50"/>
        <v>49340</v>
      </c>
      <c r="Q817" s="115" t="e">
        <f ca="1"/>
        <v>#VALUE!</v>
      </c>
      <c r="S817" s="219">
        <f t="shared" ca="1" si="51"/>
        <v>49340</v>
      </c>
      <c r="T817" s="115" t="e">
        <f ca="1"/>
        <v>#VALUE!</v>
      </c>
      <c r="V817" s="219">
        <f t="shared" ca="1" si="52"/>
        <v>49340</v>
      </c>
      <c r="W817" s="115" t="e">
        <f ca="1"/>
        <v>#VALUE!</v>
      </c>
    </row>
    <row r="818" spans="13:23">
      <c r="M818" s="219">
        <f t="shared" ca="1" si="49"/>
        <v>49347</v>
      </c>
      <c r="N818" s="115" t="e">
        <f ca="1"/>
        <v>#VALUE!</v>
      </c>
      <c r="P818" s="219">
        <f t="shared" ca="1" si="50"/>
        <v>49347</v>
      </c>
      <c r="Q818" s="115" t="e">
        <f ca="1"/>
        <v>#VALUE!</v>
      </c>
      <c r="S818" s="219">
        <f t="shared" ca="1" si="51"/>
        <v>49347</v>
      </c>
      <c r="T818" s="115" t="e">
        <f ca="1"/>
        <v>#VALUE!</v>
      </c>
      <c r="V818" s="219">
        <f t="shared" ca="1" si="52"/>
        <v>49347</v>
      </c>
      <c r="W818" s="115" t="e">
        <f ca="1"/>
        <v>#VALUE!</v>
      </c>
    </row>
    <row r="819" spans="13:23">
      <c r="M819" s="219">
        <f t="shared" ca="1" si="49"/>
        <v>49354</v>
      </c>
      <c r="N819" s="115" t="e">
        <f ca="1"/>
        <v>#VALUE!</v>
      </c>
      <c r="P819" s="219">
        <f t="shared" ca="1" si="50"/>
        <v>49354</v>
      </c>
      <c r="Q819" s="115" t="e">
        <f ca="1"/>
        <v>#VALUE!</v>
      </c>
      <c r="S819" s="219">
        <f t="shared" ca="1" si="51"/>
        <v>49354</v>
      </c>
      <c r="T819" s="115" t="e">
        <f ca="1"/>
        <v>#VALUE!</v>
      </c>
      <c r="V819" s="219">
        <f t="shared" ca="1" si="52"/>
        <v>49354</v>
      </c>
      <c r="W819" s="115" t="e">
        <f ca="1"/>
        <v>#VALUE!</v>
      </c>
    </row>
    <row r="820" spans="13:23">
      <c r="M820" s="219">
        <f t="shared" ca="1" si="49"/>
        <v>49361</v>
      </c>
      <c r="N820" s="115" t="e">
        <f ca="1"/>
        <v>#VALUE!</v>
      </c>
      <c r="P820" s="219">
        <f t="shared" ca="1" si="50"/>
        <v>49361</v>
      </c>
      <c r="Q820" s="115" t="e">
        <f ca="1"/>
        <v>#VALUE!</v>
      </c>
      <c r="S820" s="219">
        <f t="shared" ca="1" si="51"/>
        <v>49361</v>
      </c>
      <c r="T820" s="115" t="e">
        <f ca="1"/>
        <v>#VALUE!</v>
      </c>
      <c r="V820" s="219">
        <f t="shared" ca="1" si="52"/>
        <v>49361</v>
      </c>
      <c r="W820" s="115" t="e">
        <f ca="1"/>
        <v>#VALUE!</v>
      </c>
    </row>
    <row r="821" spans="13:23">
      <c r="M821" s="219">
        <f t="shared" ca="1" si="49"/>
        <v>49368</v>
      </c>
      <c r="N821" s="115" t="e">
        <f ca="1"/>
        <v>#VALUE!</v>
      </c>
      <c r="P821" s="219">
        <f t="shared" ca="1" si="50"/>
        <v>49368</v>
      </c>
      <c r="Q821" s="115" t="e">
        <f ca="1"/>
        <v>#VALUE!</v>
      </c>
      <c r="S821" s="219">
        <f t="shared" ca="1" si="51"/>
        <v>49368</v>
      </c>
      <c r="T821" s="115" t="e">
        <f ca="1"/>
        <v>#VALUE!</v>
      </c>
      <c r="V821" s="219">
        <f t="shared" ca="1" si="52"/>
        <v>49368</v>
      </c>
      <c r="W821" s="115" t="e">
        <f ca="1"/>
        <v>#VALUE!</v>
      </c>
    </row>
    <row r="822" spans="13:23">
      <c r="M822" s="219">
        <f t="shared" ca="1" si="49"/>
        <v>49375</v>
      </c>
      <c r="N822" s="115" t="e">
        <f ca="1"/>
        <v>#VALUE!</v>
      </c>
      <c r="P822" s="219">
        <f t="shared" ca="1" si="50"/>
        <v>49375</v>
      </c>
      <c r="Q822" s="115" t="e">
        <f ca="1"/>
        <v>#VALUE!</v>
      </c>
      <c r="S822" s="219">
        <f t="shared" ca="1" si="51"/>
        <v>49375</v>
      </c>
      <c r="T822" s="115" t="e">
        <f ca="1"/>
        <v>#VALUE!</v>
      </c>
      <c r="V822" s="219">
        <f t="shared" ca="1" si="52"/>
        <v>49375</v>
      </c>
      <c r="W822" s="115" t="e">
        <f ca="1"/>
        <v>#VALUE!</v>
      </c>
    </row>
    <row r="823" spans="13:23">
      <c r="M823" s="219">
        <f t="shared" ca="1" si="49"/>
        <v>49382</v>
      </c>
      <c r="N823" s="115" t="e">
        <f ca="1"/>
        <v>#VALUE!</v>
      </c>
      <c r="P823" s="219">
        <f t="shared" ca="1" si="50"/>
        <v>49382</v>
      </c>
      <c r="Q823" s="115" t="e">
        <f ca="1"/>
        <v>#VALUE!</v>
      </c>
      <c r="S823" s="219">
        <f t="shared" ca="1" si="51"/>
        <v>49382</v>
      </c>
      <c r="T823" s="115" t="e">
        <f ca="1"/>
        <v>#VALUE!</v>
      </c>
      <c r="V823" s="219">
        <f t="shared" ca="1" si="52"/>
        <v>49382</v>
      </c>
      <c r="W823" s="115" t="e">
        <f ca="1"/>
        <v>#VALUE!</v>
      </c>
    </row>
    <row r="824" spans="13:23">
      <c r="M824" s="219">
        <f t="shared" ca="1" si="49"/>
        <v>49389</v>
      </c>
      <c r="N824" s="115" t="e">
        <f ca="1"/>
        <v>#VALUE!</v>
      </c>
      <c r="P824" s="219">
        <f t="shared" ca="1" si="50"/>
        <v>49389</v>
      </c>
      <c r="Q824" s="115" t="e">
        <f ca="1"/>
        <v>#VALUE!</v>
      </c>
      <c r="S824" s="219">
        <f t="shared" ca="1" si="51"/>
        <v>49389</v>
      </c>
      <c r="T824" s="115" t="e">
        <f ca="1"/>
        <v>#VALUE!</v>
      </c>
      <c r="V824" s="219">
        <f t="shared" ca="1" si="52"/>
        <v>49389</v>
      </c>
      <c r="W824" s="115" t="e">
        <f ca="1"/>
        <v>#VALUE!</v>
      </c>
    </row>
    <row r="825" spans="13:23">
      <c r="M825" s="219">
        <f t="shared" ca="1" si="49"/>
        <v>49396</v>
      </c>
      <c r="N825" s="115" t="e">
        <f ca="1"/>
        <v>#VALUE!</v>
      </c>
      <c r="P825" s="219">
        <f t="shared" ca="1" si="50"/>
        <v>49396</v>
      </c>
      <c r="Q825" s="115" t="e">
        <f ca="1"/>
        <v>#VALUE!</v>
      </c>
      <c r="S825" s="219">
        <f t="shared" ca="1" si="51"/>
        <v>49396</v>
      </c>
      <c r="T825" s="115" t="e">
        <f ca="1"/>
        <v>#VALUE!</v>
      </c>
      <c r="V825" s="219">
        <f t="shared" ca="1" si="52"/>
        <v>49396</v>
      </c>
      <c r="W825" s="115" t="e">
        <f ca="1"/>
        <v>#VALUE!</v>
      </c>
    </row>
    <row r="826" spans="13:23">
      <c r="M826" s="219">
        <f t="shared" ca="1" si="49"/>
        <v>49403</v>
      </c>
      <c r="N826" s="115" t="e">
        <f ca="1"/>
        <v>#VALUE!</v>
      </c>
      <c r="P826" s="219">
        <f t="shared" ca="1" si="50"/>
        <v>49403</v>
      </c>
      <c r="Q826" s="115" t="e">
        <f ca="1"/>
        <v>#VALUE!</v>
      </c>
      <c r="S826" s="219">
        <f t="shared" ca="1" si="51"/>
        <v>49403</v>
      </c>
      <c r="T826" s="115" t="e">
        <f ca="1"/>
        <v>#VALUE!</v>
      </c>
      <c r="V826" s="219">
        <f t="shared" ca="1" si="52"/>
        <v>49403</v>
      </c>
      <c r="W826" s="115" t="e">
        <f ca="1"/>
        <v>#VALUE!</v>
      </c>
    </row>
    <row r="827" spans="13:23">
      <c r="M827" s="219">
        <f t="shared" ca="1" si="49"/>
        <v>49410</v>
      </c>
      <c r="N827" s="115" t="e">
        <f ca="1"/>
        <v>#VALUE!</v>
      </c>
      <c r="P827" s="219">
        <f t="shared" ca="1" si="50"/>
        <v>49410</v>
      </c>
      <c r="Q827" s="115" t="e">
        <f ca="1"/>
        <v>#VALUE!</v>
      </c>
      <c r="S827" s="219">
        <f t="shared" ca="1" si="51"/>
        <v>49410</v>
      </c>
      <c r="T827" s="115" t="e">
        <f ca="1"/>
        <v>#VALUE!</v>
      </c>
      <c r="V827" s="219">
        <f t="shared" ca="1" si="52"/>
        <v>49410</v>
      </c>
      <c r="W827" s="115" t="e">
        <f ca="1"/>
        <v>#VALUE!</v>
      </c>
    </row>
    <row r="828" spans="13:23">
      <c r="M828" s="219">
        <f t="shared" ca="1" si="49"/>
        <v>49417</v>
      </c>
      <c r="N828" s="115" t="e">
        <f ca="1"/>
        <v>#VALUE!</v>
      </c>
      <c r="P828" s="219">
        <f t="shared" ca="1" si="50"/>
        <v>49417</v>
      </c>
      <c r="Q828" s="115" t="e">
        <f ca="1"/>
        <v>#VALUE!</v>
      </c>
      <c r="S828" s="219">
        <f t="shared" ca="1" si="51"/>
        <v>49417</v>
      </c>
      <c r="T828" s="115" t="e">
        <f ca="1"/>
        <v>#VALUE!</v>
      </c>
      <c r="V828" s="219">
        <f t="shared" ca="1" si="52"/>
        <v>49417</v>
      </c>
      <c r="W828" s="115" t="e">
        <f ca="1"/>
        <v>#VALUE!</v>
      </c>
    </row>
    <row r="829" spans="13:23">
      <c r="M829" s="219">
        <f t="shared" ca="1" si="49"/>
        <v>49424</v>
      </c>
      <c r="N829" s="115" t="e">
        <f ca="1"/>
        <v>#VALUE!</v>
      </c>
      <c r="P829" s="219">
        <f t="shared" ca="1" si="50"/>
        <v>49424</v>
      </c>
      <c r="Q829" s="115" t="e">
        <f ca="1"/>
        <v>#VALUE!</v>
      </c>
      <c r="S829" s="219">
        <f t="shared" ca="1" si="51"/>
        <v>49424</v>
      </c>
      <c r="T829" s="115" t="e">
        <f ca="1"/>
        <v>#VALUE!</v>
      </c>
      <c r="V829" s="219">
        <f t="shared" ca="1" si="52"/>
        <v>49424</v>
      </c>
      <c r="W829" s="115" t="e">
        <f ca="1"/>
        <v>#VALUE!</v>
      </c>
    </row>
    <row r="830" spans="13:23">
      <c r="M830" s="219">
        <f t="shared" ca="1" si="49"/>
        <v>49431</v>
      </c>
      <c r="N830" s="115" t="e">
        <f ca="1"/>
        <v>#VALUE!</v>
      </c>
      <c r="P830" s="219">
        <f t="shared" ca="1" si="50"/>
        <v>49431</v>
      </c>
      <c r="Q830" s="115" t="e">
        <f ca="1"/>
        <v>#VALUE!</v>
      </c>
      <c r="S830" s="219">
        <f t="shared" ca="1" si="51"/>
        <v>49431</v>
      </c>
      <c r="T830" s="115" t="e">
        <f ca="1"/>
        <v>#VALUE!</v>
      </c>
      <c r="V830" s="219">
        <f t="shared" ca="1" si="52"/>
        <v>49431</v>
      </c>
      <c r="W830" s="115" t="e">
        <f ca="1"/>
        <v>#VALUE!</v>
      </c>
    </row>
    <row r="831" spans="13:23">
      <c r="M831" s="219">
        <f t="shared" ca="1" si="49"/>
        <v>49438</v>
      </c>
      <c r="N831" s="115" t="e">
        <f ca="1"/>
        <v>#VALUE!</v>
      </c>
      <c r="P831" s="219">
        <f t="shared" ca="1" si="50"/>
        <v>49438</v>
      </c>
      <c r="Q831" s="115" t="e">
        <f ca="1"/>
        <v>#VALUE!</v>
      </c>
      <c r="S831" s="219">
        <f t="shared" ca="1" si="51"/>
        <v>49438</v>
      </c>
      <c r="T831" s="115" t="e">
        <f ca="1"/>
        <v>#VALUE!</v>
      </c>
      <c r="V831" s="219">
        <f t="shared" ca="1" si="52"/>
        <v>49438</v>
      </c>
      <c r="W831" s="115" t="e">
        <f ca="1"/>
        <v>#VALUE!</v>
      </c>
    </row>
    <row r="832" spans="13:23">
      <c r="M832" s="219">
        <f t="shared" ca="1" si="49"/>
        <v>49445</v>
      </c>
      <c r="N832" s="115" t="e">
        <f ca="1"/>
        <v>#VALUE!</v>
      </c>
      <c r="P832" s="219">
        <f t="shared" ca="1" si="50"/>
        <v>49445</v>
      </c>
      <c r="Q832" s="115" t="e">
        <f ca="1"/>
        <v>#VALUE!</v>
      </c>
      <c r="S832" s="219">
        <f t="shared" ca="1" si="51"/>
        <v>49445</v>
      </c>
      <c r="T832" s="115" t="e">
        <f ca="1"/>
        <v>#VALUE!</v>
      </c>
      <c r="V832" s="219">
        <f t="shared" ca="1" si="52"/>
        <v>49445</v>
      </c>
      <c r="W832" s="115" t="e">
        <f ca="1"/>
        <v>#VALUE!</v>
      </c>
    </row>
    <row r="833" spans="13:23">
      <c r="M833" s="219">
        <f t="shared" ca="1" si="49"/>
        <v>49452</v>
      </c>
      <c r="N833" s="115" t="e">
        <f ca="1"/>
        <v>#VALUE!</v>
      </c>
      <c r="P833" s="219">
        <f t="shared" ca="1" si="50"/>
        <v>49452</v>
      </c>
      <c r="Q833" s="115" t="e">
        <f ca="1"/>
        <v>#VALUE!</v>
      </c>
      <c r="S833" s="219">
        <f t="shared" ca="1" si="51"/>
        <v>49452</v>
      </c>
      <c r="T833" s="115" t="e">
        <f ca="1"/>
        <v>#VALUE!</v>
      </c>
      <c r="V833" s="219">
        <f t="shared" ca="1" si="52"/>
        <v>49452</v>
      </c>
      <c r="W833" s="115" t="e">
        <f ca="1"/>
        <v>#VALUE!</v>
      </c>
    </row>
    <row r="834" spans="13:23">
      <c r="M834" s="219">
        <f t="shared" ca="1" si="49"/>
        <v>49459</v>
      </c>
      <c r="N834" s="115" t="e">
        <f ca="1"/>
        <v>#VALUE!</v>
      </c>
      <c r="P834" s="219">
        <f t="shared" ca="1" si="50"/>
        <v>49459</v>
      </c>
      <c r="Q834" s="115" t="e">
        <f ca="1"/>
        <v>#VALUE!</v>
      </c>
      <c r="S834" s="219">
        <f t="shared" ca="1" si="51"/>
        <v>49459</v>
      </c>
      <c r="T834" s="115" t="e">
        <f ca="1"/>
        <v>#VALUE!</v>
      </c>
      <c r="V834" s="219">
        <f t="shared" ca="1" si="52"/>
        <v>49459</v>
      </c>
      <c r="W834" s="115" t="e">
        <f ca="1"/>
        <v>#VALUE!</v>
      </c>
    </row>
    <row r="835" spans="13:23">
      <c r="M835" s="219">
        <f t="shared" ca="1" si="49"/>
        <v>49466</v>
      </c>
      <c r="N835" s="115" t="e">
        <f ca="1"/>
        <v>#VALUE!</v>
      </c>
      <c r="P835" s="219">
        <f t="shared" ca="1" si="50"/>
        <v>49466</v>
      </c>
      <c r="Q835" s="115" t="e">
        <f ca="1"/>
        <v>#VALUE!</v>
      </c>
      <c r="S835" s="219">
        <f t="shared" ca="1" si="51"/>
        <v>49466</v>
      </c>
      <c r="T835" s="115" t="e">
        <f ca="1"/>
        <v>#VALUE!</v>
      </c>
      <c r="V835" s="219">
        <f t="shared" ca="1" si="52"/>
        <v>49466</v>
      </c>
      <c r="W835" s="115" t="e">
        <f ca="1"/>
        <v>#VALUE!</v>
      </c>
    </row>
    <row r="836" spans="13:23">
      <c r="M836" s="219">
        <f t="shared" ca="1" si="49"/>
        <v>49473</v>
      </c>
      <c r="N836" s="115" t="e">
        <f ca="1"/>
        <v>#VALUE!</v>
      </c>
      <c r="P836" s="219">
        <f t="shared" ca="1" si="50"/>
        <v>49473</v>
      </c>
      <c r="Q836" s="115" t="e">
        <f ca="1"/>
        <v>#VALUE!</v>
      </c>
      <c r="S836" s="219">
        <f t="shared" ca="1" si="51"/>
        <v>49473</v>
      </c>
      <c r="T836" s="115" t="e">
        <f ca="1"/>
        <v>#VALUE!</v>
      </c>
      <c r="V836" s="219">
        <f t="shared" ca="1" si="52"/>
        <v>49473</v>
      </c>
      <c r="W836" s="115" t="e">
        <f ca="1"/>
        <v>#VALUE!</v>
      </c>
    </row>
    <row r="837" spans="13:23">
      <c r="M837" s="219">
        <f t="shared" ca="1" si="49"/>
        <v>49480</v>
      </c>
      <c r="N837" s="115" t="e">
        <f ca="1"/>
        <v>#VALUE!</v>
      </c>
      <c r="P837" s="219">
        <f t="shared" ca="1" si="50"/>
        <v>49480</v>
      </c>
      <c r="Q837" s="115" t="e">
        <f ca="1"/>
        <v>#VALUE!</v>
      </c>
      <c r="S837" s="219">
        <f t="shared" ca="1" si="51"/>
        <v>49480</v>
      </c>
      <c r="T837" s="115" t="e">
        <f ca="1"/>
        <v>#VALUE!</v>
      </c>
      <c r="V837" s="219">
        <f t="shared" ca="1" si="52"/>
        <v>49480</v>
      </c>
      <c r="W837" s="115" t="e">
        <f ca="1"/>
        <v>#VALUE!</v>
      </c>
    </row>
    <row r="838" spans="13:23">
      <c r="M838" s="219">
        <f t="shared" ca="1" si="49"/>
        <v>49487</v>
      </c>
      <c r="N838" s="115" t="e">
        <f ca="1"/>
        <v>#VALUE!</v>
      </c>
      <c r="P838" s="219">
        <f t="shared" ca="1" si="50"/>
        <v>49487</v>
      </c>
      <c r="Q838" s="115" t="e">
        <f ca="1"/>
        <v>#VALUE!</v>
      </c>
      <c r="S838" s="219">
        <f t="shared" ca="1" si="51"/>
        <v>49487</v>
      </c>
      <c r="T838" s="115" t="e">
        <f ca="1"/>
        <v>#VALUE!</v>
      </c>
      <c r="V838" s="219">
        <f t="shared" ca="1" si="52"/>
        <v>49487</v>
      </c>
      <c r="W838" s="115" t="e">
        <f ca="1"/>
        <v>#VALUE!</v>
      </c>
    </row>
    <row r="839" spans="13:23">
      <c r="M839" s="219">
        <f t="shared" ca="1" si="49"/>
        <v>49494</v>
      </c>
      <c r="N839" s="115" t="e">
        <f ca="1"/>
        <v>#VALUE!</v>
      </c>
      <c r="P839" s="219">
        <f t="shared" ca="1" si="50"/>
        <v>49494</v>
      </c>
      <c r="Q839" s="115" t="e">
        <f ca="1"/>
        <v>#VALUE!</v>
      </c>
      <c r="S839" s="219">
        <f t="shared" ca="1" si="51"/>
        <v>49494</v>
      </c>
      <c r="T839" s="115" t="e">
        <f ca="1"/>
        <v>#VALUE!</v>
      </c>
      <c r="V839" s="219">
        <f t="shared" ca="1" si="52"/>
        <v>49494</v>
      </c>
      <c r="W839" s="115" t="e">
        <f ca="1"/>
        <v>#VALUE!</v>
      </c>
    </row>
    <row r="840" spans="13:23">
      <c r="M840" s="219">
        <f t="shared" ca="1" si="49"/>
        <v>49501</v>
      </c>
      <c r="N840" s="115" t="e">
        <f ca="1"/>
        <v>#VALUE!</v>
      </c>
      <c r="P840" s="219">
        <f t="shared" ca="1" si="50"/>
        <v>49501</v>
      </c>
      <c r="Q840" s="115" t="e">
        <f ca="1"/>
        <v>#VALUE!</v>
      </c>
      <c r="S840" s="219">
        <f t="shared" ca="1" si="51"/>
        <v>49501</v>
      </c>
      <c r="T840" s="115" t="e">
        <f ca="1"/>
        <v>#VALUE!</v>
      </c>
      <c r="V840" s="219">
        <f t="shared" ca="1" si="52"/>
        <v>49501</v>
      </c>
      <c r="W840" s="115" t="e">
        <f ca="1"/>
        <v>#VALUE!</v>
      </c>
    </row>
    <row r="841" spans="13:23">
      <c r="M841" s="219">
        <f t="shared" ca="1" si="49"/>
        <v>49508</v>
      </c>
      <c r="N841" s="115" t="e">
        <f ca="1"/>
        <v>#VALUE!</v>
      </c>
      <c r="P841" s="219">
        <f t="shared" ca="1" si="50"/>
        <v>49508</v>
      </c>
      <c r="Q841" s="115" t="e">
        <f ca="1"/>
        <v>#VALUE!</v>
      </c>
      <c r="S841" s="219">
        <f t="shared" ca="1" si="51"/>
        <v>49508</v>
      </c>
      <c r="T841" s="115" t="e">
        <f ca="1"/>
        <v>#VALUE!</v>
      </c>
      <c r="V841" s="219">
        <f t="shared" ca="1" si="52"/>
        <v>49508</v>
      </c>
      <c r="W841" s="115" t="e">
        <f ca="1"/>
        <v>#VALUE!</v>
      </c>
    </row>
    <row r="842" spans="13:23">
      <c r="M842" s="219">
        <f t="shared" ca="1" si="49"/>
        <v>49515</v>
      </c>
      <c r="N842" s="115" t="e">
        <f ca="1"/>
        <v>#VALUE!</v>
      </c>
      <c r="P842" s="219">
        <f t="shared" ca="1" si="50"/>
        <v>49515</v>
      </c>
      <c r="Q842" s="115" t="e">
        <f ca="1"/>
        <v>#VALUE!</v>
      </c>
      <c r="S842" s="219">
        <f t="shared" ca="1" si="51"/>
        <v>49515</v>
      </c>
      <c r="T842" s="115" t="e">
        <f ca="1"/>
        <v>#VALUE!</v>
      </c>
      <c r="V842" s="219">
        <f t="shared" ca="1" si="52"/>
        <v>49515</v>
      </c>
      <c r="W842" s="115" t="e">
        <f ca="1"/>
        <v>#VALUE!</v>
      </c>
    </row>
    <row r="843" spans="13:23">
      <c r="M843" s="219">
        <f t="shared" ca="1" si="49"/>
        <v>49522</v>
      </c>
      <c r="N843" s="115" t="e">
        <f ca="1"/>
        <v>#VALUE!</v>
      </c>
      <c r="P843" s="219">
        <f t="shared" ca="1" si="50"/>
        <v>49522</v>
      </c>
      <c r="Q843" s="115" t="e">
        <f ca="1"/>
        <v>#VALUE!</v>
      </c>
      <c r="S843" s="219">
        <f t="shared" ca="1" si="51"/>
        <v>49522</v>
      </c>
      <c r="T843" s="115" t="e">
        <f ca="1"/>
        <v>#VALUE!</v>
      </c>
      <c r="V843" s="219">
        <f t="shared" ca="1" si="52"/>
        <v>49522</v>
      </c>
      <c r="W843" s="115" t="e">
        <f ca="1"/>
        <v>#VALUE!</v>
      </c>
    </row>
    <row r="844" spans="13:23">
      <c r="M844" s="219">
        <f t="shared" ca="1" si="49"/>
        <v>49529</v>
      </c>
      <c r="N844" s="115" t="e">
        <f ca="1"/>
        <v>#VALUE!</v>
      </c>
      <c r="P844" s="219">
        <f t="shared" ca="1" si="50"/>
        <v>49529</v>
      </c>
      <c r="Q844" s="115" t="e">
        <f ca="1"/>
        <v>#VALUE!</v>
      </c>
      <c r="S844" s="219">
        <f t="shared" ca="1" si="51"/>
        <v>49529</v>
      </c>
      <c r="T844" s="115" t="e">
        <f ca="1"/>
        <v>#VALUE!</v>
      </c>
      <c r="V844" s="219">
        <f t="shared" ca="1" si="52"/>
        <v>49529</v>
      </c>
      <c r="W844" s="115" t="e">
        <f ca="1"/>
        <v>#VALUE!</v>
      </c>
    </row>
    <row r="845" spans="13:23">
      <c r="M845" s="219">
        <f t="shared" ref="M845:M908" ca="1" si="53">M844+7</f>
        <v>49536</v>
      </c>
      <c r="N845" s="115" t="e">
        <f ca="1"/>
        <v>#VALUE!</v>
      </c>
      <c r="P845" s="219">
        <f t="shared" ref="P845:P908" ca="1" si="54">P844+7</f>
        <v>49536</v>
      </c>
      <c r="Q845" s="115" t="e">
        <f ca="1"/>
        <v>#VALUE!</v>
      </c>
      <c r="S845" s="219">
        <f t="shared" ref="S845:S908" ca="1" si="55">S844+7</f>
        <v>49536</v>
      </c>
      <c r="T845" s="115" t="e">
        <f ca="1"/>
        <v>#VALUE!</v>
      </c>
      <c r="V845" s="219">
        <f t="shared" ref="V845:V908" ca="1" si="56">V844+7</f>
        <v>49536</v>
      </c>
      <c r="W845" s="115" t="e">
        <f ca="1"/>
        <v>#VALUE!</v>
      </c>
    </row>
    <row r="846" spans="13:23">
      <c r="M846" s="219">
        <f t="shared" ca="1" si="53"/>
        <v>49543</v>
      </c>
      <c r="N846" s="115" t="e">
        <f ca="1"/>
        <v>#VALUE!</v>
      </c>
      <c r="P846" s="219">
        <f t="shared" ca="1" si="54"/>
        <v>49543</v>
      </c>
      <c r="Q846" s="115" t="e">
        <f ca="1"/>
        <v>#VALUE!</v>
      </c>
      <c r="S846" s="219">
        <f t="shared" ca="1" si="55"/>
        <v>49543</v>
      </c>
      <c r="T846" s="115" t="e">
        <f ca="1"/>
        <v>#VALUE!</v>
      </c>
      <c r="V846" s="219">
        <f t="shared" ca="1" si="56"/>
        <v>49543</v>
      </c>
      <c r="W846" s="115" t="e">
        <f ca="1"/>
        <v>#VALUE!</v>
      </c>
    </row>
    <row r="847" spans="13:23">
      <c r="M847" s="219">
        <f t="shared" ca="1" si="53"/>
        <v>49550</v>
      </c>
      <c r="N847" s="115" t="e">
        <f ca="1"/>
        <v>#VALUE!</v>
      </c>
      <c r="P847" s="219">
        <f t="shared" ca="1" si="54"/>
        <v>49550</v>
      </c>
      <c r="Q847" s="115" t="e">
        <f ca="1"/>
        <v>#VALUE!</v>
      </c>
      <c r="S847" s="219">
        <f t="shared" ca="1" si="55"/>
        <v>49550</v>
      </c>
      <c r="T847" s="115" t="e">
        <f ca="1"/>
        <v>#VALUE!</v>
      </c>
      <c r="V847" s="219">
        <f t="shared" ca="1" si="56"/>
        <v>49550</v>
      </c>
      <c r="W847" s="115" t="e">
        <f ca="1"/>
        <v>#VALUE!</v>
      </c>
    </row>
    <row r="848" spans="13:23">
      <c r="M848" s="219">
        <f t="shared" ca="1" si="53"/>
        <v>49557</v>
      </c>
      <c r="N848" s="115" t="e">
        <f ca="1"/>
        <v>#VALUE!</v>
      </c>
      <c r="P848" s="219">
        <f t="shared" ca="1" si="54"/>
        <v>49557</v>
      </c>
      <c r="Q848" s="115" t="e">
        <f ca="1"/>
        <v>#VALUE!</v>
      </c>
      <c r="S848" s="219">
        <f t="shared" ca="1" si="55"/>
        <v>49557</v>
      </c>
      <c r="T848" s="115" t="e">
        <f ca="1"/>
        <v>#VALUE!</v>
      </c>
      <c r="V848" s="219">
        <f t="shared" ca="1" si="56"/>
        <v>49557</v>
      </c>
      <c r="W848" s="115" t="e">
        <f ca="1"/>
        <v>#VALUE!</v>
      </c>
    </row>
    <row r="849" spans="13:23">
      <c r="M849" s="219">
        <f t="shared" ca="1" si="53"/>
        <v>49564</v>
      </c>
      <c r="N849" s="115" t="e">
        <f ca="1"/>
        <v>#VALUE!</v>
      </c>
      <c r="P849" s="219">
        <f t="shared" ca="1" si="54"/>
        <v>49564</v>
      </c>
      <c r="Q849" s="115" t="e">
        <f ca="1"/>
        <v>#VALUE!</v>
      </c>
      <c r="S849" s="219">
        <f t="shared" ca="1" si="55"/>
        <v>49564</v>
      </c>
      <c r="T849" s="115" t="e">
        <f ca="1"/>
        <v>#VALUE!</v>
      </c>
      <c r="V849" s="219">
        <f t="shared" ca="1" si="56"/>
        <v>49564</v>
      </c>
      <c r="W849" s="115" t="e">
        <f ca="1"/>
        <v>#VALUE!</v>
      </c>
    </row>
    <row r="850" spans="13:23">
      <c r="M850" s="219">
        <f t="shared" ca="1" si="53"/>
        <v>49571</v>
      </c>
      <c r="N850" s="115" t="e">
        <f ca="1"/>
        <v>#VALUE!</v>
      </c>
      <c r="P850" s="219">
        <f t="shared" ca="1" si="54"/>
        <v>49571</v>
      </c>
      <c r="Q850" s="115" t="e">
        <f ca="1"/>
        <v>#VALUE!</v>
      </c>
      <c r="S850" s="219">
        <f t="shared" ca="1" si="55"/>
        <v>49571</v>
      </c>
      <c r="T850" s="115" t="e">
        <f ca="1"/>
        <v>#VALUE!</v>
      </c>
      <c r="V850" s="219">
        <f t="shared" ca="1" si="56"/>
        <v>49571</v>
      </c>
      <c r="W850" s="115" t="e">
        <f ca="1"/>
        <v>#VALUE!</v>
      </c>
    </row>
    <row r="851" spans="13:23">
      <c r="M851" s="219">
        <f t="shared" ca="1" si="53"/>
        <v>49578</v>
      </c>
      <c r="N851" s="115" t="e">
        <f ca="1"/>
        <v>#VALUE!</v>
      </c>
      <c r="P851" s="219">
        <f t="shared" ca="1" si="54"/>
        <v>49578</v>
      </c>
      <c r="Q851" s="115" t="e">
        <f ca="1"/>
        <v>#VALUE!</v>
      </c>
      <c r="S851" s="219">
        <f t="shared" ca="1" si="55"/>
        <v>49578</v>
      </c>
      <c r="T851" s="115" t="e">
        <f ca="1"/>
        <v>#VALUE!</v>
      </c>
      <c r="V851" s="219">
        <f t="shared" ca="1" si="56"/>
        <v>49578</v>
      </c>
      <c r="W851" s="115" t="e">
        <f ca="1"/>
        <v>#VALUE!</v>
      </c>
    </row>
    <row r="852" spans="13:23">
      <c r="M852" s="219">
        <f t="shared" ca="1" si="53"/>
        <v>49585</v>
      </c>
      <c r="N852" s="115" t="e">
        <f ca="1"/>
        <v>#VALUE!</v>
      </c>
      <c r="P852" s="219">
        <f t="shared" ca="1" si="54"/>
        <v>49585</v>
      </c>
      <c r="Q852" s="115" t="e">
        <f ca="1"/>
        <v>#VALUE!</v>
      </c>
      <c r="S852" s="219">
        <f t="shared" ca="1" si="55"/>
        <v>49585</v>
      </c>
      <c r="T852" s="115" t="e">
        <f ca="1"/>
        <v>#VALUE!</v>
      </c>
      <c r="V852" s="219">
        <f t="shared" ca="1" si="56"/>
        <v>49585</v>
      </c>
      <c r="W852" s="115" t="e">
        <f ca="1"/>
        <v>#VALUE!</v>
      </c>
    </row>
    <row r="853" spans="13:23">
      <c r="M853" s="219">
        <f t="shared" ca="1" si="53"/>
        <v>49592</v>
      </c>
      <c r="N853" s="115" t="e">
        <f ca="1"/>
        <v>#VALUE!</v>
      </c>
      <c r="P853" s="219">
        <f t="shared" ca="1" si="54"/>
        <v>49592</v>
      </c>
      <c r="Q853" s="115" t="e">
        <f ca="1"/>
        <v>#VALUE!</v>
      </c>
      <c r="S853" s="219">
        <f t="shared" ca="1" si="55"/>
        <v>49592</v>
      </c>
      <c r="T853" s="115" t="e">
        <f ca="1"/>
        <v>#VALUE!</v>
      </c>
      <c r="V853" s="219">
        <f t="shared" ca="1" si="56"/>
        <v>49592</v>
      </c>
      <c r="W853" s="115" t="e">
        <f ca="1"/>
        <v>#VALUE!</v>
      </c>
    </row>
    <row r="854" spans="13:23">
      <c r="M854" s="219">
        <f t="shared" ca="1" si="53"/>
        <v>49599</v>
      </c>
      <c r="N854" s="115" t="e">
        <f ca="1"/>
        <v>#VALUE!</v>
      </c>
      <c r="P854" s="219">
        <f t="shared" ca="1" si="54"/>
        <v>49599</v>
      </c>
      <c r="Q854" s="115" t="e">
        <f ca="1"/>
        <v>#VALUE!</v>
      </c>
      <c r="S854" s="219">
        <f t="shared" ca="1" si="55"/>
        <v>49599</v>
      </c>
      <c r="T854" s="115" t="e">
        <f ca="1"/>
        <v>#VALUE!</v>
      </c>
      <c r="V854" s="219">
        <f t="shared" ca="1" si="56"/>
        <v>49599</v>
      </c>
      <c r="W854" s="115" t="e">
        <f ca="1"/>
        <v>#VALUE!</v>
      </c>
    </row>
    <row r="855" spans="13:23">
      <c r="M855" s="219">
        <f t="shared" ca="1" si="53"/>
        <v>49606</v>
      </c>
      <c r="N855" s="115" t="e">
        <f ca="1"/>
        <v>#VALUE!</v>
      </c>
      <c r="P855" s="219">
        <f t="shared" ca="1" si="54"/>
        <v>49606</v>
      </c>
      <c r="Q855" s="115" t="e">
        <f ca="1"/>
        <v>#VALUE!</v>
      </c>
      <c r="S855" s="219">
        <f t="shared" ca="1" si="55"/>
        <v>49606</v>
      </c>
      <c r="T855" s="115" t="e">
        <f ca="1"/>
        <v>#VALUE!</v>
      </c>
      <c r="V855" s="219">
        <f t="shared" ca="1" si="56"/>
        <v>49606</v>
      </c>
      <c r="W855" s="115" t="e">
        <f ca="1"/>
        <v>#VALUE!</v>
      </c>
    </row>
    <row r="856" spans="13:23">
      <c r="M856" s="219">
        <f t="shared" ca="1" si="53"/>
        <v>49613</v>
      </c>
      <c r="N856" s="115" t="e">
        <f ca="1"/>
        <v>#VALUE!</v>
      </c>
      <c r="P856" s="219">
        <f t="shared" ca="1" si="54"/>
        <v>49613</v>
      </c>
      <c r="Q856" s="115" t="e">
        <f ca="1"/>
        <v>#VALUE!</v>
      </c>
      <c r="S856" s="219">
        <f t="shared" ca="1" si="55"/>
        <v>49613</v>
      </c>
      <c r="T856" s="115" t="e">
        <f ca="1"/>
        <v>#VALUE!</v>
      </c>
      <c r="V856" s="219">
        <f t="shared" ca="1" si="56"/>
        <v>49613</v>
      </c>
      <c r="W856" s="115" t="e">
        <f ca="1"/>
        <v>#VALUE!</v>
      </c>
    </row>
    <row r="857" spans="13:23">
      <c r="M857" s="219">
        <f t="shared" ca="1" si="53"/>
        <v>49620</v>
      </c>
      <c r="N857" s="115" t="e">
        <f ca="1"/>
        <v>#VALUE!</v>
      </c>
      <c r="P857" s="219">
        <f t="shared" ca="1" si="54"/>
        <v>49620</v>
      </c>
      <c r="Q857" s="115" t="e">
        <f ca="1"/>
        <v>#VALUE!</v>
      </c>
      <c r="S857" s="219">
        <f t="shared" ca="1" si="55"/>
        <v>49620</v>
      </c>
      <c r="T857" s="115" t="e">
        <f ca="1"/>
        <v>#VALUE!</v>
      </c>
      <c r="V857" s="219">
        <f t="shared" ca="1" si="56"/>
        <v>49620</v>
      </c>
      <c r="W857" s="115" t="e">
        <f ca="1"/>
        <v>#VALUE!</v>
      </c>
    </row>
    <row r="858" spans="13:23">
      <c r="M858" s="219">
        <f t="shared" ca="1" si="53"/>
        <v>49627</v>
      </c>
      <c r="N858" s="115" t="e">
        <f ca="1"/>
        <v>#VALUE!</v>
      </c>
      <c r="P858" s="219">
        <f t="shared" ca="1" si="54"/>
        <v>49627</v>
      </c>
      <c r="Q858" s="115" t="e">
        <f ca="1"/>
        <v>#VALUE!</v>
      </c>
      <c r="S858" s="219">
        <f t="shared" ca="1" si="55"/>
        <v>49627</v>
      </c>
      <c r="T858" s="115" t="e">
        <f ca="1"/>
        <v>#VALUE!</v>
      </c>
      <c r="V858" s="219">
        <f t="shared" ca="1" si="56"/>
        <v>49627</v>
      </c>
      <c r="W858" s="115" t="e">
        <f ca="1"/>
        <v>#VALUE!</v>
      </c>
    </row>
    <row r="859" spans="13:23">
      <c r="M859" s="219">
        <f t="shared" ca="1" si="53"/>
        <v>49634</v>
      </c>
      <c r="N859" s="115" t="e">
        <f ca="1"/>
        <v>#VALUE!</v>
      </c>
      <c r="P859" s="219">
        <f t="shared" ca="1" si="54"/>
        <v>49634</v>
      </c>
      <c r="Q859" s="115" t="e">
        <f ca="1"/>
        <v>#VALUE!</v>
      </c>
      <c r="S859" s="219">
        <f t="shared" ca="1" si="55"/>
        <v>49634</v>
      </c>
      <c r="T859" s="115" t="e">
        <f ca="1"/>
        <v>#VALUE!</v>
      </c>
      <c r="V859" s="219">
        <f t="shared" ca="1" si="56"/>
        <v>49634</v>
      </c>
      <c r="W859" s="115" t="e">
        <f ca="1"/>
        <v>#VALUE!</v>
      </c>
    </row>
    <row r="860" spans="13:23">
      <c r="M860" s="219">
        <f t="shared" ca="1" si="53"/>
        <v>49641</v>
      </c>
      <c r="N860" s="115" t="e">
        <f ca="1"/>
        <v>#VALUE!</v>
      </c>
      <c r="P860" s="219">
        <f t="shared" ca="1" si="54"/>
        <v>49641</v>
      </c>
      <c r="Q860" s="115" t="e">
        <f ca="1"/>
        <v>#VALUE!</v>
      </c>
      <c r="S860" s="219">
        <f t="shared" ca="1" si="55"/>
        <v>49641</v>
      </c>
      <c r="T860" s="115" t="e">
        <f ca="1"/>
        <v>#VALUE!</v>
      </c>
      <c r="V860" s="219">
        <f t="shared" ca="1" si="56"/>
        <v>49641</v>
      </c>
      <c r="W860" s="115" t="e">
        <f ca="1"/>
        <v>#VALUE!</v>
      </c>
    </row>
    <row r="861" spans="13:23">
      <c r="M861" s="219">
        <f t="shared" ca="1" si="53"/>
        <v>49648</v>
      </c>
      <c r="N861" s="115" t="e">
        <f ca="1"/>
        <v>#VALUE!</v>
      </c>
      <c r="P861" s="219">
        <f t="shared" ca="1" si="54"/>
        <v>49648</v>
      </c>
      <c r="Q861" s="115" t="e">
        <f ca="1"/>
        <v>#VALUE!</v>
      </c>
      <c r="S861" s="219">
        <f t="shared" ca="1" si="55"/>
        <v>49648</v>
      </c>
      <c r="T861" s="115" t="e">
        <f ca="1"/>
        <v>#VALUE!</v>
      </c>
      <c r="V861" s="219">
        <f t="shared" ca="1" si="56"/>
        <v>49648</v>
      </c>
      <c r="W861" s="115" t="e">
        <f ca="1"/>
        <v>#VALUE!</v>
      </c>
    </row>
    <row r="862" spans="13:23">
      <c r="M862" s="219">
        <f t="shared" ca="1" si="53"/>
        <v>49655</v>
      </c>
      <c r="N862" s="115" t="e">
        <f ca="1"/>
        <v>#VALUE!</v>
      </c>
      <c r="P862" s="219">
        <f t="shared" ca="1" si="54"/>
        <v>49655</v>
      </c>
      <c r="Q862" s="115" t="e">
        <f ca="1"/>
        <v>#VALUE!</v>
      </c>
      <c r="S862" s="219">
        <f t="shared" ca="1" si="55"/>
        <v>49655</v>
      </c>
      <c r="T862" s="115" t="e">
        <f ca="1"/>
        <v>#VALUE!</v>
      </c>
      <c r="V862" s="219">
        <f t="shared" ca="1" si="56"/>
        <v>49655</v>
      </c>
      <c r="W862" s="115" t="e">
        <f ca="1"/>
        <v>#VALUE!</v>
      </c>
    </row>
    <row r="863" spans="13:23">
      <c r="M863" s="219">
        <f t="shared" ca="1" si="53"/>
        <v>49662</v>
      </c>
      <c r="N863" s="115" t="e">
        <f ca="1"/>
        <v>#VALUE!</v>
      </c>
      <c r="P863" s="219">
        <f t="shared" ca="1" si="54"/>
        <v>49662</v>
      </c>
      <c r="Q863" s="115" t="e">
        <f ca="1"/>
        <v>#VALUE!</v>
      </c>
      <c r="S863" s="219">
        <f t="shared" ca="1" si="55"/>
        <v>49662</v>
      </c>
      <c r="T863" s="115" t="e">
        <f ca="1"/>
        <v>#VALUE!</v>
      </c>
      <c r="V863" s="219">
        <f t="shared" ca="1" si="56"/>
        <v>49662</v>
      </c>
      <c r="W863" s="115" t="e">
        <f ca="1"/>
        <v>#VALUE!</v>
      </c>
    </row>
    <row r="864" spans="13:23">
      <c r="M864" s="219">
        <f t="shared" ca="1" si="53"/>
        <v>49669</v>
      </c>
      <c r="N864" s="115" t="e">
        <f ca="1"/>
        <v>#VALUE!</v>
      </c>
      <c r="P864" s="219">
        <f t="shared" ca="1" si="54"/>
        <v>49669</v>
      </c>
      <c r="Q864" s="115" t="e">
        <f ca="1"/>
        <v>#VALUE!</v>
      </c>
      <c r="S864" s="219">
        <f t="shared" ca="1" si="55"/>
        <v>49669</v>
      </c>
      <c r="T864" s="115" t="e">
        <f ca="1"/>
        <v>#VALUE!</v>
      </c>
      <c r="V864" s="219">
        <f t="shared" ca="1" si="56"/>
        <v>49669</v>
      </c>
      <c r="W864" s="115" t="e">
        <f ca="1"/>
        <v>#VALUE!</v>
      </c>
    </row>
    <row r="865" spans="13:23">
      <c r="M865" s="219">
        <f t="shared" ca="1" si="53"/>
        <v>49676</v>
      </c>
      <c r="N865" s="115" t="e">
        <f ca="1"/>
        <v>#VALUE!</v>
      </c>
      <c r="P865" s="219">
        <f t="shared" ca="1" si="54"/>
        <v>49676</v>
      </c>
      <c r="Q865" s="115" t="e">
        <f ca="1"/>
        <v>#VALUE!</v>
      </c>
      <c r="S865" s="219">
        <f t="shared" ca="1" si="55"/>
        <v>49676</v>
      </c>
      <c r="T865" s="115" t="e">
        <f ca="1"/>
        <v>#VALUE!</v>
      </c>
      <c r="V865" s="219">
        <f t="shared" ca="1" si="56"/>
        <v>49676</v>
      </c>
      <c r="W865" s="115" t="e">
        <f ca="1"/>
        <v>#VALUE!</v>
      </c>
    </row>
    <row r="866" spans="13:23">
      <c r="M866" s="219">
        <f t="shared" ca="1" si="53"/>
        <v>49683</v>
      </c>
      <c r="N866" s="115" t="e">
        <f ca="1"/>
        <v>#VALUE!</v>
      </c>
      <c r="P866" s="219">
        <f t="shared" ca="1" si="54"/>
        <v>49683</v>
      </c>
      <c r="Q866" s="115" t="e">
        <f ca="1"/>
        <v>#VALUE!</v>
      </c>
      <c r="S866" s="219">
        <f t="shared" ca="1" si="55"/>
        <v>49683</v>
      </c>
      <c r="T866" s="115" t="e">
        <f ca="1"/>
        <v>#VALUE!</v>
      </c>
      <c r="V866" s="219">
        <f t="shared" ca="1" si="56"/>
        <v>49683</v>
      </c>
      <c r="W866" s="115" t="e">
        <f ca="1"/>
        <v>#VALUE!</v>
      </c>
    </row>
    <row r="867" spans="13:23">
      <c r="M867" s="219">
        <f t="shared" ca="1" si="53"/>
        <v>49690</v>
      </c>
      <c r="N867" s="115" t="e">
        <f ca="1"/>
        <v>#VALUE!</v>
      </c>
      <c r="P867" s="219">
        <f t="shared" ca="1" si="54"/>
        <v>49690</v>
      </c>
      <c r="Q867" s="115" t="e">
        <f ca="1"/>
        <v>#VALUE!</v>
      </c>
      <c r="S867" s="219">
        <f t="shared" ca="1" si="55"/>
        <v>49690</v>
      </c>
      <c r="T867" s="115" t="e">
        <f ca="1"/>
        <v>#VALUE!</v>
      </c>
      <c r="V867" s="219">
        <f t="shared" ca="1" si="56"/>
        <v>49690</v>
      </c>
      <c r="W867" s="115" t="e">
        <f ca="1"/>
        <v>#VALUE!</v>
      </c>
    </row>
    <row r="868" spans="13:23">
      <c r="M868" s="219">
        <f t="shared" ca="1" si="53"/>
        <v>49697</v>
      </c>
      <c r="N868" s="115" t="e">
        <f ca="1"/>
        <v>#VALUE!</v>
      </c>
      <c r="P868" s="219">
        <f t="shared" ca="1" si="54"/>
        <v>49697</v>
      </c>
      <c r="Q868" s="115" t="e">
        <f ca="1"/>
        <v>#VALUE!</v>
      </c>
      <c r="S868" s="219">
        <f t="shared" ca="1" si="55"/>
        <v>49697</v>
      </c>
      <c r="T868" s="115" t="e">
        <f ca="1"/>
        <v>#VALUE!</v>
      </c>
      <c r="V868" s="219">
        <f t="shared" ca="1" si="56"/>
        <v>49697</v>
      </c>
      <c r="W868" s="115" t="e">
        <f ca="1"/>
        <v>#VALUE!</v>
      </c>
    </row>
    <row r="869" spans="13:23">
      <c r="M869" s="219">
        <f t="shared" ca="1" si="53"/>
        <v>49704</v>
      </c>
      <c r="N869" s="115" t="e">
        <f ca="1"/>
        <v>#VALUE!</v>
      </c>
      <c r="P869" s="219">
        <f t="shared" ca="1" si="54"/>
        <v>49704</v>
      </c>
      <c r="Q869" s="115" t="e">
        <f ca="1"/>
        <v>#VALUE!</v>
      </c>
      <c r="S869" s="219">
        <f t="shared" ca="1" si="55"/>
        <v>49704</v>
      </c>
      <c r="T869" s="115" t="e">
        <f ca="1"/>
        <v>#VALUE!</v>
      </c>
      <c r="V869" s="219">
        <f t="shared" ca="1" si="56"/>
        <v>49704</v>
      </c>
      <c r="W869" s="115" t="e">
        <f ca="1"/>
        <v>#VALUE!</v>
      </c>
    </row>
    <row r="870" spans="13:23">
      <c r="M870" s="219">
        <f t="shared" ca="1" si="53"/>
        <v>49711</v>
      </c>
      <c r="N870" s="115" t="e">
        <f ca="1"/>
        <v>#VALUE!</v>
      </c>
      <c r="P870" s="219">
        <f t="shared" ca="1" si="54"/>
        <v>49711</v>
      </c>
      <c r="Q870" s="115" t="e">
        <f ca="1"/>
        <v>#VALUE!</v>
      </c>
      <c r="S870" s="219">
        <f t="shared" ca="1" si="55"/>
        <v>49711</v>
      </c>
      <c r="T870" s="115" t="e">
        <f ca="1"/>
        <v>#VALUE!</v>
      </c>
      <c r="V870" s="219">
        <f t="shared" ca="1" si="56"/>
        <v>49711</v>
      </c>
      <c r="W870" s="115" t="e">
        <f ca="1"/>
        <v>#VALUE!</v>
      </c>
    </row>
    <row r="871" spans="13:23">
      <c r="M871" s="219">
        <f t="shared" ca="1" si="53"/>
        <v>49718</v>
      </c>
      <c r="N871" s="115" t="e">
        <f ca="1"/>
        <v>#VALUE!</v>
      </c>
      <c r="P871" s="219">
        <f t="shared" ca="1" si="54"/>
        <v>49718</v>
      </c>
      <c r="Q871" s="115" t="e">
        <f ca="1"/>
        <v>#VALUE!</v>
      </c>
      <c r="S871" s="219">
        <f t="shared" ca="1" si="55"/>
        <v>49718</v>
      </c>
      <c r="T871" s="115" t="e">
        <f ca="1"/>
        <v>#VALUE!</v>
      </c>
      <c r="V871" s="219">
        <f t="shared" ca="1" si="56"/>
        <v>49718</v>
      </c>
      <c r="W871" s="115" t="e">
        <f ca="1"/>
        <v>#VALUE!</v>
      </c>
    </row>
    <row r="872" spans="13:23">
      <c r="M872" s="219">
        <f t="shared" ca="1" si="53"/>
        <v>49725</v>
      </c>
      <c r="N872" s="115" t="e">
        <f ca="1"/>
        <v>#VALUE!</v>
      </c>
      <c r="P872" s="219">
        <f t="shared" ca="1" si="54"/>
        <v>49725</v>
      </c>
      <c r="Q872" s="115" t="e">
        <f ca="1"/>
        <v>#VALUE!</v>
      </c>
      <c r="S872" s="219">
        <f t="shared" ca="1" si="55"/>
        <v>49725</v>
      </c>
      <c r="T872" s="115" t="e">
        <f ca="1"/>
        <v>#VALUE!</v>
      </c>
      <c r="V872" s="219">
        <f t="shared" ca="1" si="56"/>
        <v>49725</v>
      </c>
      <c r="W872" s="115" t="e">
        <f ca="1"/>
        <v>#VALUE!</v>
      </c>
    </row>
    <row r="873" spans="13:23">
      <c r="M873" s="219">
        <f t="shared" ca="1" si="53"/>
        <v>49732</v>
      </c>
      <c r="N873" s="115" t="e">
        <f ca="1"/>
        <v>#VALUE!</v>
      </c>
      <c r="P873" s="219">
        <f t="shared" ca="1" si="54"/>
        <v>49732</v>
      </c>
      <c r="Q873" s="115" t="e">
        <f ca="1"/>
        <v>#VALUE!</v>
      </c>
      <c r="S873" s="219">
        <f t="shared" ca="1" si="55"/>
        <v>49732</v>
      </c>
      <c r="T873" s="115" t="e">
        <f ca="1"/>
        <v>#VALUE!</v>
      </c>
      <c r="V873" s="219">
        <f t="shared" ca="1" si="56"/>
        <v>49732</v>
      </c>
      <c r="W873" s="115" t="e">
        <f ca="1"/>
        <v>#VALUE!</v>
      </c>
    </row>
    <row r="874" spans="13:23">
      <c r="M874" s="219">
        <f t="shared" ca="1" si="53"/>
        <v>49739</v>
      </c>
      <c r="N874" s="115" t="e">
        <f ca="1"/>
        <v>#VALUE!</v>
      </c>
      <c r="P874" s="219">
        <f t="shared" ca="1" si="54"/>
        <v>49739</v>
      </c>
      <c r="Q874" s="115" t="e">
        <f ca="1"/>
        <v>#VALUE!</v>
      </c>
      <c r="S874" s="219">
        <f t="shared" ca="1" si="55"/>
        <v>49739</v>
      </c>
      <c r="T874" s="115" t="e">
        <f ca="1"/>
        <v>#VALUE!</v>
      </c>
      <c r="V874" s="219">
        <f t="shared" ca="1" si="56"/>
        <v>49739</v>
      </c>
      <c r="W874" s="115" t="e">
        <f ca="1"/>
        <v>#VALUE!</v>
      </c>
    </row>
    <row r="875" spans="13:23">
      <c r="M875" s="219">
        <f t="shared" ca="1" si="53"/>
        <v>49746</v>
      </c>
      <c r="N875" s="115" t="e">
        <f ca="1"/>
        <v>#VALUE!</v>
      </c>
      <c r="P875" s="219">
        <f t="shared" ca="1" si="54"/>
        <v>49746</v>
      </c>
      <c r="Q875" s="115" t="e">
        <f ca="1"/>
        <v>#VALUE!</v>
      </c>
      <c r="S875" s="219">
        <f t="shared" ca="1" si="55"/>
        <v>49746</v>
      </c>
      <c r="T875" s="115" t="e">
        <f ca="1"/>
        <v>#VALUE!</v>
      </c>
      <c r="V875" s="219">
        <f t="shared" ca="1" si="56"/>
        <v>49746</v>
      </c>
      <c r="W875" s="115" t="e">
        <f ca="1"/>
        <v>#VALUE!</v>
      </c>
    </row>
    <row r="876" spans="13:23">
      <c r="M876" s="219">
        <f t="shared" ca="1" si="53"/>
        <v>49753</v>
      </c>
      <c r="N876" s="115" t="e">
        <f ca="1"/>
        <v>#VALUE!</v>
      </c>
      <c r="P876" s="219">
        <f t="shared" ca="1" si="54"/>
        <v>49753</v>
      </c>
      <c r="Q876" s="115" t="e">
        <f ca="1"/>
        <v>#VALUE!</v>
      </c>
      <c r="S876" s="219">
        <f t="shared" ca="1" si="55"/>
        <v>49753</v>
      </c>
      <c r="T876" s="115" t="e">
        <f ca="1"/>
        <v>#VALUE!</v>
      </c>
      <c r="V876" s="219">
        <f t="shared" ca="1" si="56"/>
        <v>49753</v>
      </c>
      <c r="W876" s="115" t="e">
        <f ca="1"/>
        <v>#VALUE!</v>
      </c>
    </row>
    <row r="877" spans="13:23">
      <c r="M877" s="219">
        <f t="shared" ca="1" si="53"/>
        <v>49760</v>
      </c>
      <c r="N877" s="115" t="e">
        <f ca="1"/>
        <v>#VALUE!</v>
      </c>
      <c r="P877" s="219">
        <f t="shared" ca="1" si="54"/>
        <v>49760</v>
      </c>
      <c r="Q877" s="115" t="e">
        <f ca="1"/>
        <v>#VALUE!</v>
      </c>
      <c r="S877" s="219">
        <f t="shared" ca="1" si="55"/>
        <v>49760</v>
      </c>
      <c r="T877" s="115" t="e">
        <f ca="1"/>
        <v>#VALUE!</v>
      </c>
      <c r="V877" s="219">
        <f t="shared" ca="1" si="56"/>
        <v>49760</v>
      </c>
      <c r="W877" s="115" t="e">
        <f ca="1"/>
        <v>#VALUE!</v>
      </c>
    </row>
    <row r="878" spans="13:23">
      <c r="M878" s="219">
        <f t="shared" ca="1" si="53"/>
        <v>49767</v>
      </c>
      <c r="N878" s="115" t="e">
        <f ca="1"/>
        <v>#VALUE!</v>
      </c>
      <c r="P878" s="219">
        <f t="shared" ca="1" si="54"/>
        <v>49767</v>
      </c>
      <c r="Q878" s="115" t="e">
        <f ca="1"/>
        <v>#VALUE!</v>
      </c>
      <c r="S878" s="219">
        <f t="shared" ca="1" si="55"/>
        <v>49767</v>
      </c>
      <c r="T878" s="115" t="e">
        <f ca="1"/>
        <v>#VALUE!</v>
      </c>
      <c r="V878" s="219">
        <f t="shared" ca="1" si="56"/>
        <v>49767</v>
      </c>
      <c r="W878" s="115" t="e">
        <f ca="1"/>
        <v>#VALUE!</v>
      </c>
    </row>
    <row r="879" spans="13:23">
      <c r="M879" s="219">
        <f t="shared" ca="1" si="53"/>
        <v>49774</v>
      </c>
      <c r="N879" s="115" t="e">
        <f ca="1"/>
        <v>#VALUE!</v>
      </c>
      <c r="P879" s="219">
        <f t="shared" ca="1" si="54"/>
        <v>49774</v>
      </c>
      <c r="Q879" s="115" t="e">
        <f ca="1"/>
        <v>#VALUE!</v>
      </c>
      <c r="S879" s="219">
        <f t="shared" ca="1" si="55"/>
        <v>49774</v>
      </c>
      <c r="T879" s="115" t="e">
        <f ca="1"/>
        <v>#VALUE!</v>
      </c>
      <c r="V879" s="219">
        <f t="shared" ca="1" si="56"/>
        <v>49774</v>
      </c>
      <c r="W879" s="115" t="e">
        <f ca="1"/>
        <v>#VALUE!</v>
      </c>
    </row>
    <row r="880" spans="13:23">
      <c r="M880" s="219">
        <f t="shared" ca="1" si="53"/>
        <v>49781</v>
      </c>
      <c r="N880" s="115" t="e">
        <f ca="1"/>
        <v>#VALUE!</v>
      </c>
      <c r="P880" s="219">
        <f t="shared" ca="1" si="54"/>
        <v>49781</v>
      </c>
      <c r="Q880" s="115" t="e">
        <f ca="1"/>
        <v>#VALUE!</v>
      </c>
      <c r="S880" s="219">
        <f t="shared" ca="1" si="55"/>
        <v>49781</v>
      </c>
      <c r="T880" s="115" t="e">
        <f ca="1"/>
        <v>#VALUE!</v>
      </c>
      <c r="V880" s="219">
        <f t="shared" ca="1" si="56"/>
        <v>49781</v>
      </c>
      <c r="W880" s="115" t="e">
        <f ca="1"/>
        <v>#VALUE!</v>
      </c>
    </row>
    <row r="881" spans="13:23">
      <c r="M881" s="219">
        <f t="shared" ca="1" si="53"/>
        <v>49788</v>
      </c>
      <c r="N881" s="115" t="e">
        <f ca="1"/>
        <v>#VALUE!</v>
      </c>
      <c r="P881" s="219">
        <f t="shared" ca="1" si="54"/>
        <v>49788</v>
      </c>
      <c r="Q881" s="115" t="e">
        <f ca="1"/>
        <v>#VALUE!</v>
      </c>
      <c r="S881" s="219">
        <f t="shared" ca="1" si="55"/>
        <v>49788</v>
      </c>
      <c r="T881" s="115" t="e">
        <f ca="1"/>
        <v>#VALUE!</v>
      </c>
      <c r="V881" s="219">
        <f t="shared" ca="1" si="56"/>
        <v>49788</v>
      </c>
      <c r="W881" s="115" t="e">
        <f ca="1"/>
        <v>#VALUE!</v>
      </c>
    </row>
    <row r="882" spans="13:23">
      <c r="M882" s="219">
        <f t="shared" ca="1" si="53"/>
        <v>49795</v>
      </c>
      <c r="N882" s="115" t="e">
        <f ca="1"/>
        <v>#VALUE!</v>
      </c>
      <c r="P882" s="219">
        <f t="shared" ca="1" si="54"/>
        <v>49795</v>
      </c>
      <c r="Q882" s="115" t="e">
        <f ca="1"/>
        <v>#VALUE!</v>
      </c>
      <c r="S882" s="219">
        <f t="shared" ca="1" si="55"/>
        <v>49795</v>
      </c>
      <c r="T882" s="115" t="e">
        <f ca="1"/>
        <v>#VALUE!</v>
      </c>
      <c r="V882" s="219">
        <f t="shared" ca="1" si="56"/>
        <v>49795</v>
      </c>
      <c r="W882" s="115" t="e">
        <f ca="1"/>
        <v>#VALUE!</v>
      </c>
    </row>
    <row r="883" spans="13:23">
      <c r="M883" s="219">
        <f t="shared" ca="1" si="53"/>
        <v>49802</v>
      </c>
      <c r="N883" s="115" t="e">
        <f ca="1"/>
        <v>#VALUE!</v>
      </c>
      <c r="P883" s="219">
        <f t="shared" ca="1" si="54"/>
        <v>49802</v>
      </c>
      <c r="Q883" s="115" t="e">
        <f ca="1"/>
        <v>#VALUE!</v>
      </c>
      <c r="S883" s="219">
        <f t="shared" ca="1" si="55"/>
        <v>49802</v>
      </c>
      <c r="T883" s="115" t="e">
        <f ca="1"/>
        <v>#VALUE!</v>
      </c>
      <c r="V883" s="219">
        <f t="shared" ca="1" si="56"/>
        <v>49802</v>
      </c>
      <c r="W883" s="115" t="e">
        <f ca="1"/>
        <v>#VALUE!</v>
      </c>
    </row>
    <row r="884" spans="13:23">
      <c r="M884" s="219">
        <f t="shared" ca="1" si="53"/>
        <v>49809</v>
      </c>
      <c r="N884" s="115" t="e">
        <f ca="1"/>
        <v>#VALUE!</v>
      </c>
      <c r="P884" s="219">
        <f t="shared" ca="1" si="54"/>
        <v>49809</v>
      </c>
      <c r="Q884" s="115" t="e">
        <f ca="1"/>
        <v>#VALUE!</v>
      </c>
      <c r="S884" s="219">
        <f t="shared" ca="1" si="55"/>
        <v>49809</v>
      </c>
      <c r="T884" s="115" t="e">
        <f ca="1"/>
        <v>#VALUE!</v>
      </c>
      <c r="V884" s="219">
        <f t="shared" ca="1" si="56"/>
        <v>49809</v>
      </c>
      <c r="W884" s="115" t="e">
        <f ca="1"/>
        <v>#VALUE!</v>
      </c>
    </row>
    <row r="885" spans="13:23">
      <c r="M885" s="219">
        <f t="shared" ca="1" si="53"/>
        <v>49816</v>
      </c>
      <c r="N885" s="115" t="e">
        <f ca="1"/>
        <v>#VALUE!</v>
      </c>
      <c r="P885" s="219">
        <f t="shared" ca="1" si="54"/>
        <v>49816</v>
      </c>
      <c r="Q885" s="115" t="e">
        <f ca="1"/>
        <v>#VALUE!</v>
      </c>
      <c r="S885" s="219">
        <f t="shared" ca="1" si="55"/>
        <v>49816</v>
      </c>
      <c r="T885" s="115" t="e">
        <f ca="1"/>
        <v>#VALUE!</v>
      </c>
      <c r="V885" s="219">
        <f t="shared" ca="1" si="56"/>
        <v>49816</v>
      </c>
      <c r="W885" s="115" t="e">
        <f ca="1"/>
        <v>#VALUE!</v>
      </c>
    </row>
    <row r="886" spans="13:23">
      <c r="M886" s="219">
        <f t="shared" ca="1" si="53"/>
        <v>49823</v>
      </c>
      <c r="N886" s="115" t="e">
        <f ca="1"/>
        <v>#VALUE!</v>
      </c>
      <c r="P886" s="219">
        <f t="shared" ca="1" si="54"/>
        <v>49823</v>
      </c>
      <c r="Q886" s="115" t="e">
        <f ca="1"/>
        <v>#VALUE!</v>
      </c>
      <c r="S886" s="219">
        <f t="shared" ca="1" si="55"/>
        <v>49823</v>
      </c>
      <c r="T886" s="115" t="e">
        <f ca="1"/>
        <v>#VALUE!</v>
      </c>
      <c r="V886" s="219">
        <f t="shared" ca="1" si="56"/>
        <v>49823</v>
      </c>
      <c r="W886" s="115" t="e">
        <f ca="1"/>
        <v>#VALUE!</v>
      </c>
    </row>
    <row r="887" spans="13:23">
      <c r="M887" s="219">
        <f t="shared" ca="1" si="53"/>
        <v>49830</v>
      </c>
      <c r="N887" s="115" t="e">
        <f ca="1"/>
        <v>#VALUE!</v>
      </c>
      <c r="P887" s="219">
        <f t="shared" ca="1" si="54"/>
        <v>49830</v>
      </c>
      <c r="Q887" s="115" t="e">
        <f ca="1"/>
        <v>#VALUE!</v>
      </c>
      <c r="S887" s="219">
        <f t="shared" ca="1" si="55"/>
        <v>49830</v>
      </c>
      <c r="T887" s="115" t="e">
        <f ca="1"/>
        <v>#VALUE!</v>
      </c>
      <c r="V887" s="219">
        <f t="shared" ca="1" si="56"/>
        <v>49830</v>
      </c>
      <c r="W887" s="115" t="e">
        <f ca="1"/>
        <v>#VALUE!</v>
      </c>
    </row>
    <row r="888" spans="13:23">
      <c r="M888" s="219">
        <f t="shared" ca="1" si="53"/>
        <v>49837</v>
      </c>
      <c r="N888" s="115" t="e">
        <f ca="1"/>
        <v>#VALUE!</v>
      </c>
      <c r="P888" s="219">
        <f t="shared" ca="1" si="54"/>
        <v>49837</v>
      </c>
      <c r="Q888" s="115" t="e">
        <f ca="1"/>
        <v>#VALUE!</v>
      </c>
      <c r="S888" s="219">
        <f t="shared" ca="1" si="55"/>
        <v>49837</v>
      </c>
      <c r="T888" s="115" t="e">
        <f ca="1"/>
        <v>#VALUE!</v>
      </c>
      <c r="V888" s="219">
        <f t="shared" ca="1" si="56"/>
        <v>49837</v>
      </c>
      <c r="W888" s="115" t="e">
        <f ca="1"/>
        <v>#VALUE!</v>
      </c>
    </row>
    <row r="889" spans="13:23">
      <c r="M889" s="219">
        <f t="shared" ca="1" si="53"/>
        <v>49844</v>
      </c>
      <c r="N889" s="115" t="e">
        <f ca="1"/>
        <v>#VALUE!</v>
      </c>
      <c r="P889" s="219">
        <f t="shared" ca="1" si="54"/>
        <v>49844</v>
      </c>
      <c r="Q889" s="115" t="e">
        <f ca="1"/>
        <v>#VALUE!</v>
      </c>
      <c r="S889" s="219">
        <f t="shared" ca="1" si="55"/>
        <v>49844</v>
      </c>
      <c r="T889" s="115" t="e">
        <f ca="1"/>
        <v>#VALUE!</v>
      </c>
      <c r="V889" s="219">
        <f t="shared" ca="1" si="56"/>
        <v>49844</v>
      </c>
      <c r="W889" s="115" t="e">
        <f ca="1"/>
        <v>#VALUE!</v>
      </c>
    </row>
    <row r="890" spans="13:23">
      <c r="M890" s="219">
        <f t="shared" ca="1" si="53"/>
        <v>49851</v>
      </c>
      <c r="N890" s="115" t="e">
        <f ca="1"/>
        <v>#VALUE!</v>
      </c>
      <c r="P890" s="219">
        <f t="shared" ca="1" si="54"/>
        <v>49851</v>
      </c>
      <c r="Q890" s="115" t="e">
        <f ca="1"/>
        <v>#VALUE!</v>
      </c>
      <c r="S890" s="219">
        <f t="shared" ca="1" si="55"/>
        <v>49851</v>
      </c>
      <c r="T890" s="115" t="e">
        <f ca="1"/>
        <v>#VALUE!</v>
      </c>
      <c r="V890" s="219">
        <f t="shared" ca="1" si="56"/>
        <v>49851</v>
      </c>
      <c r="W890" s="115" t="e">
        <f ca="1"/>
        <v>#VALUE!</v>
      </c>
    </row>
    <row r="891" spans="13:23">
      <c r="M891" s="219">
        <f t="shared" ca="1" si="53"/>
        <v>49858</v>
      </c>
      <c r="N891" s="115" t="e">
        <f ca="1"/>
        <v>#VALUE!</v>
      </c>
      <c r="P891" s="219">
        <f t="shared" ca="1" si="54"/>
        <v>49858</v>
      </c>
      <c r="Q891" s="115" t="e">
        <f ca="1"/>
        <v>#VALUE!</v>
      </c>
      <c r="S891" s="219">
        <f t="shared" ca="1" si="55"/>
        <v>49858</v>
      </c>
      <c r="T891" s="115" t="e">
        <f ca="1"/>
        <v>#VALUE!</v>
      </c>
      <c r="V891" s="219">
        <f t="shared" ca="1" si="56"/>
        <v>49858</v>
      </c>
      <c r="W891" s="115" t="e">
        <f ca="1"/>
        <v>#VALUE!</v>
      </c>
    </row>
    <row r="892" spans="13:23">
      <c r="M892" s="219">
        <f t="shared" ca="1" si="53"/>
        <v>49865</v>
      </c>
      <c r="N892" s="115" t="e">
        <f ca="1"/>
        <v>#VALUE!</v>
      </c>
      <c r="P892" s="219">
        <f t="shared" ca="1" si="54"/>
        <v>49865</v>
      </c>
      <c r="Q892" s="115" t="e">
        <f ca="1"/>
        <v>#VALUE!</v>
      </c>
      <c r="S892" s="219">
        <f t="shared" ca="1" si="55"/>
        <v>49865</v>
      </c>
      <c r="T892" s="115" t="e">
        <f ca="1"/>
        <v>#VALUE!</v>
      </c>
      <c r="V892" s="219">
        <f t="shared" ca="1" si="56"/>
        <v>49865</v>
      </c>
      <c r="W892" s="115" t="e">
        <f ca="1"/>
        <v>#VALUE!</v>
      </c>
    </row>
    <row r="893" spans="13:23">
      <c r="M893" s="219">
        <f t="shared" ca="1" si="53"/>
        <v>49872</v>
      </c>
      <c r="N893" s="115" t="e">
        <f ca="1"/>
        <v>#VALUE!</v>
      </c>
      <c r="P893" s="219">
        <f t="shared" ca="1" si="54"/>
        <v>49872</v>
      </c>
      <c r="Q893" s="115" t="e">
        <f ca="1"/>
        <v>#VALUE!</v>
      </c>
      <c r="S893" s="219">
        <f t="shared" ca="1" si="55"/>
        <v>49872</v>
      </c>
      <c r="T893" s="115" t="e">
        <f ca="1"/>
        <v>#VALUE!</v>
      </c>
      <c r="V893" s="219">
        <f t="shared" ca="1" si="56"/>
        <v>49872</v>
      </c>
      <c r="W893" s="115" t="e">
        <f ca="1"/>
        <v>#VALUE!</v>
      </c>
    </row>
    <row r="894" spans="13:23">
      <c r="M894" s="219">
        <f t="shared" ca="1" si="53"/>
        <v>49879</v>
      </c>
      <c r="N894" s="115" t="e">
        <f ca="1"/>
        <v>#VALUE!</v>
      </c>
      <c r="P894" s="219">
        <f t="shared" ca="1" si="54"/>
        <v>49879</v>
      </c>
      <c r="Q894" s="115" t="e">
        <f ca="1"/>
        <v>#VALUE!</v>
      </c>
      <c r="S894" s="219">
        <f t="shared" ca="1" si="55"/>
        <v>49879</v>
      </c>
      <c r="T894" s="115" t="e">
        <f ca="1"/>
        <v>#VALUE!</v>
      </c>
      <c r="V894" s="219">
        <f t="shared" ca="1" si="56"/>
        <v>49879</v>
      </c>
      <c r="W894" s="115" t="e">
        <f ca="1"/>
        <v>#VALUE!</v>
      </c>
    </row>
    <row r="895" spans="13:23">
      <c r="M895" s="219">
        <f t="shared" ca="1" si="53"/>
        <v>49886</v>
      </c>
      <c r="N895" s="115" t="e">
        <f ca="1"/>
        <v>#VALUE!</v>
      </c>
      <c r="P895" s="219">
        <f t="shared" ca="1" si="54"/>
        <v>49886</v>
      </c>
      <c r="Q895" s="115" t="e">
        <f ca="1"/>
        <v>#VALUE!</v>
      </c>
      <c r="S895" s="219">
        <f t="shared" ca="1" si="55"/>
        <v>49886</v>
      </c>
      <c r="T895" s="115" t="e">
        <f ca="1"/>
        <v>#VALUE!</v>
      </c>
      <c r="V895" s="219">
        <f t="shared" ca="1" si="56"/>
        <v>49886</v>
      </c>
      <c r="W895" s="115" t="e">
        <f ca="1"/>
        <v>#VALUE!</v>
      </c>
    </row>
    <row r="896" spans="13:23">
      <c r="M896" s="219">
        <f t="shared" ca="1" si="53"/>
        <v>49893</v>
      </c>
      <c r="N896" s="115" t="e">
        <f ca="1"/>
        <v>#VALUE!</v>
      </c>
      <c r="P896" s="219">
        <f t="shared" ca="1" si="54"/>
        <v>49893</v>
      </c>
      <c r="Q896" s="115" t="e">
        <f ca="1"/>
        <v>#VALUE!</v>
      </c>
      <c r="S896" s="219">
        <f t="shared" ca="1" si="55"/>
        <v>49893</v>
      </c>
      <c r="T896" s="115" t="e">
        <f ca="1"/>
        <v>#VALUE!</v>
      </c>
      <c r="V896" s="219">
        <f t="shared" ca="1" si="56"/>
        <v>49893</v>
      </c>
      <c r="W896" s="115" t="e">
        <f ca="1"/>
        <v>#VALUE!</v>
      </c>
    </row>
    <row r="897" spans="13:23">
      <c r="M897" s="219">
        <f t="shared" ca="1" si="53"/>
        <v>49900</v>
      </c>
      <c r="N897" s="115" t="e">
        <f ca="1"/>
        <v>#VALUE!</v>
      </c>
      <c r="P897" s="219">
        <f t="shared" ca="1" si="54"/>
        <v>49900</v>
      </c>
      <c r="Q897" s="115" t="e">
        <f ca="1"/>
        <v>#VALUE!</v>
      </c>
      <c r="S897" s="219">
        <f t="shared" ca="1" si="55"/>
        <v>49900</v>
      </c>
      <c r="T897" s="115" t="e">
        <f ca="1"/>
        <v>#VALUE!</v>
      </c>
      <c r="V897" s="219">
        <f t="shared" ca="1" si="56"/>
        <v>49900</v>
      </c>
      <c r="W897" s="115" t="e">
        <f ca="1"/>
        <v>#VALUE!</v>
      </c>
    </row>
    <row r="898" spans="13:23">
      <c r="M898" s="219">
        <f t="shared" ca="1" si="53"/>
        <v>49907</v>
      </c>
      <c r="N898" s="115" t="e">
        <f ca="1"/>
        <v>#VALUE!</v>
      </c>
      <c r="P898" s="219">
        <f t="shared" ca="1" si="54"/>
        <v>49907</v>
      </c>
      <c r="Q898" s="115" t="e">
        <f ca="1"/>
        <v>#VALUE!</v>
      </c>
      <c r="S898" s="219">
        <f t="shared" ca="1" si="55"/>
        <v>49907</v>
      </c>
      <c r="T898" s="115" t="e">
        <f ca="1"/>
        <v>#VALUE!</v>
      </c>
      <c r="V898" s="219">
        <f t="shared" ca="1" si="56"/>
        <v>49907</v>
      </c>
      <c r="W898" s="115" t="e">
        <f ca="1"/>
        <v>#VALUE!</v>
      </c>
    </row>
    <row r="899" spans="13:23">
      <c r="M899" s="219">
        <f t="shared" ca="1" si="53"/>
        <v>49914</v>
      </c>
      <c r="N899" s="115" t="e">
        <f ca="1"/>
        <v>#VALUE!</v>
      </c>
      <c r="P899" s="219">
        <f t="shared" ca="1" si="54"/>
        <v>49914</v>
      </c>
      <c r="Q899" s="115" t="e">
        <f ca="1"/>
        <v>#VALUE!</v>
      </c>
      <c r="S899" s="219">
        <f t="shared" ca="1" si="55"/>
        <v>49914</v>
      </c>
      <c r="T899" s="115" t="e">
        <f ca="1"/>
        <v>#VALUE!</v>
      </c>
      <c r="V899" s="219">
        <f t="shared" ca="1" si="56"/>
        <v>49914</v>
      </c>
      <c r="W899" s="115" t="e">
        <f ca="1"/>
        <v>#VALUE!</v>
      </c>
    </row>
    <row r="900" spans="13:23">
      <c r="M900" s="219">
        <f t="shared" ca="1" si="53"/>
        <v>49921</v>
      </c>
      <c r="N900" s="115" t="e">
        <f ca="1"/>
        <v>#VALUE!</v>
      </c>
      <c r="P900" s="219">
        <f t="shared" ca="1" si="54"/>
        <v>49921</v>
      </c>
      <c r="Q900" s="115" t="e">
        <f ca="1"/>
        <v>#VALUE!</v>
      </c>
      <c r="S900" s="219">
        <f t="shared" ca="1" si="55"/>
        <v>49921</v>
      </c>
      <c r="T900" s="115" t="e">
        <f ca="1"/>
        <v>#VALUE!</v>
      </c>
      <c r="V900" s="219">
        <f t="shared" ca="1" si="56"/>
        <v>49921</v>
      </c>
      <c r="W900" s="115" t="e">
        <f ca="1"/>
        <v>#VALUE!</v>
      </c>
    </row>
    <row r="901" spans="13:23">
      <c r="M901" s="219">
        <f t="shared" ca="1" si="53"/>
        <v>49928</v>
      </c>
      <c r="N901" s="115" t="e">
        <f ca="1"/>
        <v>#VALUE!</v>
      </c>
      <c r="P901" s="219">
        <f t="shared" ca="1" si="54"/>
        <v>49928</v>
      </c>
      <c r="Q901" s="115" t="e">
        <f ca="1"/>
        <v>#VALUE!</v>
      </c>
      <c r="S901" s="219">
        <f t="shared" ca="1" si="55"/>
        <v>49928</v>
      </c>
      <c r="T901" s="115" t="e">
        <f ca="1"/>
        <v>#VALUE!</v>
      </c>
      <c r="V901" s="219">
        <f t="shared" ca="1" si="56"/>
        <v>49928</v>
      </c>
      <c r="W901" s="115" t="e">
        <f ca="1"/>
        <v>#VALUE!</v>
      </c>
    </row>
    <row r="902" spans="13:23">
      <c r="M902" s="219">
        <f t="shared" ca="1" si="53"/>
        <v>49935</v>
      </c>
      <c r="N902" s="115" t="e">
        <f ca="1"/>
        <v>#VALUE!</v>
      </c>
      <c r="P902" s="219">
        <f t="shared" ca="1" si="54"/>
        <v>49935</v>
      </c>
      <c r="Q902" s="115" t="e">
        <f ca="1"/>
        <v>#VALUE!</v>
      </c>
      <c r="S902" s="219">
        <f t="shared" ca="1" si="55"/>
        <v>49935</v>
      </c>
      <c r="T902" s="115" t="e">
        <f ca="1"/>
        <v>#VALUE!</v>
      </c>
      <c r="V902" s="219">
        <f t="shared" ca="1" si="56"/>
        <v>49935</v>
      </c>
      <c r="W902" s="115" t="e">
        <f ca="1"/>
        <v>#VALUE!</v>
      </c>
    </row>
    <row r="903" spans="13:23">
      <c r="M903" s="219">
        <f t="shared" ca="1" si="53"/>
        <v>49942</v>
      </c>
      <c r="N903" s="115" t="e">
        <f ca="1"/>
        <v>#VALUE!</v>
      </c>
      <c r="P903" s="219">
        <f t="shared" ca="1" si="54"/>
        <v>49942</v>
      </c>
      <c r="Q903" s="115" t="e">
        <f ca="1"/>
        <v>#VALUE!</v>
      </c>
      <c r="S903" s="219">
        <f t="shared" ca="1" si="55"/>
        <v>49942</v>
      </c>
      <c r="T903" s="115" t="e">
        <f ca="1"/>
        <v>#VALUE!</v>
      </c>
      <c r="V903" s="219">
        <f t="shared" ca="1" si="56"/>
        <v>49942</v>
      </c>
      <c r="W903" s="115" t="e">
        <f ca="1"/>
        <v>#VALUE!</v>
      </c>
    </row>
    <row r="904" spans="13:23">
      <c r="M904" s="219">
        <f t="shared" ca="1" si="53"/>
        <v>49949</v>
      </c>
      <c r="N904" s="115" t="e">
        <f ca="1"/>
        <v>#VALUE!</v>
      </c>
      <c r="P904" s="219">
        <f t="shared" ca="1" si="54"/>
        <v>49949</v>
      </c>
      <c r="Q904" s="115" t="e">
        <f ca="1"/>
        <v>#VALUE!</v>
      </c>
      <c r="S904" s="219">
        <f t="shared" ca="1" si="55"/>
        <v>49949</v>
      </c>
      <c r="T904" s="115" t="e">
        <f ca="1"/>
        <v>#VALUE!</v>
      </c>
      <c r="V904" s="219">
        <f t="shared" ca="1" si="56"/>
        <v>49949</v>
      </c>
      <c r="W904" s="115" t="e">
        <f ca="1"/>
        <v>#VALUE!</v>
      </c>
    </row>
    <row r="905" spans="13:23">
      <c r="M905" s="219">
        <f t="shared" ca="1" si="53"/>
        <v>49956</v>
      </c>
      <c r="N905" s="115" t="e">
        <f ca="1"/>
        <v>#VALUE!</v>
      </c>
      <c r="P905" s="219">
        <f t="shared" ca="1" si="54"/>
        <v>49956</v>
      </c>
      <c r="Q905" s="115" t="e">
        <f ca="1"/>
        <v>#VALUE!</v>
      </c>
      <c r="S905" s="219">
        <f t="shared" ca="1" si="55"/>
        <v>49956</v>
      </c>
      <c r="T905" s="115" t="e">
        <f ca="1"/>
        <v>#VALUE!</v>
      </c>
      <c r="V905" s="219">
        <f t="shared" ca="1" si="56"/>
        <v>49956</v>
      </c>
      <c r="W905" s="115" t="e">
        <f ca="1"/>
        <v>#VALUE!</v>
      </c>
    </row>
    <row r="906" spans="13:23">
      <c r="M906" s="219">
        <f t="shared" ca="1" si="53"/>
        <v>49963</v>
      </c>
      <c r="N906" s="115" t="e">
        <f ca="1"/>
        <v>#VALUE!</v>
      </c>
      <c r="P906" s="219">
        <f t="shared" ca="1" si="54"/>
        <v>49963</v>
      </c>
      <c r="Q906" s="115" t="e">
        <f ca="1"/>
        <v>#VALUE!</v>
      </c>
      <c r="S906" s="219">
        <f t="shared" ca="1" si="55"/>
        <v>49963</v>
      </c>
      <c r="T906" s="115" t="e">
        <f ca="1"/>
        <v>#VALUE!</v>
      </c>
      <c r="V906" s="219">
        <f t="shared" ca="1" si="56"/>
        <v>49963</v>
      </c>
      <c r="W906" s="115" t="e">
        <f ca="1"/>
        <v>#VALUE!</v>
      </c>
    </row>
    <row r="907" spans="13:23">
      <c r="M907" s="219">
        <f t="shared" ca="1" si="53"/>
        <v>49970</v>
      </c>
      <c r="N907" s="115" t="e">
        <f ca="1"/>
        <v>#VALUE!</v>
      </c>
      <c r="P907" s="219">
        <f t="shared" ca="1" si="54"/>
        <v>49970</v>
      </c>
      <c r="Q907" s="115" t="e">
        <f ca="1"/>
        <v>#VALUE!</v>
      </c>
      <c r="S907" s="219">
        <f t="shared" ca="1" si="55"/>
        <v>49970</v>
      </c>
      <c r="T907" s="115" t="e">
        <f ca="1"/>
        <v>#VALUE!</v>
      </c>
      <c r="V907" s="219">
        <f t="shared" ca="1" si="56"/>
        <v>49970</v>
      </c>
      <c r="W907" s="115" t="e">
        <f ca="1"/>
        <v>#VALUE!</v>
      </c>
    </row>
    <row r="908" spans="13:23">
      <c r="M908" s="219">
        <f t="shared" ca="1" si="53"/>
        <v>49977</v>
      </c>
      <c r="N908" s="115" t="e">
        <f ca="1"/>
        <v>#VALUE!</v>
      </c>
      <c r="P908" s="219">
        <f t="shared" ca="1" si="54"/>
        <v>49977</v>
      </c>
      <c r="Q908" s="115" t="e">
        <f ca="1"/>
        <v>#VALUE!</v>
      </c>
      <c r="S908" s="219">
        <f t="shared" ca="1" si="55"/>
        <v>49977</v>
      </c>
      <c r="T908" s="115" t="e">
        <f ca="1"/>
        <v>#VALUE!</v>
      </c>
      <c r="V908" s="219">
        <f t="shared" ca="1" si="56"/>
        <v>49977</v>
      </c>
      <c r="W908" s="115" t="e">
        <f ca="1"/>
        <v>#VALUE!</v>
      </c>
    </row>
    <row r="909" spans="13:23">
      <c r="M909" s="219">
        <f t="shared" ref="M909:M972" ca="1" si="57">M908+7</f>
        <v>49984</v>
      </c>
      <c r="N909" s="115" t="e">
        <f ca="1"/>
        <v>#VALUE!</v>
      </c>
      <c r="P909" s="219">
        <f t="shared" ref="P909:P972" ca="1" si="58">P908+7</f>
        <v>49984</v>
      </c>
      <c r="Q909" s="115" t="e">
        <f ca="1"/>
        <v>#VALUE!</v>
      </c>
      <c r="S909" s="219">
        <f t="shared" ref="S909:S972" ca="1" si="59">S908+7</f>
        <v>49984</v>
      </c>
      <c r="T909" s="115" t="e">
        <f ca="1"/>
        <v>#VALUE!</v>
      </c>
      <c r="V909" s="219">
        <f t="shared" ref="V909:V972" ca="1" si="60">V908+7</f>
        <v>49984</v>
      </c>
      <c r="W909" s="115" t="e">
        <f ca="1"/>
        <v>#VALUE!</v>
      </c>
    </row>
    <row r="910" spans="13:23">
      <c r="M910" s="219">
        <f t="shared" ca="1" si="57"/>
        <v>49991</v>
      </c>
      <c r="N910" s="115" t="e">
        <f ca="1"/>
        <v>#VALUE!</v>
      </c>
      <c r="P910" s="219">
        <f t="shared" ca="1" si="58"/>
        <v>49991</v>
      </c>
      <c r="Q910" s="115" t="e">
        <f ca="1"/>
        <v>#VALUE!</v>
      </c>
      <c r="S910" s="219">
        <f t="shared" ca="1" si="59"/>
        <v>49991</v>
      </c>
      <c r="T910" s="115" t="e">
        <f ca="1"/>
        <v>#VALUE!</v>
      </c>
      <c r="V910" s="219">
        <f t="shared" ca="1" si="60"/>
        <v>49991</v>
      </c>
      <c r="W910" s="115" t="e">
        <f ca="1"/>
        <v>#VALUE!</v>
      </c>
    </row>
    <row r="911" spans="13:23">
      <c r="M911" s="219">
        <f t="shared" ca="1" si="57"/>
        <v>49998</v>
      </c>
      <c r="N911" s="115" t="e">
        <f ca="1"/>
        <v>#VALUE!</v>
      </c>
      <c r="P911" s="219">
        <f t="shared" ca="1" si="58"/>
        <v>49998</v>
      </c>
      <c r="Q911" s="115" t="e">
        <f ca="1"/>
        <v>#VALUE!</v>
      </c>
      <c r="S911" s="219">
        <f t="shared" ca="1" si="59"/>
        <v>49998</v>
      </c>
      <c r="T911" s="115" t="e">
        <f ca="1"/>
        <v>#VALUE!</v>
      </c>
      <c r="V911" s="219">
        <f t="shared" ca="1" si="60"/>
        <v>49998</v>
      </c>
      <c r="W911" s="115" t="e">
        <f ca="1"/>
        <v>#VALUE!</v>
      </c>
    </row>
    <row r="912" spans="13:23">
      <c r="M912" s="219">
        <f t="shared" ca="1" si="57"/>
        <v>50005</v>
      </c>
      <c r="N912" s="115" t="e">
        <f ca="1"/>
        <v>#VALUE!</v>
      </c>
      <c r="P912" s="219">
        <f t="shared" ca="1" si="58"/>
        <v>50005</v>
      </c>
      <c r="Q912" s="115" t="e">
        <f ca="1"/>
        <v>#VALUE!</v>
      </c>
      <c r="S912" s="219">
        <f t="shared" ca="1" si="59"/>
        <v>50005</v>
      </c>
      <c r="T912" s="115" t="e">
        <f ca="1"/>
        <v>#VALUE!</v>
      </c>
      <c r="V912" s="219">
        <f t="shared" ca="1" si="60"/>
        <v>50005</v>
      </c>
      <c r="W912" s="115" t="e">
        <f ca="1"/>
        <v>#VALUE!</v>
      </c>
    </row>
    <row r="913" spans="13:23">
      <c r="M913" s="219">
        <f t="shared" ca="1" si="57"/>
        <v>50012</v>
      </c>
      <c r="N913" s="115" t="e">
        <f ca="1"/>
        <v>#VALUE!</v>
      </c>
      <c r="P913" s="219">
        <f t="shared" ca="1" si="58"/>
        <v>50012</v>
      </c>
      <c r="Q913" s="115" t="e">
        <f ca="1"/>
        <v>#VALUE!</v>
      </c>
      <c r="S913" s="219">
        <f t="shared" ca="1" si="59"/>
        <v>50012</v>
      </c>
      <c r="T913" s="115" t="e">
        <f ca="1"/>
        <v>#VALUE!</v>
      </c>
      <c r="V913" s="219">
        <f t="shared" ca="1" si="60"/>
        <v>50012</v>
      </c>
      <c r="W913" s="115" t="e">
        <f ca="1"/>
        <v>#VALUE!</v>
      </c>
    </row>
    <row r="914" spans="13:23">
      <c r="M914" s="219">
        <f t="shared" ca="1" si="57"/>
        <v>50019</v>
      </c>
      <c r="N914" s="115" t="e">
        <f ca="1"/>
        <v>#VALUE!</v>
      </c>
      <c r="P914" s="219">
        <f t="shared" ca="1" si="58"/>
        <v>50019</v>
      </c>
      <c r="Q914" s="115" t="e">
        <f ca="1"/>
        <v>#VALUE!</v>
      </c>
      <c r="S914" s="219">
        <f t="shared" ca="1" si="59"/>
        <v>50019</v>
      </c>
      <c r="T914" s="115" t="e">
        <f ca="1"/>
        <v>#VALUE!</v>
      </c>
      <c r="V914" s="219">
        <f t="shared" ca="1" si="60"/>
        <v>50019</v>
      </c>
      <c r="W914" s="115" t="e">
        <f ca="1"/>
        <v>#VALUE!</v>
      </c>
    </row>
    <row r="915" spans="13:23">
      <c r="M915" s="219">
        <f t="shared" ca="1" si="57"/>
        <v>50026</v>
      </c>
      <c r="N915" s="115" t="e">
        <f ca="1"/>
        <v>#VALUE!</v>
      </c>
      <c r="P915" s="219">
        <f t="shared" ca="1" si="58"/>
        <v>50026</v>
      </c>
      <c r="Q915" s="115" t="e">
        <f ca="1"/>
        <v>#VALUE!</v>
      </c>
      <c r="S915" s="219">
        <f t="shared" ca="1" si="59"/>
        <v>50026</v>
      </c>
      <c r="T915" s="115" t="e">
        <f ca="1"/>
        <v>#VALUE!</v>
      </c>
      <c r="V915" s="219">
        <f t="shared" ca="1" si="60"/>
        <v>50026</v>
      </c>
      <c r="W915" s="115" t="e">
        <f ca="1"/>
        <v>#VALUE!</v>
      </c>
    </row>
    <row r="916" spans="13:23">
      <c r="M916" s="219">
        <f t="shared" ca="1" si="57"/>
        <v>50033</v>
      </c>
      <c r="N916" s="115" t="e">
        <f ca="1"/>
        <v>#VALUE!</v>
      </c>
      <c r="P916" s="219">
        <f t="shared" ca="1" si="58"/>
        <v>50033</v>
      </c>
      <c r="Q916" s="115" t="e">
        <f ca="1"/>
        <v>#VALUE!</v>
      </c>
      <c r="S916" s="219">
        <f t="shared" ca="1" si="59"/>
        <v>50033</v>
      </c>
      <c r="T916" s="115" t="e">
        <f ca="1"/>
        <v>#VALUE!</v>
      </c>
      <c r="V916" s="219">
        <f t="shared" ca="1" si="60"/>
        <v>50033</v>
      </c>
      <c r="W916" s="115" t="e">
        <f ca="1"/>
        <v>#VALUE!</v>
      </c>
    </row>
    <row r="917" spans="13:23">
      <c r="M917" s="219">
        <f t="shared" ca="1" si="57"/>
        <v>50040</v>
      </c>
      <c r="N917" s="115" t="e">
        <f ca="1"/>
        <v>#VALUE!</v>
      </c>
      <c r="P917" s="219">
        <f t="shared" ca="1" si="58"/>
        <v>50040</v>
      </c>
      <c r="Q917" s="115" t="e">
        <f ca="1"/>
        <v>#VALUE!</v>
      </c>
      <c r="S917" s="219">
        <f t="shared" ca="1" si="59"/>
        <v>50040</v>
      </c>
      <c r="T917" s="115" t="e">
        <f ca="1"/>
        <v>#VALUE!</v>
      </c>
      <c r="V917" s="219">
        <f t="shared" ca="1" si="60"/>
        <v>50040</v>
      </c>
      <c r="W917" s="115" t="e">
        <f ca="1"/>
        <v>#VALUE!</v>
      </c>
    </row>
    <row r="918" spans="13:23">
      <c r="M918" s="219">
        <f t="shared" ca="1" si="57"/>
        <v>50047</v>
      </c>
      <c r="N918" s="115" t="e">
        <f ca="1"/>
        <v>#VALUE!</v>
      </c>
      <c r="P918" s="219">
        <f t="shared" ca="1" si="58"/>
        <v>50047</v>
      </c>
      <c r="Q918" s="115" t="e">
        <f ca="1"/>
        <v>#VALUE!</v>
      </c>
      <c r="S918" s="219">
        <f t="shared" ca="1" si="59"/>
        <v>50047</v>
      </c>
      <c r="T918" s="115" t="e">
        <f ca="1"/>
        <v>#VALUE!</v>
      </c>
      <c r="V918" s="219">
        <f t="shared" ca="1" si="60"/>
        <v>50047</v>
      </c>
      <c r="W918" s="115" t="e">
        <f ca="1"/>
        <v>#VALUE!</v>
      </c>
    </row>
    <row r="919" spans="13:23">
      <c r="M919" s="219">
        <f t="shared" ca="1" si="57"/>
        <v>50054</v>
      </c>
      <c r="N919" s="115" t="e">
        <f ca="1"/>
        <v>#VALUE!</v>
      </c>
      <c r="P919" s="219">
        <f t="shared" ca="1" si="58"/>
        <v>50054</v>
      </c>
      <c r="Q919" s="115" t="e">
        <f ca="1"/>
        <v>#VALUE!</v>
      </c>
      <c r="S919" s="219">
        <f t="shared" ca="1" si="59"/>
        <v>50054</v>
      </c>
      <c r="T919" s="115" t="e">
        <f ca="1"/>
        <v>#VALUE!</v>
      </c>
      <c r="V919" s="219">
        <f t="shared" ca="1" si="60"/>
        <v>50054</v>
      </c>
      <c r="W919" s="115" t="e">
        <f ca="1"/>
        <v>#VALUE!</v>
      </c>
    </row>
    <row r="920" spans="13:23">
      <c r="M920" s="219">
        <f t="shared" ca="1" si="57"/>
        <v>50061</v>
      </c>
      <c r="N920" s="115" t="e">
        <f ca="1"/>
        <v>#VALUE!</v>
      </c>
      <c r="P920" s="219">
        <f t="shared" ca="1" si="58"/>
        <v>50061</v>
      </c>
      <c r="Q920" s="115" t="e">
        <f ca="1"/>
        <v>#VALUE!</v>
      </c>
      <c r="S920" s="219">
        <f t="shared" ca="1" si="59"/>
        <v>50061</v>
      </c>
      <c r="T920" s="115" t="e">
        <f ca="1"/>
        <v>#VALUE!</v>
      </c>
      <c r="V920" s="219">
        <f t="shared" ca="1" si="60"/>
        <v>50061</v>
      </c>
      <c r="W920" s="115" t="e">
        <f ca="1"/>
        <v>#VALUE!</v>
      </c>
    </row>
    <row r="921" spans="13:23">
      <c r="M921" s="219">
        <f t="shared" ca="1" si="57"/>
        <v>50068</v>
      </c>
      <c r="N921" s="115" t="e">
        <f ca="1"/>
        <v>#VALUE!</v>
      </c>
      <c r="P921" s="219">
        <f t="shared" ca="1" si="58"/>
        <v>50068</v>
      </c>
      <c r="Q921" s="115" t="e">
        <f ca="1"/>
        <v>#VALUE!</v>
      </c>
      <c r="S921" s="219">
        <f t="shared" ca="1" si="59"/>
        <v>50068</v>
      </c>
      <c r="T921" s="115" t="e">
        <f ca="1"/>
        <v>#VALUE!</v>
      </c>
      <c r="V921" s="219">
        <f t="shared" ca="1" si="60"/>
        <v>50068</v>
      </c>
      <c r="W921" s="115" t="e">
        <f ca="1"/>
        <v>#VALUE!</v>
      </c>
    </row>
    <row r="922" spans="13:23">
      <c r="M922" s="219">
        <f t="shared" ca="1" si="57"/>
        <v>50075</v>
      </c>
      <c r="N922" s="115" t="e">
        <f ca="1"/>
        <v>#VALUE!</v>
      </c>
      <c r="P922" s="219">
        <f t="shared" ca="1" si="58"/>
        <v>50075</v>
      </c>
      <c r="Q922" s="115" t="e">
        <f ca="1"/>
        <v>#VALUE!</v>
      </c>
      <c r="S922" s="219">
        <f t="shared" ca="1" si="59"/>
        <v>50075</v>
      </c>
      <c r="T922" s="115" t="e">
        <f ca="1"/>
        <v>#VALUE!</v>
      </c>
      <c r="V922" s="219">
        <f t="shared" ca="1" si="60"/>
        <v>50075</v>
      </c>
      <c r="W922" s="115" t="e">
        <f ca="1"/>
        <v>#VALUE!</v>
      </c>
    </row>
    <row r="923" spans="13:23">
      <c r="M923" s="219">
        <f t="shared" ca="1" si="57"/>
        <v>50082</v>
      </c>
      <c r="N923" s="115" t="e">
        <f ca="1"/>
        <v>#VALUE!</v>
      </c>
      <c r="P923" s="219">
        <f t="shared" ca="1" si="58"/>
        <v>50082</v>
      </c>
      <c r="Q923" s="115" t="e">
        <f ca="1"/>
        <v>#VALUE!</v>
      </c>
      <c r="S923" s="219">
        <f t="shared" ca="1" si="59"/>
        <v>50082</v>
      </c>
      <c r="T923" s="115" t="e">
        <f ca="1"/>
        <v>#VALUE!</v>
      </c>
      <c r="V923" s="219">
        <f t="shared" ca="1" si="60"/>
        <v>50082</v>
      </c>
      <c r="W923" s="115" t="e">
        <f ca="1"/>
        <v>#VALUE!</v>
      </c>
    </row>
    <row r="924" spans="13:23">
      <c r="M924" s="219">
        <f t="shared" ca="1" si="57"/>
        <v>50089</v>
      </c>
      <c r="N924" s="115" t="e">
        <f ca="1"/>
        <v>#VALUE!</v>
      </c>
      <c r="P924" s="219">
        <f t="shared" ca="1" si="58"/>
        <v>50089</v>
      </c>
      <c r="Q924" s="115" t="e">
        <f ca="1"/>
        <v>#VALUE!</v>
      </c>
      <c r="S924" s="219">
        <f t="shared" ca="1" si="59"/>
        <v>50089</v>
      </c>
      <c r="T924" s="115" t="e">
        <f ca="1"/>
        <v>#VALUE!</v>
      </c>
      <c r="V924" s="219">
        <f t="shared" ca="1" si="60"/>
        <v>50089</v>
      </c>
      <c r="W924" s="115" t="e">
        <f ca="1"/>
        <v>#VALUE!</v>
      </c>
    </row>
    <row r="925" spans="13:23">
      <c r="M925" s="219">
        <f t="shared" ca="1" si="57"/>
        <v>50096</v>
      </c>
      <c r="N925" s="115" t="e">
        <f ca="1"/>
        <v>#VALUE!</v>
      </c>
      <c r="P925" s="219">
        <f t="shared" ca="1" si="58"/>
        <v>50096</v>
      </c>
      <c r="Q925" s="115" t="e">
        <f ca="1"/>
        <v>#VALUE!</v>
      </c>
      <c r="S925" s="219">
        <f t="shared" ca="1" si="59"/>
        <v>50096</v>
      </c>
      <c r="T925" s="115" t="e">
        <f ca="1"/>
        <v>#VALUE!</v>
      </c>
      <c r="V925" s="219">
        <f t="shared" ca="1" si="60"/>
        <v>50096</v>
      </c>
      <c r="W925" s="115" t="e">
        <f ca="1"/>
        <v>#VALUE!</v>
      </c>
    </row>
    <row r="926" spans="13:23">
      <c r="M926" s="219">
        <f t="shared" ca="1" si="57"/>
        <v>50103</v>
      </c>
      <c r="N926" s="115" t="e">
        <f ca="1"/>
        <v>#VALUE!</v>
      </c>
      <c r="P926" s="219">
        <f t="shared" ca="1" si="58"/>
        <v>50103</v>
      </c>
      <c r="Q926" s="115" t="e">
        <f ca="1"/>
        <v>#VALUE!</v>
      </c>
      <c r="S926" s="219">
        <f t="shared" ca="1" si="59"/>
        <v>50103</v>
      </c>
      <c r="T926" s="115" t="e">
        <f ca="1"/>
        <v>#VALUE!</v>
      </c>
      <c r="V926" s="219">
        <f t="shared" ca="1" si="60"/>
        <v>50103</v>
      </c>
      <c r="W926" s="115" t="e">
        <f ca="1"/>
        <v>#VALUE!</v>
      </c>
    </row>
    <row r="927" spans="13:23">
      <c r="M927" s="219">
        <f t="shared" ca="1" si="57"/>
        <v>50110</v>
      </c>
      <c r="N927" s="115" t="e">
        <f ca="1"/>
        <v>#VALUE!</v>
      </c>
      <c r="P927" s="219">
        <f t="shared" ca="1" si="58"/>
        <v>50110</v>
      </c>
      <c r="Q927" s="115" t="e">
        <f ca="1"/>
        <v>#VALUE!</v>
      </c>
      <c r="S927" s="219">
        <f t="shared" ca="1" si="59"/>
        <v>50110</v>
      </c>
      <c r="T927" s="115" t="e">
        <f ca="1"/>
        <v>#VALUE!</v>
      </c>
      <c r="V927" s="219">
        <f t="shared" ca="1" si="60"/>
        <v>50110</v>
      </c>
      <c r="W927" s="115" t="e">
        <f ca="1"/>
        <v>#VALUE!</v>
      </c>
    </row>
    <row r="928" spans="13:23">
      <c r="M928" s="219">
        <f t="shared" ca="1" si="57"/>
        <v>50117</v>
      </c>
      <c r="N928" s="115" t="e">
        <f ca="1"/>
        <v>#VALUE!</v>
      </c>
      <c r="P928" s="219">
        <f t="shared" ca="1" si="58"/>
        <v>50117</v>
      </c>
      <c r="Q928" s="115" t="e">
        <f ca="1"/>
        <v>#VALUE!</v>
      </c>
      <c r="S928" s="219">
        <f t="shared" ca="1" si="59"/>
        <v>50117</v>
      </c>
      <c r="T928" s="115" t="e">
        <f ca="1"/>
        <v>#VALUE!</v>
      </c>
      <c r="V928" s="219">
        <f t="shared" ca="1" si="60"/>
        <v>50117</v>
      </c>
      <c r="W928" s="115" t="e">
        <f ca="1"/>
        <v>#VALUE!</v>
      </c>
    </row>
    <row r="929" spans="13:23">
      <c r="M929" s="219">
        <f t="shared" ca="1" si="57"/>
        <v>50124</v>
      </c>
      <c r="N929" s="115" t="e">
        <f ca="1"/>
        <v>#VALUE!</v>
      </c>
      <c r="P929" s="219">
        <f t="shared" ca="1" si="58"/>
        <v>50124</v>
      </c>
      <c r="Q929" s="115" t="e">
        <f ca="1"/>
        <v>#VALUE!</v>
      </c>
      <c r="S929" s="219">
        <f t="shared" ca="1" si="59"/>
        <v>50124</v>
      </c>
      <c r="T929" s="115" t="e">
        <f ca="1"/>
        <v>#VALUE!</v>
      </c>
      <c r="V929" s="219">
        <f t="shared" ca="1" si="60"/>
        <v>50124</v>
      </c>
      <c r="W929" s="115" t="e">
        <f ca="1"/>
        <v>#VALUE!</v>
      </c>
    </row>
    <row r="930" spans="13:23">
      <c r="M930" s="219">
        <f t="shared" ca="1" si="57"/>
        <v>50131</v>
      </c>
      <c r="N930" s="115" t="e">
        <f ca="1"/>
        <v>#VALUE!</v>
      </c>
      <c r="P930" s="219">
        <f t="shared" ca="1" si="58"/>
        <v>50131</v>
      </c>
      <c r="Q930" s="115" t="e">
        <f ca="1"/>
        <v>#VALUE!</v>
      </c>
      <c r="S930" s="219">
        <f t="shared" ca="1" si="59"/>
        <v>50131</v>
      </c>
      <c r="T930" s="115" t="e">
        <f ca="1"/>
        <v>#VALUE!</v>
      </c>
      <c r="V930" s="219">
        <f t="shared" ca="1" si="60"/>
        <v>50131</v>
      </c>
      <c r="W930" s="115" t="e">
        <f ca="1"/>
        <v>#VALUE!</v>
      </c>
    </row>
    <row r="931" spans="13:23">
      <c r="M931" s="219">
        <f t="shared" ca="1" si="57"/>
        <v>50138</v>
      </c>
      <c r="N931" s="115" t="e">
        <f ca="1"/>
        <v>#VALUE!</v>
      </c>
      <c r="P931" s="219">
        <f t="shared" ca="1" si="58"/>
        <v>50138</v>
      </c>
      <c r="Q931" s="115" t="e">
        <f ca="1"/>
        <v>#VALUE!</v>
      </c>
      <c r="S931" s="219">
        <f t="shared" ca="1" si="59"/>
        <v>50138</v>
      </c>
      <c r="T931" s="115" t="e">
        <f ca="1"/>
        <v>#VALUE!</v>
      </c>
      <c r="V931" s="219">
        <f t="shared" ca="1" si="60"/>
        <v>50138</v>
      </c>
      <c r="W931" s="115" t="e">
        <f ca="1"/>
        <v>#VALUE!</v>
      </c>
    </row>
    <row r="932" spans="13:23">
      <c r="M932" s="219">
        <f t="shared" ca="1" si="57"/>
        <v>50145</v>
      </c>
      <c r="N932" s="115" t="e">
        <f ca="1"/>
        <v>#VALUE!</v>
      </c>
      <c r="P932" s="219">
        <f t="shared" ca="1" si="58"/>
        <v>50145</v>
      </c>
      <c r="Q932" s="115" t="e">
        <f ca="1"/>
        <v>#VALUE!</v>
      </c>
      <c r="S932" s="219">
        <f t="shared" ca="1" si="59"/>
        <v>50145</v>
      </c>
      <c r="T932" s="115" t="e">
        <f ca="1"/>
        <v>#VALUE!</v>
      </c>
      <c r="V932" s="219">
        <f t="shared" ca="1" si="60"/>
        <v>50145</v>
      </c>
      <c r="W932" s="115" t="e">
        <f ca="1"/>
        <v>#VALUE!</v>
      </c>
    </row>
    <row r="933" spans="13:23">
      <c r="M933" s="219">
        <f t="shared" ca="1" si="57"/>
        <v>50152</v>
      </c>
      <c r="N933" s="115" t="e">
        <f ca="1"/>
        <v>#VALUE!</v>
      </c>
      <c r="P933" s="219">
        <f t="shared" ca="1" si="58"/>
        <v>50152</v>
      </c>
      <c r="Q933" s="115" t="e">
        <f ca="1"/>
        <v>#VALUE!</v>
      </c>
      <c r="S933" s="219">
        <f t="shared" ca="1" si="59"/>
        <v>50152</v>
      </c>
      <c r="T933" s="115" t="e">
        <f ca="1"/>
        <v>#VALUE!</v>
      </c>
      <c r="V933" s="219">
        <f t="shared" ca="1" si="60"/>
        <v>50152</v>
      </c>
      <c r="W933" s="115" t="e">
        <f ca="1"/>
        <v>#VALUE!</v>
      </c>
    </row>
    <row r="934" spans="13:23">
      <c r="M934" s="219">
        <f t="shared" ca="1" si="57"/>
        <v>50159</v>
      </c>
      <c r="N934" s="115" t="e">
        <f ca="1"/>
        <v>#VALUE!</v>
      </c>
      <c r="P934" s="219">
        <f t="shared" ca="1" si="58"/>
        <v>50159</v>
      </c>
      <c r="Q934" s="115" t="e">
        <f ca="1"/>
        <v>#VALUE!</v>
      </c>
      <c r="S934" s="219">
        <f t="shared" ca="1" si="59"/>
        <v>50159</v>
      </c>
      <c r="T934" s="115" t="e">
        <f ca="1"/>
        <v>#VALUE!</v>
      </c>
      <c r="V934" s="219">
        <f t="shared" ca="1" si="60"/>
        <v>50159</v>
      </c>
      <c r="W934" s="115" t="e">
        <f ca="1"/>
        <v>#VALUE!</v>
      </c>
    </row>
    <row r="935" spans="13:23">
      <c r="M935" s="219">
        <f t="shared" ca="1" si="57"/>
        <v>50166</v>
      </c>
      <c r="N935" s="115" t="e">
        <f ca="1"/>
        <v>#VALUE!</v>
      </c>
      <c r="P935" s="219">
        <f t="shared" ca="1" si="58"/>
        <v>50166</v>
      </c>
      <c r="Q935" s="115" t="e">
        <f ca="1"/>
        <v>#VALUE!</v>
      </c>
      <c r="S935" s="219">
        <f t="shared" ca="1" si="59"/>
        <v>50166</v>
      </c>
      <c r="T935" s="115" t="e">
        <f ca="1"/>
        <v>#VALUE!</v>
      </c>
      <c r="V935" s="219">
        <f t="shared" ca="1" si="60"/>
        <v>50166</v>
      </c>
      <c r="W935" s="115" t="e">
        <f ca="1"/>
        <v>#VALUE!</v>
      </c>
    </row>
    <row r="936" spans="13:23">
      <c r="M936" s="219">
        <f t="shared" ca="1" si="57"/>
        <v>50173</v>
      </c>
      <c r="N936" s="115" t="e">
        <f ca="1"/>
        <v>#VALUE!</v>
      </c>
      <c r="P936" s="219">
        <f t="shared" ca="1" si="58"/>
        <v>50173</v>
      </c>
      <c r="Q936" s="115" t="e">
        <f ca="1"/>
        <v>#VALUE!</v>
      </c>
      <c r="S936" s="219">
        <f t="shared" ca="1" si="59"/>
        <v>50173</v>
      </c>
      <c r="T936" s="115" t="e">
        <f ca="1"/>
        <v>#VALUE!</v>
      </c>
      <c r="V936" s="219">
        <f t="shared" ca="1" si="60"/>
        <v>50173</v>
      </c>
      <c r="W936" s="115" t="e">
        <f ca="1"/>
        <v>#VALUE!</v>
      </c>
    </row>
    <row r="937" spans="13:23">
      <c r="M937" s="219">
        <f t="shared" ca="1" si="57"/>
        <v>50180</v>
      </c>
      <c r="N937" s="115" t="e">
        <f ca="1"/>
        <v>#VALUE!</v>
      </c>
      <c r="P937" s="219">
        <f t="shared" ca="1" si="58"/>
        <v>50180</v>
      </c>
      <c r="Q937" s="115" t="e">
        <f ca="1"/>
        <v>#VALUE!</v>
      </c>
      <c r="S937" s="219">
        <f t="shared" ca="1" si="59"/>
        <v>50180</v>
      </c>
      <c r="T937" s="115" t="e">
        <f ca="1"/>
        <v>#VALUE!</v>
      </c>
      <c r="V937" s="219">
        <f t="shared" ca="1" si="60"/>
        <v>50180</v>
      </c>
      <c r="W937" s="115" t="e">
        <f ca="1"/>
        <v>#VALUE!</v>
      </c>
    </row>
    <row r="938" spans="13:23">
      <c r="M938" s="219">
        <f t="shared" ca="1" si="57"/>
        <v>50187</v>
      </c>
      <c r="N938" s="115" t="e">
        <f ca="1"/>
        <v>#VALUE!</v>
      </c>
      <c r="P938" s="219">
        <f t="shared" ca="1" si="58"/>
        <v>50187</v>
      </c>
      <c r="Q938" s="115" t="e">
        <f ca="1"/>
        <v>#VALUE!</v>
      </c>
      <c r="S938" s="219">
        <f t="shared" ca="1" si="59"/>
        <v>50187</v>
      </c>
      <c r="T938" s="115" t="e">
        <f ca="1"/>
        <v>#VALUE!</v>
      </c>
      <c r="V938" s="219">
        <f t="shared" ca="1" si="60"/>
        <v>50187</v>
      </c>
      <c r="W938" s="115" t="e">
        <f ca="1"/>
        <v>#VALUE!</v>
      </c>
    </row>
    <row r="939" spans="13:23">
      <c r="M939" s="219">
        <f t="shared" ca="1" si="57"/>
        <v>50194</v>
      </c>
      <c r="N939" s="115" t="e">
        <f ca="1"/>
        <v>#VALUE!</v>
      </c>
      <c r="P939" s="219">
        <f t="shared" ca="1" si="58"/>
        <v>50194</v>
      </c>
      <c r="Q939" s="115" t="e">
        <f ca="1"/>
        <v>#VALUE!</v>
      </c>
      <c r="S939" s="219">
        <f t="shared" ca="1" si="59"/>
        <v>50194</v>
      </c>
      <c r="T939" s="115" t="e">
        <f ca="1"/>
        <v>#VALUE!</v>
      </c>
      <c r="V939" s="219">
        <f t="shared" ca="1" si="60"/>
        <v>50194</v>
      </c>
      <c r="W939" s="115" t="e">
        <f ca="1"/>
        <v>#VALUE!</v>
      </c>
    </row>
    <row r="940" spans="13:23">
      <c r="M940" s="219">
        <f t="shared" ca="1" si="57"/>
        <v>50201</v>
      </c>
      <c r="N940" s="115" t="e">
        <f ca="1"/>
        <v>#VALUE!</v>
      </c>
      <c r="P940" s="219">
        <f t="shared" ca="1" si="58"/>
        <v>50201</v>
      </c>
      <c r="Q940" s="115" t="e">
        <f ca="1"/>
        <v>#VALUE!</v>
      </c>
      <c r="S940" s="219">
        <f t="shared" ca="1" si="59"/>
        <v>50201</v>
      </c>
      <c r="T940" s="115" t="e">
        <f ca="1"/>
        <v>#VALUE!</v>
      </c>
      <c r="V940" s="219">
        <f t="shared" ca="1" si="60"/>
        <v>50201</v>
      </c>
      <c r="W940" s="115" t="e">
        <f ca="1"/>
        <v>#VALUE!</v>
      </c>
    </row>
    <row r="941" spans="13:23">
      <c r="M941" s="219">
        <f t="shared" ca="1" si="57"/>
        <v>50208</v>
      </c>
      <c r="N941" s="115" t="e">
        <f ca="1"/>
        <v>#VALUE!</v>
      </c>
      <c r="P941" s="219">
        <f t="shared" ca="1" si="58"/>
        <v>50208</v>
      </c>
      <c r="Q941" s="115" t="e">
        <f ca="1"/>
        <v>#VALUE!</v>
      </c>
      <c r="S941" s="219">
        <f t="shared" ca="1" si="59"/>
        <v>50208</v>
      </c>
      <c r="T941" s="115" t="e">
        <f ca="1"/>
        <v>#VALUE!</v>
      </c>
      <c r="V941" s="219">
        <f t="shared" ca="1" si="60"/>
        <v>50208</v>
      </c>
      <c r="W941" s="115" t="e">
        <f ca="1"/>
        <v>#VALUE!</v>
      </c>
    </row>
    <row r="942" spans="13:23">
      <c r="M942" s="219">
        <f t="shared" ca="1" si="57"/>
        <v>50215</v>
      </c>
      <c r="N942" s="115" t="e">
        <f ca="1"/>
        <v>#VALUE!</v>
      </c>
      <c r="P942" s="219">
        <f t="shared" ca="1" si="58"/>
        <v>50215</v>
      </c>
      <c r="Q942" s="115" t="e">
        <f ca="1"/>
        <v>#VALUE!</v>
      </c>
      <c r="S942" s="219">
        <f t="shared" ca="1" si="59"/>
        <v>50215</v>
      </c>
      <c r="T942" s="115" t="e">
        <f ca="1"/>
        <v>#VALUE!</v>
      </c>
      <c r="V942" s="219">
        <f t="shared" ca="1" si="60"/>
        <v>50215</v>
      </c>
      <c r="W942" s="115" t="e">
        <f ca="1"/>
        <v>#VALUE!</v>
      </c>
    </row>
    <row r="943" spans="13:23">
      <c r="M943" s="219">
        <f t="shared" ca="1" si="57"/>
        <v>50222</v>
      </c>
      <c r="N943" s="115" t="e">
        <f ca="1"/>
        <v>#VALUE!</v>
      </c>
      <c r="P943" s="219">
        <f t="shared" ca="1" si="58"/>
        <v>50222</v>
      </c>
      <c r="Q943" s="115" t="e">
        <f ca="1"/>
        <v>#VALUE!</v>
      </c>
      <c r="S943" s="219">
        <f t="shared" ca="1" si="59"/>
        <v>50222</v>
      </c>
      <c r="T943" s="115" t="e">
        <f ca="1"/>
        <v>#VALUE!</v>
      </c>
      <c r="V943" s="219">
        <f t="shared" ca="1" si="60"/>
        <v>50222</v>
      </c>
      <c r="W943" s="115" t="e">
        <f ca="1"/>
        <v>#VALUE!</v>
      </c>
    </row>
    <row r="944" spans="13:23">
      <c r="M944" s="219">
        <f t="shared" ca="1" si="57"/>
        <v>50229</v>
      </c>
      <c r="N944" s="115" t="e">
        <f ca="1"/>
        <v>#VALUE!</v>
      </c>
      <c r="P944" s="219">
        <f t="shared" ca="1" si="58"/>
        <v>50229</v>
      </c>
      <c r="Q944" s="115" t="e">
        <f ca="1"/>
        <v>#VALUE!</v>
      </c>
      <c r="S944" s="219">
        <f t="shared" ca="1" si="59"/>
        <v>50229</v>
      </c>
      <c r="T944" s="115" t="e">
        <f ca="1"/>
        <v>#VALUE!</v>
      </c>
      <c r="V944" s="219">
        <f t="shared" ca="1" si="60"/>
        <v>50229</v>
      </c>
      <c r="W944" s="115" t="e">
        <f ca="1"/>
        <v>#VALUE!</v>
      </c>
    </row>
    <row r="945" spans="13:23">
      <c r="M945" s="219">
        <f t="shared" ca="1" si="57"/>
        <v>50236</v>
      </c>
      <c r="N945" s="115" t="e">
        <f ca="1"/>
        <v>#VALUE!</v>
      </c>
      <c r="P945" s="219">
        <f t="shared" ca="1" si="58"/>
        <v>50236</v>
      </c>
      <c r="Q945" s="115" t="e">
        <f ca="1"/>
        <v>#VALUE!</v>
      </c>
      <c r="S945" s="219">
        <f t="shared" ca="1" si="59"/>
        <v>50236</v>
      </c>
      <c r="T945" s="115" t="e">
        <f ca="1"/>
        <v>#VALUE!</v>
      </c>
      <c r="V945" s="219">
        <f t="shared" ca="1" si="60"/>
        <v>50236</v>
      </c>
      <c r="W945" s="115" t="e">
        <f ca="1"/>
        <v>#VALUE!</v>
      </c>
    </row>
    <row r="946" spans="13:23">
      <c r="M946" s="219">
        <f t="shared" ca="1" si="57"/>
        <v>50243</v>
      </c>
      <c r="N946" s="115" t="e">
        <f ca="1"/>
        <v>#VALUE!</v>
      </c>
      <c r="P946" s="219">
        <f t="shared" ca="1" si="58"/>
        <v>50243</v>
      </c>
      <c r="Q946" s="115" t="e">
        <f ca="1"/>
        <v>#VALUE!</v>
      </c>
      <c r="S946" s="219">
        <f t="shared" ca="1" si="59"/>
        <v>50243</v>
      </c>
      <c r="T946" s="115" t="e">
        <f ca="1"/>
        <v>#VALUE!</v>
      </c>
      <c r="V946" s="219">
        <f t="shared" ca="1" si="60"/>
        <v>50243</v>
      </c>
      <c r="W946" s="115" t="e">
        <f ca="1"/>
        <v>#VALUE!</v>
      </c>
    </row>
    <row r="947" spans="13:23">
      <c r="M947" s="219">
        <f t="shared" ca="1" si="57"/>
        <v>50250</v>
      </c>
      <c r="N947" s="115" t="e">
        <f ca="1"/>
        <v>#VALUE!</v>
      </c>
      <c r="P947" s="219">
        <f t="shared" ca="1" si="58"/>
        <v>50250</v>
      </c>
      <c r="Q947" s="115" t="e">
        <f ca="1"/>
        <v>#VALUE!</v>
      </c>
      <c r="S947" s="219">
        <f t="shared" ca="1" si="59"/>
        <v>50250</v>
      </c>
      <c r="T947" s="115" t="e">
        <f ca="1"/>
        <v>#VALUE!</v>
      </c>
      <c r="V947" s="219">
        <f t="shared" ca="1" si="60"/>
        <v>50250</v>
      </c>
      <c r="W947" s="115" t="e">
        <f ca="1"/>
        <v>#VALUE!</v>
      </c>
    </row>
    <row r="948" spans="13:23">
      <c r="M948" s="219">
        <f t="shared" ca="1" si="57"/>
        <v>50257</v>
      </c>
      <c r="N948" s="115" t="e">
        <f ca="1"/>
        <v>#VALUE!</v>
      </c>
      <c r="P948" s="219">
        <f t="shared" ca="1" si="58"/>
        <v>50257</v>
      </c>
      <c r="Q948" s="115" t="e">
        <f ca="1"/>
        <v>#VALUE!</v>
      </c>
      <c r="S948" s="219">
        <f t="shared" ca="1" si="59"/>
        <v>50257</v>
      </c>
      <c r="T948" s="115" t="e">
        <f ca="1"/>
        <v>#VALUE!</v>
      </c>
      <c r="V948" s="219">
        <f t="shared" ca="1" si="60"/>
        <v>50257</v>
      </c>
      <c r="W948" s="115" t="e">
        <f ca="1"/>
        <v>#VALUE!</v>
      </c>
    </row>
    <row r="949" spans="13:23">
      <c r="M949" s="219">
        <f t="shared" ca="1" si="57"/>
        <v>50264</v>
      </c>
      <c r="N949" s="115" t="e">
        <f ca="1"/>
        <v>#VALUE!</v>
      </c>
      <c r="P949" s="219">
        <f t="shared" ca="1" si="58"/>
        <v>50264</v>
      </c>
      <c r="Q949" s="115" t="e">
        <f ca="1"/>
        <v>#VALUE!</v>
      </c>
      <c r="S949" s="219">
        <f t="shared" ca="1" si="59"/>
        <v>50264</v>
      </c>
      <c r="T949" s="115" t="e">
        <f ca="1"/>
        <v>#VALUE!</v>
      </c>
      <c r="V949" s="219">
        <f t="shared" ca="1" si="60"/>
        <v>50264</v>
      </c>
      <c r="W949" s="115" t="e">
        <f ca="1"/>
        <v>#VALUE!</v>
      </c>
    </row>
    <row r="950" spans="13:23">
      <c r="M950" s="219">
        <f t="shared" ca="1" si="57"/>
        <v>50271</v>
      </c>
      <c r="N950" s="115" t="e">
        <f ca="1"/>
        <v>#VALUE!</v>
      </c>
      <c r="P950" s="219">
        <f t="shared" ca="1" si="58"/>
        <v>50271</v>
      </c>
      <c r="Q950" s="115" t="e">
        <f ca="1"/>
        <v>#VALUE!</v>
      </c>
      <c r="S950" s="219">
        <f t="shared" ca="1" si="59"/>
        <v>50271</v>
      </c>
      <c r="T950" s="115" t="e">
        <f ca="1"/>
        <v>#VALUE!</v>
      </c>
      <c r="V950" s="219">
        <f t="shared" ca="1" si="60"/>
        <v>50271</v>
      </c>
      <c r="W950" s="115" t="e">
        <f ca="1"/>
        <v>#VALUE!</v>
      </c>
    </row>
    <row r="951" spans="13:23">
      <c r="M951" s="219">
        <f t="shared" ca="1" si="57"/>
        <v>50278</v>
      </c>
      <c r="N951" s="115" t="e">
        <f ca="1"/>
        <v>#VALUE!</v>
      </c>
      <c r="P951" s="219">
        <f t="shared" ca="1" si="58"/>
        <v>50278</v>
      </c>
      <c r="Q951" s="115" t="e">
        <f ca="1"/>
        <v>#VALUE!</v>
      </c>
      <c r="S951" s="219">
        <f t="shared" ca="1" si="59"/>
        <v>50278</v>
      </c>
      <c r="T951" s="115" t="e">
        <f ca="1"/>
        <v>#VALUE!</v>
      </c>
      <c r="V951" s="219">
        <f t="shared" ca="1" si="60"/>
        <v>50278</v>
      </c>
      <c r="W951" s="115" t="e">
        <f ca="1"/>
        <v>#VALUE!</v>
      </c>
    </row>
    <row r="952" spans="13:23">
      <c r="M952" s="219">
        <f t="shared" ca="1" si="57"/>
        <v>50285</v>
      </c>
      <c r="N952" s="115" t="e">
        <f ca="1"/>
        <v>#VALUE!</v>
      </c>
      <c r="P952" s="219">
        <f t="shared" ca="1" si="58"/>
        <v>50285</v>
      </c>
      <c r="Q952" s="115" t="e">
        <f ca="1"/>
        <v>#VALUE!</v>
      </c>
      <c r="S952" s="219">
        <f t="shared" ca="1" si="59"/>
        <v>50285</v>
      </c>
      <c r="T952" s="115" t="e">
        <f ca="1"/>
        <v>#VALUE!</v>
      </c>
      <c r="V952" s="219">
        <f t="shared" ca="1" si="60"/>
        <v>50285</v>
      </c>
      <c r="W952" s="115" t="e">
        <f ca="1"/>
        <v>#VALUE!</v>
      </c>
    </row>
    <row r="953" spans="13:23">
      <c r="M953" s="219">
        <f t="shared" ca="1" si="57"/>
        <v>50292</v>
      </c>
      <c r="N953" s="115" t="e">
        <f ca="1"/>
        <v>#VALUE!</v>
      </c>
      <c r="P953" s="219">
        <f t="shared" ca="1" si="58"/>
        <v>50292</v>
      </c>
      <c r="Q953" s="115" t="e">
        <f ca="1"/>
        <v>#VALUE!</v>
      </c>
      <c r="S953" s="219">
        <f t="shared" ca="1" si="59"/>
        <v>50292</v>
      </c>
      <c r="T953" s="115" t="e">
        <f ca="1"/>
        <v>#VALUE!</v>
      </c>
      <c r="V953" s="219">
        <f t="shared" ca="1" si="60"/>
        <v>50292</v>
      </c>
      <c r="W953" s="115" t="e">
        <f ca="1"/>
        <v>#VALUE!</v>
      </c>
    </row>
    <row r="954" spans="13:23">
      <c r="M954" s="219">
        <f t="shared" ca="1" si="57"/>
        <v>50299</v>
      </c>
      <c r="N954" s="115" t="e">
        <f ca="1"/>
        <v>#VALUE!</v>
      </c>
      <c r="P954" s="219">
        <f t="shared" ca="1" si="58"/>
        <v>50299</v>
      </c>
      <c r="Q954" s="115" t="e">
        <f ca="1"/>
        <v>#VALUE!</v>
      </c>
      <c r="S954" s="219">
        <f t="shared" ca="1" si="59"/>
        <v>50299</v>
      </c>
      <c r="T954" s="115" t="e">
        <f ca="1"/>
        <v>#VALUE!</v>
      </c>
      <c r="V954" s="219">
        <f t="shared" ca="1" si="60"/>
        <v>50299</v>
      </c>
      <c r="W954" s="115" t="e">
        <f ca="1"/>
        <v>#VALUE!</v>
      </c>
    </row>
    <row r="955" spans="13:23">
      <c r="M955" s="219">
        <f t="shared" ca="1" si="57"/>
        <v>50306</v>
      </c>
      <c r="N955" s="115" t="e">
        <f ca="1"/>
        <v>#VALUE!</v>
      </c>
      <c r="P955" s="219">
        <f t="shared" ca="1" si="58"/>
        <v>50306</v>
      </c>
      <c r="Q955" s="115" t="e">
        <f ca="1"/>
        <v>#VALUE!</v>
      </c>
      <c r="S955" s="219">
        <f t="shared" ca="1" si="59"/>
        <v>50306</v>
      </c>
      <c r="T955" s="115" t="e">
        <f ca="1"/>
        <v>#VALUE!</v>
      </c>
      <c r="V955" s="219">
        <f t="shared" ca="1" si="60"/>
        <v>50306</v>
      </c>
      <c r="W955" s="115" t="e">
        <f ca="1"/>
        <v>#VALUE!</v>
      </c>
    </row>
    <row r="956" spans="13:23">
      <c r="M956" s="219">
        <f t="shared" ca="1" si="57"/>
        <v>50313</v>
      </c>
      <c r="N956" s="115" t="e">
        <f ca="1"/>
        <v>#VALUE!</v>
      </c>
      <c r="P956" s="219">
        <f t="shared" ca="1" si="58"/>
        <v>50313</v>
      </c>
      <c r="Q956" s="115" t="e">
        <f ca="1"/>
        <v>#VALUE!</v>
      </c>
      <c r="S956" s="219">
        <f t="shared" ca="1" si="59"/>
        <v>50313</v>
      </c>
      <c r="T956" s="115" t="e">
        <f ca="1"/>
        <v>#VALUE!</v>
      </c>
      <c r="V956" s="219">
        <f t="shared" ca="1" si="60"/>
        <v>50313</v>
      </c>
      <c r="W956" s="115" t="e">
        <f ca="1"/>
        <v>#VALUE!</v>
      </c>
    </row>
    <row r="957" spans="13:23">
      <c r="M957" s="219">
        <f t="shared" ca="1" si="57"/>
        <v>50320</v>
      </c>
      <c r="N957" s="115" t="e">
        <f ca="1"/>
        <v>#VALUE!</v>
      </c>
      <c r="P957" s="219">
        <f t="shared" ca="1" si="58"/>
        <v>50320</v>
      </c>
      <c r="Q957" s="115" t="e">
        <f ca="1"/>
        <v>#VALUE!</v>
      </c>
      <c r="S957" s="219">
        <f t="shared" ca="1" si="59"/>
        <v>50320</v>
      </c>
      <c r="T957" s="115" t="e">
        <f ca="1"/>
        <v>#VALUE!</v>
      </c>
      <c r="V957" s="219">
        <f t="shared" ca="1" si="60"/>
        <v>50320</v>
      </c>
      <c r="W957" s="115" t="e">
        <f ca="1"/>
        <v>#VALUE!</v>
      </c>
    </row>
    <row r="958" spans="13:23">
      <c r="M958" s="219">
        <f t="shared" ca="1" si="57"/>
        <v>50327</v>
      </c>
      <c r="N958" s="115" t="e">
        <f ca="1"/>
        <v>#VALUE!</v>
      </c>
      <c r="P958" s="219">
        <f t="shared" ca="1" si="58"/>
        <v>50327</v>
      </c>
      <c r="Q958" s="115" t="e">
        <f ca="1"/>
        <v>#VALUE!</v>
      </c>
      <c r="S958" s="219">
        <f t="shared" ca="1" si="59"/>
        <v>50327</v>
      </c>
      <c r="T958" s="115" t="e">
        <f ca="1"/>
        <v>#VALUE!</v>
      </c>
      <c r="V958" s="219">
        <f t="shared" ca="1" si="60"/>
        <v>50327</v>
      </c>
      <c r="W958" s="115" t="e">
        <f ca="1"/>
        <v>#VALUE!</v>
      </c>
    </row>
    <row r="959" spans="13:23">
      <c r="M959" s="219">
        <f t="shared" ca="1" si="57"/>
        <v>50334</v>
      </c>
      <c r="N959" s="115" t="e">
        <f ca="1"/>
        <v>#VALUE!</v>
      </c>
      <c r="P959" s="219">
        <f t="shared" ca="1" si="58"/>
        <v>50334</v>
      </c>
      <c r="Q959" s="115" t="e">
        <f ca="1"/>
        <v>#VALUE!</v>
      </c>
      <c r="S959" s="219">
        <f t="shared" ca="1" si="59"/>
        <v>50334</v>
      </c>
      <c r="T959" s="115" t="e">
        <f ca="1"/>
        <v>#VALUE!</v>
      </c>
      <c r="V959" s="219">
        <f t="shared" ca="1" si="60"/>
        <v>50334</v>
      </c>
      <c r="W959" s="115" t="e">
        <f ca="1"/>
        <v>#VALUE!</v>
      </c>
    </row>
    <row r="960" spans="13:23">
      <c r="M960" s="219">
        <f t="shared" ca="1" si="57"/>
        <v>50341</v>
      </c>
      <c r="N960" s="115" t="e">
        <f ca="1"/>
        <v>#VALUE!</v>
      </c>
      <c r="P960" s="219">
        <f t="shared" ca="1" si="58"/>
        <v>50341</v>
      </c>
      <c r="Q960" s="115" t="e">
        <f ca="1"/>
        <v>#VALUE!</v>
      </c>
      <c r="S960" s="219">
        <f t="shared" ca="1" si="59"/>
        <v>50341</v>
      </c>
      <c r="T960" s="115" t="e">
        <f ca="1"/>
        <v>#VALUE!</v>
      </c>
      <c r="V960" s="219">
        <f t="shared" ca="1" si="60"/>
        <v>50341</v>
      </c>
      <c r="W960" s="115" t="e">
        <f ca="1"/>
        <v>#VALUE!</v>
      </c>
    </row>
    <row r="961" spans="13:23">
      <c r="M961" s="219">
        <f t="shared" ca="1" si="57"/>
        <v>50348</v>
      </c>
      <c r="N961" s="115" t="e">
        <f ca="1"/>
        <v>#VALUE!</v>
      </c>
      <c r="P961" s="219">
        <f t="shared" ca="1" si="58"/>
        <v>50348</v>
      </c>
      <c r="Q961" s="115" t="e">
        <f ca="1"/>
        <v>#VALUE!</v>
      </c>
      <c r="S961" s="219">
        <f t="shared" ca="1" si="59"/>
        <v>50348</v>
      </c>
      <c r="T961" s="115" t="e">
        <f ca="1"/>
        <v>#VALUE!</v>
      </c>
      <c r="V961" s="219">
        <f t="shared" ca="1" si="60"/>
        <v>50348</v>
      </c>
      <c r="W961" s="115" t="e">
        <f ca="1"/>
        <v>#VALUE!</v>
      </c>
    </row>
    <row r="962" spans="13:23">
      <c r="M962" s="219">
        <f t="shared" ca="1" si="57"/>
        <v>50355</v>
      </c>
      <c r="N962" s="115" t="e">
        <f ca="1"/>
        <v>#VALUE!</v>
      </c>
      <c r="P962" s="219">
        <f t="shared" ca="1" si="58"/>
        <v>50355</v>
      </c>
      <c r="Q962" s="115" t="e">
        <f ca="1"/>
        <v>#VALUE!</v>
      </c>
      <c r="S962" s="219">
        <f t="shared" ca="1" si="59"/>
        <v>50355</v>
      </c>
      <c r="T962" s="115" t="e">
        <f ca="1"/>
        <v>#VALUE!</v>
      </c>
      <c r="V962" s="219">
        <f t="shared" ca="1" si="60"/>
        <v>50355</v>
      </c>
      <c r="W962" s="115" t="e">
        <f ca="1"/>
        <v>#VALUE!</v>
      </c>
    </row>
    <row r="963" spans="13:23">
      <c r="M963" s="219">
        <f t="shared" ca="1" si="57"/>
        <v>50362</v>
      </c>
      <c r="N963" s="115" t="e">
        <f ca="1"/>
        <v>#VALUE!</v>
      </c>
      <c r="P963" s="219">
        <f t="shared" ca="1" si="58"/>
        <v>50362</v>
      </c>
      <c r="Q963" s="115" t="e">
        <f ca="1"/>
        <v>#VALUE!</v>
      </c>
      <c r="S963" s="219">
        <f t="shared" ca="1" si="59"/>
        <v>50362</v>
      </c>
      <c r="T963" s="115" t="e">
        <f ca="1"/>
        <v>#VALUE!</v>
      </c>
      <c r="V963" s="219">
        <f t="shared" ca="1" si="60"/>
        <v>50362</v>
      </c>
      <c r="W963" s="115" t="e">
        <f ca="1"/>
        <v>#VALUE!</v>
      </c>
    </row>
    <row r="964" spans="13:23">
      <c r="M964" s="219">
        <f t="shared" ca="1" si="57"/>
        <v>50369</v>
      </c>
      <c r="N964" s="115" t="e">
        <f ca="1"/>
        <v>#VALUE!</v>
      </c>
      <c r="P964" s="219">
        <f t="shared" ca="1" si="58"/>
        <v>50369</v>
      </c>
      <c r="Q964" s="115" t="e">
        <f ca="1"/>
        <v>#VALUE!</v>
      </c>
      <c r="S964" s="219">
        <f t="shared" ca="1" si="59"/>
        <v>50369</v>
      </c>
      <c r="T964" s="115" t="e">
        <f ca="1"/>
        <v>#VALUE!</v>
      </c>
      <c r="V964" s="219">
        <f t="shared" ca="1" si="60"/>
        <v>50369</v>
      </c>
      <c r="W964" s="115" t="e">
        <f ca="1"/>
        <v>#VALUE!</v>
      </c>
    </row>
    <row r="965" spans="13:23">
      <c r="M965" s="219">
        <f t="shared" ca="1" si="57"/>
        <v>50376</v>
      </c>
      <c r="N965" s="115" t="e">
        <f ca="1"/>
        <v>#VALUE!</v>
      </c>
      <c r="P965" s="219">
        <f t="shared" ca="1" si="58"/>
        <v>50376</v>
      </c>
      <c r="Q965" s="115" t="e">
        <f ca="1"/>
        <v>#VALUE!</v>
      </c>
      <c r="S965" s="219">
        <f t="shared" ca="1" si="59"/>
        <v>50376</v>
      </c>
      <c r="T965" s="115" t="e">
        <f ca="1"/>
        <v>#VALUE!</v>
      </c>
      <c r="V965" s="219">
        <f t="shared" ca="1" si="60"/>
        <v>50376</v>
      </c>
      <c r="W965" s="115" t="e">
        <f ca="1"/>
        <v>#VALUE!</v>
      </c>
    </row>
    <row r="966" spans="13:23">
      <c r="M966" s="219">
        <f t="shared" ca="1" si="57"/>
        <v>50383</v>
      </c>
      <c r="N966" s="115" t="e">
        <f ca="1"/>
        <v>#VALUE!</v>
      </c>
      <c r="P966" s="219">
        <f t="shared" ca="1" si="58"/>
        <v>50383</v>
      </c>
      <c r="Q966" s="115" t="e">
        <f ca="1"/>
        <v>#VALUE!</v>
      </c>
      <c r="S966" s="219">
        <f t="shared" ca="1" si="59"/>
        <v>50383</v>
      </c>
      <c r="T966" s="115" t="e">
        <f ca="1"/>
        <v>#VALUE!</v>
      </c>
      <c r="V966" s="219">
        <f t="shared" ca="1" si="60"/>
        <v>50383</v>
      </c>
      <c r="W966" s="115" t="e">
        <f ca="1"/>
        <v>#VALUE!</v>
      </c>
    </row>
    <row r="967" spans="13:23">
      <c r="M967" s="219">
        <f t="shared" ca="1" si="57"/>
        <v>50390</v>
      </c>
      <c r="N967" s="115" t="e">
        <f ca="1"/>
        <v>#VALUE!</v>
      </c>
      <c r="P967" s="219">
        <f t="shared" ca="1" si="58"/>
        <v>50390</v>
      </c>
      <c r="Q967" s="115" t="e">
        <f ca="1"/>
        <v>#VALUE!</v>
      </c>
      <c r="S967" s="219">
        <f t="shared" ca="1" si="59"/>
        <v>50390</v>
      </c>
      <c r="T967" s="115" t="e">
        <f ca="1"/>
        <v>#VALUE!</v>
      </c>
      <c r="V967" s="219">
        <f t="shared" ca="1" si="60"/>
        <v>50390</v>
      </c>
      <c r="W967" s="115" t="e">
        <f ca="1"/>
        <v>#VALUE!</v>
      </c>
    </row>
    <row r="968" spans="13:23">
      <c r="M968" s="219">
        <f t="shared" ca="1" si="57"/>
        <v>50397</v>
      </c>
      <c r="N968" s="115" t="e">
        <f ca="1"/>
        <v>#VALUE!</v>
      </c>
      <c r="P968" s="219">
        <f t="shared" ca="1" si="58"/>
        <v>50397</v>
      </c>
      <c r="Q968" s="115" t="e">
        <f ca="1"/>
        <v>#VALUE!</v>
      </c>
      <c r="S968" s="219">
        <f t="shared" ca="1" si="59"/>
        <v>50397</v>
      </c>
      <c r="T968" s="115" t="e">
        <f ca="1"/>
        <v>#VALUE!</v>
      </c>
      <c r="V968" s="219">
        <f t="shared" ca="1" si="60"/>
        <v>50397</v>
      </c>
      <c r="W968" s="115" t="e">
        <f ca="1"/>
        <v>#VALUE!</v>
      </c>
    </row>
    <row r="969" spans="13:23">
      <c r="M969" s="219">
        <f t="shared" ca="1" si="57"/>
        <v>50404</v>
      </c>
      <c r="N969" s="115" t="e">
        <f ca="1"/>
        <v>#VALUE!</v>
      </c>
      <c r="P969" s="219">
        <f t="shared" ca="1" si="58"/>
        <v>50404</v>
      </c>
      <c r="Q969" s="115" t="e">
        <f ca="1"/>
        <v>#VALUE!</v>
      </c>
      <c r="S969" s="219">
        <f t="shared" ca="1" si="59"/>
        <v>50404</v>
      </c>
      <c r="T969" s="115" t="e">
        <f ca="1"/>
        <v>#VALUE!</v>
      </c>
      <c r="V969" s="219">
        <f t="shared" ca="1" si="60"/>
        <v>50404</v>
      </c>
      <c r="W969" s="115" t="e">
        <f ca="1"/>
        <v>#VALUE!</v>
      </c>
    </row>
    <row r="970" spans="13:23">
      <c r="M970" s="219">
        <f t="shared" ca="1" si="57"/>
        <v>50411</v>
      </c>
      <c r="N970" s="115" t="e">
        <f ca="1"/>
        <v>#VALUE!</v>
      </c>
      <c r="P970" s="219">
        <f t="shared" ca="1" si="58"/>
        <v>50411</v>
      </c>
      <c r="Q970" s="115" t="e">
        <f ca="1"/>
        <v>#VALUE!</v>
      </c>
      <c r="S970" s="219">
        <f t="shared" ca="1" si="59"/>
        <v>50411</v>
      </c>
      <c r="T970" s="115" t="e">
        <f ca="1"/>
        <v>#VALUE!</v>
      </c>
      <c r="V970" s="219">
        <f t="shared" ca="1" si="60"/>
        <v>50411</v>
      </c>
      <c r="W970" s="115" t="e">
        <f ca="1"/>
        <v>#VALUE!</v>
      </c>
    </row>
    <row r="971" spans="13:23">
      <c r="M971" s="219">
        <f t="shared" ca="1" si="57"/>
        <v>50418</v>
      </c>
      <c r="N971" s="115" t="e">
        <f ca="1"/>
        <v>#VALUE!</v>
      </c>
      <c r="P971" s="219">
        <f t="shared" ca="1" si="58"/>
        <v>50418</v>
      </c>
      <c r="Q971" s="115" t="e">
        <f ca="1"/>
        <v>#VALUE!</v>
      </c>
      <c r="S971" s="219">
        <f t="shared" ca="1" si="59"/>
        <v>50418</v>
      </c>
      <c r="T971" s="115" t="e">
        <f ca="1"/>
        <v>#VALUE!</v>
      </c>
      <c r="V971" s="219">
        <f t="shared" ca="1" si="60"/>
        <v>50418</v>
      </c>
      <c r="W971" s="115" t="e">
        <f ca="1"/>
        <v>#VALUE!</v>
      </c>
    </row>
    <row r="972" spans="13:23">
      <c r="M972" s="219">
        <f t="shared" ca="1" si="57"/>
        <v>50425</v>
      </c>
      <c r="N972" s="115" t="e">
        <f ca="1"/>
        <v>#VALUE!</v>
      </c>
      <c r="P972" s="219">
        <f t="shared" ca="1" si="58"/>
        <v>50425</v>
      </c>
      <c r="Q972" s="115" t="e">
        <f ca="1"/>
        <v>#VALUE!</v>
      </c>
      <c r="S972" s="219">
        <f t="shared" ca="1" si="59"/>
        <v>50425</v>
      </c>
      <c r="T972" s="115" t="e">
        <f ca="1"/>
        <v>#VALUE!</v>
      </c>
      <c r="V972" s="219">
        <f t="shared" ca="1" si="60"/>
        <v>50425</v>
      </c>
      <c r="W972" s="115" t="e">
        <f ca="1"/>
        <v>#VALUE!</v>
      </c>
    </row>
    <row r="973" spans="13:23">
      <c r="M973" s="219">
        <f t="shared" ref="M973:M1036" ca="1" si="61">M972+7</f>
        <v>50432</v>
      </c>
      <c r="N973" s="115" t="e">
        <f ca="1"/>
        <v>#VALUE!</v>
      </c>
      <c r="P973" s="219">
        <f t="shared" ref="P973:P1036" ca="1" si="62">P972+7</f>
        <v>50432</v>
      </c>
      <c r="Q973" s="115" t="e">
        <f ca="1"/>
        <v>#VALUE!</v>
      </c>
      <c r="S973" s="219">
        <f t="shared" ref="S973:S1036" ca="1" si="63">S972+7</f>
        <v>50432</v>
      </c>
      <c r="T973" s="115" t="e">
        <f ca="1"/>
        <v>#VALUE!</v>
      </c>
      <c r="V973" s="219">
        <f t="shared" ref="V973:V1036" ca="1" si="64">V972+7</f>
        <v>50432</v>
      </c>
      <c r="W973" s="115" t="e">
        <f ca="1"/>
        <v>#VALUE!</v>
      </c>
    </row>
    <row r="974" spans="13:23">
      <c r="M974" s="219">
        <f t="shared" ca="1" si="61"/>
        <v>50439</v>
      </c>
      <c r="N974" s="115" t="e">
        <f ca="1"/>
        <v>#VALUE!</v>
      </c>
      <c r="P974" s="219">
        <f t="shared" ca="1" si="62"/>
        <v>50439</v>
      </c>
      <c r="Q974" s="115" t="e">
        <f ca="1"/>
        <v>#VALUE!</v>
      </c>
      <c r="S974" s="219">
        <f t="shared" ca="1" si="63"/>
        <v>50439</v>
      </c>
      <c r="T974" s="115" t="e">
        <f ca="1"/>
        <v>#VALUE!</v>
      </c>
      <c r="V974" s="219">
        <f t="shared" ca="1" si="64"/>
        <v>50439</v>
      </c>
      <c r="W974" s="115" t="e">
        <f ca="1"/>
        <v>#VALUE!</v>
      </c>
    </row>
    <row r="975" spans="13:23">
      <c r="M975" s="219">
        <f t="shared" ca="1" si="61"/>
        <v>50446</v>
      </c>
      <c r="N975" s="115" t="e">
        <f ca="1"/>
        <v>#VALUE!</v>
      </c>
      <c r="P975" s="219">
        <f t="shared" ca="1" si="62"/>
        <v>50446</v>
      </c>
      <c r="Q975" s="115" t="e">
        <f ca="1"/>
        <v>#VALUE!</v>
      </c>
      <c r="S975" s="219">
        <f t="shared" ca="1" si="63"/>
        <v>50446</v>
      </c>
      <c r="T975" s="115" t="e">
        <f ca="1"/>
        <v>#VALUE!</v>
      </c>
      <c r="V975" s="219">
        <f t="shared" ca="1" si="64"/>
        <v>50446</v>
      </c>
      <c r="W975" s="115" t="e">
        <f ca="1"/>
        <v>#VALUE!</v>
      </c>
    </row>
    <row r="976" spans="13:23">
      <c r="M976" s="219">
        <f t="shared" ca="1" si="61"/>
        <v>50453</v>
      </c>
      <c r="N976" s="115" t="e">
        <f ca="1"/>
        <v>#VALUE!</v>
      </c>
      <c r="P976" s="219">
        <f t="shared" ca="1" si="62"/>
        <v>50453</v>
      </c>
      <c r="Q976" s="115" t="e">
        <f ca="1"/>
        <v>#VALUE!</v>
      </c>
      <c r="S976" s="219">
        <f t="shared" ca="1" si="63"/>
        <v>50453</v>
      </c>
      <c r="T976" s="115" t="e">
        <f ca="1"/>
        <v>#VALUE!</v>
      </c>
      <c r="V976" s="219">
        <f t="shared" ca="1" si="64"/>
        <v>50453</v>
      </c>
      <c r="W976" s="115" t="e">
        <f ca="1"/>
        <v>#VALUE!</v>
      </c>
    </row>
    <row r="977" spans="13:23">
      <c r="M977" s="219">
        <f t="shared" ca="1" si="61"/>
        <v>50460</v>
      </c>
      <c r="N977" s="115" t="e">
        <f ca="1"/>
        <v>#VALUE!</v>
      </c>
      <c r="P977" s="219">
        <f t="shared" ca="1" si="62"/>
        <v>50460</v>
      </c>
      <c r="Q977" s="115" t="e">
        <f ca="1"/>
        <v>#VALUE!</v>
      </c>
      <c r="S977" s="219">
        <f t="shared" ca="1" si="63"/>
        <v>50460</v>
      </c>
      <c r="T977" s="115" t="e">
        <f ca="1"/>
        <v>#VALUE!</v>
      </c>
      <c r="V977" s="219">
        <f t="shared" ca="1" si="64"/>
        <v>50460</v>
      </c>
      <c r="W977" s="115" t="e">
        <f ca="1"/>
        <v>#VALUE!</v>
      </c>
    </row>
    <row r="978" spans="13:23">
      <c r="M978" s="219">
        <f t="shared" ca="1" si="61"/>
        <v>50467</v>
      </c>
      <c r="N978" s="115" t="e">
        <f ca="1"/>
        <v>#VALUE!</v>
      </c>
      <c r="P978" s="219">
        <f t="shared" ca="1" si="62"/>
        <v>50467</v>
      </c>
      <c r="Q978" s="115" t="e">
        <f ca="1"/>
        <v>#VALUE!</v>
      </c>
      <c r="S978" s="219">
        <f t="shared" ca="1" si="63"/>
        <v>50467</v>
      </c>
      <c r="T978" s="115" t="e">
        <f ca="1"/>
        <v>#VALUE!</v>
      </c>
      <c r="V978" s="219">
        <f t="shared" ca="1" si="64"/>
        <v>50467</v>
      </c>
      <c r="W978" s="115" t="e">
        <f ca="1"/>
        <v>#VALUE!</v>
      </c>
    </row>
    <row r="979" spans="13:23">
      <c r="M979" s="219">
        <f t="shared" ca="1" si="61"/>
        <v>50474</v>
      </c>
      <c r="N979" s="115" t="e">
        <f ca="1"/>
        <v>#VALUE!</v>
      </c>
      <c r="P979" s="219">
        <f t="shared" ca="1" si="62"/>
        <v>50474</v>
      </c>
      <c r="Q979" s="115" t="e">
        <f ca="1"/>
        <v>#VALUE!</v>
      </c>
      <c r="S979" s="219">
        <f t="shared" ca="1" si="63"/>
        <v>50474</v>
      </c>
      <c r="T979" s="115" t="e">
        <f ca="1"/>
        <v>#VALUE!</v>
      </c>
      <c r="V979" s="219">
        <f t="shared" ca="1" si="64"/>
        <v>50474</v>
      </c>
      <c r="W979" s="115" t="e">
        <f ca="1"/>
        <v>#VALUE!</v>
      </c>
    </row>
    <row r="980" spans="13:23">
      <c r="M980" s="219">
        <f t="shared" ca="1" si="61"/>
        <v>50481</v>
      </c>
      <c r="N980" s="115" t="e">
        <f ca="1"/>
        <v>#VALUE!</v>
      </c>
      <c r="P980" s="219">
        <f t="shared" ca="1" si="62"/>
        <v>50481</v>
      </c>
      <c r="Q980" s="115" t="e">
        <f ca="1"/>
        <v>#VALUE!</v>
      </c>
      <c r="S980" s="219">
        <f t="shared" ca="1" si="63"/>
        <v>50481</v>
      </c>
      <c r="T980" s="115" t="e">
        <f ca="1"/>
        <v>#VALUE!</v>
      </c>
      <c r="V980" s="219">
        <f t="shared" ca="1" si="64"/>
        <v>50481</v>
      </c>
      <c r="W980" s="115" t="e">
        <f ca="1"/>
        <v>#VALUE!</v>
      </c>
    </row>
    <row r="981" spans="13:23">
      <c r="M981" s="219">
        <f t="shared" ca="1" si="61"/>
        <v>50488</v>
      </c>
      <c r="N981" s="115" t="e">
        <f ca="1"/>
        <v>#VALUE!</v>
      </c>
      <c r="P981" s="219">
        <f t="shared" ca="1" si="62"/>
        <v>50488</v>
      </c>
      <c r="Q981" s="115" t="e">
        <f ca="1"/>
        <v>#VALUE!</v>
      </c>
      <c r="S981" s="219">
        <f t="shared" ca="1" si="63"/>
        <v>50488</v>
      </c>
      <c r="T981" s="115" t="e">
        <f ca="1"/>
        <v>#VALUE!</v>
      </c>
      <c r="V981" s="219">
        <f t="shared" ca="1" si="64"/>
        <v>50488</v>
      </c>
      <c r="W981" s="115" t="e">
        <f ca="1"/>
        <v>#VALUE!</v>
      </c>
    </row>
    <row r="982" spans="13:23">
      <c r="M982" s="219">
        <f t="shared" ca="1" si="61"/>
        <v>50495</v>
      </c>
      <c r="N982" s="115" t="e">
        <f ca="1"/>
        <v>#VALUE!</v>
      </c>
      <c r="P982" s="219">
        <f t="shared" ca="1" si="62"/>
        <v>50495</v>
      </c>
      <c r="Q982" s="115" t="e">
        <f ca="1"/>
        <v>#VALUE!</v>
      </c>
      <c r="S982" s="219">
        <f t="shared" ca="1" si="63"/>
        <v>50495</v>
      </c>
      <c r="T982" s="115" t="e">
        <f ca="1"/>
        <v>#VALUE!</v>
      </c>
      <c r="V982" s="219">
        <f t="shared" ca="1" si="64"/>
        <v>50495</v>
      </c>
      <c r="W982" s="115" t="e">
        <f ca="1"/>
        <v>#VALUE!</v>
      </c>
    </row>
    <row r="983" spans="13:23">
      <c r="M983" s="219">
        <f t="shared" ca="1" si="61"/>
        <v>50502</v>
      </c>
      <c r="N983" s="115" t="e">
        <f ca="1"/>
        <v>#VALUE!</v>
      </c>
      <c r="P983" s="219">
        <f t="shared" ca="1" si="62"/>
        <v>50502</v>
      </c>
      <c r="Q983" s="115" t="e">
        <f ca="1"/>
        <v>#VALUE!</v>
      </c>
      <c r="S983" s="219">
        <f t="shared" ca="1" si="63"/>
        <v>50502</v>
      </c>
      <c r="T983" s="115" t="e">
        <f ca="1"/>
        <v>#VALUE!</v>
      </c>
      <c r="V983" s="219">
        <f t="shared" ca="1" si="64"/>
        <v>50502</v>
      </c>
      <c r="W983" s="115" t="e">
        <f ca="1"/>
        <v>#VALUE!</v>
      </c>
    </row>
    <row r="984" spans="13:23">
      <c r="M984" s="219">
        <f t="shared" ca="1" si="61"/>
        <v>50509</v>
      </c>
      <c r="N984" s="115" t="e">
        <f ca="1"/>
        <v>#VALUE!</v>
      </c>
      <c r="P984" s="219">
        <f t="shared" ca="1" si="62"/>
        <v>50509</v>
      </c>
      <c r="Q984" s="115" t="e">
        <f ca="1"/>
        <v>#VALUE!</v>
      </c>
      <c r="S984" s="219">
        <f t="shared" ca="1" si="63"/>
        <v>50509</v>
      </c>
      <c r="T984" s="115" t="e">
        <f ca="1"/>
        <v>#VALUE!</v>
      </c>
      <c r="V984" s="219">
        <f t="shared" ca="1" si="64"/>
        <v>50509</v>
      </c>
      <c r="W984" s="115" t="e">
        <f ca="1"/>
        <v>#VALUE!</v>
      </c>
    </row>
    <row r="985" spans="13:23">
      <c r="M985" s="219">
        <f t="shared" ca="1" si="61"/>
        <v>50516</v>
      </c>
      <c r="N985" s="115" t="e">
        <f ca="1"/>
        <v>#VALUE!</v>
      </c>
      <c r="P985" s="219">
        <f t="shared" ca="1" si="62"/>
        <v>50516</v>
      </c>
      <c r="Q985" s="115" t="e">
        <f ca="1"/>
        <v>#VALUE!</v>
      </c>
      <c r="S985" s="219">
        <f t="shared" ca="1" si="63"/>
        <v>50516</v>
      </c>
      <c r="T985" s="115" t="e">
        <f ca="1"/>
        <v>#VALUE!</v>
      </c>
      <c r="V985" s="219">
        <f t="shared" ca="1" si="64"/>
        <v>50516</v>
      </c>
      <c r="W985" s="115" t="e">
        <f ca="1"/>
        <v>#VALUE!</v>
      </c>
    </row>
    <row r="986" spans="13:23">
      <c r="M986" s="219">
        <f t="shared" ca="1" si="61"/>
        <v>50523</v>
      </c>
      <c r="N986" s="115" t="e">
        <f ca="1"/>
        <v>#VALUE!</v>
      </c>
      <c r="P986" s="219">
        <f t="shared" ca="1" si="62"/>
        <v>50523</v>
      </c>
      <c r="Q986" s="115" t="e">
        <f ca="1"/>
        <v>#VALUE!</v>
      </c>
      <c r="S986" s="219">
        <f t="shared" ca="1" si="63"/>
        <v>50523</v>
      </c>
      <c r="T986" s="115" t="e">
        <f ca="1"/>
        <v>#VALUE!</v>
      </c>
      <c r="V986" s="219">
        <f t="shared" ca="1" si="64"/>
        <v>50523</v>
      </c>
      <c r="W986" s="115" t="e">
        <f ca="1"/>
        <v>#VALUE!</v>
      </c>
    </row>
    <row r="987" spans="13:23">
      <c r="M987" s="219">
        <f t="shared" ca="1" si="61"/>
        <v>50530</v>
      </c>
      <c r="N987" s="115" t="e">
        <f ca="1"/>
        <v>#VALUE!</v>
      </c>
      <c r="P987" s="219">
        <f t="shared" ca="1" si="62"/>
        <v>50530</v>
      </c>
      <c r="Q987" s="115" t="e">
        <f ca="1"/>
        <v>#VALUE!</v>
      </c>
      <c r="S987" s="219">
        <f t="shared" ca="1" si="63"/>
        <v>50530</v>
      </c>
      <c r="T987" s="115" t="e">
        <f ca="1"/>
        <v>#VALUE!</v>
      </c>
      <c r="V987" s="219">
        <f t="shared" ca="1" si="64"/>
        <v>50530</v>
      </c>
      <c r="W987" s="115" t="e">
        <f ca="1"/>
        <v>#VALUE!</v>
      </c>
    </row>
    <row r="988" spans="13:23">
      <c r="M988" s="219">
        <f t="shared" ca="1" si="61"/>
        <v>50537</v>
      </c>
      <c r="N988" s="115" t="e">
        <f ca="1"/>
        <v>#VALUE!</v>
      </c>
      <c r="P988" s="219">
        <f t="shared" ca="1" si="62"/>
        <v>50537</v>
      </c>
      <c r="Q988" s="115" t="e">
        <f ca="1"/>
        <v>#VALUE!</v>
      </c>
      <c r="S988" s="219">
        <f t="shared" ca="1" si="63"/>
        <v>50537</v>
      </c>
      <c r="T988" s="115" t="e">
        <f ca="1"/>
        <v>#VALUE!</v>
      </c>
      <c r="V988" s="219">
        <f t="shared" ca="1" si="64"/>
        <v>50537</v>
      </c>
      <c r="W988" s="115" t="e">
        <f ca="1"/>
        <v>#VALUE!</v>
      </c>
    </row>
    <row r="989" spans="13:23">
      <c r="M989" s="219">
        <f t="shared" ca="1" si="61"/>
        <v>50544</v>
      </c>
      <c r="N989" s="115" t="e">
        <f ca="1"/>
        <v>#VALUE!</v>
      </c>
      <c r="P989" s="219">
        <f t="shared" ca="1" si="62"/>
        <v>50544</v>
      </c>
      <c r="Q989" s="115" t="e">
        <f ca="1"/>
        <v>#VALUE!</v>
      </c>
      <c r="S989" s="219">
        <f t="shared" ca="1" si="63"/>
        <v>50544</v>
      </c>
      <c r="T989" s="115" t="e">
        <f ca="1"/>
        <v>#VALUE!</v>
      </c>
      <c r="V989" s="219">
        <f t="shared" ca="1" si="64"/>
        <v>50544</v>
      </c>
      <c r="W989" s="115" t="e">
        <f ca="1"/>
        <v>#VALUE!</v>
      </c>
    </row>
    <row r="990" spans="13:23">
      <c r="M990" s="219">
        <f t="shared" ca="1" si="61"/>
        <v>50551</v>
      </c>
      <c r="N990" s="115" t="e">
        <f ca="1"/>
        <v>#VALUE!</v>
      </c>
      <c r="P990" s="219">
        <f t="shared" ca="1" si="62"/>
        <v>50551</v>
      </c>
      <c r="Q990" s="115" t="e">
        <f ca="1"/>
        <v>#VALUE!</v>
      </c>
      <c r="S990" s="219">
        <f t="shared" ca="1" si="63"/>
        <v>50551</v>
      </c>
      <c r="T990" s="115" t="e">
        <f ca="1"/>
        <v>#VALUE!</v>
      </c>
      <c r="V990" s="219">
        <f t="shared" ca="1" si="64"/>
        <v>50551</v>
      </c>
      <c r="W990" s="115" t="e">
        <f ca="1"/>
        <v>#VALUE!</v>
      </c>
    </row>
    <row r="991" spans="13:23">
      <c r="M991" s="219">
        <f t="shared" ca="1" si="61"/>
        <v>50558</v>
      </c>
      <c r="N991" s="115" t="e">
        <f ca="1"/>
        <v>#VALUE!</v>
      </c>
      <c r="P991" s="219">
        <f t="shared" ca="1" si="62"/>
        <v>50558</v>
      </c>
      <c r="Q991" s="115" t="e">
        <f ca="1"/>
        <v>#VALUE!</v>
      </c>
      <c r="S991" s="219">
        <f t="shared" ca="1" si="63"/>
        <v>50558</v>
      </c>
      <c r="T991" s="115" t="e">
        <f ca="1"/>
        <v>#VALUE!</v>
      </c>
      <c r="V991" s="219">
        <f t="shared" ca="1" si="64"/>
        <v>50558</v>
      </c>
      <c r="W991" s="115" t="e">
        <f ca="1"/>
        <v>#VALUE!</v>
      </c>
    </row>
    <row r="992" spans="13:23">
      <c r="M992" s="219">
        <f t="shared" ca="1" si="61"/>
        <v>50565</v>
      </c>
      <c r="N992" s="115" t="e">
        <f ca="1"/>
        <v>#VALUE!</v>
      </c>
      <c r="P992" s="219">
        <f t="shared" ca="1" si="62"/>
        <v>50565</v>
      </c>
      <c r="Q992" s="115" t="e">
        <f ca="1"/>
        <v>#VALUE!</v>
      </c>
      <c r="S992" s="219">
        <f t="shared" ca="1" si="63"/>
        <v>50565</v>
      </c>
      <c r="T992" s="115" t="e">
        <f ca="1"/>
        <v>#VALUE!</v>
      </c>
      <c r="V992" s="219">
        <f t="shared" ca="1" si="64"/>
        <v>50565</v>
      </c>
      <c r="W992" s="115" t="e">
        <f ca="1"/>
        <v>#VALUE!</v>
      </c>
    </row>
    <row r="993" spans="13:23">
      <c r="M993" s="219">
        <f t="shared" ca="1" si="61"/>
        <v>50572</v>
      </c>
      <c r="N993" s="115" t="e">
        <f ca="1"/>
        <v>#VALUE!</v>
      </c>
      <c r="P993" s="219">
        <f t="shared" ca="1" si="62"/>
        <v>50572</v>
      </c>
      <c r="Q993" s="115" t="e">
        <f ca="1"/>
        <v>#VALUE!</v>
      </c>
      <c r="S993" s="219">
        <f t="shared" ca="1" si="63"/>
        <v>50572</v>
      </c>
      <c r="T993" s="115" t="e">
        <f ca="1"/>
        <v>#VALUE!</v>
      </c>
      <c r="V993" s="219">
        <f t="shared" ca="1" si="64"/>
        <v>50572</v>
      </c>
      <c r="W993" s="115" t="e">
        <f ca="1"/>
        <v>#VALUE!</v>
      </c>
    </row>
    <row r="994" spans="13:23">
      <c r="M994" s="219">
        <f t="shared" ca="1" si="61"/>
        <v>50579</v>
      </c>
      <c r="N994" s="115" t="e">
        <f ca="1"/>
        <v>#VALUE!</v>
      </c>
      <c r="P994" s="219">
        <f t="shared" ca="1" si="62"/>
        <v>50579</v>
      </c>
      <c r="Q994" s="115" t="e">
        <f ca="1"/>
        <v>#VALUE!</v>
      </c>
      <c r="S994" s="219">
        <f t="shared" ca="1" si="63"/>
        <v>50579</v>
      </c>
      <c r="T994" s="115" t="e">
        <f ca="1"/>
        <v>#VALUE!</v>
      </c>
      <c r="V994" s="219">
        <f t="shared" ca="1" si="64"/>
        <v>50579</v>
      </c>
      <c r="W994" s="115" t="e">
        <f ca="1"/>
        <v>#VALUE!</v>
      </c>
    </row>
    <row r="995" spans="13:23">
      <c r="M995" s="219">
        <f t="shared" ca="1" si="61"/>
        <v>50586</v>
      </c>
      <c r="N995" s="115" t="e">
        <f ca="1"/>
        <v>#VALUE!</v>
      </c>
      <c r="P995" s="219">
        <f t="shared" ca="1" si="62"/>
        <v>50586</v>
      </c>
      <c r="Q995" s="115" t="e">
        <f ca="1"/>
        <v>#VALUE!</v>
      </c>
      <c r="S995" s="219">
        <f t="shared" ca="1" si="63"/>
        <v>50586</v>
      </c>
      <c r="T995" s="115" t="e">
        <f ca="1"/>
        <v>#VALUE!</v>
      </c>
      <c r="V995" s="219">
        <f t="shared" ca="1" si="64"/>
        <v>50586</v>
      </c>
      <c r="W995" s="115" t="e">
        <f ca="1"/>
        <v>#VALUE!</v>
      </c>
    </row>
    <row r="996" spans="13:23">
      <c r="M996" s="219">
        <f t="shared" ca="1" si="61"/>
        <v>50593</v>
      </c>
      <c r="N996" s="115" t="e">
        <f ca="1"/>
        <v>#VALUE!</v>
      </c>
      <c r="P996" s="219">
        <f t="shared" ca="1" si="62"/>
        <v>50593</v>
      </c>
      <c r="Q996" s="115" t="e">
        <f ca="1"/>
        <v>#VALUE!</v>
      </c>
      <c r="S996" s="219">
        <f t="shared" ca="1" si="63"/>
        <v>50593</v>
      </c>
      <c r="T996" s="115" t="e">
        <f ca="1"/>
        <v>#VALUE!</v>
      </c>
      <c r="V996" s="219">
        <f t="shared" ca="1" si="64"/>
        <v>50593</v>
      </c>
      <c r="W996" s="115" t="e">
        <f ca="1"/>
        <v>#VALUE!</v>
      </c>
    </row>
    <row r="997" spans="13:23">
      <c r="M997" s="219">
        <f t="shared" ca="1" si="61"/>
        <v>50600</v>
      </c>
      <c r="N997" s="115" t="e">
        <f ca="1"/>
        <v>#VALUE!</v>
      </c>
      <c r="P997" s="219">
        <f t="shared" ca="1" si="62"/>
        <v>50600</v>
      </c>
      <c r="Q997" s="115" t="e">
        <f ca="1"/>
        <v>#VALUE!</v>
      </c>
      <c r="S997" s="219">
        <f t="shared" ca="1" si="63"/>
        <v>50600</v>
      </c>
      <c r="T997" s="115" t="e">
        <f ca="1"/>
        <v>#VALUE!</v>
      </c>
      <c r="V997" s="219">
        <f t="shared" ca="1" si="64"/>
        <v>50600</v>
      </c>
      <c r="W997" s="115" t="e">
        <f ca="1"/>
        <v>#VALUE!</v>
      </c>
    </row>
    <row r="998" spans="13:23">
      <c r="M998" s="219">
        <f t="shared" ca="1" si="61"/>
        <v>50607</v>
      </c>
      <c r="N998" s="115" t="e">
        <f ca="1"/>
        <v>#VALUE!</v>
      </c>
      <c r="P998" s="219">
        <f t="shared" ca="1" si="62"/>
        <v>50607</v>
      </c>
      <c r="Q998" s="115" t="e">
        <f ca="1"/>
        <v>#VALUE!</v>
      </c>
      <c r="S998" s="219">
        <f t="shared" ca="1" si="63"/>
        <v>50607</v>
      </c>
      <c r="T998" s="115" t="e">
        <f ca="1"/>
        <v>#VALUE!</v>
      </c>
      <c r="V998" s="219">
        <f t="shared" ca="1" si="64"/>
        <v>50607</v>
      </c>
      <c r="W998" s="115" t="e">
        <f ca="1"/>
        <v>#VALUE!</v>
      </c>
    </row>
    <row r="999" spans="13:23">
      <c r="M999" s="219">
        <f t="shared" ca="1" si="61"/>
        <v>50614</v>
      </c>
      <c r="N999" s="115" t="e">
        <f ca="1"/>
        <v>#VALUE!</v>
      </c>
      <c r="P999" s="219">
        <f t="shared" ca="1" si="62"/>
        <v>50614</v>
      </c>
      <c r="Q999" s="115" t="e">
        <f ca="1"/>
        <v>#VALUE!</v>
      </c>
      <c r="S999" s="219">
        <f t="shared" ca="1" si="63"/>
        <v>50614</v>
      </c>
      <c r="T999" s="115" t="e">
        <f ca="1"/>
        <v>#VALUE!</v>
      </c>
      <c r="V999" s="219">
        <f t="shared" ca="1" si="64"/>
        <v>50614</v>
      </c>
      <c r="W999" s="115" t="e">
        <f ca="1"/>
        <v>#VALUE!</v>
      </c>
    </row>
    <row r="1000" spans="13:23">
      <c r="M1000" s="219">
        <f t="shared" ca="1" si="61"/>
        <v>50621</v>
      </c>
      <c r="N1000" s="115" t="e">
        <f ca="1"/>
        <v>#VALUE!</v>
      </c>
      <c r="P1000" s="219">
        <f t="shared" ca="1" si="62"/>
        <v>50621</v>
      </c>
      <c r="Q1000" s="115" t="e">
        <f ca="1"/>
        <v>#VALUE!</v>
      </c>
      <c r="S1000" s="219">
        <f t="shared" ca="1" si="63"/>
        <v>50621</v>
      </c>
      <c r="T1000" s="115" t="e">
        <f ca="1"/>
        <v>#VALUE!</v>
      </c>
      <c r="V1000" s="219">
        <f t="shared" ca="1" si="64"/>
        <v>50621</v>
      </c>
      <c r="W1000" s="115" t="e">
        <f ca="1"/>
        <v>#VALUE!</v>
      </c>
    </row>
    <row r="1001" spans="13:23">
      <c r="M1001" s="219">
        <f t="shared" ca="1" si="61"/>
        <v>50628</v>
      </c>
      <c r="N1001" s="115" t="e">
        <f ca="1"/>
        <v>#VALUE!</v>
      </c>
      <c r="P1001" s="219">
        <f t="shared" ca="1" si="62"/>
        <v>50628</v>
      </c>
      <c r="Q1001" s="115" t="e">
        <f ca="1"/>
        <v>#VALUE!</v>
      </c>
      <c r="S1001" s="219">
        <f t="shared" ca="1" si="63"/>
        <v>50628</v>
      </c>
      <c r="T1001" s="115" t="e">
        <f ca="1"/>
        <v>#VALUE!</v>
      </c>
      <c r="V1001" s="219">
        <f t="shared" ca="1" si="64"/>
        <v>50628</v>
      </c>
      <c r="W1001" s="115" t="e">
        <f ca="1"/>
        <v>#VALUE!</v>
      </c>
    </row>
    <row r="1002" spans="13:23">
      <c r="M1002" s="219">
        <f t="shared" ca="1" si="61"/>
        <v>50635</v>
      </c>
      <c r="N1002" s="115" t="e">
        <f ca="1"/>
        <v>#VALUE!</v>
      </c>
      <c r="P1002" s="219">
        <f t="shared" ca="1" si="62"/>
        <v>50635</v>
      </c>
      <c r="Q1002" s="115" t="e">
        <f ca="1"/>
        <v>#VALUE!</v>
      </c>
      <c r="S1002" s="219">
        <f t="shared" ca="1" si="63"/>
        <v>50635</v>
      </c>
      <c r="T1002" s="115" t="e">
        <f ca="1"/>
        <v>#VALUE!</v>
      </c>
      <c r="V1002" s="219">
        <f t="shared" ca="1" si="64"/>
        <v>50635</v>
      </c>
      <c r="W1002" s="115" t="e">
        <f ca="1"/>
        <v>#VALUE!</v>
      </c>
    </row>
    <row r="1003" spans="13:23">
      <c r="M1003" s="219">
        <f t="shared" ca="1" si="61"/>
        <v>50642</v>
      </c>
      <c r="N1003" s="115" t="e">
        <f ca="1"/>
        <v>#VALUE!</v>
      </c>
      <c r="P1003" s="219">
        <f t="shared" ca="1" si="62"/>
        <v>50642</v>
      </c>
      <c r="Q1003" s="115" t="e">
        <f ca="1"/>
        <v>#VALUE!</v>
      </c>
      <c r="S1003" s="219">
        <f t="shared" ca="1" si="63"/>
        <v>50642</v>
      </c>
      <c r="T1003" s="115" t="e">
        <f ca="1"/>
        <v>#VALUE!</v>
      </c>
      <c r="V1003" s="219">
        <f t="shared" ca="1" si="64"/>
        <v>50642</v>
      </c>
      <c r="W1003" s="115" t="e">
        <f ca="1"/>
        <v>#VALUE!</v>
      </c>
    </row>
    <row r="1004" spans="13:23">
      <c r="M1004" s="219">
        <f t="shared" ca="1" si="61"/>
        <v>50649</v>
      </c>
      <c r="N1004" s="115" t="e">
        <f ca="1"/>
        <v>#VALUE!</v>
      </c>
      <c r="P1004" s="219">
        <f t="shared" ca="1" si="62"/>
        <v>50649</v>
      </c>
      <c r="Q1004" s="115" t="e">
        <f ca="1"/>
        <v>#VALUE!</v>
      </c>
      <c r="S1004" s="219">
        <f t="shared" ca="1" si="63"/>
        <v>50649</v>
      </c>
      <c r="T1004" s="115" t="e">
        <f ca="1"/>
        <v>#VALUE!</v>
      </c>
      <c r="V1004" s="219">
        <f t="shared" ca="1" si="64"/>
        <v>50649</v>
      </c>
      <c r="W1004" s="115" t="e">
        <f ca="1"/>
        <v>#VALUE!</v>
      </c>
    </row>
    <row r="1005" spans="13:23">
      <c r="M1005" s="219">
        <f t="shared" ca="1" si="61"/>
        <v>50656</v>
      </c>
      <c r="N1005" s="115" t="e">
        <f ca="1"/>
        <v>#VALUE!</v>
      </c>
      <c r="P1005" s="219">
        <f t="shared" ca="1" si="62"/>
        <v>50656</v>
      </c>
      <c r="Q1005" s="115" t="e">
        <f ca="1"/>
        <v>#VALUE!</v>
      </c>
      <c r="S1005" s="219">
        <f t="shared" ca="1" si="63"/>
        <v>50656</v>
      </c>
      <c r="T1005" s="115" t="e">
        <f ca="1"/>
        <v>#VALUE!</v>
      </c>
      <c r="V1005" s="219">
        <f t="shared" ca="1" si="64"/>
        <v>50656</v>
      </c>
      <c r="W1005" s="115" t="e">
        <f ca="1"/>
        <v>#VALUE!</v>
      </c>
    </row>
    <row r="1006" spans="13:23">
      <c r="M1006" s="219">
        <f t="shared" ca="1" si="61"/>
        <v>50663</v>
      </c>
      <c r="N1006" s="115" t="e">
        <f ca="1"/>
        <v>#VALUE!</v>
      </c>
      <c r="P1006" s="219">
        <f t="shared" ca="1" si="62"/>
        <v>50663</v>
      </c>
      <c r="Q1006" s="115" t="e">
        <f ca="1"/>
        <v>#VALUE!</v>
      </c>
      <c r="S1006" s="219">
        <f t="shared" ca="1" si="63"/>
        <v>50663</v>
      </c>
      <c r="T1006" s="115" t="e">
        <f ca="1"/>
        <v>#VALUE!</v>
      </c>
      <c r="V1006" s="219">
        <f t="shared" ca="1" si="64"/>
        <v>50663</v>
      </c>
      <c r="W1006" s="115" t="e">
        <f ca="1"/>
        <v>#VALUE!</v>
      </c>
    </row>
    <row r="1007" spans="13:23">
      <c r="M1007" s="219">
        <f t="shared" ca="1" si="61"/>
        <v>50670</v>
      </c>
      <c r="N1007" s="115" t="e">
        <f ca="1"/>
        <v>#VALUE!</v>
      </c>
      <c r="P1007" s="219">
        <f t="shared" ca="1" si="62"/>
        <v>50670</v>
      </c>
      <c r="Q1007" s="115" t="e">
        <f ca="1"/>
        <v>#VALUE!</v>
      </c>
      <c r="S1007" s="219">
        <f t="shared" ca="1" si="63"/>
        <v>50670</v>
      </c>
      <c r="T1007" s="115" t="e">
        <f ca="1"/>
        <v>#VALUE!</v>
      </c>
      <c r="V1007" s="219">
        <f t="shared" ca="1" si="64"/>
        <v>50670</v>
      </c>
      <c r="W1007" s="115" t="e">
        <f ca="1"/>
        <v>#VALUE!</v>
      </c>
    </row>
    <row r="1008" spans="13:23">
      <c r="M1008" s="219">
        <f t="shared" ca="1" si="61"/>
        <v>50677</v>
      </c>
      <c r="N1008" s="115" t="e">
        <f ca="1"/>
        <v>#VALUE!</v>
      </c>
      <c r="P1008" s="219">
        <f t="shared" ca="1" si="62"/>
        <v>50677</v>
      </c>
      <c r="Q1008" s="115" t="e">
        <f ca="1"/>
        <v>#VALUE!</v>
      </c>
      <c r="S1008" s="219">
        <f t="shared" ca="1" si="63"/>
        <v>50677</v>
      </c>
      <c r="T1008" s="115" t="e">
        <f ca="1"/>
        <v>#VALUE!</v>
      </c>
      <c r="V1008" s="219">
        <f t="shared" ca="1" si="64"/>
        <v>50677</v>
      </c>
      <c r="W1008" s="115" t="e">
        <f ca="1"/>
        <v>#VALUE!</v>
      </c>
    </row>
    <row r="1009" spans="13:23">
      <c r="M1009" s="219">
        <f t="shared" ca="1" si="61"/>
        <v>50684</v>
      </c>
      <c r="N1009" s="115" t="e">
        <f ca="1"/>
        <v>#VALUE!</v>
      </c>
      <c r="P1009" s="219">
        <f t="shared" ca="1" si="62"/>
        <v>50684</v>
      </c>
      <c r="Q1009" s="115" t="e">
        <f ca="1"/>
        <v>#VALUE!</v>
      </c>
      <c r="S1009" s="219">
        <f t="shared" ca="1" si="63"/>
        <v>50684</v>
      </c>
      <c r="T1009" s="115" t="e">
        <f ca="1"/>
        <v>#VALUE!</v>
      </c>
      <c r="V1009" s="219">
        <f t="shared" ca="1" si="64"/>
        <v>50684</v>
      </c>
      <c r="W1009" s="115" t="e">
        <f ca="1"/>
        <v>#VALUE!</v>
      </c>
    </row>
    <row r="1010" spans="13:23">
      <c r="M1010" s="219">
        <f t="shared" ca="1" si="61"/>
        <v>50691</v>
      </c>
      <c r="N1010" s="115" t="e">
        <f ca="1"/>
        <v>#VALUE!</v>
      </c>
      <c r="P1010" s="219">
        <f t="shared" ca="1" si="62"/>
        <v>50691</v>
      </c>
      <c r="Q1010" s="115" t="e">
        <f ca="1"/>
        <v>#VALUE!</v>
      </c>
      <c r="S1010" s="219">
        <f t="shared" ca="1" si="63"/>
        <v>50691</v>
      </c>
      <c r="T1010" s="115" t="e">
        <f ca="1"/>
        <v>#VALUE!</v>
      </c>
      <c r="V1010" s="219">
        <f t="shared" ca="1" si="64"/>
        <v>50691</v>
      </c>
      <c r="W1010" s="115" t="e">
        <f ca="1"/>
        <v>#VALUE!</v>
      </c>
    </row>
    <row r="1011" spans="13:23">
      <c r="M1011" s="219">
        <f t="shared" ca="1" si="61"/>
        <v>50698</v>
      </c>
      <c r="N1011" s="115" t="e">
        <f ca="1"/>
        <v>#VALUE!</v>
      </c>
      <c r="P1011" s="219">
        <f t="shared" ca="1" si="62"/>
        <v>50698</v>
      </c>
      <c r="Q1011" s="115" t="e">
        <f ca="1"/>
        <v>#VALUE!</v>
      </c>
      <c r="S1011" s="219">
        <f t="shared" ca="1" si="63"/>
        <v>50698</v>
      </c>
      <c r="T1011" s="115" t="e">
        <f ca="1"/>
        <v>#VALUE!</v>
      </c>
      <c r="V1011" s="219">
        <f t="shared" ca="1" si="64"/>
        <v>50698</v>
      </c>
      <c r="W1011" s="115" t="e">
        <f ca="1"/>
        <v>#VALUE!</v>
      </c>
    </row>
    <row r="1012" spans="13:23">
      <c r="M1012" s="219">
        <f t="shared" ca="1" si="61"/>
        <v>50705</v>
      </c>
      <c r="N1012" s="115" t="e">
        <f ca="1"/>
        <v>#VALUE!</v>
      </c>
      <c r="P1012" s="219">
        <f t="shared" ca="1" si="62"/>
        <v>50705</v>
      </c>
      <c r="Q1012" s="115" t="e">
        <f ca="1"/>
        <v>#VALUE!</v>
      </c>
      <c r="S1012" s="219">
        <f t="shared" ca="1" si="63"/>
        <v>50705</v>
      </c>
      <c r="T1012" s="115" t="e">
        <f ca="1"/>
        <v>#VALUE!</v>
      </c>
      <c r="V1012" s="219">
        <f t="shared" ca="1" si="64"/>
        <v>50705</v>
      </c>
      <c r="W1012" s="115" t="e">
        <f ca="1"/>
        <v>#VALUE!</v>
      </c>
    </row>
    <row r="1013" spans="13:23">
      <c r="M1013" s="219">
        <f t="shared" ca="1" si="61"/>
        <v>50712</v>
      </c>
      <c r="N1013" s="115" t="e">
        <f ca="1"/>
        <v>#VALUE!</v>
      </c>
      <c r="P1013" s="219">
        <f t="shared" ca="1" si="62"/>
        <v>50712</v>
      </c>
      <c r="Q1013" s="115" t="e">
        <f ca="1"/>
        <v>#VALUE!</v>
      </c>
      <c r="S1013" s="219">
        <f t="shared" ca="1" si="63"/>
        <v>50712</v>
      </c>
      <c r="T1013" s="115" t="e">
        <f ca="1"/>
        <v>#VALUE!</v>
      </c>
      <c r="V1013" s="219">
        <f t="shared" ca="1" si="64"/>
        <v>50712</v>
      </c>
      <c r="W1013" s="115" t="e">
        <f ca="1"/>
        <v>#VALUE!</v>
      </c>
    </row>
    <row r="1014" spans="13:23">
      <c r="M1014" s="219">
        <f t="shared" ca="1" si="61"/>
        <v>50719</v>
      </c>
      <c r="N1014" s="115" t="e">
        <f ca="1"/>
        <v>#VALUE!</v>
      </c>
      <c r="P1014" s="219">
        <f t="shared" ca="1" si="62"/>
        <v>50719</v>
      </c>
      <c r="Q1014" s="115" t="e">
        <f ca="1"/>
        <v>#VALUE!</v>
      </c>
      <c r="S1014" s="219">
        <f t="shared" ca="1" si="63"/>
        <v>50719</v>
      </c>
      <c r="T1014" s="115" t="e">
        <f ca="1"/>
        <v>#VALUE!</v>
      </c>
      <c r="V1014" s="219">
        <f t="shared" ca="1" si="64"/>
        <v>50719</v>
      </c>
      <c r="W1014" s="115" t="e">
        <f ca="1"/>
        <v>#VALUE!</v>
      </c>
    </row>
    <row r="1015" spans="13:23">
      <c r="M1015" s="219">
        <f t="shared" ca="1" si="61"/>
        <v>50726</v>
      </c>
      <c r="N1015" s="115" t="e">
        <f ca="1"/>
        <v>#VALUE!</v>
      </c>
      <c r="P1015" s="219">
        <f t="shared" ca="1" si="62"/>
        <v>50726</v>
      </c>
      <c r="Q1015" s="115" t="e">
        <f ca="1"/>
        <v>#VALUE!</v>
      </c>
      <c r="S1015" s="219">
        <f t="shared" ca="1" si="63"/>
        <v>50726</v>
      </c>
      <c r="T1015" s="115" t="e">
        <f ca="1"/>
        <v>#VALUE!</v>
      </c>
      <c r="V1015" s="219">
        <f t="shared" ca="1" si="64"/>
        <v>50726</v>
      </c>
      <c r="W1015" s="115" t="e">
        <f ca="1"/>
        <v>#VALUE!</v>
      </c>
    </row>
    <row r="1016" spans="13:23">
      <c r="M1016" s="219">
        <f t="shared" ca="1" si="61"/>
        <v>50733</v>
      </c>
      <c r="N1016" s="115" t="e">
        <f ca="1"/>
        <v>#VALUE!</v>
      </c>
      <c r="P1016" s="219">
        <f t="shared" ca="1" si="62"/>
        <v>50733</v>
      </c>
      <c r="Q1016" s="115" t="e">
        <f ca="1"/>
        <v>#VALUE!</v>
      </c>
      <c r="S1016" s="219">
        <f t="shared" ca="1" si="63"/>
        <v>50733</v>
      </c>
      <c r="T1016" s="115" t="e">
        <f ca="1"/>
        <v>#VALUE!</v>
      </c>
      <c r="V1016" s="219">
        <f t="shared" ca="1" si="64"/>
        <v>50733</v>
      </c>
      <c r="W1016" s="115" t="e">
        <f ca="1"/>
        <v>#VALUE!</v>
      </c>
    </row>
    <row r="1017" spans="13:23">
      <c r="M1017" s="219">
        <f t="shared" ca="1" si="61"/>
        <v>50740</v>
      </c>
      <c r="N1017" s="115" t="e">
        <f ca="1"/>
        <v>#VALUE!</v>
      </c>
      <c r="P1017" s="219">
        <f t="shared" ca="1" si="62"/>
        <v>50740</v>
      </c>
      <c r="Q1017" s="115" t="e">
        <f ca="1"/>
        <v>#VALUE!</v>
      </c>
      <c r="S1017" s="219">
        <f t="shared" ca="1" si="63"/>
        <v>50740</v>
      </c>
      <c r="T1017" s="115" t="e">
        <f ca="1"/>
        <v>#VALUE!</v>
      </c>
      <c r="V1017" s="219">
        <f t="shared" ca="1" si="64"/>
        <v>50740</v>
      </c>
      <c r="W1017" s="115" t="e">
        <f ca="1"/>
        <v>#VALUE!</v>
      </c>
    </row>
    <row r="1018" spans="13:23">
      <c r="M1018" s="219">
        <f t="shared" ca="1" si="61"/>
        <v>50747</v>
      </c>
      <c r="N1018" s="115" t="e">
        <f ca="1"/>
        <v>#VALUE!</v>
      </c>
      <c r="P1018" s="219">
        <f t="shared" ca="1" si="62"/>
        <v>50747</v>
      </c>
      <c r="Q1018" s="115" t="e">
        <f ca="1"/>
        <v>#VALUE!</v>
      </c>
      <c r="S1018" s="219">
        <f t="shared" ca="1" si="63"/>
        <v>50747</v>
      </c>
      <c r="T1018" s="115" t="e">
        <f ca="1"/>
        <v>#VALUE!</v>
      </c>
      <c r="V1018" s="219">
        <f t="shared" ca="1" si="64"/>
        <v>50747</v>
      </c>
      <c r="W1018" s="115" t="e">
        <f ca="1"/>
        <v>#VALUE!</v>
      </c>
    </row>
    <row r="1019" spans="13:23">
      <c r="M1019" s="219">
        <f t="shared" ca="1" si="61"/>
        <v>50754</v>
      </c>
      <c r="N1019" s="115" t="e">
        <f ca="1"/>
        <v>#VALUE!</v>
      </c>
      <c r="P1019" s="219">
        <f t="shared" ca="1" si="62"/>
        <v>50754</v>
      </c>
      <c r="Q1019" s="115" t="e">
        <f ca="1"/>
        <v>#VALUE!</v>
      </c>
      <c r="S1019" s="219">
        <f t="shared" ca="1" si="63"/>
        <v>50754</v>
      </c>
      <c r="T1019" s="115" t="e">
        <f ca="1"/>
        <v>#VALUE!</v>
      </c>
      <c r="V1019" s="219">
        <f t="shared" ca="1" si="64"/>
        <v>50754</v>
      </c>
      <c r="W1019" s="115" t="e">
        <f ca="1"/>
        <v>#VALUE!</v>
      </c>
    </row>
    <row r="1020" spans="13:23">
      <c r="M1020" s="219">
        <f t="shared" ca="1" si="61"/>
        <v>50761</v>
      </c>
      <c r="N1020" s="115" t="e">
        <f ca="1"/>
        <v>#VALUE!</v>
      </c>
      <c r="P1020" s="219">
        <f t="shared" ca="1" si="62"/>
        <v>50761</v>
      </c>
      <c r="Q1020" s="115" t="e">
        <f ca="1"/>
        <v>#VALUE!</v>
      </c>
      <c r="S1020" s="219">
        <f t="shared" ca="1" si="63"/>
        <v>50761</v>
      </c>
      <c r="T1020" s="115" t="e">
        <f ca="1"/>
        <v>#VALUE!</v>
      </c>
      <c r="V1020" s="219">
        <f t="shared" ca="1" si="64"/>
        <v>50761</v>
      </c>
      <c r="W1020" s="115" t="e">
        <f ca="1"/>
        <v>#VALUE!</v>
      </c>
    </row>
    <row r="1021" spans="13:23">
      <c r="M1021" s="219">
        <f t="shared" ca="1" si="61"/>
        <v>50768</v>
      </c>
      <c r="N1021" s="115" t="e">
        <f ca="1"/>
        <v>#VALUE!</v>
      </c>
      <c r="P1021" s="219">
        <f t="shared" ca="1" si="62"/>
        <v>50768</v>
      </c>
      <c r="Q1021" s="115" t="e">
        <f ca="1"/>
        <v>#VALUE!</v>
      </c>
      <c r="S1021" s="219">
        <f t="shared" ca="1" si="63"/>
        <v>50768</v>
      </c>
      <c r="T1021" s="115" t="e">
        <f ca="1"/>
        <v>#VALUE!</v>
      </c>
      <c r="V1021" s="219">
        <f t="shared" ca="1" si="64"/>
        <v>50768</v>
      </c>
      <c r="W1021" s="115" t="e">
        <f ca="1"/>
        <v>#VALUE!</v>
      </c>
    </row>
    <row r="1022" spans="13:23">
      <c r="M1022" s="219">
        <f t="shared" ca="1" si="61"/>
        <v>50775</v>
      </c>
      <c r="N1022" s="115" t="e">
        <f ca="1"/>
        <v>#VALUE!</v>
      </c>
      <c r="P1022" s="219">
        <f t="shared" ca="1" si="62"/>
        <v>50775</v>
      </c>
      <c r="Q1022" s="115" t="e">
        <f ca="1"/>
        <v>#VALUE!</v>
      </c>
      <c r="S1022" s="219">
        <f t="shared" ca="1" si="63"/>
        <v>50775</v>
      </c>
      <c r="T1022" s="115" t="e">
        <f ca="1"/>
        <v>#VALUE!</v>
      </c>
      <c r="V1022" s="219">
        <f t="shared" ca="1" si="64"/>
        <v>50775</v>
      </c>
      <c r="W1022" s="115" t="e">
        <f ca="1"/>
        <v>#VALUE!</v>
      </c>
    </row>
    <row r="1023" spans="13:23">
      <c r="M1023" s="219">
        <f t="shared" ca="1" si="61"/>
        <v>50782</v>
      </c>
      <c r="N1023" s="115" t="e">
        <f ca="1"/>
        <v>#VALUE!</v>
      </c>
      <c r="P1023" s="219">
        <f t="shared" ca="1" si="62"/>
        <v>50782</v>
      </c>
      <c r="Q1023" s="115" t="e">
        <f ca="1"/>
        <v>#VALUE!</v>
      </c>
      <c r="S1023" s="219">
        <f t="shared" ca="1" si="63"/>
        <v>50782</v>
      </c>
      <c r="T1023" s="115" t="e">
        <f ca="1"/>
        <v>#VALUE!</v>
      </c>
      <c r="V1023" s="219">
        <f t="shared" ca="1" si="64"/>
        <v>50782</v>
      </c>
      <c r="W1023" s="115" t="e">
        <f ca="1"/>
        <v>#VALUE!</v>
      </c>
    </row>
    <row r="1024" spans="13:23">
      <c r="M1024" s="219">
        <f t="shared" ca="1" si="61"/>
        <v>50789</v>
      </c>
      <c r="N1024" s="115" t="e">
        <f ca="1"/>
        <v>#VALUE!</v>
      </c>
      <c r="P1024" s="219">
        <f t="shared" ca="1" si="62"/>
        <v>50789</v>
      </c>
      <c r="Q1024" s="115" t="e">
        <f ca="1"/>
        <v>#VALUE!</v>
      </c>
      <c r="S1024" s="219">
        <f t="shared" ca="1" si="63"/>
        <v>50789</v>
      </c>
      <c r="T1024" s="115" t="e">
        <f ca="1"/>
        <v>#VALUE!</v>
      </c>
      <c r="V1024" s="219">
        <f t="shared" ca="1" si="64"/>
        <v>50789</v>
      </c>
      <c r="W1024" s="115" t="e">
        <f ca="1"/>
        <v>#VALUE!</v>
      </c>
    </row>
    <row r="1025" spans="13:23">
      <c r="M1025" s="219">
        <f t="shared" ca="1" si="61"/>
        <v>50796</v>
      </c>
      <c r="N1025" s="115" t="e">
        <f ca="1"/>
        <v>#VALUE!</v>
      </c>
      <c r="P1025" s="219">
        <f t="shared" ca="1" si="62"/>
        <v>50796</v>
      </c>
      <c r="Q1025" s="115" t="e">
        <f ca="1"/>
        <v>#VALUE!</v>
      </c>
      <c r="S1025" s="219">
        <f t="shared" ca="1" si="63"/>
        <v>50796</v>
      </c>
      <c r="T1025" s="115" t="e">
        <f ca="1"/>
        <v>#VALUE!</v>
      </c>
      <c r="V1025" s="219">
        <f t="shared" ca="1" si="64"/>
        <v>50796</v>
      </c>
      <c r="W1025" s="115" t="e">
        <f ca="1"/>
        <v>#VALUE!</v>
      </c>
    </row>
    <row r="1026" spans="13:23">
      <c r="M1026" s="219">
        <f t="shared" ca="1" si="61"/>
        <v>50803</v>
      </c>
      <c r="N1026" s="115" t="e">
        <f ca="1"/>
        <v>#VALUE!</v>
      </c>
      <c r="P1026" s="219">
        <f t="shared" ca="1" si="62"/>
        <v>50803</v>
      </c>
      <c r="Q1026" s="115" t="e">
        <f ca="1"/>
        <v>#VALUE!</v>
      </c>
      <c r="S1026" s="219">
        <f t="shared" ca="1" si="63"/>
        <v>50803</v>
      </c>
      <c r="T1026" s="115" t="e">
        <f ca="1"/>
        <v>#VALUE!</v>
      </c>
      <c r="V1026" s="219">
        <f t="shared" ca="1" si="64"/>
        <v>50803</v>
      </c>
      <c r="W1026" s="115" t="e">
        <f ca="1"/>
        <v>#VALUE!</v>
      </c>
    </row>
    <row r="1027" spans="13:23">
      <c r="M1027" s="219">
        <f t="shared" ca="1" si="61"/>
        <v>50810</v>
      </c>
      <c r="N1027" s="115" t="e">
        <f ca="1"/>
        <v>#VALUE!</v>
      </c>
      <c r="P1027" s="219">
        <f t="shared" ca="1" si="62"/>
        <v>50810</v>
      </c>
      <c r="Q1027" s="115" t="e">
        <f ca="1"/>
        <v>#VALUE!</v>
      </c>
      <c r="S1027" s="219">
        <f t="shared" ca="1" si="63"/>
        <v>50810</v>
      </c>
      <c r="T1027" s="115" t="e">
        <f ca="1"/>
        <v>#VALUE!</v>
      </c>
      <c r="V1027" s="219">
        <f t="shared" ca="1" si="64"/>
        <v>50810</v>
      </c>
      <c r="W1027" s="115" t="e">
        <f ca="1"/>
        <v>#VALUE!</v>
      </c>
    </row>
    <row r="1028" spans="13:23">
      <c r="M1028" s="219">
        <f t="shared" ca="1" si="61"/>
        <v>50817</v>
      </c>
      <c r="N1028" s="115" t="e">
        <f ca="1"/>
        <v>#VALUE!</v>
      </c>
      <c r="P1028" s="219">
        <f t="shared" ca="1" si="62"/>
        <v>50817</v>
      </c>
      <c r="Q1028" s="115" t="e">
        <f ca="1"/>
        <v>#VALUE!</v>
      </c>
      <c r="S1028" s="219">
        <f t="shared" ca="1" si="63"/>
        <v>50817</v>
      </c>
      <c r="T1028" s="115" t="e">
        <f ca="1"/>
        <v>#VALUE!</v>
      </c>
      <c r="V1028" s="219">
        <f t="shared" ca="1" si="64"/>
        <v>50817</v>
      </c>
      <c r="W1028" s="115" t="e">
        <f ca="1"/>
        <v>#VALUE!</v>
      </c>
    </row>
    <row r="1029" spans="13:23">
      <c r="M1029" s="219">
        <f t="shared" ca="1" si="61"/>
        <v>50824</v>
      </c>
      <c r="N1029" s="115" t="e">
        <f ca="1"/>
        <v>#VALUE!</v>
      </c>
      <c r="P1029" s="219">
        <f t="shared" ca="1" si="62"/>
        <v>50824</v>
      </c>
      <c r="Q1029" s="115" t="e">
        <f ca="1"/>
        <v>#VALUE!</v>
      </c>
      <c r="S1029" s="219">
        <f t="shared" ca="1" si="63"/>
        <v>50824</v>
      </c>
      <c r="T1029" s="115" t="e">
        <f ca="1"/>
        <v>#VALUE!</v>
      </c>
      <c r="V1029" s="219">
        <f t="shared" ca="1" si="64"/>
        <v>50824</v>
      </c>
      <c r="W1029" s="115" t="e">
        <f ca="1"/>
        <v>#VALUE!</v>
      </c>
    </row>
    <row r="1030" spans="13:23">
      <c r="M1030" s="219">
        <f t="shared" ca="1" si="61"/>
        <v>50831</v>
      </c>
      <c r="N1030" s="115" t="e">
        <f ca="1"/>
        <v>#VALUE!</v>
      </c>
      <c r="P1030" s="219">
        <f t="shared" ca="1" si="62"/>
        <v>50831</v>
      </c>
      <c r="Q1030" s="115" t="e">
        <f ca="1"/>
        <v>#VALUE!</v>
      </c>
      <c r="S1030" s="219">
        <f t="shared" ca="1" si="63"/>
        <v>50831</v>
      </c>
      <c r="T1030" s="115" t="e">
        <f ca="1"/>
        <v>#VALUE!</v>
      </c>
      <c r="V1030" s="219">
        <f t="shared" ca="1" si="64"/>
        <v>50831</v>
      </c>
      <c r="W1030" s="115" t="e">
        <f ca="1"/>
        <v>#VALUE!</v>
      </c>
    </row>
    <row r="1031" spans="13:23">
      <c r="M1031" s="219">
        <f t="shared" ca="1" si="61"/>
        <v>50838</v>
      </c>
      <c r="N1031" s="115" t="e">
        <f ca="1"/>
        <v>#VALUE!</v>
      </c>
      <c r="P1031" s="219">
        <f t="shared" ca="1" si="62"/>
        <v>50838</v>
      </c>
      <c r="Q1031" s="115" t="e">
        <f ca="1"/>
        <v>#VALUE!</v>
      </c>
      <c r="S1031" s="219">
        <f t="shared" ca="1" si="63"/>
        <v>50838</v>
      </c>
      <c r="T1031" s="115" t="e">
        <f ca="1"/>
        <v>#VALUE!</v>
      </c>
      <c r="V1031" s="219">
        <f t="shared" ca="1" si="64"/>
        <v>50838</v>
      </c>
      <c r="W1031" s="115" t="e">
        <f ca="1"/>
        <v>#VALUE!</v>
      </c>
    </row>
    <row r="1032" spans="13:23">
      <c r="M1032" s="219">
        <f t="shared" ca="1" si="61"/>
        <v>50845</v>
      </c>
      <c r="N1032" s="115" t="e">
        <f ca="1"/>
        <v>#VALUE!</v>
      </c>
      <c r="P1032" s="219">
        <f t="shared" ca="1" si="62"/>
        <v>50845</v>
      </c>
      <c r="Q1032" s="115" t="e">
        <f ca="1"/>
        <v>#VALUE!</v>
      </c>
      <c r="S1032" s="219">
        <f t="shared" ca="1" si="63"/>
        <v>50845</v>
      </c>
      <c r="T1032" s="115" t="e">
        <f ca="1"/>
        <v>#VALUE!</v>
      </c>
      <c r="V1032" s="219">
        <f t="shared" ca="1" si="64"/>
        <v>50845</v>
      </c>
      <c r="W1032" s="115" t="e">
        <f ca="1"/>
        <v>#VALUE!</v>
      </c>
    </row>
    <row r="1033" spans="13:23">
      <c r="M1033" s="219">
        <f t="shared" ca="1" si="61"/>
        <v>50852</v>
      </c>
      <c r="N1033" s="115" t="e">
        <f ca="1"/>
        <v>#VALUE!</v>
      </c>
      <c r="P1033" s="219">
        <f t="shared" ca="1" si="62"/>
        <v>50852</v>
      </c>
      <c r="Q1033" s="115" t="e">
        <f ca="1"/>
        <v>#VALUE!</v>
      </c>
      <c r="S1033" s="219">
        <f t="shared" ca="1" si="63"/>
        <v>50852</v>
      </c>
      <c r="T1033" s="115" t="e">
        <f ca="1"/>
        <v>#VALUE!</v>
      </c>
      <c r="V1033" s="219">
        <f t="shared" ca="1" si="64"/>
        <v>50852</v>
      </c>
      <c r="W1033" s="115" t="e">
        <f ca="1"/>
        <v>#VALUE!</v>
      </c>
    </row>
    <row r="1034" spans="13:23">
      <c r="M1034" s="219">
        <f t="shared" ca="1" si="61"/>
        <v>50859</v>
      </c>
      <c r="N1034" s="115" t="e">
        <f ca="1"/>
        <v>#VALUE!</v>
      </c>
      <c r="P1034" s="219">
        <f t="shared" ca="1" si="62"/>
        <v>50859</v>
      </c>
      <c r="Q1034" s="115" t="e">
        <f ca="1"/>
        <v>#VALUE!</v>
      </c>
      <c r="S1034" s="219">
        <f t="shared" ca="1" si="63"/>
        <v>50859</v>
      </c>
      <c r="T1034" s="115" t="e">
        <f ca="1"/>
        <v>#VALUE!</v>
      </c>
      <c r="V1034" s="219">
        <f t="shared" ca="1" si="64"/>
        <v>50859</v>
      </c>
      <c r="W1034" s="115" t="e">
        <f ca="1"/>
        <v>#VALUE!</v>
      </c>
    </row>
    <row r="1035" spans="13:23">
      <c r="M1035" s="219">
        <f t="shared" ca="1" si="61"/>
        <v>50866</v>
      </c>
      <c r="N1035" s="115" t="e">
        <f ca="1"/>
        <v>#VALUE!</v>
      </c>
      <c r="P1035" s="219">
        <f t="shared" ca="1" si="62"/>
        <v>50866</v>
      </c>
      <c r="Q1035" s="115" t="e">
        <f ca="1"/>
        <v>#VALUE!</v>
      </c>
      <c r="S1035" s="219">
        <f t="shared" ca="1" si="63"/>
        <v>50866</v>
      </c>
      <c r="T1035" s="115" t="e">
        <f ca="1"/>
        <v>#VALUE!</v>
      </c>
      <c r="V1035" s="219">
        <f t="shared" ca="1" si="64"/>
        <v>50866</v>
      </c>
      <c r="W1035" s="115" t="e">
        <f ca="1"/>
        <v>#VALUE!</v>
      </c>
    </row>
    <row r="1036" spans="13:23">
      <c r="M1036" s="219">
        <f t="shared" ca="1" si="61"/>
        <v>50873</v>
      </c>
      <c r="N1036" s="115" t="e">
        <f ca="1"/>
        <v>#VALUE!</v>
      </c>
      <c r="P1036" s="219">
        <f t="shared" ca="1" si="62"/>
        <v>50873</v>
      </c>
      <c r="Q1036" s="115" t="e">
        <f ca="1"/>
        <v>#VALUE!</v>
      </c>
      <c r="S1036" s="219">
        <f t="shared" ca="1" si="63"/>
        <v>50873</v>
      </c>
      <c r="T1036" s="115" t="e">
        <f ca="1"/>
        <v>#VALUE!</v>
      </c>
      <c r="V1036" s="219">
        <f t="shared" ca="1" si="64"/>
        <v>50873</v>
      </c>
      <c r="W1036" s="115" t="e">
        <f ca="1"/>
        <v>#VALUE!</v>
      </c>
    </row>
    <row r="1037" spans="13:23">
      <c r="M1037" s="219">
        <f t="shared" ref="M1037:M1100" ca="1" si="65">M1036+7</f>
        <v>50880</v>
      </c>
      <c r="N1037" s="115" t="e">
        <f ca="1"/>
        <v>#VALUE!</v>
      </c>
      <c r="P1037" s="219">
        <f t="shared" ref="P1037:P1100" ca="1" si="66">P1036+7</f>
        <v>50880</v>
      </c>
      <c r="Q1037" s="115" t="e">
        <f ca="1"/>
        <v>#VALUE!</v>
      </c>
      <c r="S1037" s="219">
        <f t="shared" ref="S1037:S1100" ca="1" si="67">S1036+7</f>
        <v>50880</v>
      </c>
      <c r="T1037" s="115" t="e">
        <f ca="1"/>
        <v>#VALUE!</v>
      </c>
      <c r="V1037" s="219">
        <f t="shared" ref="V1037:V1100" ca="1" si="68">V1036+7</f>
        <v>50880</v>
      </c>
      <c r="W1037" s="115" t="e">
        <f ca="1"/>
        <v>#VALUE!</v>
      </c>
    </row>
    <row r="1038" spans="13:23">
      <c r="M1038" s="219">
        <f t="shared" ca="1" si="65"/>
        <v>50887</v>
      </c>
      <c r="N1038" s="115" t="e">
        <f ca="1"/>
        <v>#VALUE!</v>
      </c>
      <c r="P1038" s="219">
        <f t="shared" ca="1" si="66"/>
        <v>50887</v>
      </c>
      <c r="Q1038" s="115" t="e">
        <f ca="1"/>
        <v>#VALUE!</v>
      </c>
      <c r="S1038" s="219">
        <f t="shared" ca="1" si="67"/>
        <v>50887</v>
      </c>
      <c r="T1038" s="115" t="e">
        <f ca="1"/>
        <v>#VALUE!</v>
      </c>
      <c r="V1038" s="219">
        <f t="shared" ca="1" si="68"/>
        <v>50887</v>
      </c>
      <c r="W1038" s="115" t="e">
        <f ca="1"/>
        <v>#VALUE!</v>
      </c>
    </row>
    <row r="1039" spans="13:23">
      <c r="M1039" s="219">
        <f t="shared" ca="1" si="65"/>
        <v>50894</v>
      </c>
      <c r="N1039" s="115" t="e">
        <f ca="1"/>
        <v>#VALUE!</v>
      </c>
      <c r="P1039" s="219">
        <f t="shared" ca="1" si="66"/>
        <v>50894</v>
      </c>
      <c r="Q1039" s="115" t="e">
        <f ca="1"/>
        <v>#VALUE!</v>
      </c>
      <c r="S1039" s="219">
        <f t="shared" ca="1" si="67"/>
        <v>50894</v>
      </c>
      <c r="T1039" s="115" t="e">
        <f ca="1"/>
        <v>#VALUE!</v>
      </c>
      <c r="V1039" s="219">
        <f t="shared" ca="1" si="68"/>
        <v>50894</v>
      </c>
      <c r="W1039" s="115" t="e">
        <f ca="1"/>
        <v>#VALUE!</v>
      </c>
    </row>
    <row r="1040" spans="13:23">
      <c r="M1040" s="219">
        <f t="shared" ca="1" si="65"/>
        <v>50901</v>
      </c>
      <c r="N1040" s="115" t="e">
        <f ca="1"/>
        <v>#VALUE!</v>
      </c>
      <c r="P1040" s="219">
        <f t="shared" ca="1" si="66"/>
        <v>50901</v>
      </c>
      <c r="Q1040" s="115" t="e">
        <f ca="1"/>
        <v>#VALUE!</v>
      </c>
      <c r="S1040" s="219">
        <f t="shared" ca="1" si="67"/>
        <v>50901</v>
      </c>
      <c r="T1040" s="115" t="e">
        <f ca="1"/>
        <v>#VALUE!</v>
      </c>
      <c r="V1040" s="219">
        <f t="shared" ca="1" si="68"/>
        <v>50901</v>
      </c>
      <c r="W1040" s="115" t="e">
        <f ca="1"/>
        <v>#VALUE!</v>
      </c>
    </row>
    <row r="1041" spans="13:23">
      <c r="M1041" s="219">
        <f t="shared" ca="1" si="65"/>
        <v>50908</v>
      </c>
      <c r="N1041" s="115" t="e">
        <f ca="1"/>
        <v>#VALUE!</v>
      </c>
      <c r="P1041" s="219">
        <f t="shared" ca="1" si="66"/>
        <v>50908</v>
      </c>
      <c r="Q1041" s="115" t="e">
        <f ca="1"/>
        <v>#VALUE!</v>
      </c>
      <c r="S1041" s="219">
        <f t="shared" ca="1" si="67"/>
        <v>50908</v>
      </c>
      <c r="T1041" s="115" t="e">
        <f ca="1"/>
        <v>#VALUE!</v>
      </c>
      <c r="V1041" s="219">
        <f t="shared" ca="1" si="68"/>
        <v>50908</v>
      </c>
      <c r="W1041" s="115" t="e">
        <f ca="1"/>
        <v>#VALUE!</v>
      </c>
    </row>
    <row r="1042" spans="13:23">
      <c r="M1042" s="219">
        <f t="shared" ca="1" si="65"/>
        <v>50915</v>
      </c>
      <c r="N1042" s="115" t="e">
        <f ca="1"/>
        <v>#VALUE!</v>
      </c>
      <c r="P1042" s="219">
        <f t="shared" ca="1" si="66"/>
        <v>50915</v>
      </c>
      <c r="Q1042" s="115" t="e">
        <f ca="1"/>
        <v>#VALUE!</v>
      </c>
      <c r="S1042" s="219">
        <f t="shared" ca="1" si="67"/>
        <v>50915</v>
      </c>
      <c r="T1042" s="115" t="e">
        <f ca="1"/>
        <v>#VALUE!</v>
      </c>
      <c r="V1042" s="219">
        <f t="shared" ca="1" si="68"/>
        <v>50915</v>
      </c>
      <c r="W1042" s="115" t="e">
        <f ca="1"/>
        <v>#VALUE!</v>
      </c>
    </row>
    <row r="1043" spans="13:23">
      <c r="M1043" s="219">
        <f t="shared" ca="1" si="65"/>
        <v>50922</v>
      </c>
      <c r="N1043" s="115" t="e">
        <f ca="1"/>
        <v>#VALUE!</v>
      </c>
      <c r="P1043" s="219">
        <f t="shared" ca="1" si="66"/>
        <v>50922</v>
      </c>
      <c r="Q1043" s="115" t="e">
        <f ca="1"/>
        <v>#VALUE!</v>
      </c>
      <c r="S1043" s="219">
        <f t="shared" ca="1" si="67"/>
        <v>50922</v>
      </c>
      <c r="T1043" s="115" t="e">
        <f ca="1"/>
        <v>#VALUE!</v>
      </c>
      <c r="V1043" s="219">
        <f t="shared" ca="1" si="68"/>
        <v>50922</v>
      </c>
      <c r="W1043" s="115" t="e">
        <f ca="1"/>
        <v>#VALUE!</v>
      </c>
    </row>
    <row r="1044" spans="13:23">
      <c r="M1044" s="219">
        <f t="shared" ca="1" si="65"/>
        <v>50929</v>
      </c>
      <c r="N1044" s="115" t="e">
        <f ca="1"/>
        <v>#VALUE!</v>
      </c>
      <c r="P1044" s="219">
        <f t="shared" ca="1" si="66"/>
        <v>50929</v>
      </c>
      <c r="Q1044" s="115" t="e">
        <f ca="1"/>
        <v>#VALUE!</v>
      </c>
      <c r="S1044" s="219">
        <f t="shared" ca="1" si="67"/>
        <v>50929</v>
      </c>
      <c r="T1044" s="115" t="e">
        <f ca="1"/>
        <v>#VALUE!</v>
      </c>
      <c r="V1044" s="219">
        <f t="shared" ca="1" si="68"/>
        <v>50929</v>
      </c>
      <c r="W1044" s="115" t="e">
        <f ca="1"/>
        <v>#VALUE!</v>
      </c>
    </row>
    <row r="1045" spans="13:23">
      <c r="M1045" s="219">
        <f t="shared" ca="1" si="65"/>
        <v>50936</v>
      </c>
      <c r="N1045" s="115" t="e">
        <f ca="1"/>
        <v>#VALUE!</v>
      </c>
      <c r="P1045" s="219">
        <f t="shared" ca="1" si="66"/>
        <v>50936</v>
      </c>
      <c r="Q1045" s="115" t="e">
        <f ca="1"/>
        <v>#VALUE!</v>
      </c>
      <c r="S1045" s="219">
        <f t="shared" ca="1" si="67"/>
        <v>50936</v>
      </c>
      <c r="T1045" s="115" t="e">
        <f ca="1"/>
        <v>#VALUE!</v>
      </c>
      <c r="V1045" s="219">
        <f t="shared" ca="1" si="68"/>
        <v>50936</v>
      </c>
      <c r="W1045" s="115" t="e">
        <f ca="1"/>
        <v>#VALUE!</v>
      </c>
    </row>
    <row r="1046" spans="13:23">
      <c r="M1046" s="219">
        <f t="shared" ca="1" si="65"/>
        <v>50943</v>
      </c>
      <c r="N1046" s="115" t="e">
        <f ca="1"/>
        <v>#VALUE!</v>
      </c>
      <c r="P1046" s="219">
        <f t="shared" ca="1" si="66"/>
        <v>50943</v>
      </c>
      <c r="Q1046" s="115" t="e">
        <f ca="1"/>
        <v>#VALUE!</v>
      </c>
      <c r="S1046" s="219">
        <f t="shared" ca="1" si="67"/>
        <v>50943</v>
      </c>
      <c r="T1046" s="115" t="e">
        <f ca="1"/>
        <v>#VALUE!</v>
      </c>
      <c r="V1046" s="219">
        <f t="shared" ca="1" si="68"/>
        <v>50943</v>
      </c>
      <c r="W1046" s="115" t="e">
        <f ca="1"/>
        <v>#VALUE!</v>
      </c>
    </row>
    <row r="1047" spans="13:23">
      <c r="M1047" s="219">
        <f t="shared" ca="1" si="65"/>
        <v>50950</v>
      </c>
      <c r="N1047" s="115" t="e">
        <f ca="1"/>
        <v>#VALUE!</v>
      </c>
      <c r="P1047" s="219">
        <f t="shared" ca="1" si="66"/>
        <v>50950</v>
      </c>
      <c r="Q1047" s="115" t="e">
        <f ca="1"/>
        <v>#VALUE!</v>
      </c>
      <c r="S1047" s="219">
        <f t="shared" ca="1" si="67"/>
        <v>50950</v>
      </c>
      <c r="T1047" s="115" t="e">
        <f ca="1"/>
        <v>#VALUE!</v>
      </c>
      <c r="V1047" s="219">
        <f t="shared" ca="1" si="68"/>
        <v>50950</v>
      </c>
      <c r="W1047" s="115" t="e">
        <f ca="1"/>
        <v>#VALUE!</v>
      </c>
    </row>
    <row r="1048" spans="13:23">
      <c r="M1048" s="219">
        <f t="shared" ca="1" si="65"/>
        <v>50957</v>
      </c>
      <c r="N1048" s="115" t="e">
        <f ca="1"/>
        <v>#VALUE!</v>
      </c>
      <c r="P1048" s="219">
        <f t="shared" ca="1" si="66"/>
        <v>50957</v>
      </c>
      <c r="Q1048" s="115" t="e">
        <f ca="1"/>
        <v>#VALUE!</v>
      </c>
      <c r="S1048" s="219">
        <f t="shared" ca="1" si="67"/>
        <v>50957</v>
      </c>
      <c r="T1048" s="115" t="e">
        <f ca="1"/>
        <v>#VALUE!</v>
      </c>
      <c r="V1048" s="219">
        <f t="shared" ca="1" si="68"/>
        <v>50957</v>
      </c>
      <c r="W1048" s="115" t="e">
        <f ca="1"/>
        <v>#VALUE!</v>
      </c>
    </row>
    <row r="1049" spans="13:23">
      <c r="M1049" s="219">
        <f t="shared" ca="1" si="65"/>
        <v>50964</v>
      </c>
      <c r="N1049" s="115" t="e">
        <f ca="1"/>
        <v>#VALUE!</v>
      </c>
      <c r="P1049" s="219">
        <f t="shared" ca="1" si="66"/>
        <v>50964</v>
      </c>
      <c r="Q1049" s="115" t="e">
        <f ca="1"/>
        <v>#VALUE!</v>
      </c>
      <c r="S1049" s="219">
        <f t="shared" ca="1" si="67"/>
        <v>50964</v>
      </c>
      <c r="T1049" s="115" t="e">
        <f ca="1"/>
        <v>#VALUE!</v>
      </c>
      <c r="V1049" s="219">
        <f t="shared" ca="1" si="68"/>
        <v>50964</v>
      </c>
      <c r="W1049" s="115" t="e">
        <f ca="1"/>
        <v>#VALUE!</v>
      </c>
    </row>
    <row r="1050" spans="13:23">
      <c r="M1050" s="219">
        <f t="shared" ca="1" si="65"/>
        <v>50971</v>
      </c>
      <c r="N1050" s="115" t="e">
        <f ca="1"/>
        <v>#VALUE!</v>
      </c>
      <c r="P1050" s="219">
        <f t="shared" ca="1" si="66"/>
        <v>50971</v>
      </c>
      <c r="Q1050" s="115" t="e">
        <f ca="1"/>
        <v>#VALUE!</v>
      </c>
      <c r="S1050" s="219">
        <f t="shared" ca="1" si="67"/>
        <v>50971</v>
      </c>
      <c r="T1050" s="115" t="e">
        <f ca="1"/>
        <v>#VALUE!</v>
      </c>
      <c r="V1050" s="219">
        <f t="shared" ca="1" si="68"/>
        <v>50971</v>
      </c>
      <c r="W1050" s="115" t="e">
        <f ca="1"/>
        <v>#VALUE!</v>
      </c>
    </row>
    <row r="1051" spans="13:23">
      <c r="M1051" s="219">
        <f t="shared" ca="1" si="65"/>
        <v>50978</v>
      </c>
      <c r="N1051" s="115" t="e">
        <f ca="1"/>
        <v>#VALUE!</v>
      </c>
      <c r="P1051" s="219">
        <f t="shared" ca="1" si="66"/>
        <v>50978</v>
      </c>
      <c r="Q1051" s="115" t="e">
        <f ca="1"/>
        <v>#VALUE!</v>
      </c>
      <c r="S1051" s="219">
        <f t="shared" ca="1" si="67"/>
        <v>50978</v>
      </c>
      <c r="T1051" s="115" t="e">
        <f ca="1"/>
        <v>#VALUE!</v>
      </c>
      <c r="V1051" s="219">
        <f t="shared" ca="1" si="68"/>
        <v>50978</v>
      </c>
      <c r="W1051" s="115" t="e">
        <f ca="1"/>
        <v>#VALUE!</v>
      </c>
    </row>
    <row r="1052" spans="13:23">
      <c r="M1052" s="219">
        <f t="shared" ca="1" si="65"/>
        <v>50985</v>
      </c>
      <c r="N1052" s="115" t="e">
        <f ca="1"/>
        <v>#VALUE!</v>
      </c>
      <c r="P1052" s="219">
        <f t="shared" ca="1" si="66"/>
        <v>50985</v>
      </c>
      <c r="Q1052" s="115" t="e">
        <f ca="1"/>
        <v>#VALUE!</v>
      </c>
      <c r="S1052" s="219">
        <f t="shared" ca="1" si="67"/>
        <v>50985</v>
      </c>
      <c r="T1052" s="115" t="e">
        <f ca="1"/>
        <v>#VALUE!</v>
      </c>
      <c r="V1052" s="219">
        <f t="shared" ca="1" si="68"/>
        <v>50985</v>
      </c>
      <c r="W1052" s="115" t="e">
        <f ca="1"/>
        <v>#VALUE!</v>
      </c>
    </row>
    <row r="1053" spans="13:23">
      <c r="M1053" s="219">
        <f t="shared" ca="1" si="65"/>
        <v>50992</v>
      </c>
      <c r="N1053" s="115" t="e">
        <f ca="1"/>
        <v>#VALUE!</v>
      </c>
      <c r="P1053" s="219">
        <f t="shared" ca="1" si="66"/>
        <v>50992</v>
      </c>
      <c r="Q1053" s="115" t="e">
        <f ca="1"/>
        <v>#VALUE!</v>
      </c>
      <c r="S1053" s="219">
        <f t="shared" ca="1" si="67"/>
        <v>50992</v>
      </c>
      <c r="T1053" s="115" t="e">
        <f ca="1"/>
        <v>#VALUE!</v>
      </c>
      <c r="V1053" s="219">
        <f t="shared" ca="1" si="68"/>
        <v>50992</v>
      </c>
      <c r="W1053" s="115" t="e">
        <f ca="1"/>
        <v>#VALUE!</v>
      </c>
    </row>
    <row r="1054" spans="13:23">
      <c r="M1054" s="219">
        <f t="shared" ca="1" si="65"/>
        <v>50999</v>
      </c>
      <c r="N1054" s="115" t="e">
        <f ca="1"/>
        <v>#VALUE!</v>
      </c>
      <c r="P1054" s="219">
        <f t="shared" ca="1" si="66"/>
        <v>50999</v>
      </c>
      <c r="Q1054" s="115" t="e">
        <f ca="1"/>
        <v>#VALUE!</v>
      </c>
      <c r="S1054" s="219">
        <f t="shared" ca="1" si="67"/>
        <v>50999</v>
      </c>
      <c r="T1054" s="115" t="e">
        <f ca="1"/>
        <v>#VALUE!</v>
      </c>
      <c r="V1054" s="219">
        <f t="shared" ca="1" si="68"/>
        <v>50999</v>
      </c>
      <c r="W1054" s="115" t="e">
        <f ca="1"/>
        <v>#VALUE!</v>
      </c>
    </row>
    <row r="1055" spans="13:23">
      <c r="M1055" s="219">
        <f t="shared" ca="1" si="65"/>
        <v>51006</v>
      </c>
      <c r="N1055" s="115" t="e">
        <f ca="1"/>
        <v>#VALUE!</v>
      </c>
      <c r="P1055" s="219">
        <f t="shared" ca="1" si="66"/>
        <v>51006</v>
      </c>
      <c r="Q1055" s="115" t="e">
        <f ca="1"/>
        <v>#VALUE!</v>
      </c>
      <c r="S1055" s="219">
        <f t="shared" ca="1" si="67"/>
        <v>51006</v>
      </c>
      <c r="T1055" s="115" t="e">
        <f ca="1"/>
        <v>#VALUE!</v>
      </c>
      <c r="V1055" s="219">
        <f t="shared" ca="1" si="68"/>
        <v>51006</v>
      </c>
      <c r="W1055" s="115" t="e">
        <f ca="1"/>
        <v>#VALUE!</v>
      </c>
    </row>
    <row r="1056" spans="13:23">
      <c r="M1056" s="219">
        <f t="shared" ca="1" si="65"/>
        <v>51013</v>
      </c>
      <c r="N1056" s="115" t="e">
        <f ca="1"/>
        <v>#VALUE!</v>
      </c>
      <c r="P1056" s="219">
        <f t="shared" ca="1" si="66"/>
        <v>51013</v>
      </c>
      <c r="Q1056" s="115" t="e">
        <f ca="1"/>
        <v>#VALUE!</v>
      </c>
      <c r="S1056" s="219">
        <f t="shared" ca="1" si="67"/>
        <v>51013</v>
      </c>
      <c r="T1056" s="115" t="e">
        <f ca="1"/>
        <v>#VALUE!</v>
      </c>
      <c r="V1056" s="219">
        <f t="shared" ca="1" si="68"/>
        <v>51013</v>
      </c>
      <c r="W1056" s="115" t="e">
        <f ca="1"/>
        <v>#VALUE!</v>
      </c>
    </row>
    <row r="1057" spans="13:23">
      <c r="M1057" s="219">
        <f t="shared" ca="1" si="65"/>
        <v>51020</v>
      </c>
      <c r="N1057" s="115" t="e">
        <f ca="1"/>
        <v>#VALUE!</v>
      </c>
      <c r="P1057" s="219">
        <f t="shared" ca="1" si="66"/>
        <v>51020</v>
      </c>
      <c r="Q1057" s="115" t="e">
        <f ca="1"/>
        <v>#VALUE!</v>
      </c>
      <c r="S1057" s="219">
        <f t="shared" ca="1" si="67"/>
        <v>51020</v>
      </c>
      <c r="T1057" s="115" t="e">
        <f ca="1"/>
        <v>#VALUE!</v>
      </c>
      <c r="V1057" s="219">
        <f t="shared" ca="1" si="68"/>
        <v>51020</v>
      </c>
      <c r="W1057" s="115" t="e">
        <f ca="1"/>
        <v>#VALUE!</v>
      </c>
    </row>
    <row r="1058" spans="13:23">
      <c r="M1058" s="219">
        <f t="shared" ca="1" si="65"/>
        <v>51027</v>
      </c>
      <c r="N1058" s="115" t="e">
        <f ca="1"/>
        <v>#VALUE!</v>
      </c>
      <c r="P1058" s="219">
        <f t="shared" ca="1" si="66"/>
        <v>51027</v>
      </c>
      <c r="Q1058" s="115" t="e">
        <f ca="1"/>
        <v>#VALUE!</v>
      </c>
      <c r="S1058" s="219">
        <f t="shared" ca="1" si="67"/>
        <v>51027</v>
      </c>
      <c r="T1058" s="115" t="e">
        <f ca="1"/>
        <v>#VALUE!</v>
      </c>
      <c r="V1058" s="219">
        <f t="shared" ca="1" si="68"/>
        <v>51027</v>
      </c>
      <c r="W1058" s="115" t="e">
        <f ca="1"/>
        <v>#VALUE!</v>
      </c>
    </row>
    <row r="1059" spans="13:23">
      <c r="M1059" s="219">
        <f t="shared" ca="1" si="65"/>
        <v>51034</v>
      </c>
      <c r="N1059" s="115" t="e">
        <f ca="1"/>
        <v>#VALUE!</v>
      </c>
      <c r="P1059" s="219">
        <f t="shared" ca="1" si="66"/>
        <v>51034</v>
      </c>
      <c r="Q1059" s="115" t="e">
        <f ca="1"/>
        <v>#VALUE!</v>
      </c>
      <c r="S1059" s="219">
        <f t="shared" ca="1" si="67"/>
        <v>51034</v>
      </c>
      <c r="T1059" s="115" t="e">
        <f ca="1"/>
        <v>#VALUE!</v>
      </c>
      <c r="V1059" s="219">
        <f t="shared" ca="1" si="68"/>
        <v>51034</v>
      </c>
      <c r="W1059" s="115" t="e">
        <f ca="1"/>
        <v>#VALUE!</v>
      </c>
    </row>
    <row r="1060" spans="13:23">
      <c r="M1060" s="219">
        <f t="shared" ca="1" si="65"/>
        <v>51041</v>
      </c>
      <c r="N1060" s="115" t="e">
        <f ca="1"/>
        <v>#VALUE!</v>
      </c>
      <c r="P1060" s="219">
        <f t="shared" ca="1" si="66"/>
        <v>51041</v>
      </c>
      <c r="Q1060" s="115" t="e">
        <f ca="1"/>
        <v>#VALUE!</v>
      </c>
      <c r="S1060" s="219">
        <f t="shared" ca="1" si="67"/>
        <v>51041</v>
      </c>
      <c r="T1060" s="115" t="e">
        <f ca="1"/>
        <v>#VALUE!</v>
      </c>
      <c r="V1060" s="219">
        <f t="shared" ca="1" si="68"/>
        <v>51041</v>
      </c>
      <c r="W1060" s="115" t="e">
        <f ca="1"/>
        <v>#VALUE!</v>
      </c>
    </row>
    <row r="1061" spans="13:23">
      <c r="M1061" s="219">
        <f t="shared" ca="1" si="65"/>
        <v>51048</v>
      </c>
      <c r="N1061" s="115" t="e">
        <f ca="1"/>
        <v>#VALUE!</v>
      </c>
      <c r="P1061" s="219">
        <f t="shared" ca="1" si="66"/>
        <v>51048</v>
      </c>
      <c r="Q1061" s="115" t="e">
        <f ca="1"/>
        <v>#VALUE!</v>
      </c>
      <c r="S1061" s="219">
        <f t="shared" ca="1" si="67"/>
        <v>51048</v>
      </c>
      <c r="T1061" s="115" t="e">
        <f ca="1"/>
        <v>#VALUE!</v>
      </c>
      <c r="V1061" s="219">
        <f t="shared" ca="1" si="68"/>
        <v>51048</v>
      </c>
      <c r="W1061" s="115" t="e">
        <f ca="1"/>
        <v>#VALUE!</v>
      </c>
    </row>
    <row r="1062" spans="13:23">
      <c r="M1062" s="219">
        <f t="shared" ca="1" si="65"/>
        <v>51055</v>
      </c>
      <c r="N1062" s="115" t="e">
        <f ca="1"/>
        <v>#VALUE!</v>
      </c>
      <c r="P1062" s="219">
        <f t="shared" ca="1" si="66"/>
        <v>51055</v>
      </c>
      <c r="Q1062" s="115" t="e">
        <f ca="1"/>
        <v>#VALUE!</v>
      </c>
      <c r="S1062" s="219">
        <f t="shared" ca="1" si="67"/>
        <v>51055</v>
      </c>
      <c r="T1062" s="115" t="e">
        <f ca="1"/>
        <v>#VALUE!</v>
      </c>
      <c r="V1062" s="219">
        <f t="shared" ca="1" si="68"/>
        <v>51055</v>
      </c>
      <c r="W1062" s="115" t="e">
        <f ca="1"/>
        <v>#VALUE!</v>
      </c>
    </row>
    <row r="1063" spans="13:23">
      <c r="M1063" s="219">
        <f t="shared" ca="1" si="65"/>
        <v>51062</v>
      </c>
      <c r="N1063" s="115" t="e">
        <f ca="1"/>
        <v>#VALUE!</v>
      </c>
      <c r="P1063" s="219">
        <f t="shared" ca="1" si="66"/>
        <v>51062</v>
      </c>
      <c r="Q1063" s="115" t="e">
        <f ca="1"/>
        <v>#VALUE!</v>
      </c>
      <c r="S1063" s="219">
        <f t="shared" ca="1" si="67"/>
        <v>51062</v>
      </c>
      <c r="T1063" s="115" t="e">
        <f ca="1"/>
        <v>#VALUE!</v>
      </c>
      <c r="V1063" s="219">
        <f t="shared" ca="1" si="68"/>
        <v>51062</v>
      </c>
      <c r="W1063" s="115" t="e">
        <f ca="1"/>
        <v>#VALUE!</v>
      </c>
    </row>
    <row r="1064" spans="13:23">
      <c r="M1064" s="219">
        <f t="shared" ca="1" si="65"/>
        <v>51069</v>
      </c>
      <c r="N1064" s="115" t="e">
        <f ca="1"/>
        <v>#VALUE!</v>
      </c>
      <c r="P1064" s="219">
        <f t="shared" ca="1" si="66"/>
        <v>51069</v>
      </c>
      <c r="Q1064" s="115" t="e">
        <f ca="1"/>
        <v>#VALUE!</v>
      </c>
      <c r="S1064" s="219">
        <f t="shared" ca="1" si="67"/>
        <v>51069</v>
      </c>
      <c r="T1064" s="115" t="e">
        <f ca="1"/>
        <v>#VALUE!</v>
      </c>
      <c r="V1064" s="219">
        <f t="shared" ca="1" si="68"/>
        <v>51069</v>
      </c>
      <c r="W1064" s="115" t="e">
        <f ca="1"/>
        <v>#VALUE!</v>
      </c>
    </row>
    <row r="1065" spans="13:23">
      <c r="M1065" s="219">
        <f t="shared" ca="1" si="65"/>
        <v>51076</v>
      </c>
      <c r="N1065" s="115" t="e">
        <f ca="1"/>
        <v>#VALUE!</v>
      </c>
      <c r="P1065" s="219">
        <f t="shared" ca="1" si="66"/>
        <v>51076</v>
      </c>
      <c r="Q1065" s="115" t="e">
        <f ca="1"/>
        <v>#VALUE!</v>
      </c>
      <c r="S1065" s="219">
        <f t="shared" ca="1" si="67"/>
        <v>51076</v>
      </c>
      <c r="T1065" s="115" t="e">
        <f ca="1"/>
        <v>#VALUE!</v>
      </c>
      <c r="V1065" s="219">
        <f t="shared" ca="1" si="68"/>
        <v>51076</v>
      </c>
      <c r="W1065" s="115" t="e">
        <f ca="1"/>
        <v>#VALUE!</v>
      </c>
    </row>
    <row r="1066" spans="13:23">
      <c r="M1066" s="219">
        <f t="shared" ca="1" si="65"/>
        <v>51083</v>
      </c>
      <c r="N1066" s="115" t="e">
        <f ca="1"/>
        <v>#VALUE!</v>
      </c>
      <c r="P1066" s="219">
        <f t="shared" ca="1" si="66"/>
        <v>51083</v>
      </c>
      <c r="Q1066" s="115" t="e">
        <f ca="1"/>
        <v>#VALUE!</v>
      </c>
      <c r="S1066" s="219">
        <f t="shared" ca="1" si="67"/>
        <v>51083</v>
      </c>
      <c r="T1066" s="115" t="e">
        <f ca="1"/>
        <v>#VALUE!</v>
      </c>
      <c r="V1066" s="219">
        <f t="shared" ca="1" si="68"/>
        <v>51083</v>
      </c>
      <c r="W1066" s="115" t="e">
        <f ca="1"/>
        <v>#VALUE!</v>
      </c>
    </row>
    <row r="1067" spans="13:23">
      <c r="M1067" s="219">
        <f t="shared" ca="1" si="65"/>
        <v>51090</v>
      </c>
      <c r="N1067" s="115" t="e">
        <f ca="1"/>
        <v>#VALUE!</v>
      </c>
      <c r="P1067" s="219">
        <f t="shared" ca="1" si="66"/>
        <v>51090</v>
      </c>
      <c r="Q1067" s="115" t="e">
        <f ca="1"/>
        <v>#VALUE!</v>
      </c>
      <c r="S1067" s="219">
        <f t="shared" ca="1" si="67"/>
        <v>51090</v>
      </c>
      <c r="T1067" s="115" t="e">
        <f ca="1"/>
        <v>#VALUE!</v>
      </c>
      <c r="V1067" s="219">
        <f t="shared" ca="1" si="68"/>
        <v>51090</v>
      </c>
      <c r="W1067" s="115" t="e">
        <f ca="1"/>
        <v>#VALUE!</v>
      </c>
    </row>
    <row r="1068" spans="13:23">
      <c r="M1068" s="219">
        <f t="shared" ca="1" si="65"/>
        <v>51097</v>
      </c>
      <c r="N1068" s="115" t="e">
        <f ca="1"/>
        <v>#VALUE!</v>
      </c>
      <c r="P1068" s="219">
        <f t="shared" ca="1" si="66"/>
        <v>51097</v>
      </c>
      <c r="Q1068" s="115" t="e">
        <f ca="1"/>
        <v>#VALUE!</v>
      </c>
      <c r="S1068" s="219">
        <f t="shared" ca="1" si="67"/>
        <v>51097</v>
      </c>
      <c r="T1068" s="115" t="e">
        <f ca="1"/>
        <v>#VALUE!</v>
      </c>
      <c r="V1068" s="219">
        <f t="shared" ca="1" si="68"/>
        <v>51097</v>
      </c>
      <c r="W1068" s="115" t="e">
        <f ca="1"/>
        <v>#VALUE!</v>
      </c>
    </row>
    <row r="1069" spans="13:23">
      <c r="M1069" s="219">
        <f t="shared" ca="1" si="65"/>
        <v>51104</v>
      </c>
      <c r="N1069" s="115" t="e">
        <f ca="1"/>
        <v>#VALUE!</v>
      </c>
      <c r="P1069" s="219">
        <f t="shared" ca="1" si="66"/>
        <v>51104</v>
      </c>
      <c r="Q1069" s="115" t="e">
        <f ca="1"/>
        <v>#VALUE!</v>
      </c>
      <c r="S1069" s="219">
        <f t="shared" ca="1" si="67"/>
        <v>51104</v>
      </c>
      <c r="T1069" s="115" t="e">
        <f ca="1"/>
        <v>#VALUE!</v>
      </c>
      <c r="V1069" s="219">
        <f t="shared" ca="1" si="68"/>
        <v>51104</v>
      </c>
      <c r="W1069" s="115" t="e">
        <f ca="1"/>
        <v>#VALUE!</v>
      </c>
    </row>
    <row r="1070" spans="13:23">
      <c r="M1070" s="219">
        <f t="shared" ca="1" si="65"/>
        <v>51111</v>
      </c>
      <c r="N1070" s="115" t="e">
        <f ca="1"/>
        <v>#VALUE!</v>
      </c>
      <c r="P1070" s="219">
        <f t="shared" ca="1" si="66"/>
        <v>51111</v>
      </c>
      <c r="Q1070" s="115" t="e">
        <f ca="1"/>
        <v>#VALUE!</v>
      </c>
      <c r="S1070" s="219">
        <f t="shared" ca="1" si="67"/>
        <v>51111</v>
      </c>
      <c r="T1070" s="115" t="e">
        <f ca="1"/>
        <v>#VALUE!</v>
      </c>
      <c r="V1070" s="219">
        <f t="shared" ca="1" si="68"/>
        <v>51111</v>
      </c>
      <c r="W1070" s="115" t="e">
        <f ca="1"/>
        <v>#VALUE!</v>
      </c>
    </row>
    <row r="1071" spans="13:23">
      <c r="M1071" s="219">
        <f t="shared" ca="1" si="65"/>
        <v>51118</v>
      </c>
      <c r="N1071" s="115" t="e">
        <f ca="1"/>
        <v>#VALUE!</v>
      </c>
      <c r="P1071" s="219">
        <f t="shared" ca="1" si="66"/>
        <v>51118</v>
      </c>
      <c r="Q1071" s="115" t="e">
        <f ca="1"/>
        <v>#VALUE!</v>
      </c>
      <c r="S1071" s="219">
        <f t="shared" ca="1" si="67"/>
        <v>51118</v>
      </c>
      <c r="T1071" s="115" t="e">
        <f ca="1"/>
        <v>#VALUE!</v>
      </c>
      <c r="V1071" s="219">
        <f t="shared" ca="1" si="68"/>
        <v>51118</v>
      </c>
      <c r="W1071" s="115" t="e">
        <f ca="1"/>
        <v>#VALUE!</v>
      </c>
    </row>
    <row r="1072" spans="13:23">
      <c r="M1072" s="219">
        <f t="shared" ca="1" si="65"/>
        <v>51125</v>
      </c>
      <c r="N1072" s="115" t="e">
        <f ca="1"/>
        <v>#VALUE!</v>
      </c>
      <c r="P1072" s="219">
        <f t="shared" ca="1" si="66"/>
        <v>51125</v>
      </c>
      <c r="Q1072" s="115" t="e">
        <f ca="1"/>
        <v>#VALUE!</v>
      </c>
      <c r="S1072" s="219">
        <f t="shared" ca="1" si="67"/>
        <v>51125</v>
      </c>
      <c r="T1072" s="115" t="e">
        <f ca="1"/>
        <v>#VALUE!</v>
      </c>
      <c r="V1072" s="219">
        <f t="shared" ca="1" si="68"/>
        <v>51125</v>
      </c>
      <c r="W1072" s="115" t="e">
        <f ca="1"/>
        <v>#VALUE!</v>
      </c>
    </row>
    <row r="1073" spans="13:23">
      <c r="M1073" s="219">
        <f t="shared" ca="1" si="65"/>
        <v>51132</v>
      </c>
      <c r="N1073" s="115" t="e">
        <f ca="1"/>
        <v>#VALUE!</v>
      </c>
      <c r="P1073" s="219">
        <f t="shared" ca="1" si="66"/>
        <v>51132</v>
      </c>
      <c r="Q1073" s="115" t="e">
        <f ca="1"/>
        <v>#VALUE!</v>
      </c>
      <c r="S1073" s="219">
        <f t="shared" ca="1" si="67"/>
        <v>51132</v>
      </c>
      <c r="T1073" s="115" t="e">
        <f ca="1"/>
        <v>#VALUE!</v>
      </c>
      <c r="V1073" s="219">
        <f t="shared" ca="1" si="68"/>
        <v>51132</v>
      </c>
      <c r="W1073" s="115" t="e">
        <f ca="1"/>
        <v>#VALUE!</v>
      </c>
    </row>
    <row r="1074" spans="13:23">
      <c r="M1074" s="219">
        <f t="shared" ca="1" si="65"/>
        <v>51139</v>
      </c>
      <c r="N1074" s="115" t="e">
        <f ca="1"/>
        <v>#VALUE!</v>
      </c>
      <c r="P1074" s="219">
        <f t="shared" ca="1" si="66"/>
        <v>51139</v>
      </c>
      <c r="Q1074" s="115" t="e">
        <f ca="1"/>
        <v>#VALUE!</v>
      </c>
      <c r="S1074" s="219">
        <f t="shared" ca="1" si="67"/>
        <v>51139</v>
      </c>
      <c r="T1074" s="115" t="e">
        <f ca="1"/>
        <v>#VALUE!</v>
      </c>
      <c r="V1074" s="219">
        <f t="shared" ca="1" si="68"/>
        <v>51139</v>
      </c>
      <c r="W1074" s="115" t="e">
        <f ca="1"/>
        <v>#VALUE!</v>
      </c>
    </row>
    <row r="1075" spans="13:23">
      <c r="M1075" s="219">
        <f t="shared" ca="1" si="65"/>
        <v>51146</v>
      </c>
      <c r="N1075" s="115" t="e">
        <f ca="1"/>
        <v>#VALUE!</v>
      </c>
      <c r="P1075" s="219">
        <f t="shared" ca="1" si="66"/>
        <v>51146</v>
      </c>
      <c r="Q1075" s="115" t="e">
        <f ca="1"/>
        <v>#VALUE!</v>
      </c>
      <c r="S1075" s="219">
        <f t="shared" ca="1" si="67"/>
        <v>51146</v>
      </c>
      <c r="T1075" s="115" t="e">
        <f ca="1"/>
        <v>#VALUE!</v>
      </c>
      <c r="V1075" s="219">
        <f t="shared" ca="1" si="68"/>
        <v>51146</v>
      </c>
      <c r="W1075" s="115" t="e">
        <f ca="1"/>
        <v>#VALUE!</v>
      </c>
    </row>
    <row r="1076" spans="13:23">
      <c r="M1076" s="219">
        <f t="shared" ca="1" si="65"/>
        <v>51153</v>
      </c>
      <c r="N1076" s="115" t="e">
        <f ca="1"/>
        <v>#VALUE!</v>
      </c>
      <c r="P1076" s="219">
        <f t="shared" ca="1" si="66"/>
        <v>51153</v>
      </c>
      <c r="Q1076" s="115" t="e">
        <f ca="1"/>
        <v>#VALUE!</v>
      </c>
      <c r="S1076" s="219">
        <f t="shared" ca="1" si="67"/>
        <v>51153</v>
      </c>
      <c r="T1076" s="115" t="e">
        <f ca="1"/>
        <v>#VALUE!</v>
      </c>
      <c r="V1076" s="219">
        <f t="shared" ca="1" si="68"/>
        <v>51153</v>
      </c>
      <c r="W1076" s="115" t="e">
        <f ca="1"/>
        <v>#VALUE!</v>
      </c>
    </row>
    <row r="1077" spans="13:23">
      <c r="M1077" s="219">
        <f t="shared" ca="1" si="65"/>
        <v>51160</v>
      </c>
      <c r="N1077" s="115" t="e">
        <f ca="1"/>
        <v>#VALUE!</v>
      </c>
      <c r="P1077" s="219">
        <f t="shared" ca="1" si="66"/>
        <v>51160</v>
      </c>
      <c r="Q1077" s="115" t="e">
        <f ca="1"/>
        <v>#VALUE!</v>
      </c>
      <c r="S1077" s="219">
        <f t="shared" ca="1" si="67"/>
        <v>51160</v>
      </c>
      <c r="T1077" s="115" t="e">
        <f ca="1"/>
        <v>#VALUE!</v>
      </c>
      <c r="V1077" s="219">
        <f t="shared" ca="1" si="68"/>
        <v>51160</v>
      </c>
      <c r="W1077" s="115" t="e">
        <f ca="1"/>
        <v>#VALUE!</v>
      </c>
    </row>
    <row r="1078" spans="13:23">
      <c r="M1078" s="219">
        <f t="shared" ca="1" si="65"/>
        <v>51167</v>
      </c>
      <c r="N1078" s="115" t="e">
        <f ca="1"/>
        <v>#VALUE!</v>
      </c>
      <c r="P1078" s="219">
        <f t="shared" ca="1" si="66"/>
        <v>51167</v>
      </c>
      <c r="Q1078" s="115" t="e">
        <f ca="1"/>
        <v>#VALUE!</v>
      </c>
      <c r="S1078" s="219">
        <f t="shared" ca="1" si="67"/>
        <v>51167</v>
      </c>
      <c r="T1078" s="115" t="e">
        <f ca="1"/>
        <v>#VALUE!</v>
      </c>
      <c r="V1078" s="219">
        <f t="shared" ca="1" si="68"/>
        <v>51167</v>
      </c>
      <c r="W1078" s="115" t="e">
        <f ca="1"/>
        <v>#VALUE!</v>
      </c>
    </row>
    <row r="1079" spans="13:23">
      <c r="M1079" s="219">
        <f t="shared" ca="1" si="65"/>
        <v>51174</v>
      </c>
      <c r="N1079" s="115" t="e">
        <f ca="1"/>
        <v>#VALUE!</v>
      </c>
      <c r="P1079" s="219">
        <f t="shared" ca="1" si="66"/>
        <v>51174</v>
      </c>
      <c r="Q1079" s="115" t="e">
        <f ca="1"/>
        <v>#VALUE!</v>
      </c>
      <c r="S1079" s="219">
        <f t="shared" ca="1" si="67"/>
        <v>51174</v>
      </c>
      <c r="T1079" s="115" t="e">
        <f ca="1"/>
        <v>#VALUE!</v>
      </c>
      <c r="V1079" s="219">
        <f t="shared" ca="1" si="68"/>
        <v>51174</v>
      </c>
      <c r="W1079" s="115" t="e">
        <f ca="1"/>
        <v>#VALUE!</v>
      </c>
    </row>
    <row r="1080" spans="13:23">
      <c r="M1080" s="219">
        <f t="shared" ca="1" si="65"/>
        <v>51181</v>
      </c>
      <c r="N1080" s="115" t="e">
        <f ca="1"/>
        <v>#VALUE!</v>
      </c>
      <c r="P1080" s="219">
        <f t="shared" ca="1" si="66"/>
        <v>51181</v>
      </c>
      <c r="Q1080" s="115" t="e">
        <f ca="1"/>
        <v>#VALUE!</v>
      </c>
      <c r="S1080" s="219">
        <f t="shared" ca="1" si="67"/>
        <v>51181</v>
      </c>
      <c r="T1080" s="115" t="e">
        <f ca="1"/>
        <v>#VALUE!</v>
      </c>
      <c r="V1080" s="219">
        <f t="shared" ca="1" si="68"/>
        <v>51181</v>
      </c>
      <c r="W1080" s="115" t="e">
        <f ca="1"/>
        <v>#VALUE!</v>
      </c>
    </row>
    <row r="1081" spans="13:23">
      <c r="M1081" s="219">
        <f t="shared" ca="1" si="65"/>
        <v>51188</v>
      </c>
      <c r="N1081" s="115" t="e">
        <f ca="1"/>
        <v>#VALUE!</v>
      </c>
      <c r="P1081" s="219">
        <f t="shared" ca="1" si="66"/>
        <v>51188</v>
      </c>
      <c r="Q1081" s="115" t="e">
        <f ca="1"/>
        <v>#VALUE!</v>
      </c>
      <c r="S1081" s="219">
        <f t="shared" ca="1" si="67"/>
        <v>51188</v>
      </c>
      <c r="T1081" s="115" t="e">
        <f ca="1"/>
        <v>#VALUE!</v>
      </c>
      <c r="V1081" s="219">
        <f t="shared" ca="1" si="68"/>
        <v>51188</v>
      </c>
      <c r="W1081" s="115" t="e">
        <f ca="1"/>
        <v>#VALUE!</v>
      </c>
    </row>
    <row r="1082" spans="13:23">
      <c r="M1082" s="219">
        <f t="shared" ca="1" si="65"/>
        <v>51195</v>
      </c>
      <c r="N1082" s="115" t="e">
        <f ca="1"/>
        <v>#VALUE!</v>
      </c>
      <c r="P1082" s="219">
        <f t="shared" ca="1" si="66"/>
        <v>51195</v>
      </c>
      <c r="Q1082" s="115" t="e">
        <f ca="1"/>
        <v>#VALUE!</v>
      </c>
      <c r="S1082" s="219">
        <f t="shared" ca="1" si="67"/>
        <v>51195</v>
      </c>
      <c r="T1082" s="115" t="e">
        <f ca="1"/>
        <v>#VALUE!</v>
      </c>
      <c r="V1082" s="219">
        <f t="shared" ca="1" si="68"/>
        <v>51195</v>
      </c>
      <c r="W1082" s="115" t="e">
        <f ca="1"/>
        <v>#VALUE!</v>
      </c>
    </row>
    <row r="1083" spans="13:23">
      <c r="M1083" s="219">
        <f t="shared" ca="1" si="65"/>
        <v>51202</v>
      </c>
      <c r="N1083" s="115" t="e">
        <f ca="1"/>
        <v>#VALUE!</v>
      </c>
      <c r="P1083" s="219">
        <f t="shared" ca="1" si="66"/>
        <v>51202</v>
      </c>
      <c r="Q1083" s="115" t="e">
        <f ca="1"/>
        <v>#VALUE!</v>
      </c>
      <c r="S1083" s="219">
        <f t="shared" ca="1" si="67"/>
        <v>51202</v>
      </c>
      <c r="T1083" s="115" t="e">
        <f ca="1"/>
        <v>#VALUE!</v>
      </c>
      <c r="V1083" s="219">
        <f t="shared" ca="1" si="68"/>
        <v>51202</v>
      </c>
      <c r="W1083" s="115" t="e">
        <f ca="1"/>
        <v>#VALUE!</v>
      </c>
    </row>
    <row r="1084" spans="13:23">
      <c r="M1084" s="219">
        <f t="shared" ca="1" si="65"/>
        <v>51209</v>
      </c>
      <c r="N1084" s="115" t="e">
        <f ca="1"/>
        <v>#VALUE!</v>
      </c>
      <c r="P1084" s="219">
        <f t="shared" ca="1" si="66"/>
        <v>51209</v>
      </c>
      <c r="Q1084" s="115" t="e">
        <f ca="1"/>
        <v>#VALUE!</v>
      </c>
      <c r="S1084" s="219">
        <f t="shared" ca="1" si="67"/>
        <v>51209</v>
      </c>
      <c r="T1084" s="115" t="e">
        <f ca="1"/>
        <v>#VALUE!</v>
      </c>
      <c r="V1084" s="219">
        <f t="shared" ca="1" si="68"/>
        <v>51209</v>
      </c>
      <c r="W1084" s="115" t="e">
        <f ca="1"/>
        <v>#VALUE!</v>
      </c>
    </row>
    <row r="1085" spans="13:23">
      <c r="M1085" s="219">
        <f t="shared" ca="1" si="65"/>
        <v>51216</v>
      </c>
      <c r="N1085" s="115" t="e">
        <f ca="1"/>
        <v>#VALUE!</v>
      </c>
      <c r="P1085" s="219">
        <f t="shared" ca="1" si="66"/>
        <v>51216</v>
      </c>
      <c r="Q1085" s="115" t="e">
        <f ca="1"/>
        <v>#VALUE!</v>
      </c>
      <c r="S1085" s="219">
        <f t="shared" ca="1" si="67"/>
        <v>51216</v>
      </c>
      <c r="T1085" s="115" t="e">
        <f ca="1"/>
        <v>#VALUE!</v>
      </c>
      <c r="V1085" s="219">
        <f t="shared" ca="1" si="68"/>
        <v>51216</v>
      </c>
      <c r="W1085" s="115" t="e">
        <f ca="1"/>
        <v>#VALUE!</v>
      </c>
    </row>
    <row r="1086" spans="13:23">
      <c r="M1086" s="219">
        <f t="shared" ca="1" si="65"/>
        <v>51223</v>
      </c>
      <c r="N1086" s="115" t="e">
        <f ca="1"/>
        <v>#VALUE!</v>
      </c>
      <c r="P1086" s="219">
        <f t="shared" ca="1" si="66"/>
        <v>51223</v>
      </c>
      <c r="Q1086" s="115" t="e">
        <f ca="1"/>
        <v>#VALUE!</v>
      </c>
      <c r="S1086" s="219">
        <f t="shared" ca="1" si="67"/>
        <v>51223</v>
      </c>
      <c r="T1086" s="115" t="e">
        <f ca="1"/>
        <v>#VALUE!</v>
      </c>
      <c r="V1086" s="219">
        <f t="shared" ca="1" si="68"/>
        <v>51223</v>
      </c>
      <c r="W1086" s="115" t="e">
        <f ca="1"/>
        <v>#VALUE!</v>
      </c>
    </row>
    <row r="1087" spans="13:23">
      <c r="M1087" s="219">
        <f t="shared" ca="1" si="65"/>
        <v>51230</v>
      </c>
      <c r="N1087" s="115" t="e">
        <f ca="1"/>
        <v>#VALUE!</v>
      </c>
      <c r="P1087" s="219">
        <f t="shared" ca="1" si="66"/>
        <v>51230</v>
      </c>
      <c r="Q1087" s="115" t="e">
        <f ca="1"/>
        <v>#VALUE!</v>
      </c>
      <c r="S1087" s="219">
        <f t="shared" ca="1" si="67"/>
        <v>51230</v>
      </c>
      <c r="T1087" s="115" t="e">
        <f ca="1"/>
        <v>#VALUE!</v>
      </c>
      <c r="V1087" s="219">
        <f t="shared" ca="1" si="68"/>
        <v>51230</v>
      </c>
      <c r="W1087" s="115" t="e">
        <f ca="1"/>
        <v>#VALUE!</v>
      </c>
    </row>
    <row r="1088" spans="13:23">
      <c r="M1088" s="219">
        <f t="shared" ca="1" si="65"/>
        <v>51237</v>
      </c>
      <c r="N1088" s="115" t="e">
        <f ca="1"/>
        <v>#VALUE!</v>
      </c>
      <c r="P1088" s="219">
        <f t="shared" ca="1" si="66"/>
        <v>51237</v>
      </c>
      <c r="Q1088" s="115" t="e">
        <f ca="1"/>
        <v>#VALUE!</v>
      </c>
      <c r="S1088" s="219">
        <f t="shared" ca="1" si="67"/>
        <v>51237</v>
      </c>
      <c r="T1088" s="115" t="e">
        <f ca="1"/>
        <v>#VALUE!</v>
      </c>
      <c r="V1088" s="219">
        <f t="shared" ca="1" si="68"/>
        <v>51237</v>
      </c>
      <c r="W1088" s="115" t="e">
        <f ca="1"/>
        <v>#VALUE!</v>
      </c>
    </row>
    <row r="1089" spans="13:23">
      <c r="M1089" s="219">
        <f t="shared" ca="1" si="65"/>
        <v>51244</v>
      </c>
      <c r="N1089" s="115" t="e">
        <f ca="1"/>
        <v>#VALUE!</v>
      </c>
      <c r="P1089" s="219">
        <f t="shared" ca="1" si="66"/>
        <v>51244</v>
      </c>
      <c r="Q1089" s="115" t="e">
        <f ca="1"/>
        <v>#VALUE!</v>
      </c>
      <c r="S1089" s="219">
        <f t="shared" ca="1" si="67"/>
        <v>51244</v>
      </c>
      <c r="T1089" s="115" t="e">
        <f ca="1"/>
        <v>#VALUE!</v>
      </c>
      <c r="V1089" s="219">
        <f t="shared" ca="1" si="68"/>
        <v>51244</v>
      </c>
      <c r="W1089" s="115" t="e">
        <f ca="1"/>
        <v>#VALUE!</v>
      </c>
    </row>
    <row r="1090" spans="13:23">
      <c r="M1090" s="219">
        <f t="shared" ca="1" si="65"/>
        <v>51251</v>
      </c>
      <c r="N1090" s="115" t="e">
        <f ca="1"/>
        <v>#VALUE!</v>
      </c>
      <c r="P1090" s="219">
        <f t="shared" ca="1" si="66"/>
        <v>51251</v>
      </c>
      <c r="Q1090" s="115" t="e">
        <f ca="1"/>
        <v>#VALUE!</v>
      </c>
      <c r="S1090" s="219">
        <f t="shared" ca="1" si="67"/>
        <v>51251</v>
      </c>
      <c r="T1090" s="115" t="e">
        <f ca="1"/>
        <v>#VALUE!</v>
      </c>
      <c r="V1090" s="219">
        <f t="shared" ca="1" si="68"/>
        <v>51251</v>
      </c>
      <c r="W1090" s="115" t="e">
        <f ca="1"/>
        <v>#VALUE!</v>
      </c>
    </row>
    <row r="1091" spans="13:23">
      <c r="M1091" s="219">
        <f t="shared" ca="1" si="65"/>
        <v>51258</v>
      </c>
      <c r="N1091" s="115" t="e">
        <f ca="1"/>
        <v>#VALUE!</v>
      </c>
      <c r="P1091" s="219">
        <f t="shared" ca="1" si="66"/>
        <v>51258</v>
      </c>
      <c r="Q1091" s="115" t="e">
        <f ca="1"/>
        <v>#VALUE!</v>
      </c>
      <c r="S1091" s="219">
        <f t="shared" ca="1" si="67"/>
        <v>51258</v>
      </c>
      <c r="T1091" s="115" t="e">
        <f ca="1"/>
        <v>#VALUE!</v>
      </c>
      <c r="V1091" s="219">
        <f t="shared" ca="1" si="68"/>
        <v>51258</v>
      </c>
      <c r="W1091" s="115" t="e">
        <f ca="1"/>
        <v>#VALUE!</v>
      </c>
    </row>
    <row r="1092" spans="13:23">
      <c r="M1092" s="219">
        <f t="shared" ca="1" si="65"/>
        <v>51265</v>
      </c>
      <c r="N1092" s="115" t="e">
        <f ca="1"/>
        <v>#VALUE!</v>
      </c>
      <c r="P1092" s="219">
        <f t="shared" ca="1" si="66"/>
        <v>51265</v>
      </c>
      <c r="Q1092" s="115" t="e">
        <f ca="1"/>
        <v>#VALUE!</v>
      </c>
      <c r="S1092" s="219">
        <f t="shared" ca="1" si="67"/>
        <v>51265</v>
      </c>
      <c r="T1092" s="115" t="e">
        <f ca="1"/>
        <v>#VALUE!</v>
      </c>
      <c r="V1092" s="219">
        <f t="shared" ca="1" si="68"/>
        <v>51265</v>
      </c>
      <c r="W1092" s="115" t="e">
        <f ca="1"/>
        <v>#VALUE!</v>
      </c>
    </row>
    <row r="1093" spans="13:23">
      <c r="M1093" s="219">
        <f t="shared" ca="1" si="65"/>
        <v>51272</v>
      </c>
      <c r="N1093" s="115" t="e">
        <f ca="1"/>
        <v>#VALUE!</v>
      </c>
      <c r="P1093" s="219">
        <f t="shared" ca="1" si="66"/>
        <v>51272</v>
      </c>
      <c r="Q1093" s="115" t="e">
        <f ca="1"/>
        <v>#VALUE!</v>
      </c>
      <c r="S1093" s="219">
        <f t="shared" ca="1" si="67"/>
        <v>51272</v>
      </c>
      <c r="T1093" s="115" t="e">
        <f ca="1"/>
        <v>#VALUE!</v>
      </c>
      <c r="V1093" s="219">
        <f t="shared" ca="1" si="68"/>
        <v>51272</v>
      </c>
      <c r="W1093" s="115" t="e">
        <f ca="1"/>
        <v>#VALUE!</v>
      </c>
    </row>
    <row r="1094" spans="13:23">
      <c r="M1094" s="219">
        <f t="shared" ca="1" si="65"/>
        <v>51279</v>
      </c>
      <c r="N1094" s="115" t="e">
        <f ca="1"/>
        <v>#VALUE!</v>
      </c>
      <c r="P1094" s="219">
        <f t="shared" ca="1" si="66"/>
        <v>51279</v>
      </c>
      <c r="Q1094" s="115" t="e">
        <f ca="1"/>
        <v>#VALUE!</v>
      </c>
      <c r="S1094" s="219">
        <f t="shared" ca="1" si="67"/>
        <v>51279</v>
      </c>
      <c r="T1094" s="115" t="e">
        <f ca="1"/>
        <v>#VALUE!</v>
      </c>
      <c r="V1094" s="219">
        <f t="shared" ca="1" si="68"/>
        <v>51279</v>
      </c>
      <c r="W1094" s="115" t="e">
        <f ca="1"/>
        <v>#VALUE!</v>
      </c>
    </row>
    <row r="1095" spans="13:23">
      <c r="M1095" s="219">
        <f t="shared" ca="1" si="65"/>
        <v>51286</v>
      </c>
      <c r="N1095" s="115" t="e">
        <f ca="1"/>
        <v>#VALUE!</v>
      </c>
      <c r="P1095" s="219">
        <f t="shared" ca="1" si="66"/>
        <v>51286</v>
      </c>
      <c r="Q1095" s="115" t="e">
        <f ca="1"/>
        <v>#VALUE!</v>
      </c>
      <c r="S1095" s="219">
        <f t="shared" ca="1" si="67"/>
        <v>51286</v>
      </c>
      <c r="T1095" s="115" t="e">
        <f ca="1"/>
        <v>#VALUE!</v>
      </c>
      <c r="V1095" s="219">
        <f t="shared" ca="1" si="68"/>
        <v>51286</v>
      </c>
      <c r="W1095" s="115" t="e">
        <f ca="1"/>
        <v>#VALUE!</v>
      </c>
    </row>
    <row r="1096" spans="13:23">
      <c r="M1096" s="219">
        <f t="shared" ca="1" si="65"/>
        <v>51293</v>
      </c>
      <c r="N1096" s="115" t="e">
        <f ca="1"/>
        <v>#VALUE!</v>
      </c>
      <c r="P1096" s="219">
        <f t="shared" ca="1" si="66"/>
        <v>51293</v>
      </c>
      <c r="Q1096" s="115" t="e">
        <f ca="1"/>
        <v>#VALUE!</v>
      </c>
      <c r="S1096" s="219">
        <f t="shared" ca="1" si="67"/>
        <v>51293</v>
      </c>
      <c r="T1096" s="115" t="e">
        <f ca="1"/>
        <v>#VALUE!</v>
      </c>
      <c r="V1096" s="219">
        <f t="shared" ca="1" si="68"/>
        <v>51293</v>
      </c>
      <c r="W1096" s="115" t="e">
        <f ca="1"/>
        <v>#VALUE!</v>
      </c>
    </row>
    <row r="1097" spans="13:23">
      <c r="M1097" s="219">
        <f t="shared" ca="1" si="65"/>
        <v>51300</v>
      </c>
      <c r="N1097" s="115" t="e">
        <f ca="1"/>
        <v>#VALUE!</v>
      </c>
      <c r="P1097" s="219">
        <f t="shared" ca="1" si="66"/>
        <v>51300</v>
      </c>
      <c r="Q1097" s="115" t="e">
        <f ca="1"/>
        <v>#VALUE!</v>
      </c>
      <c r="S1097" s="219">
        <f t="shared" ca="1" si="67"/>
        <v>51300</v>
      </c>
      <c r="T1097" s="115" t="e">
        <f ca="1"/>
        <v>#VALUE!</v>
      </c>
      <c r="V1097" s="219">
        <f t="shared" ca="1" si="68"/>
        <v>51300</v>
      </c>
      <c r="W1097" s="115" t="e">
        <f ca="1"/>
        <v>#VALUE!</v>
      </c>
    </row>
    <row r="1098" spans="13:23">
      <c r="M1098" s="219">
        <f t="shared" ca="1" si="65"/>
        <v>51307</v>
      </c>
      <c r="N1098" s="115" t="e">
        <f ca="1"/>
        <v>#VALUE!</v>
      </c>
      <c r="P1098" s="219">
        <f t="shared" ca="1" si="66"/>
        <v>51307</v>
      </c>
      <c r="Q1098" s="115" t="e">
        <f ca="1"/>
        <v>#VALUE!</v>
      </c>
      <c r="S1098" s="219">
        <f t="shared" ca="1" si="67"/>
        <v>51307</v>
      </c>
      <c r="T1098" s="115" t="e">
        <f ca="1"/>
        <v>#VALUE!</v>
      </c>
      <c r="V1098" s="219">
        <f t="shared" ca="1" si="68"/>
        <v>51307</v>
      </c>
      <c r="W1098" s="115" t="e">
        <f ca="1"/>
        <v>#VALUE!</v>
      </c>
    </row>
    <row r="1099" spans="13:23">
      <c r="M1099" s="219">
        <f t="shared" ca="1" si="65"/>
        <v>51314</v>
      </c>
      <c r="N1099" s="115" t="e">
        <f ca="1"/>
        <v>#VALUE!</v>
      </c>
      <c r="P1099" s="219">
        <f t="shared" ca="1" si="66"/>
        <v>51314</v>
      </c>
      <c r="Q1099" s="115" t="e">
        <f ca="1"/>
        <v>#VALUE!</v>
      </c>
      <c r="S1099" s="219">
        <f t="shared" ca="1" si="67"/>
        <v>51314</v>
      </c>
      <c r="T1099" s="115" t="e">
        <f ca="1"/>
        <v>#VALUE!</v>
      </c>
      <c r="V1099" s="219">
        <f t="shared" ca="1" si="68"/>
        <v>51314</v>
      </c>
      <c r="W1099" s="115" t="e">
        <f ca="1"/>
        <v>#VALUE!</v>
      </c>
    </row>
    <row r="1100" spans="13:23">
      <c r="M1100" s="219">
        <f t="shared" ca="1" si="65"/>
        <v>51321</v>
      </c>
      <c r="N1100" s="115" t="e">
        <f ca="1"/>
        <v>#VALUE!</v>
      </c>
      <c r="P1100" s="219">
        <f t="shared" ca="1" si="66"/>
        <v>51321</v>
      </c>
      <c r="Q1100" s="115" t="e">
        <f ca="1"/>
        <v>#VALUE!</v>
      </c>
      <c r="S1100" s="219">
        <f t="shared" ca="1" si="67"/>
        <v>51321</v>
      </c>
      <c r="T1100" s="115" t="e">
        <f ca="1"/>
        <v>#VALUE!</v>
      </c>
      <c r="V1100" s="219">
        <f t="shared" ca="1" si="68"/>
        <v>51321</v>
      </c>
      <c r="W1100" s="115" t="e">
        <f ca="1"/>
        <v>#VALUE!</v>
      </c>
    </row>
    <row r="1101" spans="13:23">
      <c r="M1101" s="219">
        <f t="shared" ref="M1101:M1164" ca="1" si="69">M1100+7</f>
        <v>51328</v>
      </c>
      <c r="N1101" s="115" t="e">
        <f ca="1"/>
        <v>#VALUE!</v>
      </c>
      <c r="P1101" s="219">
        <f t="shared" ref="P1101:P1164" ca="1" si="70">P1100+7</f>
        <v>51328</v>
      </c>
      <c r="Q1101" s="115" t="e">
        <f ca="1"/>
        <v>#VALUE!</v>
      </c>
      <c r="S1101" s="219">
        <f t="shared" ref="S1101:S1164" ca="1" si="71">S1100+7</f>
        <v>51328</v>
      </c>
      <c r="T1101" s="115" t="e">
        <f ca="1"/>
        <v>#VALUE!</v>
      </c>
      <c r="V1101" s="219">
        <f t="shared" ref="V1101:V1164" ca="1" si="72">V1100+7</f>
        <v>51328</v>
      </c>
      <c r="W1101" s="115" t="e">
        <f ca="1"/>
        <v>#VALUE!</v>
      </c>
    </row>
    <row r="1102" spans="13:23">
      <c r="M1102" s="219">
        <f t="shared" ca="1" si="69"/>
        <v>51335</v>
      </c>
      <c r="N1102" s="115" t="e">
        <f ca="1"/>
        <v>#VALUE!</v>
      </c>
      <c r="P1102" s="219">
        <f t="shared" ca="1" si="70"/>
        <v>51335</v>
      </c>
      <c r="Q1102" s="115" t="e">
        <f ca="1"/>
        <v>#VALUE!</v>
      </c>
      <c r="S1102" s="219">
        <f t="shared" ca="1" si="71"/>
        <v>51335</v>
      </c>
      <c r="T1102" s="115" t="e">
        <f ca="1"/>
        <v>#VALUE!</v>
      </c>
      <c r="V1102" s="219">
        <f t="shared" ca="1" si="72"/>
        <v>51335</v>
      </c>
      <c r="W1102" s="115" t="e">
        <f ca="1"/>
        <v>#VALUE!</v>
      </c>
    </row>
    <row r="1103" spans="13:23">
      <c r="M1103" s="219">
        <f t="shared" ca="1" si="69"/>
        <v>51342</v>
      </c>
      <c r="N1103" s="115" t="e">
        <f ca="1"/>
        <v>#VALUE!</v>
      </c>
      <c r="P1103" s="219">
        <f t="shared" ca="1" si="70"/>
        <v>51342</v>
      </c>
      <c r="Q1103" s="115" t="e">
        <f ca="1"/>
        <v>#VALUE!</v>
      </c>
      <c r="S1103" s="219">
        <f t="shared" ca="1" si="71"/>
        <v>51342</v>
      </c>
      <c r="T1103" s="115" t="e">
        <f ca="1"/>
        <v>#VALUE!</v>
      </c>
      <c r="V1103" s="219">
        <f t="shared" ca="1" si="72"/>
        <v>51342</v>
      </c>
      <c r="W1103" s="115" t="e">
        <f ca="1"/>
        <v>#VALUE!</v>
      </c>
    </row>
    <row r="1104" spans="13:23">
      <c r="M1104" s="219">
        <f t="shared" ca="1" si="69"/>
        <v>51349</v>
      </c>
      <c r="N1104" s="115" t="e">
        <f ca="1"/>
        <v>#VALUE!</v>
      </c>
      <c r="P1104" s="219">
        <f t="shared" ca="1" si="70"/>
        <v>51349</v>
      </c>
      <c r="Q1104" s="115" t="e">
        <f ca="1"/>
        <v>#VALUE!</v>
      </c>
      <c r="S1104" s="219">
        <f t="shared" ca="1" si="71"/>
        <v>51349</v>
      </c>
      <c r="T1104" s="115" t="e">
        <f ca="1"/>
        <v>#VALUE!</v>
      </c>
      <c r="V1104" s="219">
        <f t="shared" ca="1" si="72"/>
        <v>51349</v>
      </c>
      <c r="W1104" s="115" t="e">
        <f ca="1"/>
        <v>#VALUE!</v>
      </c>
    </row>
    <row r="1105" spans="13:23">
      <c r="M1105" s="219">
        <f t="shared" ca="1" si="69"/>
        <v>51356</v>
      </c>
      <c r="N1105" s="115" t="e">
        <f ca="1"/>
        <v>#VALUE!</v>
      </c>
      <c r="P1105" s="219">
        <f t="shared" ca="1" si="70"/>
        <v>51356</v>
      </c>
      <c r="Q1105" s="115" t="e">
        <f ca="1"/>
        <v>#VALUE!</v>
      </c>
      <c r="S1105" s="219">
        <f t="shared" ca="1" si="71"/>
        <v>51356</v>
      </c>
      <c r="T1105" s="115" t="e">
        <f ca="1"/>
        <v>#VALUE!</v>
      </c>
      <c r="V1105" s="219">
        <f t="shared" ca="1" si="72"/>
        <v>51356</v>
      </c>
      <c r="W1105" s="115" t="e">
        <f ca="1"/>
        <v>#VALUE!</v>
      </c>
    </row>
    <row r="1106" spans="13:23">
      <c r="M1106" s="219">
        <f t="shared" ca="1" si="69"/>
        <v>51363</v>
      </c>
      <c r="N1106" s="115" t="e">
        <f ca="1"/>
        <v>#VALUE!</v>
      </c>
      <c r="P1106" s="219">
        <f t="shared" ca="1" si="70"/>
        <v>51363</v>
      </c>
      <c r="Q1106" s="115" t="e">
        <f ca="1"/>
        <v>#VALUE!</v>
      </c>
      <c r="S1106" s="219">
        <f t="shared" ca="1" si="71"/>
        <v>51363</v>
      </c>
      <c r="T1106" s="115" t="e">
        <f ca="1"/>
        <v>#VALUE!</v>
      </c>
      <c r="V1106" s="219">
        <f t="shared" ca="1" si="72"/>
        <v>51363</v>
      </c>
      <c r="W1106" s="115" t="e">
        <f ca="1"/>
        <v>#VALUE!</v>
      </c>
    </row>
    <row r="1107" spans="13:23">
      <c r="M1107" s="219">
        <f t="shared" ca="1" si="69"/>
        <v>51370</v>
      </c>
      <c r="N1107" s="115" t="e">
        <f ca="1"/>
        <v>#VALUE!</v>
      </c>
      <c r="P1107" s="219">
        <f t="shared" ca="1" si="70"/>
        <v>51370</v>
      </c>
      <c r="Q1107" s="115" t="e">
        <f ca="1"/>
        <v>#VALUE!</v>
      </c>
      <c r="S1107" s="219">
        <f t="shared" ca="1" si="71"/>
        <v>51370</v>
      </c>
      <c r="T1107" s="115" t="e">
        <f ca="1"/>
        <v>#VALUE!</v>
      </c>
      <c r="V1107" s="219">
        <f t="shared" ca="1" si="72"/>
        <v>51370</v>
      </c>
      <c r="W1107" s="115" t="e">
        <f ca="1"/>
        <v>#VALUE!</v>
      </c>
    </row>
    <row r="1108" spans="13:23">
      <c r="M1108" s="219">
        <f t="shared" ca="1" si="69"/>
        <v>51377</v>
      </c>
      <c r="N1108" s="115" t="e">
        <f ca="1"/>
        <v>#VALUE!</v>
      </c>
      <c r="P1108" s="219">
        <f t="shared" ca="1" si="70"/>
        <v>51377</v>
      </c>
      <c r="Q1108" s="115" t="e">
        <f ca="1"/>
        <v>#VALUE!</v>
      </c>
      <c r="S1108" s="219">
        <f t="shared" ca="1" si="71"/>
        <v>51377</v>
      </c>
      <c r="T1108" s="115" t="e">
        <f ca="1"/>
        <v>#VALUE!</v>
      </c>
      <c r="V1108" s="219">
        <f t="shared" ca="1" si="72"/>
        <v>51377</v>
      </c>
      <c r="W1108" s="115" t="e">
        <f ca="1"/>
        <v>#VALUE!</v>
      </c>
    </row>
    <row r="1109" spans="13:23">
      <c r="M1109" s="219">
        <f t="shared" ca="1" si="69"/>
        <v>51384</v>
      </c>
      <c r="N1109" s="115" t="e">
        <f ca="1"/>
        <v>#VALUE!</v>
      </c>
      <c r="P1109" s="219">
        <f t="shared" ca="1" si="70"/>
        <v>51384</v>
      </c>
      <c r="Q1109" s="115" t="e">
        <f ca="1"/>
        <v>#VALUE!</v>
      </c>
      <c r="S1109" s="219">
        <f t="shared" ca="1" si="71"/>
        <v>51384</v>
      </c>
      <c r="T1109" s="115" t="e">
        <f ca="1"/>
        <v>#VALUE!</v>
      </c>
      <c r="V1109" s="219">
        <f t="shared" ca="1" si="72"/>
        <v>51384</v>
      </c>
      <c r="W1109" s="115" t="e">
        <f ca="1"/>
        <v>#VALUE!</v>
      </c>
    </row>
    <row r="1110" spans="13:23">
      <c r="M1110" s="219">
        <f t="shared" ca="1" si="69"/>
        <v>51391</v>
      </c>
      <c r="N1110" s="115" t="e">
        <f ca="1"/>
        <v>#VALUE!</v>
      </c>
      <c r="P1110" s="219">
        <f t="shared" ca="1" si="70"/>
        <v>51391</v>
      </c>
      <c r="Q1110" s="115" t="e">
        <f ca="1"/>
        <v>#VALUE!</v>
      </c>
      <c r="S1110" s="219">
        <f t="shared" ca="1" si="71"/>
        <v>51391</v>
      </c>
      <c r="T1110" s="115" t="e">
        <f ca="1"/>
        <v>#VALUE!</v>
      </c>
      <c r="V1110" s="219">
        <f t="shared" ca="1" si="72"/>
        <v>51391</v>
      </c>
      <c r="W1110" s="115" t="e">
        <f ca="1"/>
        <v>#VALUE!</v>
      </c>
    </row>
    <row r="1111" spans="13:23">
      <c r="M1111" s="219">
        <f t="shared" ca="1" si="69"/>
        <v>51398</v>
      </c>
      <c r="N1111" s="115" t="e">
        <f ca="1"/>
        <v>#VALUE!</v>
      </c>
      <c r="P1111" s="219">
        <f t="shared" ca="1" si="70"/>
        <v>51398</v>
      </c>
      <c r="Q1111" s="115" t="e">
        <f ca="1"/>
        <v>#VALUE!</v>
      </c>
      <c r="S1111" s="219">
        <f t="shared" ca="1" si="71"/>
        <v>51398</v>
      </c>
      <c r="T1111" s="115" t="e">
        <f ca="1"/>
        <v>#VALUE!</v>
      </c>
      <c r="V1111" s="219">
        <f t="shared" ca="1" si="72"/>
        <v>51398</v>
      </c>
      <c r="W1111" s="115" t="e">
        <f ca="1"/>
        <v>#VALUE!</v>
      </c>
    </row>
    <row r="1112" spans="13:23">
      <c r="M1112" s="219">
        <f t="shared" ca="1" si="69"/>
        <v>51405</v>
      </c>
      <c r="N1112" s="115" t="e">
        <f ca="1"/>
        <v>#VALUE!</v>
      </c>
      <c r="P1112" s="219">
        <f t="shared" ca="1" si="70"/>
        <v>51405</v>
      </c>
      <c r="Q1112" s="115" t="e">
        <f ca="1"/>
        <v>#VALUE!</v>
      </c>
      <c r="S1112" s="219">
        <f t="shared" ca="1" si="71"/>
        <v>51405</v>
      </c>
      <c r="T1112" s="115" t="e">
        <f ca="1"/>
        <v>#VALUE!</v>
      </c>
      <c r="V1112" s="219">
        <f t="shared" ca="1" si="72"/>
        <v>51405</v>
      </c>
      <c r="W1112" s="115" t="e">
        <f ca="1"/>
        <v>#VALUE!</v>
      </c>
    </row>
    <row r="1113" spans="13:23">
      <c r="M1113" s="219">
        <f t="shared" ca="1" si="69"/>
        <v>51412</v>
      </c>
      <c r="N1113" s="115" t="e">
        <f ca="1"/>
        <v>#VALUE!</v>
      </c>
      <c r="P1113" s="219">
        <f t="shared" ca="1" si="70"/>
        <v>51412</v>
      </c>
      <c r="Q1113" s="115" t="e">
        <f ca="1"/>
        <v>#VALUE!</v>
      </c>
      <c r="S1113" s="219">
        <f t="shared" ca="1" si="71"/>
        <v>51412</v>
      </c>
      <c r="T1113" s="115" t="e">
        <f ca="1"/>
        <v>#VALUE!</v>
      </c>
      <c r="V1113" s="219">
        <f t="shared" ca="1" si="72"/>
        <v>51412</v>
      </c>
      <c r="W1113" s="115" t="e">
        <f ca="1"/>
        <v>#VALUE!</v>
      </c>
    </row>
    <row r="1114" spans="13:23">
      <c r="M1114" s="219">
        <f t="shared" ca="1" si="69"/>
        <v>51419</v>
      </c>
      <c r="N1114" s="115" t="e">
        <f ca="1"/>
        <v>#VALUE!</v>
      </c>
      <c r="P1114" s="219">
        <f t="shared" ca="1" si="70"/>
        <v>51419</v>
      </c>
      <c r="Q1114" s="115" t="e">
        <f ca="1"/>
        <v>#VALUE!</v>
      </c>
      <c r="S1114" s="219">
        <f t="shared" ca="1" si="71"/>
        <v>51419</v>
      </c>
      <c r="T1114" s="115" t="e">
        <f ca="1"/>
        <v>#VALUE!</v>
      </c>
      <c r="V1114" s="219">
        <f t="shared" ca="1" si="72"/>
        <v>51419</v>
      </c>
      <c r="W1114" s="115" t="e">
        <f ca="1"/>
        <v>#VALUE!</v>
      </c>
    </row>
    <row r="1115" spans="13:23">
      <c r="M1115" s="219">
        <f t="shared" ca="1" si="69"/>
        <v>51426</v>
      </c>
      <c r="N1115" s="115" t="e">
        <f ca="1"/>
        <v>#VALUE!</v>
      </c>
      <c r="P1115" s="219">
        <f t="shared" ca="1" si="70"/>
        <v>51426</v>
      </c>
      <c r="Q1115" s="115" t="e">
        <f ca="1"/>
        <v>#VALUE!</v>
      </c>
      <c r="S1115" s="219">
        <f t="shared" ca="1" si="71"/>
        <v>51426</v>
      </c>
      <c r="T1115" s="115" t="e">
        <f ca="1"/>
        <v>#VALUE!</v>
      </c>
      <c r="V1115" s="219">
        <f t="shared" ca="1" si="72"/>
        <v>51426</v>
      </c>
      <c r="W1115" s="115" t="e">
        <f ca="1"/>
        <v>#VALUE!</v>
      </c>
    </row>
    <row r="1116" spans="13:23">
      <c r="M1116" s="219">
        <f t="shared" ca="1" si="69"/>
        <v>51433</v>
      </c>
      <c r="N1116" s="115" t="e">
        <f ca="1"/>
        <v>#VALUE!</v>
      </c>
      <c r="P1116" s="219">
        <f t="shared" ca="1" si="70"/>
        <v>51433</v>
      </c>
      <c r="Q1116" s="115" t="e">
        <f ca="1"/>
        <v>#VALUE!</v>
      </c>
      <c r="S1116" s="219">
        <f t="shared" ca="1" si="71"/>
        <v>51433</v>
      </c>
      <c r="T1116" s="115" t="e">
        <f ca="1"/>
        <v>#VALUE!</v>
      </c>
      <c r="V1116" s="219">
        <f t="shared" ca="1" si="72"/>
        <v>51433</v>
      </c>
      <c r="W1116" s="115" t="e">
        <f ca="1"/>
        <v>#VALUE!</v>
      </c>
    </row>
    <row r="1117" spans="13:23">
      <c r="M1117" s="219">
        <f t="shared" ca="1" si="69"/>
        <v>51440</v>
      </c>
      <c r="N1117" s="115" t="e">
        <f ca="1"/>
        <v>#VALUE!</v>
      </c>
      <c r="P1117" s="219">
        <f t="shared" ca="1" si="70"/>
        <v>51440</v>
      </c>
      <c r="Q1117" s="115" t="e">
        <f ca="1"/>
        <v>#VALUE!</v>
      </c>
      <c r="S1117" s="219">
        <f t="shared" ca="1" si="71"/>
        <v>51440</v>
      </c>
      <c r="T1117" s="115" t="e">
        <f ca="1"/>
        <v>#VALUE!</v>
      </c>
      <c r="V1117" s="219">
        <f t="shared" ca="1" si="72"/>
        <v>51440</v>
      </c>
      <c r="W1117" s="115" t="e">
        <f ca="1"/>
        <v>#VALUE!</v>
      </c>
    </row>
    <row r="1118" spans="13:23">
      <c r="M1118" s="219">
        <f t="shared" ca="1" si="69"/>
        <v>51447</v>
      </c>
      <c r="N1118" s="115" t="e">
        <f ca="1"/>
        <v>#VALUE!</v>
      </c>
      <c r="P1118" s="219">
        <f t="shared" ca="1" si="70"/>
        <v>51447</v>
      </c>
      <c r="Q1118" s="115" t="e">
        <f ca="1"/>
        <v>#VALUE!</v>
      </c>
      <c r="S1118" s="219">
        <f t="shared" ca="1" si="71"/>
        <v>51447</v>
      </c>
      <c r="T1118" s="115" t="e">
        <f ca="1"/>
        <v>#VALUE!</v>
      </c>
      <c r="V1118" s="219">
        <f t="shared" ca="1" si="72"/>
        <v>51447</v>
      </c>
      <c r="W1118" s="115" t="e">
        <f ca="1"/>
        <v>#VALUE!</v>
      </c>
    </row>
    <row r="1119" spans="13:23">
      <c r="M1119" s="219">
        <f t="shared" ca="1" si="69"/>
        <v>51454</v>
      </c>
      <c r="N1119" s="115" t="e">
        <f ca="1"/>
        <v>#VALUE!</v>
      </c>
      <c r="P1119" s="219">
        <f t="shared" ca="1" si="70"/>
        <v>51454</v>
      </c>
      <c r="Q1119" s="115" t="e">
        <f ca="1"/>
        <v>#VALUE!</v>
      </c>
      <c r="S1119" s="219">
        <f t="shared" ca="1" si="71"/>
        <v>51454</v>
      </c>
      <c r="T1119" s="115" t="e">
        <f ca="1"/>
        <v>#VALUE!</v>
      </c>
      <c r="V1119" s="219">
        <f t="shared" ca="1" si="72"/>
        <v>51454</v>
      </c>
      <c r="W1119" s="115" t="e">
        <f ca="1"/>
        <v>#VALUE!</v>
      </c>
    </row>
    <row r="1120" spans="13:23">
      <c r="M1120" s="219">
        <f t="shared" ca="1" si="69"/>
        <v>51461</v>
      </c>
      <c r="N1120" s="115" t="e">
        <f ca="1"/>
        <v>#VALUE!</v>
      </c>
      <c r="P1120" s="219">
        <f t="shared" ca="1" si="70"/>
        <v>51461</v>
      </c>
      <c r="Q1120" s="115" t="e">
        <f ca="1"/>
        <v>#VALUE!</v>
      </c>
      <c r="S1120" s="219">
        <f t="shared" ca="1" si="71"/>
        <v>51461</v>
      </c>
      <c r="T1120" s="115" t="e">
        <f ca="1"/>
        <v>#VALUE!</v>
      </c>
      <c r="V1120" s="219">
        <f t="shared" ca="1" si="72"/>
        <v>51461</v>
      </c>
      <c r="W1120" s="115" t="e">
        <f ca="1"/>
        <v>#VALUE!</v>
      </c>
    </row>
    <row r="1121" spans="13:23">
      <c r="M1121" s="219">
        <f t="shared" ca="1" si="69"/>
        <v>51468</v>
      </c>
      <c r="N1121" s="115" t="e">
        <f ca="1"/>
        <v>#VALUE!</v>
      </c>
      <c r="P1121" s="219">
        <f t="shared" ca="1" si="70"/>
        <v>51468</v>
      </c>
      <c r="Q1121" s="115" t="e">
        <f ca="1"/>
        <v>#VALUE!</v>
      </c>
      <c r="S1121" s="219">
        <f t="shared" ca="1" si="71"/>
        <v>51468</v>
      </c>
      <c r="T1121" s="115" t="e">
        <f ca="1"/>
        <v>#VALUE!</v>
      </c>
      <c r="V1121" s="219">
        <f t="shared" ca="1" si="72"/>
        <v>51468</v>
      </c>
      <c r="W1121" s="115" t="e">
        <f ca="1"/>
        <v>#VALUE!</v>
      </c>
    </row>
    <row r="1122" spans="13:23">
      <c r="M1122" s="219">
        <f t="shared" ca="1" si="69"/>
        <v>51475</v>
      </c>
      <c r="N1122" s="115" t="e">
        <f ca="1"/>
        <v>#VALUE!</v>
      </c>
      <c r="P1122" s="219">
        <f t="shared" ca="1" si="70"/>
        <v>51475</v>
      </c>
      <c r="Q1122" s="115" t="e">
        <f ca="1"/>
        <v>#VALUE!</v>
      </c>
      <c r="S1122" s="219">
        <f t="shared" ca="1" si="71"/>
        <v>51475</v>
      </c>
      <c r="T1122" s="115" t="e">
        <f ca="1"/>
        <v>#VALUE!</v>
      </c>
      <c r="V1122" s="219">
        <f t="shared" ca="1" si="72"/>
        <v>51475</v>
      </c>
      <c r="W1122" s="115" t="e">
        <f ca="1"/>
        <v>#VALUE!</v>
      </c>
    </row>
    <row r="1123" spans="13:23">
      <c r="M1123" s="219">
        <f t="shared" ca="1" si="69"/>
        <v>51482</v>
      </c>
      <c r="N1123" s="115" t="e">
        <f ca="1"/>
        <v>#VALUE!</v>
      </c>
      <c r="P1123" s="219">
        <f t="shared" ca="1" si="70"/>
        <v>51482</v>
      </c>
      <c r="Q1123" s="115" t="e">
        <f ca="1"/>
        <v>#VALUE!</v>
      </c>
      <c r="S1123" s="219">
        <f t="shared" ca="1" si="71"/>
        <v>51482</v>
      </c>
      <c r="T1123" s="115" t="e">
        <f ca="1"/>
        <v>#VALUE!</v>
      </c>
      <c r="V1123" s="219">
        <f t="shared" ca="1" si="72"/>
        <v>51482</v>
      </c>
      <c r="W1123" s="115" t="e">
        <f ca="1"/>
        <v>#VALUE!</v>
      </c>
    </row>
    <row r="1124" spans="13:23">
      <c r="M1124" s="219">
        <f t="shared" ca="1" si="69"/>
        <v>51489</v>
      </c>
      <c r="N1124" s="115" t="e">
        <f ca="1"/>
        <v>#VALUE!</v>
      </c>
      <c r="P1124" s="219">
        <f t="shared" ca="1" si="70"/>
        <v>51489</v>
      </c>
      <c r="Q1124" s="115" t="e">
        <f ca="1"/>
        <v>#VALUE!</v>
      </c>
      <c r="S1124" s="219">
        <f t="shared" ca="1" si="71"/>
        <v>51489</v>
      </c>
      <c r="T1124" s="115" t="e">
        <f ca="1"/>
        <v>#VALUE!</v>
      </c>
      <c r="V1124" s="219">
        <f t="shared" ca="1" si="72"/>
        <v>51489</v>
      </c>
      <c r="W1124" s="115" t="e">
        <f ca="1"/>
        <v>#VALUE!</v>
      </c>
    </row>
    <row r="1125" spans="13:23">
      <c r="M1125" s="219">
        <f t="shared" ca="1" si="69"/>
        <v>51496</v>
      </c>
      <c r="N1125" s="115" t="e">
        <f ca="1"/>
        <v>#VALUE!</v>
      </c>
      <c r="P1125" s="219">
        <f t="shared" ca="1" si="70"/>
        <v>51496</v>
      </c>
      <c r="Q1125" s="115" t="e">
        <f ca="1"/>
        <v>#VALUE!</v>
      </c>
      <c r="S1125" s="219">
        <f t="shared" ca="1" si="71"/>
        <v>51496</v>
      </c>
      <c r="T1125" s="115" t="e">
        <f ca="1"/>
        <v>#VALUE!</v>
      </c>
      <c r="V1125" s="219">
        <f t="shared" ca="1" si="72"/>
        <v>51496</v>
      </c>
      <c r="W1125" s="115" t="e">
        <f ca="1"/>
        <v>#VALUE!</v>
      </c>
    </row>
    <row r="1126" spans="13:23">
      <c r="M1126" s="219">
        <f t="shared" ca="1" si="69"/>
        <v>51503</v>
      </c>
      <c r="N1126" s="115" t="e">
        <f ca="1"/>
        <v>#VALUE!</v>
      </c>
      <c r="P1126" s="219">
        <f t="shared" ca="1" si="70"/>
        <v>51503</v>
      </c>
      <c r="Q1126" s="115" t="e">
        <f ca="1"/>
        <v>#VALUE!</v>
      </c>
      <c r="S1126" s="219">
        <f t="shared" ca="1" si="71"/>
        <v>51503</v>
      </c>
      <c r="T1126" s="115" t="e">
        <f ca="1"/>
        <v>#VALUE!</v>
      </c>
      <c r="V1126" s="219">
        <f t="shared" ca="1" si="72"/>
        <v>51503</v>
      </c>
      <c r="W1126" s="115" t="e">
        <f ca="1"/>
        <v>#VALUE!</v>
      </c>
    </row>
    <row r="1127" spans="13:23">
      <c r="M1127" s="219">
        <f t="shared" ca="1" si="69"/>
        <v>51510</v>
      </c>
      <c r="N1127" s="115" t="e">
        <f ca="1"/>
        <v>#VALUE!</v>
      </c>
      <c r="P1127" s="219">
        <f t="shared" ca="1" si="70"/>
        <v>51510</v>
      </c>
      <c r="Q1127" s="115" t="e">
        <f ca="1"/>
        <v>#VALUE!</v>
      </c>
      <c r="S1127" s="219">
        <f t="shared" ca="1" si="71"/>
        <v>51510</v>
      </c>
      <c r="T1127" s="115" t="e">
        <f ca="1"/>
        <v>#VALUE!</v>
      </c>
      <c r="V1127" s="219">
        <f t="shared" ca="1" si="72"/>
        <v>51510</v>
      </c>
      <c r="W1127" s="115" t="e">
        <f ca="1"/>
        <v>#VALUE!</v>
      </c>
    </row>
    <row r="1128" spans="13:23">
      <c r="M1128" s="219">
        <f t="shared" ca="1" si="69"/>
        <v>51517</v>
      </c>
      <c r="N1128" s="115" t="e">
        <f ca="1"/>
        <v>#VALUE!</v>
      </c>
      <c r="P1128" s="219">
        <f t="shared" ca="1" si="70"/>
        <v>51517</v>
      </c>
      <c r="Q1128" s="115" t="e">
        <f ca="1"/>
        <v>#VALUE!</v>
      </c>
      <c r="S1128" s="219">
        <f t="shared" ca="1" si="71"/>
        <v>51517</v>
      </c>
      <c r="T1128" s="115" t="e">
        <f ca="1"/>
        <v>#VALUE!</v>
      </c>
      <c r="V1128" s="219">
        <f t="shared" ca="1" si="72"/>
        <v>51517</v>
      </c>
      <c r="W1128" s="115" t="e">
        <f ca="1"/>
        <v>#VALUE!</v>
      </c>
    </row>
    <row r="1129" spans="13:23">
      <c r="M1129" s="219">
        <f t="shared" ca="1" si="69"/>
        <v>51524</v>
      </c>
      <c r="N1129" s="115" t="e">
        <f ca="1"/>
        <v>#VALUE!</v>
      </c>
      <c r="P1129" s="219">
        <f t="shared" ca="1" si="70"/>
        <v>51524</v>
      </c>
      <c r="Q1129" s="115" t="e">
        <f ca="1"/>
        <v>#VALUE!</v>
      </c>
      <c r="S1129" s="219">
        <f t="shared" ca="1" si="71"/>
        <v>51524</v>
      </c>
      <c r="T1129" s="115" t="e">
        <f ca="1"/>
        <v>#VALUE!</v>
      </c>
      <c r="V1129" s="219">
        <f t="shared" ca="1" si="72"/>
        <v>51524</v>
      </c>
      <c r="W1129" s="115" t="e">
        <f ca="1"/>
        <v>#VALUE!</v>
      </c>
    </row>
    <row r="1130" spans="13:23">
      <c r="M1130" s="219">
        <f t="shared" ca="1" si="69"/>
        <v>51531</v>
      </c>
      <c r="N1130" s="115" t="e">
        <f ca="1"/>
        <v>#VALUE!</v>
      </c>
      <c r="P1130" s="219">
        <f t="shared" ca="1" si="70"/>
        <v>51531</v>
      </c>
      <c r="Q1130" s="115" t="e">
        <f ca="1"/>
        <v>#VALUE!</v>
      </c>
      <c r="S1130" s="219">
        <f t="shared" ca="1" si="71"/>
        <v>51531</v>
      </c>
      <c r="T1130" s="115" t="e">
        <f ca="1"/>
        <v>#VALUE!</v>
      </c>
      <c r="V1130" s="219">
        <f t="shared" ca="1" si="72"/>
        <v>51531</v>
      </c>
      <c r="W1130" s="115" t="e">
        <f ca="1"/>
        <v>#VALUE!</v>
      </c>
    </row>
    <row r="1131" spans="13:23">
      <c r="M1131" s="219">
        <f t="shared" ca="1" si="69"/>
        <v>51538</v>
      </c>
      <c r="N1131" s="115" t="e">
        <f ca="1"/>
        <v>#VALUE!</v>
      </c>
      <c r="P1131" s="219">
        <f t="shared" ca="1" si="70"/>
        <v>51538</v>
      </c>
      <c r="Q1131" s="115" t="e">
        <f ca="1"/>
        <v>#VALUE!</v>
      </c>
      <c r="S1131" s="219">
        <f t="shared" ca="1" si="71"/>
        <v>51538</v>
      </c>
      <c r="T1131" s="115" t="e">
        <f ca="1"/>
        <v>#VALUE!</v>
      </c>
      <c r="V1131" s="219">
        <f t="shared" ca="1" si="72"/>
        <v>51538</v>
      </c>
      <c r="W1131" s="115" t="e">
        <f ca="1"/>
        <v>#VALUE!</v>
      </c>
    </row>
    <row r="1132" spans="13:23">
      <c r="M1132" s="219">
        <f t="shared" ca="1" si="69"/>
        <v>51545</v>
      </c>
      <c r="N1132" s="115" t="e">
        <f ca="1"/>
        <v>#VALUE!</v>
      </c>
      <c r="P1132" s="219">
        <f t="shared" ca="1" si="70"/>
        <v>51545</v>
      </c>
      <c r="Q1132" s="115" t="e">
        <f ca="1"/>
        <v>#VALUE!</v>
      </c>
      <c r="S1132" s="219">
        <f t="shared" ca="1" si="71"/>
        <v>51545</v>
      </c>
      <c r="T1132" s="115" t="e">
        <f ca="1"/>
        <v>#VALUE!</v>
      </c>
      <c r="V1132" s="219">
        <f t="shared" ca="1" si="72"/>
        <v>51545</v>
      </c>
      <c r="W1132" s="115" t="e">
        <f ca="1"/>
        <v>#VALUE!</v>
      </c>
    </row>
    <row r="1133" spans="13:23">
      <c r="M1133" s="219">
        <f t="shared" ca="1" si="69"/>
        <v>51552</v>
      </c>
      <c r="N1133" s="115" t="e">
        <f ca="1"/>
        <v>#VALUE!</v>
      </c>
      <c r="P1133" s="219">
        <f t="shared" ca="1" si="70"/>
        <v>51552</v>
      </c>
      <c r="Q1133" s="115" t="e">
        <f ca="1"/>
        <v>#VALUE!</v>
      </c>
      <c r="S1133" s="219">
        <f t="shared" ca="1" si="71"/>
        <v>51552</v>
      </c>
      <c r="T1133" s="115" t="e">
        <f ca="1"/>
        <v>#VALUE!</v>
      </c>
      <c r="V1133" s="219">
        <f t="shared" ca="1" si="72"/>
        <v>51552</v>
      </c>
      <c r="W1133" s="115" t="e">
        <f ca="1"/>
        <v>#VALUE!</v>
      </c>
    </row>
    <row r="1134" spans="13:23">
      <c r="M1134" s="219">
        <f t="shared" ca="1" si="69"/>
        <v>51559</v>
      </c>
      <c r="N1134" s="115" t="e">
        <f ca="1"/>
        <v>#VALUE!</v>
      </c>
      <c r="P1134" s="219">
        <f t="shared" ca="1" si="70"/>
        <v>51559</v>
      </c>
      <c r="Q1134" s="115" t="e">
        <f ca="1"/>
        <v>#VALUE!</v>
      </c>
      <c r="S1134" s="219">
        <f t="shared" ca="1" si="71"/>
        <v>51559</v>
      </c>
      <c r="T1134" s="115" t="e">
        <f ca="1"/>
        <v>#VALUE!</v>
      </c>
      <c r="V1134" s="219">
        <f t="shared" ca="1" si="72"/>
        <v>51559</v>
      </c>
      <c r="W1134" s="115" t="e">
        <f ca="1"/>
        <v>#VALUE!</v>
      </c>
    </row>
    <row r="1135" spans="13:23">
      <c r="M1135" s="219">
        <f t="shared" ca="1" si="69"/>
        <v>51566</v>
      </c>
      <c r="N1135" s="115" t="e">
        <f ca="1"/>
        <v>#VALUE!</v>
      </c>
      <c r="P1135" s="219">
        <f t="shared" ca="1" si="70"/>
        <v>51566</v>
      </c>
      <c r="Q1135" s="115" t="e">
        <f ca="1"/>
        <v>#VALUE!</v>
      </c>
      <c r="S1135" s="219">
        <f t="shared" ca="1" si="71"/>
        <v>51566</v>
      </c>
      <c r="T1135" s="115" t="e">
        <f ca="1"/>
        <v>#VALUE!</v>
      </c>
      <c r="V1135" s="219">
        <f t="shared" ca="1" si="72"/>
        <v>51566</v>
      </c>
      <c r="W1135" s="115" t="e">
        <f ca="1"/>
        <v>#VALUE!</v>
      </c>
    </row>
    <row r="1136" spans="13:23">
      <c r="M1136" s="219">
        <f t="shared" ca="1" si="69"/>
        <v>51573</v>
      </c>
      <c r="N1136" s="115" t="e">
        <f ca="1"/>
        <v>#VALUE!</v>
      </c>
      <c r="P1136" s="219">
        <f t="shared" ca="1" si="70"/>
        <v>51573</v>
      </c>
      <c r="Q1136" s="115" t="e">
        <f ca="1"/>
        <v>#VALUE!</v>
      </c>
      <c r="S1136" s="219">
        <f t="shared" ca="1" si="71"/>
        <v>51573</v>
      </c>
      <c r="T1136" s="115" t="e">
        <f ca="1"/>
        <v>#VALUE!</v>
      </c>
      <c r="V1136" s="219">
        <f t="shared" ca="1" si="72"/>
        <v>51573</v>
      </c>
      <c r="W1136" s="115" t="e">
        <f ca="1"/>
        <v>#VALUE!</v>
      </c>
    </row>
    <row r="1137" spans="13:23">
      <c r="M1137" s="219">
        <f t="shared" ca="1" si="69"/>
        <v>51580</v>
      </c>
      <c r="N1137" s="115" t="e">
        <f ca="1"/>
        <v>#VALUE!</v>
      </c>
      <c r="P1137" s="219">
        <f t="shared" ca="1" si="70"/>
        <v>51580</v>
      </c>
      <c r="Q1137" s="115" t="e">
        <f ca="1"/>
        <v>#VALUE!</v>
      </c>
      <c r="S1137" s="219">
        <f t="shared" ca="1" si="71"/>
        <v>51580</v>
      </c>
      <c r="T1137" s="115" t="e">
        <f ca="1"/>
        <v>#VALUE!</v>
      </c>
      <c r="V1137" s="219">
        <f t="shared" ca="1" si="72"/>
        <v>51580</v>
      </c>
      <c r="W1137" s="115" t="e">
        <f ca="1"/>
        <v>#VALUE!</v>
      </c>
    </row>
    <row r="1138" spans="13:23">
      <c r="M1138" s="219">
        <f t="shared" ca="1" si="69"/>
        <v>51587</v>
      </c>
      <c r="N1138" s="115" t="e">
        <f ca="1"/>
        <v>#VALUE!</v>
      </c>
      <c r="P1138" s="219">
        <f t="shared" ca="1" si="70"/>
        <v>51587</v>
      </c>
      <c r="Q1138" s="115" t="e">
        <f ca="1"/>
        <v>#VALUE!</v>
      </c>
      <c r="S1138" s="219">
        <f t="shared" ca="1" si="71"/>
        <v>51587</v>
      </c>
      <c r="T1138" s="115" t="e">
        <f ca="1"/>
        <v>#VALUE!</v>
      </c>
      <c r="V1138" s="219">
        <f t="shared" ca="1" si="72"/>
        <v>51587</v>
      </c>
      <c r="W1138" s="115" t="e">
        <f ca="1"/>
        <v>#VALUE!</v>
      </c>
    </row>
    <row r="1139" spans="13:23">
      <c r="M1139" s="219">
        <f t="shared" ca="1" si="69"/>
        <v>51594</v>
      </c>
      <c r="N1139" s="115" t="e">
        <f ca="1"/>
        <v>#VALUE!</v>
      </c>
      <c r="P1139" s="219">
        <f t="shared" ca="1" si="70"/>
        <v>51594</v>
      </c>
      <c r="Q1139" s="115" t="e">
        <f ca="1"/>
        <v>#VALUE!</v>
      </c>
      <c r="S1139" s="219">
        <f t="shared" ca="1" si="71"/>
        <v>51594</v>
      </c>
      <c r="T1139" s="115" t="e">
        <f ca="1"/>
        <v>#VALUE!</v>
      </c>
      <c r="V1139" s="219">
        <f t="shared" ca="1" si="72"/>
        <v>51594</v>
      </c>
      <c r="W1139" s="115" t="e">
        <f ca="1"/>
        <v>#VALUE!</v>
      </c>
    </row>
    <row r="1140" spans="13:23">
      <c r="M1140" s="219">
        <f t="shared" ca="1" si="69"/>
        <v>51601</v>
      </c>
      <c r="N1140" s="115" t="e">
        <f ca="1"/>
        <v>#VALUE!</v>
      </c>
      <c r="P1140" s="219">
        <f t="shared" ca="1" si="70"/>
        <v>51601</v>
      </c>
      <c r="Q1140" s="115" t="e">
        <f ca="1"/>
        <v>#VALUE!</v>
      </c>
      <c r="S1140" s="219">
        <f t="shared" ca="1" si="71"/>
        <v>51601</v>
      </c>
      <c r="T1140" s="115" t="e">
        <f ca="1"/>
        <v>#VALUE!</v>
      </c>
      <c r="V1140" s="219">
        <f t="shared" ca="1" si="72"/>
        <v>51601</v>
      </c>
      <c r="W1140" s="115" t="e">
        <f ca="1"/>
        <v>#VALUE!</v>
      </c>
    </row>
    <row r="1141" spans="13:23">
      <c r="M1141" s="219">
        <f t="shared" ca="1" si="69"/>
        <v>51608</v>
      </c>
      <c r="N1141" s="115" t="e">
        <f ca="1"/>
        <v>#VALUE!</v>
      </c>
      <c r="P1141" s="219">
        <f t="shared" ca="1" si="70"/>
        <v>51608</v>
      </c>
      <c r="Q1141" s="115" t="e">
        <f ca="1"/>
        <v>#VALUE!</v>
      </c>
      <c r="S1141" s="219">
        <f t="shared" ca="1" si="71"/>
        <v>51608</v>
      </c>
      <c r="T1141" s="115" t="e">
        <f ca="1"/>
        <v>#VALUE!</v>
      </c>
      <c r="V1141" s="219">
        <f t="shared" ca="1" si="72"/>
        <v>51608</v>
      </c>
      <c r="W1141" s="115" t="e">
        <f ca="1"/>
        <v>#VALUE!</v>
      </c>
    </row>
    <row r="1142" spans="13:23">
      <c r="M1142" s="219">
        <f t="shared" ca="1" si="69"/>
        <v>51615</v>
      </c>
      <c r="N1142" s="115" t="e">
        <f ca="1"/>
        <v>#VALUE!</v>
      </c>
      <c r="P1142" s="219">
        <f t="shared" ca="1" si="70"/>
        <v>51615</v>
      </c>
      <c r="Q1142" s="115" t="e">
        <f ca="1"/>
        <v>#VALUE!</v>
      </c>
      <c r="S1142" s="219">
        <f t="shared" ca="1" si="71"/>
        <v>51615</v>
      </c>
      <c r="T1142" s="115" t="e">
        <f ca="1"/>
        <v>#VALUE!</v>
      </c>
      <c r="V1142" s="219">
        <f t="shared" ca="1" si="72"/>
        <v>51615</v>
      </c>
      <c r="W1142" s="115" t="e">
        <f ca="1"/>
        <v>#VALUE!</v>
      </c>
    </row>
    <row r="1143" spans="13:23">
      <c r="M1143" s="219">
        <f t="shared" ca="1" si="69"/>
        <v>51622</v>
      </c>
      <c r="N1143" s="115" t="e">
        <f ca="1"/>
        <v>#VALUE!</v>
      </c>
      <c r="P1143" s="219">
        <f t="shared" ca="1" si="70"/>
        <v>51622</v>
      </c>
      <c r="Q1143" s="115" t="e">
        <f ca="1"/>
        <v>#VALUE!</v>
      </c>
      <c r="S1143" s="219">
        <f t="shared" ca="1" si="71"/>
        <v>51622</v>
      </c>
      <c r="T1143" s="115" t="e">
        <f ca="1"/>
        <v>#VALUE!</v>
      </c>
      <c r="V1143" s="219">
        <f t="shared" ca="1" si="72"/>
        <v>51622</v>
      </c>
      <c r="W1143" s="115" t="e">
        <f ca="1"/>
        <v>#VALUE!</v>
      </c>
    </row>
    <row r="1144" spans="13:23">
      <c r="M1144" s="219">
        <f t="shared" ca="1" si="69"/>
        <v>51629</v>
      </c>
      <c r="N1144" s="115" t="e">
        <f ca="1"/>
        <v>#VALUE!</v>
      </c>
      <c r="P1144" s="219">
        <f t="shared" ca="1" si="70"/>
        <v>51629</v>
      </c>
      <c r="Q1144" s="115" t="e">
        <f ca="1"/>
        <v>#VALUE!</v>
      </c>
      <c r="S1144" s="219">
        <f t="shared" ca="1" si="71"/>
        <v>51629</v>
      </c>
      <c r="T1144" s="115" t="e">
        <f ca="1"/>
        <v>#VALUE!</v>
      </c>
      <c r="V1144" s="219">
        <f t="shared" ca="1" si="72"/>
        <v>51629</v>
      </c>
      <c r="W1144" s="115" t="e">
        <f ca="1"/>
        <v>#VALUE!</v>
      </c>
    </row>
    <row r="1145" spans="13:23">
      <c r="M1145" s="219">
        <f t="shared" ca="1" si="69"/>
        <v>51636</v>
      </c>
      <c r="N1145" s="115" t="e">
        <f ca="1"/>
        <v>#VALUE!</v>
      </c>
      <c r="P1145" s="219">
        <f t="shared" ca="1" si="70"/>
        <v>51636</v>
      </c>
      <c r="Q1145" s="115" t="e">
        <f ca="1"/>
        <v>#VALUE!</v>
      </c>
      <c r="S1145" s="219">
        <f t="shared" ca="1" si="71"/>
        <v>51636</v>
      </c>
      <c r="T1145" s="115" t="e">
        <f ca="1"/>
        <v>#VALUE!</v>
      </c>
      <c r="V1145" s="219">
        <f t="shared" ca="1" si="72"/>
        <v>51636</v>
      </c>
      <c r="W1145" s="115" t="e">
        <f ca="1"/>
        <v>#VALUE!</v>
      </c>
    </row>
    <row r="1146" spans="13:23">
      <c r="M1146" s="219">
        <f t="shared" ca="1" si="69"/>
        <v>51643</v>
      </c>
      <c r="N1146" s="115" t="e">
        <f ca="1"/>
        <v>#VALUE!</v>
      </c>
      <c r="P1146" s="219">
        <f t="shared" ca="1" si="70"/>
        <v>51643</v>
      </c>
      <c r="Q1146" s="115" t="e">
        <f ca="1"/>
        <v>#VALUE!</v>
      </c>
      <c r="S1146" s="219">
        <f t="shared" ca="1" si="71"/>
        <v>51643</v>
      </c>
      <c r="T1146" s="115" t="e">
        <f ca="1"/>
        <v>#VALUE!</v>
      </c>
      <c r="V1146" s="219">
        <f t="shared" ca="1" si="72"/>
        <v>51643</v>
      </c>
      <c r="W1146" s="115" t="e">
        <f ca="1"/>
        <v>#VALUE!</v>
      </c>
    </row>
    <row r="1147" spans="13:23">
      <c r="M1147" s="219">
        <f t="shared" ca="1" si="69"/>
        <v>51650</v>
      </c>
      <c r="N1147" s="115" t="e">
        <f ca="1"/>
        <v>#VALUE!</v>
      </c>
      <c r="P1147" s="219">
        <f t="shared" ca="1" si="70"/>
        <v>51650</v>
      </c>
      <c r="Q1147" s="115" t="e">
        <f ca="1"/>
        <v>#VALUE!</v>
      </c>
      <c r="S1147" s="219">
        <f t="shared" ca="1" si="71"/>
        <v>51650</v>
      </c>
      <c r="T1147" s="115" t="e">
        <f ca="1"/>
        <v>#VALUE!</v>
      </c>
      <c r="V1147" s="219">
        <f t="shared" ca="1" si="72"/>
        <v>51650</v>
      </c>
      <c r="W1147" s="115" t="e">
        <f ca="1"/>
        <v>#VALUE!</v>
      </c>
    </row>
    <row r="1148" spans="13:23">
      <c r="M1148" s="219">
        <f t="shared" ca="1" si="69"/>
        <v>51657</v>
      </c>
      <c r="N1148" s="115" t="e">
        <f ca="1"/>
        <v>#VALUE!</v>
      </c>
      <c r="P1148" s="219">
        <f t="shared" ca="1" si="70"/>
        <v>51657</v>
      </c>
      <c r="Q1148" s="115" t="e">
        <f ca="1"/>
        <v>#VALUE!</v>
      </c>
      <c r="S1148" s="219">
        <f t="shared" ca="1" si="71"/>
        <v>51657</v>
      </c>
      <c r="T1148" s="115" t="e">
        <f ca="1"/>
        <v>#VALUE!</v>
      </c>
      <c r="V1148" s="219">
        <f t="shared" ca="1" si="72"/>
        <v>51657</v>
      </c>
      <c r="W1148" s="115" t="e">
        <f ca="1"/>
        <v>#VALUE!</v>
      </c>
    </row>
    <row r="1149" spans="13:23">
      <c r="M1149" s="219">
        <f t="shared" ca="1" si="69"/>
        <v>51664</v>
      </c>
      <c r="N1149" s="115" t="e">
        <f ca="1"/>
        <v>#VALUE!</v>
      </c>
      <c r="P1149" s="219">
        <f t="shared" ca="1" si="70"/>
        <v>51664</v>
      </c>
      <c r="Q1149" s="115" t="e">
        <f ca="1"/>
        <v>#VALUE!</v>
      </c>
      <c r="S1149" s="219">
        <f t="shared" ca="1" si="71"/>
        <v>51664</v>
      </c>
      <c r="T1149" s="115" t="e">
        <f ca="1"/>
        <v>#VALUE!</v>
      </c>
      <c r="V1149" s="219">
        <f t="shared" ca="1" si="72"/>
        <v>51664</v>
      </c>
      <c r="W1149" s="115" t="e">
        <f ca="1"/>
        <v>#VALUE!</v>
      </c>
    </row>
    <row r="1150" spans="13:23">
      <c r="M1150" s="219">
        <f t="shared" ca="1" si="69"/>
        <v>51671</v>
      </c>
      <c r="N1150" s="115" t="e">
        <f ca="1"/>
        <v>#VALUE!</v>
      </c>
      <c r="P1150" s="219">
        <f t="shared" ca="1" si="70"/>
        <v>51671</v>
      </c>
      <c r="Q1150" s="115" t="e">
        <f ca="1"/>
        <v>#VALUE!</v>
      </c>
      <c r="S1150" s="219">
        <f t="shared" ca="1" si="71"/>
        <v>51671</v>
      </c>
      <c r="T1150" s="115" t="e">
        <f ca="1"/>
        <v>#VALUE!</v>
      </c>
      <c r="V1150" s="219">
        <f t="shared" ca="1" si="72"/>
        <v>51671</v>
      </c>
      <c r="W1150" s="115" t="e">
        <f ca="1"/>
        <v>#VALUE!</v>
      </c>
    </row>
    <row r="1151" spans="13:23">
      <c r="M1151" s="219">
        <f t="shared" ca="1" si="69"/>
        <v>51678</v>
      </c>
      <c r="N1151" s="115" t="e">
        <f ca="1"/>
        <v>#VALUE!</v>
      </c>
      <c r="P1151" s="219">
        <f t="shared" ca="1" si="70"/>
        <v>51678</v>
      </c>
      <c r="Q1151" s="115" t="e">
        <f ca="1"/>
        <v>#VALUE!</v>
      </c>
      <c r="S1151" s="219">
        <f t="shared" ca="1" si="71"/>
        <v>51678</v>
      </c>
      <c r="T1151" s="115" t="e">
        <f ca="1"/>
        <v>#VALUE!</v>
      </c>
      <c r="V1151" s="219">
        <f t="shared" ca="1" si="72"/>
        <v>51678</v>
      </c>
      <c r="W1151" s="115" t="e">
        <f ca="1"/>
        <v>#VALUE!</v>
      </c>
    </row>
    <row r="1152" spans="13:23">
      <c r="M1152" s="219">
        <f t="shared" ca="1" si="69"/>
        <v>51685</v>
      </c>
      <c r="N1152" s="115" t="e">
        <f ca="1"/>
        <v>#VALUE!</v>
      </c>
      <c r="P1152" s="219">
        <f t="shared" ca="1" si="70"/>
        <v>51685</v>
      </c>
      <c r="Q1152" s="115" t="e">
        <f ca="1"/>
        <v>#VALUE!</v>
      </c>
      <c r="S1152" s="219">
        <f t="shared" ca="1" si="71"/>
        <v>51685</v>
      </c>
      <c r="T1152" s="115" t="e">
        <f ca="1"/>
        <v>#VALUE!</v>
      </c>
      <c r="V1152" s="219">
        <f t="shared" ca="1" si="72"/>
        <v>51685</v>
      </c>
      <c r="W1152" s="115" t="e">
        <f ca="1"/>
        <v>#VALUE!</v>
      </c>
    </row>
    <row r="1153" spans="13:23">
      <c r="M1153" s="219">
        <f t="shared" ca="1" si="69"/>
        <v>51692</v>
      </c>
      <c r="N1153" s="115" t="e">
        <f ca="1"/>
        <v>#VALUE!</v>
      </c>
      <c r="P1153" s="219">
        <f t="shared" ca="1" si="70"/>
        <v>51692</v>
      </c>
      <c r="Q1153" s="115" t="e">
        <f ca="1"/>
        <v>#VALUE!</v>
      </c>
      <c r="S1153" s="219">
        <f t="shared" ca="1" si="71"/>
        <v>51692</v>
      </c>
      <c r="T1153" s="115" t="e">
        <f ca="1"/>
        <v>#VALUE!</v>
      </c>
      <c r="V1153" s="219">
        <f t="shared" ca="1" si="72"/>
        <v>51692</v>
      </c>
      <c r="W1153" s="115" t="e">
        <f ca="1"/>
        <v>#VALUE!</v>
      </c>
    </row>
    <row r="1154" spans="13:23">
      <c r="M1154" s="219">
        <f t="shared" ca="1" si="69"/>
        <v>51699</v>
      </c>
      <c r="N1154" s="115" t="e">
        <f ca="1"/>
        <v>#VALUE!</v>
      </c>
      <c r="P1154" s="219">
        <f t="shared" ca="1" si="70"/>
        <v>51699</v>
      </c>
      <c r="Q1154" s="115" t="e">
        <f ca="1"/>
        <v>#VALUE!</v>
      </c>
      <c r="S1154" s="219">
        <f t="shared" ca="1" si="71"/>
        <v>51699</v>
      </c>
      <c r="T1154" s="115" t="e">
        <f ca="1"/>
        <v>#VALUE!</v>
      </c>
      <c r="V1154" s="219">
        <f t="shared" ca="1" si="72"/>
        <v>51699</v>
      </c>
      <c r="W1154" s="115" t="e">
        <f ca="1"/>
        <v>#VALUE!</v>
      </c>
    </row>
    <row r="1155" spans="13:23">
      <c r="M1155" s="219">
        <f t="shared" ca="1" si="69"/>
        <v>51706</v>
      </c>
      <c r="N1155" s="115" t="e">
        <f ca="1"/>
        <v>#VALUE!</v>
      </c>
      <c r="P1155" s="219">
        <f t="shared" ca="1" si="70"/>
        <v>51706</v>
      </c>
      <c r="Q1155" s="115" t="e">
        <f ca="1"/>
        <v>#VALUE!</v>
      </c>
      <c r="S1155" s="219">
        <f t="shared" ca="1" si="71"/>
        <v>51706</v>
      </c>
      <c r="T1155" s="115" t="e">
        <f ca="1"/>
        <v>#VALUE!</v>
      </c>
      <c r="V1155" s="219">
        <f t="shared" ca="1" si="72"/>
        <v>51706</v>
      </c>
      <c r="W1155" s="115" t="e">
        <f ca="1"/>
        <v>#VALUE!</v>
      </c>
    </row>
    <row r="1156" spans="13:23">
      <c r="M1156" s="219">
        <f t="shared" ca="1" si="69"/>
        <v>51713</v>
      </c>
      <c r="N1156" s="115" t="e">
        <f ca="1"/>
        <v>#VALUE!</v>
      </c>
      <c r="P1156" s="219">
        <f t="shared" ca="1" si="70"/>
        <v>51713</v>
      </c>
      <c r="Q1156" s="115" t="e">
        <f ca="1"/>
        <v>#VALUE!</v>
      </c>
      <c r="S1156" s="219">
        <f t="shared" ca="1" si="71"/>
        <v>51713</v>
      </c>
      <c r="T1156" s="115" t="e">
        <f ca="1"/>
        <v>#VALUE!</v>
      </c>
      <c r="V1156" s="219">
        <f t="shared" ca="1" si="72"/>
        <v>51713</v>
      </c>
      <c r="W1156" s="115" t="e">
        <f ca="1"/>
        <v>#VALUE!</v>
      </c>
    </row>
    <row r="1157" spans="13:23">
      <c r="M1157" s="219">
        <f t="shared" ca="1" si="69"/>
        <v>51720</v>
      </c>
      <c r="N1157" s="115" t="e">
        <f ca="1"/>
        <v>#VALUE!</v>
      </c>
      <c r="P1157" s="219">
        <f t="shared" ca="1" si="70"/>
        <v>51720</v>
      </c>
      <c r="Q1157" s="115" t="e">
        <f ca="1"/>
        <v>#VALUE!</v>
      </c>
      <c r="S1157" s="219">
        <f t="shared" ca="1" si="71"/>
        <v>51720</v>
      </c>
      <c r="T1157" s="115" t="e">
        <f ca="1"/>
        <v>#VALUE!</v>
      </c>
      <c r="V1157" s="219">
        <f t="shared" ca="1" si="72"/>
        <v>51720</v>
      </c>
      <c r="W1157" s="115" t="e">
        <f ca="1"/>
        <v>#VALUE!</v>
      </c>
    </row>
    <row r="1158" spans="13:23">
      <c r="M1158" s="219">
        <f t="shared" ca="1" si="69"/>
        <v>51727</v>
      </c>
      <c r="N1158" s="115" t="e">
        <f ca="1"/>
        <v>#VALUE!</v>
      </c>
      <c r="P1158" s="219">
        <f t="shared" ca="1" si="70"/>
        <v>51727</v>
      </c>
      <c r="Q1158" s="115" t="e">
        <f ca="1"/>
        <v>#VALUE!</v>
      </c>
      <c r="S1158" s="219">
        <f t="shared" ca="1" si="71"/>
        <v>51727</v>
      </c>
      <c r="T1158" s="115" t="e">
        <f ca="1"/>
        <v>#VALUE!</v>
      </c>
      <c r="V1158" s="219">
        <f t="shared" ca="1" si="72"/>
        <v>51727</v>
      </c>
      <c r="W1158" s="115" t="e">
        <f ca="1"/>
        <v>#VALUE!</v>
      </c>
    </row>
    <row r="1159" spans="13:23">
      <c r="M1159" s="219">
        <f t="shared" ca="1" si="69"/>
        <v>51734</v>
      </c>
      <c r="N1159" s="115" t="e">
        <f ca="1"/>
        <v>#VALUE!</v>
      </c>
      <c r="P1159" s="219">
        <f t="shared" ca="1" si="70"/>
        <v>51734</v>
      </c>
      <c r="Q1159" s="115" t="e">
        <f ca="1"/>
        <v>#VALUE!</v>
      </c>
      <c r="S1159" s="219">
        <f t="shared" ca="1" si="71"/>
        <v>51734</v>
      </c>
      <c r="T1159" s="115" t="e">
        <f ca="1"/>
        <v>#VALUE!</v>
      </c>
      <c r="V1159" s="219">
        <f t="shared" ca="1" si="72"/>
        <v>51734</v>
      </c>
      <c r="W1159" s="115" t="e">
        <f ca="1"/>
        <v>#VALUE!</v>
      </c>
    </row>
    <row r="1160" spans="13:23">
      <c r="M1160" s="219">
        <f t="shared" ca="1" si="69"/>
        <v>51741</v>
      </c>
      <c r="N1160" s="115" t="e">
        <f ca="1"/>
        <v>#VALUE!</v>
      </c>
      <c r="P1160" s="219">
        <f t="shared" ca="1" si="70"/>
        <v>51741</v>
      </c>
      <c r="Q1160" s="115" t="e">
        <f ca="1"/>
        <v>#VALUE!</v>
      </c>
      <c r="S1160" s="219">
        <f t="shared" ca="1" si="71"/>
        <v>51741</v>
      </c>
      <c r="T1160" s="115" t="e">
        <f ca="1"/>
        <v>#VALUE!</v>
      </c>
      <c r="V1160" s="219">
        <f t="shared" ca="1" si="72"/>
        <v>51741</v>
      </c>
      <c r="W1160" s="115" t="e">
        <f ca="1"/>
        <v>#VALUE!</v>
      </c>
    </row>
    <row r="1161" spans="13:23">
      <c r="M1161" s="219">
        <f t="shared" ca="1" si="69"/>
        <v>51748</v>
      </c>
      <c r="N1161" s="115" t="e">
        <f ca="1"/>
        <v>#VALUE!</v>
      </c>
      <c r="P1161" s="219">
        <f t="shared" ca="1" si="70"/>
        <v>51748</v>
      </c>
      <c r="Q1161" s="115" t="e">
        <f ca="1"/>
        <v>#VALUE!</v>
      </c>
      <c r="S1161" s="219">
        <f t="shared" ca="1" si="71"/>
        <v>51748</v>
      </c>
      <c r="T1161" s="115" t="e">
        <f ca="1"/>
        <v>#VALUE!</v>
      </c>
      <c r="V1161" s="219">
        <f t="shared" ca="1" si="72"/>
        <v>51748</v>
      </c>
      <c r="W1161" s="115" t="e">
        <f ca="1"/>
        <v>#VALUE!</v>
      </c>
    </row>
    <row r="1162" spans="13:23">
      <c r="M1162" s="219">
        <f t="shared" ca="1" si="69"/>
        <v>51755</v>
      </c>
      <c r="N1162" s="115" t="e">
        <f ca="1"/>
        <v>#VALUE!</v>
      </c>
      <c r="P1162" s="219">
        <f t="shared" ca="1" si="70"/>
        <v>51755</v>
      </c>
      <c r="Q1162" s="115" t="e">
        <f ca="1"/>
        <v>#VALUE!</v>
      </c>
      <c r="S1162" s="219">
        <f t="shared" ca="1" si="71"/>
        <v>51755</v>
      </c>
      <c r="T1162" s="115" t="e">
        <f ca="1"/>
        <v>#VALUE!</v>
      </c>
      <c r="V1162" s="219">
        <f t="shared" ca="1" si="72"/>
        <v>51755</v>
      </c>
      <c r="W1162" s="115" t="e">
        <f ca="1"/>
        <v>#VALUE!</v>
      </c>
    </row>
    <row r="1163" spans="13:23">
      <c r="M1163" s="219">
        <f t="shared" ca="1" si="69"/>
        <v>51762</v>
      </c>
      <c r="N1163" s="115" t="e">
        <f ca="1"/>
        <v>#VALUE!</v>
      </c>
      <c r="P1163" s="219">
        <f t="shared" ca="1" si="70"/>
        <v>51762</v>
      </c>
      <c r="Q1163" s="115" t="e">
        <f ca="1"/>
        <v>#VALUE!</v>
      </c>
      <c r="S1163" s="219">
        <f t="shared" ca="1" si="71"/>
        <v>51762</v>
      </c>
      <c r="T1163" s="115" t="e">
        <f ca="1"/>
        <v>#VALUE!</v>
      </c>
      <c r="V1163" s="219">
        <f t="shared" ca="1" si="72"/>
        <v>51762</v>
      </c>
      <c r="W1163" s="115" t="e">
        <f ca="1"/>
        <v>#VALUE!</v>
      </c>
    </row>
    <row r="1164" spans="13:23">
      <c r="M1164" s="219">
        <f t="shared" ca="1" si="69"/>
        <v>51769</v>
      </c>
      <c r="N1164" s="115" t="e">
        <f ca="1"/>
        <v>#VALUE!</v>
      </c>
      <c r="P1164" s="219">
        <f t="shared" ca="1" si="70"/>
        <v>51769</v>
      </c>
      <c r="Q1164" s="115" t="e">
        <f ca="1"/>
        <v>#VALUE!</v>
      </c>
      <c r="S1164" s="219">
        <f t="shared" ca="1" si="71"/>
        <v>51769</v>
      </c>
      <c r="T1164" s="115" t="e">
        <f ca="1"/>
        <v>#VALUE!</v>
      </c>
      <c r="V1164" s="219">
        <f t="shared" ca="1" si="72"/>
        <v>51769</v>
      </c>
      <c r="W1164" s="115" t="e">
        <f ca="1"/>
        <v>#VALUE!</v>
      </c>
    </row>
    <row r="1165" spans="13:23">
      <c r="M1165" s="219">
        <f t="shared" ref="M1165:M1228" ca="1" si="73">M1164+7</f>
        <v>51776</v>
      </c>
      <c r="N1165" s="115" t="e">
        <f ca="1"/>
        <v>#VALUE!</v>
      </c>
      <c r="P1165" s="219">
        <f t="shared" ref="P1165:P1228" ca="1" si="74">P1164+7</f>
        <v>51776</v>
      </c>
      <c r="Q1165" s="115" t="e">
        <f ca="1"/>
        <v>#VALUE!</v>
      </c>
      <c r="S1165" s="219">
        <f t="shared" ref="S1165:S1228" ca="1" si="75">S1164+7</f>
        <v>51776</v>
      </c>
      <c r="T1165" s="115" t="e">
        <f ca="1"/>
        <v>#VALUE!</v>
      </c>
      <c r="V1165" s="219">
        <f t="shared" ref="V1165:V1228" ca="1" si="76">V1164+7</f>
        <v>51776</v>
      </c>
      <c r="W1165" s="115" t="e">
        <f ca="1"/>
        <v>#VALUE!</v>
      </c>
    </row>
    <row r="1166" spans="13:23">
      <c r="M1166" s="219">
        <f t="shared" ca="1" si="73"/>
        <v>51783</v>
      </c>
      <c r="N1166" s="115" t="e">
        <f ca="1"/>
        <v>#VALUE!</v>
      </c>
      <c r="P1166" s="219">
        <f t="shared" ca="1" si="74"/>
        <v>51783</v>
      </c>
      <c r="Q1166" s="115" t="e">
        <f ca="1"/>
        <v>#VALUE!</v>
      </c>
      <c r="S1166" s="219">
        <f t="shared" ca="1" si="75"/>
        <v>51783</v>
      </c>
      <c r="T1166" s="115" t="e">
        <f ca="1"/>
        <v>#VALUE!</v>
      </c>
      <c r="V1166" s="219">
        <f t="shared" ca="1" si="76"/>
        <v>51783</v>
      </c>
      <c r="W1166" s="115" t="e">
        <f ca="1"/>
        <v>#VALUE!</v>
      </c>
    </row>
    <row r="1167" spans="13:23">
      <c r="M1167" s="219">
        <f t="shared" ca="1" si="73"/>
        <v>51790</v>
      </c>
      <c r="N1167" s="115" t="e">
        <f ca="1"/>
        <v>#VALUE!</v>
      </c>
      <c r="P1167" s="219">
        <f t="shared" ca="1" si="74"/>
        <v>51790</v>
      </c>
      <c r="Q1167" s="115" t="e">
        <f ca="1"/>
        <v>#VALUE!</v>
      </c>
      <c r="S1167" s="219">
        <f t="shared" ca="1" si="75"/>
        <v>51790</v>
      </c>
      <c r="T1167" s="115" t="e">
        <f ca="1"/>
        <v>#VALUE!</v>
      </c>
      <c r="V1167" s="219">
        <f t="shared" ca="1" si="76"/>
        <v>51790</v>
      </c>
      <c r="W1167" s="115" t="e">
        <f ca="1"/>
        <v>#VALUE!</v>
      </c>
    </row>
    <row r="1168" spans="13:23">
      <c r="M1168" s="219">
        <f t="shared" ca="1" si="73"/>
        <v>51797</v>
      </c>
      <c r="N1168" s="115" t="e">
        <f ca="1"/>
        <v>#VALUE!</v>
      </c>
      <c r="P1168" s="219">
        <f t="shared" ca="1" si="74"/>
        <v>51797</v>
      </c>
      <c r="Q1168" s="115" t="e">
        <f ca="1"/>
        <v>#VALUE!</v>
      </c>
      <c r="S1168" s="219">
        <f t="shared" ca="1" si="75"/>
        <v>51797</v>
      </c>
      <c r="T1168" s="115" t="e">
        <f ca="1"/>
        <v>#VALUE!</v>
      </c>
      <c r="V1168" s="219">
        <f t="shared" ca="1" si="76"/>
        <v>51797</v>
      </c>
      <c r="W1168" s="115" t="e">
        <f ca="1"/>
        <v>#VALUE!</v>
      </c>
    </row>
    <row r="1169" spans="13:23">
      <c r="M1169" s="219">
        <f t="shared" ca="1" si="73"/>
        <v>51804</v>
      </c>
      <c r="N1169" s="115" t="e">
        <f ca="1"/>
        <v>#VALUE!</v>
      </c>
      <c r="P1169" s="219">
        <f t="shared" ca="1" si="74"/>
        <v>51804</v>
      </c>
      <c r="Q1169" s="115" t="e">
        <f ca="1"/>
        <v>#VALUE!</v>
      </c>
      <c r="S1169" s="219">
        <f t="shared" ca="1" si="75"/>
        <v>51804</v>
      </c>
      <c r="T1169" s="115" t="e">
        <f ca="1"/>
        <v>#VALUE!</v>
      </c>
      <c r="V1169" s="219">
        <f t="shared" ca="1" si="76"/>
        <v>51804</v>
      </c>
      <c r="W1169" s="115" t="e">
        <f ca="1"/>
        <v>#VALUE!</v>
      </c>
    </row>
    <row r="1170" spans="13:23">
      <c r="M1170" s="219">
        <f t="shared" ca="1" si="73"/>
        <v>51811</v>
      </c>
      <c r="N1170" s="115" t="e">
        <f ca="1"/>
        <v>#VALUE!</v>
      </c>
      <c r="P1170" s="219">
        <f t="shared" ca="1" si="74"/>
        <v>51811</v>
      </c>
      <c r="Q1170" s="115" t="e">
        <f ca="1"/>
        <v>#VALUE!</v>
      </c>
      <c r="S1170" s="219">
        <f t="shared" ca="1" si="75"/>
        <v>51811</v>
      </c>
      <c r="T1170" s="115" t="e">
        <f ca="1"/>
        <v>#VALUE!</v>
      </c>
      <c r="V1170" s="219">
        <f t="shared" ca="1" si="76"/>
        <v>51811</v>
      </c>
      <c r="W1170" s="115" t="e">
        <f ca="1"/>
        <v>#VALUE!</v>
      </c>
    </row>
    <row r="1171" spans="13:23">
      <c r="M1171" s="219">
        <f t="shared" ca="1" si="73"/>
        <v>51818</v>
      </c>
      <c r="N1171" s="115" t="e">
        <f ca="1"/>
        <v>#VALUE!</v>
      </c>
      <c r="P1171" s="219">
        <f t="shared" ca="1" si="74"/>
        <v>51818</v>
      </c>
      <c r="Q1171" s="115" t="e">
        <f ca="1"/>
        <v>#VALUE!</v>
      </c>
      <c r="S1171" s="219">
        <f t="shared" ca="1" si="75"/>
        <v>51818</v>
      </c>
      <c r="T1171" s="115" t="e">
        <f ca="1"/>
        <v>#VALUE!</v>
      </c>
      <c r="V1171" s="219">
        <f t="shared" ca="1" si="76"/>
        <v>51818</v>
      </c>
      <c r="W1171" s="115" t="e">
        <f ca="1"/>
        <v>#VALUE!</v>
      </c>
    </row>
    <row r="1172" spans="13:23">
      <c r="M1172" s="219">
        <f t="shared" ca="1" si="73"/>
        <v>51825</v>
      </c>
      <c r="N1172" s="115" t="e">
        <f ca="1"/>
        <v>#VALUE!</v>
      </c>
      <c r="P1172" s="219">
        <f t="shared" ca="1" si="74"/>
        <v>51825</v>
      </c>
      <c r="Q1172" s="115" t="e">
        <f ca="1"/>
        <v>#VALUE!</v>
      </c>
      <c r="S1172" s="219">
        <f t="shared" ca="1" si="75"/>
        <v>51825</v>
      </c>
      <c r="T1172" s="115" t="e">
        <f ca="1"/>
        <v>#VALUE!</v>
      </c>
      <c r="V1172" s="219">
        <f t="shared" ca="1" si="76"/>
        <v>51825</v>
      </c>
      <c r="W1172" s="115" t="e">
        <f ca="1"/>
        <v>#VALUE!</v>
      </c>
    </row>
    <row r="1173" spans="13:23">
      <c r="M1173" s="219">
        <f t="shared" ca="1" si="73"/>
        <v>51832</v>
      </c>
      <c r="N1173" s="115" t="e">
        <f ca="1"/>
        <v>#VALUE!</v>
      </c>
      <c r="P1173" s="219">
        <f t="shared" ca="1" si="74"/>
        <v>51832</v>
      </c>
      <c r="Q1173" s="115" t="e">
        <f ca="1"/>
        <v>#VALUE!</v>
      </c>
      <c r="S1173" s="219">
        <f t="shared" ca="1" si="75"/>
        <v>51832</v>
      </c>
      <c r="T1173" s="115" t="e">
        <f ca="1"/>
        <v>#VALUE!</v>
      </c>
      <c r="V1173" s="219">
        <f t="shared" ca="1" si="76"/>
        <v>51832</v>
      </c>
      <c r="W1173" s="115" t="e">
        <f ca="1"/>
        <v>#VALUE!</v>
      </c>
    </row>
    <row r="1174" spans="13:23">
      <c r="M1174" s="219">
        <f t="shared" ca="1" si="73"/>
        <v>51839</v>
      </c>
      <c r="N1174" s="115" t="e">
        <f ca="1"/>
        <v>#VALUE!</v>
      </c>
      <c r="P1174" s="219">
        <f t="shared" ca="1" si="74"/>
        <v>51839</v>
      </c>
      <c r="Q1174" s="115" t="e">
        <f ca="1"/>
        <v>#VALUE!</v>
      </c>
      <c r="S1174" s="219">
        <f t="shared" ca="1" si="75"/>
        <v>51839</v>
      </c>
      <c r="T1174" s="115" t="e">
        <f ca="1"/>
        <v>#VALUE!</v>
      </c>
      <c r="V1174" s="219">
        <f t="shared" ca="1" si="76"/>
        <v>51839</v>
      </c>
      <c r="W1174" s="115" t="e">
        <f ca="1"/>
        <v>#VALUE!</v>
      </c>
    </row>
    <row r="1175" spans="13:23">
      <c r="M1175" s="219">
        <f t="shared" ca="1" si="73"/>
        <v>51846</v>
      </c>
      <c r="N1175" s="115" t="e">
        <f ca="1"/>
        <v>#VALUE!</v>
      </c>
      <c r="P1175" s="219">
        <f t="shared" ca="1" si="74"/>
        <v>51846</v>
      </c>
      <c r="Q1175" s="115" t="e">
        <f ca="1"/>
        <v>#VALUE!</v>
      </c>
      <c r="S1175" s="219">
        <f t="shared" ca="1" si="75"/>
        <v>51846</v>
      </c>
      <c r="T1175" s="115" t="e">
        <f ca="1"/>
        <v>#VALUE!</v>
      </c>
      <c r="V1175" s="219">
        <f t="shared" ca="1" si="76"/>
        <v>51846</v>
      </c>
      <c r="W1175" s="115" t="e">
        <f ca="1"/>
        <v>#VALUE!</v>
      </c>
    </row>
    <row r="1176" spans="13:23">
      <c r="M1176" s="219">
        <f t="shared" ca="1" si="73"/>
        <v>51853</v>
      </c>
      <c r="N1176" s="115" t="e">
        <f ca="1"/>
        <v>#VALUE!</v>
      </c>
      <c r="P1176" s="219">
        <f t="shared" ca="1" si="74"/>
        <v>51853</v>
      </c>
      <c r="Q1176" s="115" t="e">
        <f ca="1"/>
        <v>#VALUE!</v>
      </c>
      <c r="S1176" s="219">
        <f t="shared" ca="1" si="75"/>
        <v>51853</v>
      </c>
      <c r="T1176" s="115" t="e">
        <f ca="1"/>
        <v>#VALUE!</v>
      </c>
      <c r="V1176" s="219">
        <f t="shared" ca="1" si="76"/>
        <v>51853</v>
      </c>
      <c r="W1176" s="115" t="e">
        <f ca="1"/>
        <v>#VALUE!</v>
      </c>
    </row>
    <row r="1177" spans="13:23">
      <c r="M1177" s="219">
        <f t="shared" ca="1" si="73"/>
        <v>51860</v>
      </c>
      <c r="N1177" s="115" t="e">
        <f ca="1"/>
        <v>#VALUE!</v>
      </c>
      <c r="P1177" s="219">
        <f t="shared" ca="1" si="74"/>
        <v>51860</v>
      </c>
      <c r="Q1177" s="115" t="e">
        <f ca="1"/>
        <v>#VALUE!</v>
      </c>
      <c r="S1177" s="219">
        <f t="shared" ca="1" si="75"/>
        <v>51860</v>
      </c>
      <c r="T1177" s="115" t="e">
        <f ca="1"/>
        <v>#VALUE!</v>
      </c>
      <c r="V1177" s="219">
        <f t="shared" ca="1" si="76"/>
        <v>51860</v>
      </c>
      <c r="W1177" s="115" t="e">
        <f ca="1"/>
        <v>#VALUE!</v>
      </c>
    </row>
    <row r="1178" spans="13:23">
      <c r="M1178" s="219">
        <f t="shared" ca="1" si="73"/>
        <v>51867</v>
      </c>
      <c r="N1178" s="115" t="e">
        <f ca="1"/>
        <v>#VALUE!</v>
      </c>
      <c r="P1178" s="219">
        <f t="shared" ca="1" si="74"/>
        <v>51867</v>
      </c>
      <c r="Q1178" s="115" t="e">
        <f ca="1"/>
        <v>#VALUE!</v>
      </c>
      <c r="S1178" s="219">
        <f t="shared" ca="1" si="75"/>
        <v>51867</v>
      </c>
      <c r="T1178" s="115" t="e">
        <f ca="1"/>
        <v>#VALUE!</v>
      </c>
      <c r="V1178" s="219">
        <f t="shared" ca="1" si="76"/>
        <v>51867</v>
      </c>
      <c r="W1178" s="115" t="e">
        <f ca="1"/>
        <v>#VALUE!</v>
      </c>
    </row>
    <row r="1179" spans="13:23">
      <c r="M1179" s="219">
        <f t="shared" ca="1" si="73"/>
        <v>51874</v>
      </c>
      <c r="N1179" s="115" t="e">
        <f ca="1"/>
        <v>#VALUE!</v>
      </c>
      <c r="P1179" s="219">
        <f t="shared" ca="1" si="74"/>
        <v>51874</v>
      </c>
      <c r="Q1179" s="115" t="e">
        <f ca="1"/>
        <v>#VALUE!</v>
      </c>
      <c r="S1179" s="219">
        <f t="shared" ca="1" si="75"/>
        <v>51874</v>
      </c>
      <c r="T1179" s="115" t="e">
        <f ca="1"/>
        <v>#VALUE!</v>
      </c>
      <c r="V1179" s="219">
        <f t="shared" ca="1" si="76"/>
        <v>51874</v>
      </c>
      <c r="W1179" s="115" t="e">
        <f ca="1"/>
        <v>#VALUE!</v>
      </c>
    </row>
    <row r="1180" spans="13:23">
      <c r="M1180" s="219">
        <f t="shared" ca="1" si="73"/>
        <v>51881</v>
      </c>
      <c r="N1180" s="115" t="e">
        <f ca="1"/>
        <v>#VALUE!</v>
      </c>
      <c r="P1180" s="219">
        <f t="shared" ca="1" si="74"/>
        <v>51881</v>
      </c>
      <c r="Q1180" s="115" t="e">
        <f ca="1"/>
        <v>#VALUE!</v>
      </c>
      <c r="S1180" s="219">
        <f t="shared" ca="1" si="75"/>
        <v>51881</v>
      </c>
      <c r="T1180" s="115" t="e">
        <f ca="1"/>
        <v>#VALUE!</v>
      </c>
      <c r="V1180" s="219">
        <f t="shared" ca="1" si="76"/>
        <v>51881</v>
      </c>
      <c r="W1180" s="115" t="e">
        <f ca="1"/>
        <v>#VALUE!</v>
      </c>
    </row>
    <row r="1181" spans="13:23">
      <c r="M1181" s="219">
        <f t="shared" ca="1" si="73"/>
        <v>51888</v>
      </c>
      <c r="N1181" s="115" t="e">
        <f ca="1"/>
        <v>#VALUE!</v>
      </c>
      <c r="P1181" s="219">
        <f t="shared" ca="1" si="74"/>
        <v>51888</v>
      </c>
      <c r="Q1181" s="115" t="e">
        <f ca="1"/>
        <v>#VALUE!</v>
      </c>
      <c r="S1181" s="219">
        <f t="shared" ca="1" si="75"/>
        <v>51888</v>
      </c>
      <c r="T1181" s="115" t="e">
        <f ca="1"/>
        <v>#VALUE!</v>
      </c>
      <c r="V1181" s="219">
        <f t="shared" ca="1" si="76"/>
        <v>51888</v>
      </c>
      <c r="W1181" s="115" t="e">
        <f ca="1"/>
        <v>#VALUE!</v>
      </c>
    </row>
    <row r="1182" spans="13:23">
      <c r="M1182" s="219">
        <f t="shared" ca="1" si="73"/>
        <v>51895</v>
      </c>
      <c r="N1182" s="115" t="e">
        <f ca="1"/>
        <v>#VALUE!</v>
      </c>
      <c r="P1182" s="219">
        <f t="shared" ca="1" si="74"/>
        <v>51895</v>
      </c>
      <c r="Q1182" s="115" t="e">
        <f ca="1"/>
        <v>#VALUE!</v>
      </c>
      <c r="S1182" s="219">
        <f t="shared" ca="1" si="75"/>
        <v>51895</v>
      </c>
      <c r="T1182" s="115" t="e">
        <f ca="1"/>
        <v>#VALUE!</v>
      </c>
      <c r="V1182" s="219">
        <f t="shared" ca="1" si="76"/>
        <v>51895</v>
      </c>
      <c r="W1182" s="115" t="e">
        <f ca="1"/>
        <v>#VALUE!</v>
      </c>
    </row>
    <row r="1183" spans="13:23">
      <c r="M1183" s="219">
        <f t="shared" ca="1" si="73"/>
        <v>51902</v>
      </c>
      <c r="N1183" s="115" t="e">
        <f ca="1"/>
        <v>#VALUE!</v>
      </c>
      <c r="P1183" s="219">
        <f t="shared" ca="1" si="74"/>
        <v>51902</v>
      </c>
      <c r="Q1183" s="115" t="e">
        <f ca="1"/>
        <v>#VALUE!</v>
      </c>
      <c r="S1183" s="219">
        <f t="shared" ca="1" si="75"/>
        <v>51902</v>
      </c>
      <c r="T1183" s="115" t="e">
        <f ca="1"/>
        <v>#VALUE!</v>
      </c>
      <c r="V1183" s="219">
        <f t="shared" ca="1" si="76"/>
        <v>51902</v>
      </c>
      <c r="W1183" s="115" t="e">
        <f ca="1"/>
        <v>#VALUE!</v>
      </c>
    </row>
    <row r="1184" spans="13:23">
      <c r="M1184" s="219">
        <f t="shared" ca="1" si="73"/>
        <v>51909</v>
      </c>
      <c r="N1184" s="115" t="e">
        <f ca="1"/>
        <v>#VALUE!</v>
      </c>
      <c r="P1184" s="219">
        <f t="shared" ca="1" si="74"/>
        <v>51909</v>
      </c>
      <c r="Q1184" s="115" t="e">
        <f ca="1"/>
        <v>#VALUE!</v>
      </c>
      <c r="S1184" s="219">
        <f t="shared" ca="1" si="75"/>
        <v>51909</v>
      </c>
      <c r="T1184" s="115" t="e">
        <f ca="1"/>
        <v>#VALUE!</v>
      </c>
      <c r="V1184" s="219">
        <f t="shared" ca="1" si="76"/>
        <v>51909</v>
      </c>
      <c r="W1184" s="115" t="e">
        <f ca="1"/>
        <v>#VALUE!</v>
      </c>
    </row>
    <row r="1185" spans="13:23">
      <c r="M1185" s="219">
        <f t="shared" ca="1" si="73"/>
        <v>51916</v>
      </c>
      <c r="N1185" s="115" t="e">
        <f ca="1"/>
        <v>#VALUE!</v>
      </c>
      <c r="P1185" s="219">
        <f t="shared" ca="1" si="74"/>
        <v>51916</v>
      </c>
      <c r="Q1185" s="115" t="e">
        <f ca="1"/>
        <v>#VALUE!</v>
      </c>
      <c r="S1185" s="219">
        <f t="shared" ca="1" si="75"/>
        <v>51916</v>
      </c>
      <c r="T1185" s="115" t="e">
        <f ca="1"/>
        <v>#VALUE!</v>
      </c>
      <c r="V1185" s="219">
        <f t="shared" ca="1" si="76"/>
        <v>51916</v>
      </c>
      <c r="W1185" s="115" t="e">
        <f ca="1"/>
        <v>#VALUE!</v>
      </c>
    </row>
    <row r="1186" spans="13:23">
      <c r="M1186" s="219">
        <f t="shared" ca="1" si="73"/>
        <v>51923</v>
      </c>
      <c r="N1186" s="115" t="e">
        <f ca="1"/>
        <v>#VALUE!</v>
      </c>
      <c r="P1186" s="219">
        <f t="shared" ca="1" si="74"/>
        <v>51923</v>
      </c>
      <c r="Q1186" s="115" t="e">
        <f ca="1"/>
        <v>#VALUE!</v>
      </c>
      <c r="S1186" s="219">
        <f t="shared" ca="1" si="75"/>
        <v>51923</v>
      </c>
      <c r="T1186" s="115" t="e">
        <f ca="1"/>
        <v>#VALUE!</v>
      </c>
      <c r="V1186" s="219">
        <f t="shared" ca="1" si="76"/>
        <v>51923</v>
      </c>
      <c r="W1186" s="115" t="e">
        <f ca="1"/>
        <v>#VALUE!</v>
      </c>
    </row>
    <row r="1187" spans="13:23">
      <c r="M1187" s="219">
        <f t="shared" ca="1" si="73"/>
        <v>51930</v>
      </c>
      <c r="N1187" s="115" t="e">
        <f ca="1"/>
        <v>#VALUE!</v>
      </c>
      <c r="P1187" s="219">
        <f t="shared" ca="1" si="74"/>
        <v>51930</v>
      </c>
      <c r="Q1187" s="115" t="e">
        <f ca="1"/>
        <v>#VALUE!</v>
      </c>
      <c r="S1187" s="219">
        <f t="shared" ca="1" si="75"/>
        <v>51930</v>
      </c>
      <c r="T1187" s="115" t="e">
        <f ca="1"/>
        <v>#VALUE!</v>
      </c>
      <c r="V1187" s="219">
        <f t="shared" ca="1" si="76"/>
        <v>51930</v>
      </c>
      <c r="W1187" s="115" t="e">
        <f ca="1"/>
        <v>#VALUE!</v>
      </c>
    </row>
    <row r="1188" spans="13:23">
      <c r="M1188" s="219">
        <f t="shared" ca="1" si="73"/>
        <v>51937</v>
      </c>
      <c r="N1188" s="115" t="e">
        <f ca="1"/>
        <v>#VALUE!</v>
      </c>
      <c r="P1188" s="219">
        <f t="shared" ca="1" si="74"/>
        <v>51937</v>
      </c>
      <c r="Q1188" s="115" t="e">
        <f ca="1"/>
        <v>#VALUE!</v>
      </c>
      <c r="S1188" s="219">
        <f t="shared" ca="1" si="75"/>
        <v>51937</v>
      </c>
      <c r="T1188" s="115" t="e">
        <f ca="1"/>
        <v>#VALUE!</v>
      </c>
      <c r="V1188" s="219">
        <f t="shared" ca="1" si="76"/>
        <v>51937</v>
      </c>
      <c r="W1188" s="115" t="e">
        <f ca="1"/>
        <v>#VALUE!</v>
      </c>
    </row>
    <row r="1189" spans="13:23">
      <c r="M1189" s="219">
        <f t="shared" ca="1" si="73"/>
        <v>51944</v>
      </c>
      <c r="N1189" s="115" t="e">
        <f ca="1"/>
        <v>#VALUE!</v>
      </c>
      <c r="P1189" s="219">
        <f t="shared" ca="1" si="74"/>
        <v>51944</v>
      </c>
      <c r="Q1189" s="115" t="e">
        <f ca="1"/>
        <v>#VALUE!</v>
      </c>
      <c r="S1189" s="219">
        <f t="shared" ca="1" si="75"/>
        <v>51944</v>
      </c>
      <c r="T1189" s="115" t="e">
        <f ca="1"/>
        <v>#VALUE!</v>
      </c>
      <c r="V1189" s="219">
        <f t="shared" ca="1" si="76"/>
        <v>51944</v>
      </c>
      <c r="W1189" s="115" t="e">
        <f ca="1"/>
        <v>#VALUE!</v>
      </c>
    </row>
    <row r="1190" spans="13:23">
      <c r="M1190" s="219">
        <f t="shared" ca="1" si="73"/>
        <v>51951</v>
      </c>
      <c r="N1190" s="115" t="e">
        <f ca="1"/>
        <v>#VALUE!</v>
      </c>
      <c r="P1190" s="219">
        <f t="shared" ca="1" si="74"/>
        <v>51951</v>
      </c>
      <c r="Q1190" s="115" t="e">
        <f ca="1"/>
        <v>#VALUE!</v>
      </c>
      <c r="S1190" s="219">
        <f t="shared" ca="1" si="75"/>
        <v>51951</v>
      </c>
      <c r="T1190" s="115" t="e">
        <f ca="1"/>
        <v>#VALUE!</v>
      </c>
      <c r="V1190" s="219">
        <f t="shared" ca="1" si="76"/>
        <v>51951</v>
      </c>
      <c r="W1190" s="115" t="e">
        <f ca="1"/>
        <v>#VALUE!</v>
      </c>
    </row>
    <row r="1191" spans="13:23">
      <c r="M1191" s="219">
        <f t="shared" ca="1" si="73"/>
        <v>51958</v>
      </c>
      <c r="N1191" s="115" t="e">
        <f ca="1"/>
        <v>#VALUE!</v>
      </c>
      <c r="P1191" s="219">
        <f t="shared" ca="1" si="74"/>
        <v>51958</v>
      </c>
      <c r="Q1191" s="115" t="e">
        <f ca="1"/>
        <v>#VALUE!</v>
      </c>
      <c r="S1191" s="219">
        <f t="shared" ca="1" si="75"/>
        <v>51958</v>
      </c>
      <c r="T1191" s="115" t="e">
        <f ca="1"/>
        <v>#VALUE!</v>
      </c>
      <c r="V1191" s="219">
        <f t="shared" ca="1" si="76"/>
        <v>51958</v>
      </c>
      <c r="W1191" s="115" t="e">
        <f ca="1"/>
        <v>#VALUE!</v>
      </c>
    </row>
    <row r="1192" spans="13:23">
      <c r="M1192" s="219">
        <f t="shared" ca="1" si="73"/>
        <v>51965</v>
      </c>
      <c r="N1192" s="115" t="e">
        <f ca="1"/>
        <v>#VALUE!</v>
      </c>
      <c r="P1192" s="219">
        <f t="shared" ca="1" si="74"/>
        <v>51965</v>
      </c>
      <c r="Q1192" s="115" t="e">
        <f ca="1"/>
        <v>#VALUE!</v>
      </c>
      <c r="S1192" s="219">
        <f t="shared" ca="1" si="75"/>
        <v>51965</v>
      </c>
      <c r="T1192" s="115" t="e">
        <f ca="1"/>
        <v>#VALUE!</v>
      </c>
      <c r="V1192" s="219">
        <f t="shared" ca="1" si="76"/>
        <v>51965</v>
      </c>
      <c r="W1192" s="115" t="e">
        <f ca="1"/>
        <v>#VALUE!</v>
      </c>
    </row>
    <row r="1193" spans="13:23">
      <c r="M1193" s="219">
        <f t="shared" ca="1" si="73"/>
        <v>51972</v>
      </c>
      <c r="N1193" s="115" t="e">
        <f ca="1"/>
        <v>#VALUE!</v>
      </c>
      <c r="P1193" s="219">
        <f t="shared" ca="1" si="74"/>
        <v>51972</v>
      </c>
      <c r="Q1193" s="115" t="e">
        <f ca="1"/>
        <v>#VALUE!</v>
      </c>
      <c r="S1193" s="219">
        <f t="shared" ca="1" si="75"/>
        <v>51972</v>
      </c>
      <c r="T1193" s="115" t="e">
        <f ca="1"/>
        <v>#VALUE!</v>
      </c>
      <c r="V1193" s="219">
        <f t="shared" ca="1" si="76"/>
        <v>51972</v>
      </c>
      <c r="W1193" s="115" t="e">
        <f ca="1"/>
        <v>#VALUE!</v>
      </c>
    </row>
    <row r="1194" spans="13:23">
      <c r="M1194" s="219">
        <f t="shared" ca="1" si="73"/>
        <v>51979</v>
      </c>
      <c r="N1194" s="115" t="e">
        <f ca="1"/>
        <v>#VALUE!</v>
      </c>
      <c r="P1194" s="219">
        <f t="shared" ca="1" si="74"/>
        <v>51979</v>
      </c>
      <c r="Q1194" s="115" t="e">
        <f ca="1"/>
        <v>#VALUE!</v>
      </c>
      <c r="S1194" s="219">
        <f t="shared" ca="1" si="75"/>
        <v>51979</v>
      </c>
      <c r="T1194" s="115" t="e">
        <f ca="1"/>
        <v>#VALUE!</v>
      </c>
      <c r="V1194" s="219">
        <f t="shared" ca="1" si="76"/>
        <v>51979</v>
      </c>
      <c r="W1194" s="115" t="e">
        <f ca="1"/>
        <v>#VALUE!</v>
      </c>
    </row>
    <row r="1195" spans="13:23">
      <c r="M1195" s="219">
        <f t="shared" ca="1" si="73"/>
        <v>51986</v>
      </c>
      <c r="N1195" s="115" t="e">
        <f ca="1"/>
        <v>#VALUE!</v>
      </c>
      <c r="P1195" s="219">
        <f t="shared" ca="1" si="74"/>
        <v>51986</v>
      </c>
      <c r="Q1195" s="115" t="e">
        <f ca="1"/>
        <v>#VALUE!</v>
      </c>
      <c r="S1195" s="219">
        <f t="shared" ca="1" si="75"/>
        <v>51986</v>
      </c>
      <c r="T1195" s="115" t="e">
        <f ca="1"/>
        <v>#VALUE!</v>
      </c>
      <c r="V1195" s="219">
        <f t="shared" ca="1" si="76"/>
        <v>51986</v>
      </c>
      <c r="W1195" s="115" t="e">
        <f ca="1"/>
        <v>#VALUE!</v>
      </c>
    </row>
    <row r="1196" spans="13:23">
      <c r="M1196" s="219">
        <f t="shared" ca="1" si="73"/>
        <v>51993</v>
      </c>
      <c r="N1196" s="115" t="e">
        <f ca="1"/>
        <v>#VALUE!</v>
      </c>
      <c r="P1196" s="219">
        <f t="shared" ca="1" si="74"/>
        <v>51993</v>
      </c>
      <c r="Q1196" s="115" t="e">
        <f ca="1"/>
        <v>#VALUE!</v>
      </c>
      <c r="S1196" s="219">
        <f t="shared" ca="1" si="75"/>
        <v>51993</v>
      </c>
      <c r="T1196" s="115" t="e">
        <f ca="1"/>
        <v>#VALUE!</v>
      </c>
      <c r="V1196" s="219">
        <f t="shared" ca="1" si="76"/>
        <v>51993</v>
      </c>
      <c r="W1196" s="115" t="e">
        <f ca="1"/>
        <v>#VALUE!</v>
      </c>
    </row>
    <row r="1197" spans="13:23">
      <c r="M1197" s="219">
        <f t="shared" ca="1" si="73"/>
        <v>52000</v>
      </c>
      <c r="N1197" s="115" t="e">
        <f ca="1"/>
        <v>#VALUE!</v>
      </c>
      <c r="P1197" s="219">
        <f t="shared" ca="1" si="74"/>
        <v>52000</v>
      </c>
      <c r="Q1197" s="115" t="e">
        <f ca="1"/>
        <v>#VALUE!</v>
      </c>
      <c r="S1197" s="219">
        <f t="shared" ca="1" si="75"/>
        <v>52000</v>
      </c>
      <c r="T1197" s="115" t="e">
        <f ca="1"/>
        <v>#VALUE!</v>
      </c>
      <c r="V1197" s="219">
        <f t="shared" ca="1" si="76"/>
        <v>52000</v>
      </c>
      <c r="W1197" s="115" t="e">
        <f ca="1"/>
        <v>#VALUE!</v>
      </c>
    </row>
    <row r="1198" spans="13:23">
      <c r="M1198" s="219">
        <f t="shared" ca="1" si="73"/>
        <v>52007</v>
      </c>
      <c r="N1198" s="115" t="e">
        <f ca="1"/>
        <v>#VALUE!</v>
      </c>
      <c r="P1198" s="219">
        <f t="shared" ca="1" si="74"/>
        <v>52007</v>
      </c>
      <c r="Q1198" s="115" t="e">
        <f ca="1"/>
        <v>#VALUE!</v>
      </c>
      <c r="S1198" s="219">
        <f t="shared" ca="1" si="75"/>
        <v>52007</v>
      </c>
      <c r="T1198" s="115" t="e">
        <f ca="1"/>
        <v>#VALUE!</v>
      </c>
      <c r="V1198" s="219">
        <f t="shared" ca="1" si="76"/>
        <v>52007</v>
      </c>
      <c r="W1198" s="115" t="e">
        <f ca="1"/>
        <v>#VALUE!</v>
      </c>
    </row>
    <row r="1199" spans="13:23">
      <c r="M1199" s="219">
        <f t="shared" ca="1" si="73"/>
        <v>52014</v>
      </c>
      <c r="N1199" s="115" t="e">
        <f ca="1"/>
        <v>#VALUE!</v>
      </c>
      <c r="P1199" s="219">
        <f t="shared" ca="1" si="74"/>
        <v>52014</v>
      </c>
      <c r="Q1199" s="115" t="e">
        <f ca="1"/>
        <v>#VALUE!</v>
      </c>
      <c r="S1199" s="219">
        <f t="shared" ca="1" si="75"/>
        <v>52014</v>
      </c>
      <c r="T1199" s="115" t="e">
        <f ca="1"/>
        <v>#VALUE!</v>
      </c>
      <c r="V1199" s="219">
        <f t="shared" ca="1" si="76"/>
        <v>52014</v>
      </c>
      <c r="W1199" s="115" t="e">
        <f ca="1"/>
        <v>#VALUE!</v>
      </c>
    </row>
    <row r="1200" spans="13:23">
      <c r="M1200" s="219">
        <f t="shared" ca="1" si="73"/>
        <v>52021</v>
      </c>
      <c r="N1200" s="115" t="e">
        <f ca="1"/>
        <v>#VALUE!</v>
      </c>
      <c r="P1200" s="219">
        <f t="shared" ca="1" si="74"/>
        <v>52021</v>
      </c>
      <c r="Q1200" s="115" t="e">
        <f ca="1"/>
        <v>#VALUE!</v>
      </c>
      <c r="S1200" s="219">
        <f t="shared" ca="1" si="75"/>
        <v>52021</v>
      </c>
      <c r="T1200" s="115" t="e">
        <f ca="1"/>
        <v>#VALUE!</v>
      </c>
      <c r="V1200" s="219">
        <f t="shared" ca="1" si="76"/>
        <v>52021</v>
      </c>
      <c r="W1200" s="115" t="e">
        <f ca="1"/>
        <v>#VALUE!</v>
      </c>
    </row>
    <row r="1201" spans="13:23">
      <c r="M1201" s="219">
        <f t="shared" ca="1" si="73"/>
        <v>52028</v>
      </c>
      <c r="N1201" s="115" t="e">
        <f ca="1"/>
        <v>#VALUE!</v>
      </c>
      <c r="P1201" s="219">
        <f t="shared" ca="1" si="74"/>
        <v>52028</v>
      </c>
      <c r="Q1201" s="115" t="e">
        <f ca="1"/>
        <v>#VALUE!</v>
      </c>
      <c r="S1201" s="219">
        <f t="shared" ca="1" si="75"/>
        <v>52028</v>
      </c>
      <c r="T1201" s="115" t="e">
        <f ca="1"/>
        <v>#VALUE!</v>
      </c>
      <c r="V1201" s="219">
        <f t="shared" ca="1" si="76"/>
        <v>52028</v>
      </c>
      <c r="W1201" s="115" t="e">
        <f ca="1"/>
        <v>#VALUE!</v>
      </c>
    </row>
    <row r="1202" spans="13:23">
      <c r="M1202" s="219">
        <f t="shared" ca="1" si="73"/>
        <v>52035</v>
      </c>
      <c r="N1202" s="115" t="e">
        <f ca="1"/>
        <v>#VALUE!</v>
      </c>
      <c r="P1202" s="219">
        <f t="shared" ca="1" si="74"/>
        <v>52035</v>
      </c>
      <c r="Q1202" s="115" t="e">
        <f ca="1"/>
        <v>#VALUE!</v>
      </c>
      <c r="S1202" s="219">
        <f t="shared" ca="1" si="75"/>
        <v>52035</v>
      </c>
      <c r="T1202" s="115" t="e">
        <f ca="1"/>
        <v>#VALUE!</v>
      </c>
      <c r="V1202" s="219">
        <f t="shared" ca="1" si="76"/>
        <v>52035</v>
      </c>
      <c r="W1202" s="115" t="e">
        <f ca="1"/>
        <v>#VALUE!</v>
      </c>
    </row>
    <row r="1203" spans="13:23">
      <c r="M1203" s="219">
        <f t="shared" ca="1" si="73"/>
        <v>52042</v>
      </c>
      <c r="N1203" s="115" t="e">
        <f ca="1"/>
        <v>#VALUE!</v>
      </c>
      <c r="P1203" s="219">
        <f t="shared" ca="1" si="74"/>
        <v>52042</v>
      </c>
      <c r="Q1203" s="115" t="e">
        <f ca="1"/>
        <v>#VALUE!</v>
      </c>
      <c r="S1203" s="219">
        <f t="shared" ca="1" si="75"/>
        <v>52042</v>
      </c>
      <c r="T1203" s="115" t="e">
        <f ca="1"/>
        <v>#VALUE!</v>
      </c>
      <c r="V1203" s="219">
        <f t="shared" ca="1" si="76"/>
        <v>52042</v>
      </c>
      <c r="W1203" s="115" t="e">
        <f ca="1"/>
        <v>#VALUE!</v>
      </c>
    </row>
    <row r="1204" spans="13:23">
      <c r="M1204" s="219">
        <f t="shared" ca="1" si="73"/>
        <v>52049</v>
      </c>
      <c r="N1204" s="115" t="e">
        <f ca="1"/>
        <v>#VALUE!</v>
      </c>
      <c r="P1204" s="219">
        <f t="shared" ca="1" si="74"/>
        <v>52049</v>
      </c>
      <c r="Q1204" s="115" t="e">
        <f ca="1"/>
        <v>#VALUE!</v>
      </c>
      <c r="S1204" s="219">
        <f t="shared" ca="1" si="75"/>
        <v>52049</v>
      </c>
      <c r="T1204" s="115" t="e">
        <f ca="1"/>
        <v>#VALUE!</v>
      </c>
      <c r="V1204" s="219">
        <f t="shared" ca="1" si="76"/>
        <v>52049</v>
      </c>
      <c r="W1204" s="115" t="e">
        <f ca="1"/>
        <v>#VALUE!</v>
      </c>
    </row>
    <row r="1205" spans="13:23">
      <c r="M1205" s="219">
        <f t="shared" ca="1" si="73"/>
        <v>52056</v>
      </c>
      <c r="N1205" s="115" t="e">
        <f ca="1"/>
        <v>#VALUE!</v>
      </c>
      <c r="P1205" s="219">
        <f t="shared" ca="1" si="74"/>
        <v>52056</v>
      </c>
      <c r="Q1205" s="115" t="e">
        <f ca="1"/>
        <v>#VALUE!</v>
      </c>
      <c r="S1205" s="219">
        <f t="shared" ca="1" si="75"/>
        <v>52056</v>
      </c>
      <c r="T1205" s="115" t="e">
        <f ca="1"/>
        <v>#VALUE!</v>
      </c>
      <c r="V1205" s="219">
        <f t="shared" ca="1" si="76"/>
        <v>52056</v>
      </c>
      <c r="W1205" s="115" t="e">
        <f ca="1"/>
        <v>#VALUE!</v>
      </c>
    </row>
    <row r="1206" spans="13:23">
      <c r="M1206" s="219">
        <f t="shared" ca="1" si="73"/>
        <v>52063</v>
      </c>
      <c r="N1206" s="115" t="e">
        <f ca="1"/>
        <v>#VALUE!</v>
      </c>
      <c r="P1206" s="219">
        <f t="shared" ca="1" si="74"/>
        <v>52063</v>
      </c>
      <c r="Q1206" s="115" t="e">
        <f ca="1"/>
        <v>#VALUE!</v>
      </c>
      <c r="S1206" s="219">
        <f t="shared" ca="1" si="75"/>
        <v>52063</v>
      </c>
      <c r="T1206" s="115" t="e">
        <f ca="1"/>
        <v>#VALUE!</v>
      </c>
      <c r="V1206" s="219">
        <f t="shared" ca="1" si="76"/>
        <v>52063</v>
      </c>
      <c r="W1206" s="115" t="e">
        <f ca="1"/>
        <v>#VALUE!</v>
      </c>
    </row>
    <row r="1207" spans="13:23">
      <c r="M1207" s="219">
        <f t="shared" ca="1" si="73"/>
        <v>52070</v>
      </c>
      <c r="N1207" s="115" t="e">
        <f ca="1"/>
        <v>#VALUE!</v>
      </c>
      <c r="P1207" s="219">
        <f t="shared" ca="1" si="74"/>
        <v>52070</v>
      </c>
      <c r="Q1207" s="115" t="e">
        <f ca="1"/>
        <v>#VALUE!</v>
      </c>
      <c r="S1207" s="219">
        <f t="shared" ca="1" si="75"/>
        <v>52070</v>
      </c>
      <c r="T1207" s="115" t="e">
        <f ca="1"/>
        <v>#VALUE!</v>
      </c>
      <c r="V1207" s="219">
        <f t="shared" ca="1" si="76"/>
        <v>52070</v>
      </c>
      <c r="W1207" s="115" t="e">
        <f ca="1"/>
        <v>#VALUE!</v>
      </c>
    </row>
    <row r="1208" spans="13:23">
      <c r="M1208" s="219">
        <f t="shared" ca="1" si="73"/>
        <v>52077</v>
      </c>
      <c r="N1208" s="115" t="e">
        <f ca="1"/>
        <v>#VALUE!</v>
      </c>
      <c r="P1208" s="219">
        <f t="shared" ca="1" si="74"/>
        <v>52077</v>
      </c>
      <c r="Q1208" s="115" t="e">
        <f ca="1"/>
        <v>#VALUE!</v>
      </c>
      <c r="S1208" s="219">
        <f t="shared" ca="1" si="75"/>
        <v>52077</v>
      </c>
      <c r="T1208" s="115" t="e">
        <f ca="1"/>
        <v>#VALUE!</v>
      </c>
      <c r="V1208" s="219">
        <f t="shared" ca="1" si="76"/>
        <v>52077</v>
      </c>
      <c r="W1208" s="115" t="e">
        <f ca="1"/>
        <v>#VALUE!</v>
      </c>
    </row>
    <row r="1209" spans="13:23">
      <c r="M1209" s="219">
        <f t="shared" ca="1" si="73"/>
        <v>52084</v>
      </c>
      <c r="N1209" s="115" t="e">
        <f ca="1"/>
        <v>#VALUE!</v>
      </c>
      <c r="P1209" s="219">
        <f t="shared" ca="1" si="74"/>
        <v>52084</v>
      </c>
      <c r="Q1209" s="115" t="e">
        <f ca="1"/>
        <v>#VALUE!</v>
      </c>
      <c r="S1209" s="219">
        <f t="shared" ca="1" si="75"/>
        <v>52084</v>
      </c>
      <c r="T1209" s="115" t="e">
        <f ca="1"/>
        <v>#VALUE!</v>
      </c>
      <c r="V1209" s="219">
        <f t="shared" ca="1" si="76"/>
        <v>52084</v>
      </c>
      <c r="W1209" s="115" t="e">
        <f ca="1"/>
        <v>#VALUE!</v>
      </c>
    </row>
    <row r="1210" spans="13:23">
      <c r="M1210" s="219">
        <f t="shared" ca="1" si="73"/>
        <v>52091</v>
      </c>
      <c r="N1210" s="115" t="e">
        <f ca="1"/>
        <v>#VALUE!</v>
      </c>
      <c r="P1210" s="219">
        <f t="shared" ca="1" si="74"/>
        <v>52091</v>
      </c>
      <c r="Q1210" s="115" t="e">
        <f ca="1"/>
        <v>#VALUE!</v>
      </c>
      <c r="S1210" s="219">
        <f t="shared" ca="1" si="75"/>
        <v>52091</v>
      </c>
      <c r="T1210" s="115" t="e">
        <f ca="1"/>
        <v>#VALUE!</v>
      </c>
      <c r="V1210" s="219">
        <f t="shared" ca="1" si="76"/>
        <v>52091</v>
      </c>
      <c r="W1210" s="115" t="e">
        <f ca="1"/>
        <v>#VALUE!</v>
      </c>
    </row>
    <row r="1211" spans="13:23">
      <c r="M1211" s="219">
        <f t="shared" ca="1" si="73"/>
        <v>52098</v>
      </c>
      <c r="N1211" s="115" t="e">
        <f ca="1"/>
        <v>#VALUE!</v>
      </c>
      <c r="P1211" s="219">
        <f t="shared" ca="1" si="74"/>
        <v>52098</v>
      </c>
      <c r="Q1211" s="115" t="e">
        <f ca="1"/>
        <v>#VALUE!</v>
      </c>
      <c r="S1211" s="219">
        <f t="shared" ca="1" si="75"/>
        <v>52098</v>
      </c>
      <c r="T1211" s="115" t="e">
        <f ca="1"/>
        <v>#VALUE!</v>
      </c>
      <c r="V1211" s="219">
        <f t="shared" ca="1" si="76"/>
        <v>52098</v>
      </c>
      <c r="W1211" s="115" t="e">
        <f ca="1"/>
        <v>#VALUE!</v>
      </c>
    </row>
    <row r="1212" spans="13:23">
      <c r="M1212" s="219">
        <f t="shared" ca="1" si="73"/>
        <v>52105</v>
      </c>
      <c r="N1212" s="115" t="e">
        <f ca="1"/>
        <v>#VALUE!</v>
      </c>
      <c r="P1212" s="219">
        <f t="shared" ca="1" si="74"/>
        <v>52105</v>
      </c>
      <c r="Q1212" s="115" t="e">
        <f ca="1"/>
        <v>#VALUE!</v>
      </c>
      <c r="S1212" s="219">
        <f t="shared" ca="1" si="75"/>
        <v>52105</v>
      </c>
      <c r="T1212" s="115" t="e">
        <f ca="1"/>
        <v>#VALUE!</v>
      </c>
      <c r="V1212" s="219">
        <f t="shared" ca="1" si="76"/>
        <v>52105</v>
      </c>
      <c r="W1212" s="115" t="e">
        <f ca="1"/>
        <v>#VALUE!</v>
      </c>
    </row>
    <row r="1213" spans="13:23">
      <c r="M1213" s="219">
        <f t="shared" ca="1" si="73"/>
        <v>52112</v>
      </c>
      <c r="N1213" s="115" t="e">
        <f ca="1"/>
        <v>#VALUE!</v>
      </c>
      <c r="P1213" s="219">
        <f t="shared" ca="1" si="74"/>
        <v>52112</v>
      </c>
      <c r="Q1213" s="115" t="e">
        <f ca="1"/>
        <v>#VALUE!</v>
      </c>
      <c r="S1213" s="219">
        <f t="shared" ca="1" si="75"/>
        <v>52112</v>
      </c>
      <c r="T1213" s="115" t="e">
        <f ca="1"/>
        <v>#VALUE!</v>
      </c>
      <c r="V1213" s="219">
        <f t="shared" ca="1" si="76"/>
        <v>52112</v>
      </c>
      <c r="W1213" s="115" t="e">
        <f ca="1"/>
        <v>#VALUE!</v>
      </c>
    </row>
    <row r="1214" spans="13:23">
      <c r="M1214" s="219">
        <f t="shared" ca="1" si="73"/>
        <v>52119</v>
      </c>
      <c r="N1214" s="115" t="e">
        <f ca="1"/>
        <v>#VALUE!</v>
      </c>
      <c r="P1214" s="219">
        <f t="shared" ca="1" si="74"/>
        <v>52119</v>
      </c>
      <c r="Q1214" s="115" t="e">
        <f ca="1"/>
        <v>#VALUE!</v>
      </c>
      <c r="S1214" s="219">
        <f t="shared" ca="1" si="75"/>
        <v>52119</v>
      </c>
      <c r="T1214" s="115" t="e">
        <f ca="1"/>
        <v>#VALUE!</v>
      </c>
      <c r="V1214" s="219">
        <f t="shared" ca="1" si="76"/>
        <v>52119</v>
      </c>
      <c r="W1214" s="115" t="e">
        <f ca="1"/>
        <v>#VALUE!</v>
      </c>
    </row>
    <row r="1215" spans="13:23">
      <c r="M1215" s="219">
        <f t="shared" ca="1" si="73"/>
        <v>52126</v>
      </c>
      <c r="N1215" s="115" t="e">
        <f ca="1"/>
        <v>#VALUE!</v>
      </c>
      <c r="P1215" s="219">
        <f t="shared" ca="1" si="74"/>
        <v>52126</v>
      </c>
      <c r="Q1215" s="115" t="e">
        <f ca="1"/>
        <v>#VALUE!</v>
      </c>
      <c r="S1215" s="219">
        <f t="shared" ca="1" si="75"/>
        <v>52126</v>
      </c>
      <c r="T1215" s="115" t="e">
        <f ca="1"/>
        <v>#VALUE!</v>
      </c>
      <c r="V1215" s="219">
        <f t="shared" ca="1" si="76"/>
        <v>52126</v>
      </c>
      <c r="W1215" s="115" t="e">
        <f ca="1"/>
        <v>#VALUE!</v>
      </c>
    </row>
    <row r="1216" spans="13:23">
      <c r="M1216" s="219">
        <f t="shared" ca="1" si="73"/>
        <v>52133</v>
      </c>
      <c r="N1216" s="115" t="e">
        <f ca="1"/>
        <v>#VALUE!</v>
      </c>
      <c r="P1216" s="219">
        <f t="shared" ca="1" si="74"/>
        <v>52133</v>
      </c>
      <c r="Q1216" s="115" t="e">
        <f ca="1"/>
        <v>#VALUE!</v>
      </c>
      <c r="S1216" s="219">
        <f t="shared" ca="1" si="75"/>
        <v>52133</v>
      </c>
      <c r="T1216" s="115" t="e">
        <f ca="1"/>
        <v>#VALUE!</v>
      </c>
      <c r="V1216" s="219">
        <f t="shared" ca="1" si="76"/>
        <v>52133</v>
      </c>
      <c r="W1216" s="115" t="e">
        <f ca="1"/>
        <v>#VALUE!</v>
      </c>
    </row>
    <row r="1217" spans="13:23">
      <c r="M1217" s="219">
        <f t="shared" ca="1" si="73"/>
        <v>52140</v>
      </c>
      <c r="N1217" s="115" t="e">
        <f ca="1"/>
        <v>#VALUE!</v>
      </c>
      <c r="P1217" s="219">
        <f t="shared" ca="1" si="74"/>
        <v>52140</v>
      </c>
      <c r="Q1217" s="115" t="e">
        <f ca="1"/>
        <v>#VALUE!</v>
      </c>
      <c r="S1217" s="219">
        <f t="shared" ca="1" si="75"/>
        <v>52140</v>
      </c>
      <c r="T1217" s="115" t="e">
        <f ca="1"/>
        <v>#VALUE!</v>
      </c>
      <c r="V1217" s="219">
        <f t="shared" ca="1" si="76"/>
        <v>52140</v>
      </c>
      <c r="W1217" s="115" t="e">
        <f ca="1"/>
        <v>#VALUE!</v>
      </c>
    </row>
    <row r="1218" spans="13:23">
      <c r="M1218" s="219">
        <f t="shared" ca="1" si="73"/>
        <v>52147</v>
      </c>
      <c r="N1218" s="115" t="e">
        <f ca="1"/>
        <v>#VALUE!</v>
      </c>
      <c r="P1218" s="219">
        <f t="shared" ca="1" si="74"/>
        <v>52147</v>
      </c>
      <c r="Q1218" s="115" t="e">
        <f ca="1"/>
        <v>#VALUE!</v>
      </c>
      <c r="S1218" s="219">
        <f t="shared" ca="1" si="75"/>
        <v>52147</v>
      </c>
      <c r="T1218" s="115" t="e">
        <f ca="1"/>
        <v>#VALUE!</v>
      </c>
      <c r="V1218" s="219">
        <f t="shared" ca="1" si="76"/>
        <v>52147</v>
      </c>
      <c r="W1218" s="115" t="e">
        <f ca="1"/>
        <v>#VALUE!</v>
      </c>
    </row>
    <row r="1219" spans="13:23">
      <c r="M1219" s="219">
        <f t="shared" ca="1" si="73"/>
        <v>52154</v>
      </c>
      <c r="N1219" s="115" t="e">
        <f ca="1"/>
        <v>#VALUE!</v>
      </c>
      <c r="P1219" s="219">
        <f t="shared" ca="1" si="74"/>
        <v>52154</v>
      </c>
      <c r="Q1219" s="115" t="e">
        <f ca="1"/>
        <v>#VALUE!</v>
      </c>
      <c r="S1219" s="219">
        <f t="shared" ca="1" si="75"/>
        <v>52154</v>
      </c>
      <c r="T1219" s="115" t="e">
        <f ca="1"/>
        <v>#VALUE!</v>
      </c>
      <c r="V1219" s="219">
        <f t="shared" ca="1" si="76"/>
        <v>52154</v>
      </c>
      <c r="W1219" s="115" t="e">
        <f ca="1"/>
        <v>#VALUE!</v>
      </c>
    </row>
    <row r="1220" spans="13:23">
      <c r="M1220" s="219">
        <f t="shared" ca="1" si="73"/>
        <v>52161</v>
      </c>
      <c r="N1220" s="115" t="e">
        <f ca="1"/>
        <v>#VALUE!</v>
      </c>
      <c r="P1220" s="219">
        <f t="shared" ca="1" si="74"/>
        <v>52161</v>
      </c>
      <c r="Q1220" s="115" t="e">
        <f ca="1"/>
        <v>#VALUE!</v>
      </c>
      <c r="S1220" s="219">
        <f t="shared" ca="1" si="75"/>
        <v>52161</v>
      </c>
      <c r="T1220" s="115" t="e">
        <f ca="1"/>
        <v>#VALUE!</v>
      </c>
      <c r="V1220" s="219">
        <f t="shared" ca="1" si="76"/>
        <v>52161</v>
      </c>
      <c r="W1220" s="115" t="e">
        <f ca="1"/>
        <v>#VALUE!</v>
      </c>
    </row>
    <row r="1221" spans="13:23">
      <c r="M1221" s="219">
        <f t="shared" ca="1" si="73"/>
        <v>52168</v>
      </c>
      <c r="N1221" s="115" t="e">
        <f ca="1"/>
        <v>#VALUE!</v>
      </c>
      <c r="P1221" s="219">
        <f t="shared" ca="1" si="74"/>
        <v>52168</v>
      </c>
      <c r="Q1221" s="115" t="e">
        <f ca="1"/>
        <v>#VALUE!</v>
      </c>
      <c r="S1221" s="219">
        <f t="shared" ca="1" si="75"/>
        <v>52168</v>
      </c>
      <c r="T1221" s="115" t="e">
        <f ca="1"/>
        <v>#VALUE!</v>
      </c>
      <c r="V1221" s="219">
        <f t="shared" ca="1" si="76"/>
        <v>52168</v>
      </c>
      <c r="W1221" s="115" t="e">
        <f ca="1"/>
        <v>#VALUE!</v>
      </c>
    </row>
    <row r="1222" spans="13:23">
      <c r="M1222" s="219">
        <f t="shared" ca="1" si="73"/>
        <v>52175</v>
      </c>
      <c r="N1222" s="115" t="e">
        <f ca="1"/>
        <v>#VALUE!</v>
      </c>
      <c r="P1222" s="219">
        <f t="shared" ca="1" si="74"/>
        <v>52175</v>
      </c>
      <c r="Q1222" s="115" t="e">
        <f ca="1"/>
        <v>#VALUE!</v>
      </c>
      <c r="S1222" s="219">
        <f t="shared" ca="1" si="75"/>
        <v>52175</v>
      </c>
      <c r="T1222" s="115" t="e">
        <f ca="1"/>
        <v>#VALUE!</v>
      </c>
      <c r="V1222" s="219">
        <f t="shared" ca="1" si="76"/>
        <v>52175</v>
      </c>
      <c r="W1222" s="115" t="e">
        <f ca="1"/>
        <v>#VALUE!</v>
      </c>
    </row>
    <row r="1223" spans="13:23">
      <c r="M1223" s="219">
        <f t="shared" ca="1" si="73"/>
        <v>52182</v>
      </c>
      <c r="N1223" s="115" t="e">
        <f ca="1"/>
        <v>#VALUE!</v>
      </c>
      <c r="P1223" s="219">
        <f t="shared" ca="1" si="74"/>
        <v>52182</v>
      </c>
      <c r="Q1223" s="115" t="e">
        <f ca="1"/>
        <v>#VALUE!</v>
      </c>
      <c r="S1223" s="219">
        <f t="shared" ca="1" si="75"/>
        <v>52182</v>
      </c>
      <c r="T1223" s="115" t="e">
        <f ca="1"/>
        <v>#VALUE!</v>
      </c>
      <c r="V1223" s="219">
        <f t="shared" ca="1" si="76"/>
        <v>52182</v>
      </c>
      <c r="W1223" s="115" t="e">
        <f ca="1"/>
        <v>#VALUE!</v>
      </c>
    </row>
    <row r="1224" spans="13:23">
      <c r="M1224" s="219">
        <f t="shared" ca="1" si="73"/>
        <v>52189</v>
      </c>
      <c r="N1224" s="115" t="e">
        <f ca="1"/>
        <v>#VALUE!</v>
      </c>
      <c r="P1224" s="219">
        <f t="shared" ca="1" si="74"/>
        <v>52189</v>
      </c>
      <c r="Q1224" s="115" t="e">
        <f ca="1"/>
        <v>#VALUE!</v>
      </c>
      <c r="S1224" s="219">
        <f t="shared" ca="1" si="75"/>
        <v>52189</v>
      </c>
      <c r="T1224" s="115" t="e">
        <f ca="1"/>
        <v>#VALUE!</v>
      </c>
      <c r="V1224" s="219">
        <f t="shared" ca="1" si="76"/>
        <v>52189</v>
      </c>
      <c r="W1224" s="115" t="e">
        <f ca="1"/>
        <v>#VALUE!</v>
      </c>
    </row>
    <row r="1225" spans="13:23">
      <c r="M1225" s="219">
        <f t="shared" ca="1" si="73"/>
        <v>52196</v>
      </c>
      <c r="N1225" s="115" t="e">
        <f ca="1"/>
        <v>#VALUE!</v>
      </c>
      <c r="P1225" s="219">
        <f t="shared" ca="1" si="74"/>
        <v>52196</v>
      </c>
      <c r="Q1225" s="115" t="e">
        <f ca="1"/>
        <v>#VALUE!</v>
      </c>
      <c r="S1225" s="219">
        <f t="shared" ca="1" si="75"/>
        <v>52196</v>
      </c>
      <c r="T1225" s="115" t="e">
        <f ca="1"/>
        <v>#VALUE!</v>
      </c>
      <c r="V1225" s="219">
        <f t="shared" ca="1" si="76"/>
        <v>52196</v>
      </c>
      <c r="W1225" s="115" t="e">
        <f ca="1"/>
        <v>#VALUE!</v>
      </c>
    </row>
    <row r="1226" spans="13:23">
      <c r="M1226" s="219">
        <f t="shared" ca="1" si="73"/>
        <v>52203</v>
      </c>
      <c r="N1226" s="115" t="e">
        <f ca="1"/>
        <v>#VALUE!</v>
      </c>
      <c r="P1226" s="219">
        <f t="shared" ca="1" si="74"/>
        <v>52203</v>
      </c>
      <c r="Q1226" s="115" t="e">
        <f ca="1"/>
        <v>#VALUE!</v>
      </c>
      <c r="S1226" s="219">
        <f t="shared" ca="1" si="75"/>
        <v>52203</v>
      </c>
      <c r="T1226" s="115" t="e">
        <f ca="1"/>
        <v>#VALUE!</v>
      </c>
      <c r="V1226" s="219">
        <f t="shared" ca="1" si="76"/>
        <v>52203</v>
      </c>
      <c r="W1226" s="115" t="e">
        <f ca="1"/>
        <v>#VALUE!</v>
      </c>
    </row>
    <row r="1227" spans="13:23">
      <c r="M1227" s="219">
        <f t="shared" ca="1" si="73"/>
        <v>52210</v>
      </c>
      <c r="N1227" s="115" t="e">
        <f ca="1"/>
        <v>#VALUE!</v>
      </c>
      <c r="P1227" s="219">
        <f t="shared" ca="1" si="74"/>
        <v>52210</v>
      </c>
      <c r="Q1227" s="115" t="e">
        <f ca="1"/>
        <v>#VALUE!</v>
      </c>
      <c r="S1227" s="219">
        <f t="shared" ca="1" si="75"/>
        <v>52210</v>
      </c>
      <c r="T1227" s="115" t="e">
        <f ca="1"/>
        <v>#VALUE!</v>
      </c>
      <c r="V1227" s="219">
        <f t="shared" ca="1" si="76"/>
        <v>52210</v>
      </c>
      <c r="W1227" s="115" t="e">
        <f ca="1"/>
        <v>#VALUE!</v>
      </c>
    </row>
    <row r="1228" spans="13:23">
      <c r="M1228" s="219">
        <f t="shared" ca="1" si="73"/>
        <v>52217</v>
      </c>
      <c r="N1228" s="115" t="e">
        <f ca="1"/>
        <v>#VALUE!</v>
      </c>
      <c r="P1228" s="219">
        <f t="shared" ca="1" si="74"/>
        <v>52217</v>
      </c>
      <c r="Q1228" s="115" t="e">
        <f ca="1"/>
        <v>#VALUE!</v>
      </c>
      <c r="S1228" s="219">
        <f t="shared" ca="1" si="75"/>
        <v>52217</v>
      </c>
      <c r="T1228" s="115" t="e">
        <f ca="1"/>
        <v>#VALUE!</v>
      </c>
      <c r="V1228" s="219">
        <f t="shared" ca="1" si="76"/>
        <v>52217</v>
      </c>
      <c r="W1228" s="115" t="e">
        <f ca="1"/>
        <v>#VALUE!</v>
      </c>
    </row>
    <row r="1229" spans="13:23">
      <c r="M1229" s="219">
        <f t="shared" ref="M1229:M1292" ca="1" si="77">M1228+7</f>
        <v>52224</v>
      </c>
      <c r="N1229" s="115" t="e">
        <f ca="1"/>
        <v>#VALUE!</v>
      </c>
      <c r="P1229" s="219">
        <f t="shared" ref="P1229:P1292" ca="1" si="78">P1228+7</f>
        <v>52224</v>
      </c>
      <c r="Q1229" s="115" t="e">
        <f ca="1"/>
        <v>#VALUE!</v>
      </c>
      <c r="S1229" s="219">
        <f t="shared" ref="S1229:S1292" ca="1" si="79">S1228+7</f>
        <v>52224</v>
      </c>
      <c r="T1229" s="115" t="e">
        <f ca="1"/>
        <v>#VALUE!</v>
      </c>
      <c r="V1229" s="219">
        <f t="shared" ref="V1229:V1292" ca="1" si="80">V1228+7</f>
        <v>52224</v>
      </c>
      <c r="W1229" s="115" t="e">
        <f ca="1"/>
        <v>#VALUE!</v>
      </c>
    </row>
    <row r="1230" spans="13:23">
      <c r="M1230" s="219">
        <f t="shared" ca="1" si="77"/>
        <v>52231</v>
      </c>
      <c r="N1230" s="115" t="e">
        <f ca="1"/>
        <v>#VALUE!</v>
      </c>
      <c r="P1230" s="219">
        <f t="shared" ca="1" si="78"/>
        <v>52231</v>
      </c>
      <c r="Q1230" s="115" t="e">
        <f ca="1"/>
        <v>#VALUE!</v>
      </c>
      <c r="S1230" s="219">
        <f t="shared" ca="1" si="79"/>
        <v>52231</v>
      </c>
      <c r="T1230" s="115" t="e">
        <f ca="1"/>
        <v>#VALUE!</v>
      </c>
      <c r="V1230" s="219">
        <f t="shared" ca="1" si="80"/>
        <v>52231</v>
      </c>
      <c r="W1230" s="115" t="e">
        <f ca="1"/>
        <v>#VALUE!</v>
      </c>
    </row>
    <row r="1231" spans="13:23">
      <c r="M1231" s="219">
        <f t="shared" ca="1" si="77"/>
        <v>52238</v>
      </c>
      <c r="N1231" s="115" t="e">
        <f ca="1"/>
        <v>#VALUE!</v>
      </c>
      <c r="P1231" s="219">
        <f t="shared" ca="1" si="78"/>
        <v>52238</v>
      </c>
      <c r="Q1231" s="115" t="e">
        <f ca="1"/>
        <v>#VALUE!</v>
      </c>
      <c r="S1231" s="219">
        <f t="shared" ca="1" si="79"/>
        <v>52238</v>
      </c>
      <c r="T1231" s="115" t="e">
        <f ca="1"/>
        <v>#VALUE!</v>
      </c>
      <c r="V1231" s="219">
        <f t="shared" ca="1" si="80"/>
        <v>52238</v>
      </c>
      <c r="W1231" s="115" t="e">
        <f ca="1"/>
        <v>#VALUE!</v>
      </c>
    </row>
    <row r="1232" spans="13:23">
      <c r="M1232" s="219">
        <f t="shared" ca="1" si="77"/>
        <v>52245</v>
      </c>
      <c r="N1232" s="115" t="e">
        <f ca="1"/>
        <v>#VALUE!</v>
      </c>
      <c r="P1232" s="219">
        <f t="shared" ca="1" si="78"/>
        <v>52245</v>
      </c>
      <c r="Q1232" s="115" t="e">
        <f ca="1"/>
        <v>#VALUE!</v>
      </c>
      <c r="S1232" s="219">
        <f t="shared" ca="1" si="79"/>
        <v>52245</v>
      </c>
      <c r="T1232" s="115" t="e">
        <f ca="1"/>
        <v>#VALUE!</v>
      </c>
      <c r="V1232" s="219">
        <f t="shared" ca="1" si="80"/>
        <v>52245</v>
      </c>
      <c r="W1232" s="115" t="e">
        <f ca="1"/>
        <v>#VALUE!</v>
      </c>
    </row>
    <row r="1233" spans="13:23">
      <c r="M1233" s="219">
        <f t="shared" ca="1" si="77"/>
        <v>52252</v>
      </c>
      <c r="N1233" s="115" t="e">
        <f ca="1"/>
        <v>#VALUE!</v>
      </c>
      <c r="P1233" s="219">
        <f t="shared" ca="1" si="78"/>
        <v>52252</v>
      </c>
      <c r="Q1233" s="115" t="e">
        <f ca="1"/>
        <v>#VALUE!</v>
      </c>
      <c r="S1233" s="219">
        <f t="shared" ca="1" si="79"/>
        <v>52252</v>
      </c>
      <c r="T1233" s="115" t="e">
        <f ca="1"/>
        <v>#VALUE!</v>
      </c>
      <c r="V1233" s="219">
        <f t="shared" ca="1" si="80"/>
        <v>52252</v>
      </c>
      <c r="W1233" s="115" t="e">
        <f ca="1"/>
        <v>#VALUE!</v>
      </c>
    </row>
    <row r="1234" spans="13:23">
      <c r="M1234" s="219">
        <f t="shared" ca="1" si="77"/>
        <v>52259</v>
      </c>
      <c r="N1234" s="115" t="e">
        <f ca="1"/>
        <v>#VALUE!</v>
      </c>
      <c r="P1234" s="219">
        <f t="shared" ca="1" si="78"/>
        <v>52259</v>
      </c>
      <c r="Q1234" s="115" t="e">
        <f ca="1"/>
        <v>#VALUE!</v>
      </c>
      <c r="S1234" s="219">
        <f t="shared" ca="1" si="79"/>
        <v>52259</v>
      </c>
      <c r="T1234" s="115" t="e">
        <f ca="1"/>
        <v>#VALUE!</v>
      </c>
      <c r="V1234" s="219">
        <f t="shared" ca="1" si="80"/>
        <v>52259</v>
      </c>
      <c r="W1234" s="115" t="e">
        <f ca="1"/>
        <v>#VALUE!</v>
      </c>
    </row>
    <row r="1235" spans="13:23">
      <c r="M1235" s="219">
        <f t="shared" ca="1" si="77"/>
        <v>52266</v>
      </c>
      <c r="N1235" s="115" t="e">
        <f ca="1"/>
        <v>#VALUE!</v>
      </c>
      <c r="P1235" s="219">
        <f t="shared" ca="1" si="78"/>
        <v>52266</v>
      </c>
      <c r="Q1235" s="115" t="e">
        <f ca="1"/>
        <v>#VALUE!</v>
      </c>
      <c r="S1235" s="219">
        <f t="shared" ca="1" si="79"/>
        <v>52266</v>
      </c>
      <c r="T1235" s="115" t="e">
        <f ca="1"/>
        <v>#VALUE!</v>
      </c>
      <c r="V1235" s="219">
        <f t="shared" ca="1" si="80"/>
        <v>52266</v>
      </c>
      <c r="W1235" s="115" t="e">
        <f ca="1"/>
        <v>#VALUE!</v>
      </c>
    </row>
    <row r="1236" spans="13:23">
      <c r="M1236" s="219">
        <f t="shared" ca="1" si="77"/>
        <v>52273</v>
      </c>
      <c r="N1236" s="115" t="e">
        <f ca="1"/>
        <v>#VALUE!</v>
      </c>
      <c r="P1236" s="219">
        <f t="shared" ca="1" si="78"/>
        <v>52273</v>
      </c>
      <c r="Q1236" s="115" t="e">
        <f ca="1"/>
        <v>#VALUE!</v>
      </c>
      <c r="S1236" s="219">
        <f t="shared" ca="1" si="79"/>
        <v>52273</v>
      </c>
      <c r="T1236" s="115" t="e">
        <f ca="1"/>
        <v>#VALUE!</v>
      </c>
      <c r="V1236" s="219">
        <f t="shared" ca="1" si="80"/>
        <v>52273</v>
      </c>
      <c r="W1236" s="115" t="e">
        <f ca="1"/>
        <v>#VALUE!</v>
      </c>
    </row>
    <row r="1237" spans="13:23">
      <c r="M1237" s="219">
        <f t="shared" ca="1" si="77"/>
        <v>52280</v>
      </c>
      <c r="N1237" s="115" t="e">
        <f ca="1"/>
        <v>#VALUE!</v>
      </c>
      <c r="P1237" s="219">
        <f t="shared" ca="1" si="78"/>
        <v>52280</v>
      </c>
      <c r="Q1237" s="115" t="e">
        <f ca="1"/>
        <v>#VALUE!</v>
      </c>
      <c r="S1237" s="219">
        <f t="shared" ca="1" si="79"/>
        <v>52280</v>
      </c>
      <c r="T1237" s="115" t="e">
        <f ca="1"/>
        <v>#VALUE!</v>
      </c>
      <c r="V1237" s="219">
        <f t="shared" ca="1" si="80"/>
        <v>52280</v>
      </c>
      <c r="W1237" s="115" t="e">
        <f ca="1"/>
        <v>#VALUE!</v>
      </c>
    </row>
    <row r="1238" spans="13:23">
      <c r="M1238" s="219">
        <f t="shared" ca="1" si="77"/>
        <v>52287</v>
      </c>
      <c r="N1238" s="115" t="e">
        <f ca="1"/>
        <v>#VALUE!</v>
      </c>
      <c r="P1238" s="219">
        <f t="shared" ca="1" si="78"/>
        <v>52287</v>
      </c>
      <c r="Q1238" s="115" t="e">
        <f ca="1"/>
        <v>#VALUE!</v>
      </c>
      <c r="S1238" s="219">
        <f t="shared" ca="1" si="79"/>
        <v>52287</v>
      </c>
      <c r="T1238" s="115" t="e">
        <f ca="1"/>
        <v>#VALUE!</v>
      </c>
      <c r="V1238" s="219">
        <f t="shared" ca="1" si="80"/>
        <v>52287</v>
      </c>
      <c r="W1238" s="115" t="e">
        <f ca="1"/>
        <v>#VALUE!</v>
      </c>
    </row>
    <row r="1239" spans="13:23">
      <c r="M1239" s="219">
        <f t="shared" ca="1" si="77"/>
        <v>52294</v>
      </c>
      <c r="N1239" s="115" t="e">
        <f ca="1"/>
        <v>#VALUE!</v>
      </c>
      <c r="P1239" s="219">
        <f t="shared" ca="1" si="78"/>
        <v>52294</v>
      </c>
      <c r="Q1239" s="115" t="e">
        <f ca="1"/>
        <v>#VALUE!</v>
      </c>
      <c r="S1239" s="219">
        <f t="shared" ca="1" si="79"/>
        <v>52294</v>
      </c>
      <c r="T1239" s="115" t="e">
        <f ca="1"/>
        <v>#VALUE!</v>
      </c>
      <c r="V1239" s="219">
        <f t="shared" ca="1" si="80"/>
        <v>52294</v>
      </c>
      <c r="W1239" s="115" t="e">
        <f ca="1"/>
        <v>#VALUE!</v>
      </c>
    </row>
    <row r="1240" spans="13:23">
      <c r="M1240" s="219">
        <f t="shared" ca="1" si="77"/>
        <v>52301</v>
      </c>
      <c r="N1240" s="115" t="e">
        <f ca="1"/>
        <v>#VALUE!</v>
      </c>
      <c r="P1240" s="219">
        <f t="shared" ca="1" si="78"/>
        <v>52301</v>
      </c>
      <c r="Q1240" s="115" t="e">
        <f ca="1"/>
        <v>#VALUE!</v>
      </c>
      <c r="S1240" s="219">
        <f t="shared" ca="1" si="79"/>
        <v>52301</v>
      </c>
      <c r="T1240" s="115" t="e">
        <f ca="1"/>
        <v>#VALUE!</v>
      </c>
      <c r="V1240" s="219">
        <f t="shared" ca="1" si="80"/>
        <v>52301</v>
      </c>
      <c r="W1240" s="115" t="e">
        <f ca="1"/>
        <v>#VALUE!</v>
      </c>
    </row>
    <row r="1241" spans="13:23">
      <c r="M1241" s="219">
        <f t="shared" ca="1" si="77"/>
        <v>52308</v>
      </c>
      <c r="N1241" s="115" t="e">
        <f ca="1"/>
        <v>#VALUE!</v>
      </c>
      <c r="P1241" s="219">
        <f t="shared" ca="1" si="78"/>
        <v>52308</v>
      </c>
      <c r="Q1241" s="115" t="e">
        <f ca="1"/>
        <v>#VALUE!</v>
      </c>
      <c r="S1241" s="219">
        <f t="shared" ca="1" si="79"/>
        <v>52308</v>
      </c>
      <c r="T1241" s="115" t="e">
        <f ca="1"/>
        <v>#VALUE!</v>
      </c>
      <c r="V1241" s="219">
        <f t="shared" ca="1" si="80"/>
        <v>52308</v>
      </c>
      <c r="W1241" s="115" t="e">
        <f ca="1"/>
        <v>#VALUE!</v>
      </c>
    </row>
    <row r="1242" spans="13:23">
      <c r="M1242" s="219">
        <f t="shared" ca="1" si="77"/>
        <v>52315</v>
      </c>
      <c r="N1242" s="115" t="e">
        <f ca="1"/>
        <v>#VALUE!</v>
      </c>
      <c r="P1242" s="219">
        <f t="shared" ca="1" si="78"/>
        <v>52315</v>
      </c>
      <c r="Q1242" s="115" t="e">
        <f ca="1"/>
        <v>#VALUE!</v>
      </c>
      <c r="S1242" s="219">
        <f t="shared" ca="1" si="79"/>
        <v>52315</v>
      </c>
      <c r="T1242" s="115" t="e">
        <f ca="1"/>
        <v>#VALUE!</v>
      </c>
      <c r="V1242" s="219">
        <f t="shared" ca="1" si="80"/>
        <v>52315</v>
      </c>
      <c r="W1242" s="115" t="e">
        <f ca="1"/>
        <v>#VALUE!</v>
      </c>
    </row>
    <row r="1243" spans="13:23">
      <c r="M1243" s="219">
        <f t="shared" ca="1" si="77"/>
        <v>52322</v>
      </c>
      <c r="N1243" s="115" t="e">
        <f ca="1"/>
        <v>#VALUE!</v>
      </c>
      <c r="P1243" s="219">
        <f t="shared" ca="1" si="78"/>
        <v>52322</v>
      </c>
      <c r="Q1243" s="115" t="e">
        <f ca="1"/>
        <v>#VALUE!</v>
      </c>
      <c r="S1243" s="219">
        <f t="shared" ca="1" si="79"/>
        <v>52322</v>
      </c>
      <c r="T1243" s="115" t="e">
        <f ca="1"/>
        <v>#VALUE!</v>
      </c>
      <c r="V1243" s="219">
        <f t="shared" ca="1" si="80"/>
        <v>52322</v>
      </c>
      <c r="W1243" s="115" t="e">
        <f ca="1"/>
        <v>#VALUE!</v>
      </c>
    </row>
    <row r="1244" spans="13:23">
      <c r="M1244" s="219">
        <f t="shared" ca="1" si="77"/>
        <v>52329</v>
      </c>
      <c r="N1244" s="115" t="e">
        <f ca="1"/>
        <v>#VALUE!</v>
      </c>
      <c r="P1244" s="219">
        <f t="shared" ca="1" si="78"/>
        <v>52329</v>
      </c>
      <c r="Q1244" s="115" t="e">
        <f ca="1"/>
        <v>#VALUE!</v>
      </c>
      <c r="S1244" s="219">
        <f t="shared" ca="1" si="79"/>
        <v>52329</v>
      </c>
      <c r="T1244" s="115" t="e">
        <f ca="1"/>
        <v>#VALUE!</v>
      </c>
      <c r="V1244" s="219">
        <f t="shared" ca="1" si="80"/>
        <v>52329</v>
      </c>
      <c r="W1244" s="115" t="e">
        <f ca="1"/>
        <v>#VALUE!</v>
      </c>
    </row>
    <row r="1245" spans="13:23">
      <c r="M1245" s="219">
        <f t="shared" ca="1" si="77"/>
        <v>52336</v>
      </c>
      <c r="N1245" s="115" t="e">
        <f ca="1"/>
        <v>#VALUE!</v>
      </c>
      <c r="P1245" s="219">
        <f t="shared" ca="1" si="78"/>
        <v>52336</v>
      </c>
      <c r="Q1245" s="115" t="e">
        <f ca="1"/>
        <v>#VALUE!</v>
      </c>
      <c r="S1245" s="219">
        <f t="shared" ca="1" si="79"/>
        <v>52336</v>
      </c>
      <c r="T1245" s="115" t="e">
        <f ca="1"/>
        <v>#VALUE!</v>
      </c>
      <c r="V1245" s="219">
        <f t="shared" ca="1" si="80"/>
        <v>52336</v>
      </c>
      <c r="W1245" s="115" t="e">
        <f ca="1"/>
        <v>#VALUE!</v>
      </c>
    </row>
    <row r="1246" spans="13:23">
      <c r="M1246" s="219">
        <f t="shared" ca="1" si="77"/>
        <v>52343</v>
      </c>
      <c r="N1246" s="115" t="e">
        <f ca="1"/>
        <v>#VALUE!</v>
      </c>
      <c r="P1246" s="219">
        <f t="shared" ca="1" si="78"/>
        <v>52343</v>
      </c>
      <c r="Q1246" s="115" t="e">
        <f ca="1"/>
        <v>#VALUE!</v>
      </c>
      <c r="S1246" s="219">
        <f t="shared" ca="1" si="79"/>
        <v>52343</v>
      </c>
      <c r="T1246" s="115" t="e">
        <f ca="1"/>
        <v>#VALUE!</v>
      </c>
      <c r="V1246" s="219">
        <f t="shared" ca="1" si="80"/>
        <v>52343</v>
      </c>
      <c r="W1246" s="115" t="e">
        <f ca="1"/>
        <v>#VALUE!</v>
      </c>
    </row>
    <row r="1247" spans="13:23">
      <c r="M1247" s="219">
        <f t="shared" ca="1" si="77"/>
        <v>52350</v>
      </c>
      <c r="N1247" s="115" t="e">
        <f ca="1"/>
        <v>#VALUE!</v>
      </c>
      <c r="P1247" s="219">
        <f t="shared" ca="1" si="78"/>
        <v>52350</v>
      </c>
      <c r="Q1247" s="115" t="e">
        <f ca="1"/>
        <v>#VALUE!</v>
      </c>
      <c r="S1247" s="219">
        <f t="shared" ca="1" si="79"/>
        <v>52350</v>
      </c>
      <c r="T1247" s="115" t="e">
        <f ca="1"/>
        <v>#VALUE!</v>
      </c>
      <c r="V1247" s="219">
        <f t="shared" ca="1" si="80"/>
        <v>52350</v>
      </c>
      <c r="W1247" s="115" t="e">
        <f ca="1"/>
        <v>#VALUE!</v>
      </c>
    </row>
    <row r="1248" spans="13:23">
      <c r="M1248" s="219">
        <f t="shared" ca="1" si="77"/>
        <v>52357</v>
      </c>
      <c r="N1248" s="115" t="e">
        <f ca="1"/>
        <v>#VALUE!</v>
      </c>
      <c r="P1248" s="219">
        <f t="shared" ca="1" si="78"/>
        <v>52357</v>
      </c>
      <c r="Q1248" s="115" t="e">
        <f ca="1"/>
        <v>#VALUE!</v>
      </c>
      <c r="S1248" s="219">
        <f t="shared" ca="1" si="79"/>
        <v>52357</v>
      </c>
      <c r="T1248" s="115" t="e">
        <f ca="1"/>
        <v>#VALUE!</v>
      </c>
      <c r="V1248" s="219">
        <f t="shared" ca="1" si="80"/>
        <v>52357</v>
      </c>
      <c r="W1248" s="115" t="e">
        <f ca="1"/>
        <v>#VALUE!</v>
      </c>
    </row>
    <row r="1249" spans="13:23">
      <c r="M1249" s="219">
        <f t="shared" ca="1" si="77"/>
        <v>52364</v>
      </c>
      <c r="N1249" s="115" t="e">
        <f ca="1"/>
        <v>#VALUE!</v>
      </c>
      <c r="P1249" s="219">
        <f t="shared" ca="1" si="78"/>
        <v>52364</v>
      </c>
      <c r="Q1249" s="115" t="e">
        <f ca="1"/>
        <v>#VALUE!</v>
      </c>
      <c r="S1249" s="219">
        <f t="shared" ca="1" si="79"/>
        <v>52364</v>
      </c>
      <c r="T1249" s="115" t="e">
        <f ca="1"/>
        <v>#VALUE!</v>
      </c>
      <c r="V1249" s="219">
        <f t="shared" ca="1" si="80"/>
        <v>52364</v>
      </c>
      <c r="W1249" s="115" t="e">
        <f ca="1"/>
        <v>#VALUE!</v>
      </c>
    </row>
    <row r="1250" spans="13:23">
      <c r="M1250" s="219">
        <f t="shared" ca="1" si="77"/>
        <v>52371</v>
      </c>
      <c r="N1250" s="115" t="e">
        <f ca="1"/>
        <v>#VALUE!</v>
      </c>
      <c r="P1250" s="219">
        <f t="shared" ca="1" si="78"/>
        <v>52371</v>
      </c>
      <c r="Q1250" s="115" t="e">
        <f ca="1"/>
        <v>#VALUE!</v>
      </c>
      <c r="S1250" s="219">
        <f t="shared" ca="1" si="79"/>
        <v>52371</v>
      </c>
      <c r="T1250" s="115" t="e">
        <f ca="1"/>
        <v>#VALUE!</v>
      </c>
      <c r="V1250" s="219">
        <f t="shared" ca="1" si="80"/>
        <v>52371</v>
      </c>
      <c r="W1250" s="115" t="e">
        <f ca="1"/>
        <v>#VALUE!</v>
      </c>
    </row>
    <row r="1251" spans="13:23">
      <c r="M1251" s="219">
        <f t="shared" ca="1" si="77"/>
        <v>52378</v>
      </c>
      <c r="N1251" s="115" t="e">
        <f ca="1"/>
        <v>#VALUE!</v>
      </c>
      <c r="P1251" s="219">
        <f t="shared" ca="1" si="78"/>
        <v>52378</v>
      </c>
      <c r="Q1251" s="115" t="e">
        <f ca="1"/>
        <v>#VALUE!</v>
      </c>
      <c r="S1251" s="219">
        <f t="shared" ca="1" si="79"/>
        <v>52378</v>
      </c>
      <c r="T1251" s="115" t="e">
        <f ca="1"/>
        <v>#VALUE!</v>
      </c>
      <c r="V1251" s="219">
        <f t="shared" ca="1" si="80"/>
        <v>52378</v>
      </c>
      <c r="W1251" s="115" t="e">
        <f ca="1"/>
        <v>#VALUE!</v>
      </c>
    </row>
    <row r="1252" spans="13:23">
      <c r="M1252" s="219">
        <f t="shared" ca="1" si="77"/>
        <v>52385</v>
      </c>
      <c r="N1252" s="115" t="e">
        <f ca="1"/>
        <v>#VALUE!</v>
      </c>
      <c r="P1252" s="219">
        <f t="shared" ca="1" si="78"/>
        <v>52385</v>
      </c>
      <c r="Q1252" s="115" t="e">
        <f ca="1"/>
        <v>#VALUE!</v>
      </c>
      <c r="S1252" s="219">
        <f t="shared" ca="1" si="79"/>
        <v>52385</v>
      </c>
      <c r="T1252" s="115" t="e">
        <f ca="1"/>
        <v>#VALUE!</v>
      </c>
      <c r="V1252" s="219">
        <f t="shared" ca="1" si="80"/>
        <v>52385</v>
      </c>
      <c r="W1252" s="115" t="e">
        <f ca="1"/>
        <v>#VALUE!</v>
      </c>
    </row>
    <row r="1253" spans="13:23">
      <c r="M1253" s="219">
        <f t="shared" ca="1" si="77"/>
        <v>52392</v>
      </c>
      <c r="N1253" s="115" t="e">
        <f ca="1"/>
        <v>#VALUE!</v>
      </c>
      <c r="P1253" s="219">
        <f t="shared" ca="1" si="78"/>
        <v>52392</v>
      </c>
      <c r="Q1253" s="115" t="e">
        <f ca="1"/>
        <v>#VALUE!</v>
      </c>
      <c r="S1253" s="219">
        <f t="shared" ca="1" si="79"/>
        <v>52392</v>
      </c>
      <c r="T1253" s="115" t="e">
        <f ca="1"/>
        <v>#VALUE!</v>
      </c>
      <c r="V1253" s="219">
        <f t="shared" ca="1" si="80"/>
        <v>52392</v>
      </c>
      <c r="W1253" s="115" t="e">
        <f ca="1"/>
        <v>#VALUE!</v>
      </c>
    </row>
    <row r="1254" spans="13:23">
      <c r="M1254" s="219">
        <f t="shared" ca="1" si="77"/>
        <v>52399</v>
      </c>
      <c r="N1254" s="115" t="e">
        <f ca="1"/>
        <v>#VALUE!</v>
      </c>
      <c r="P1254" s="219">
        <f t="shared" ca="1" si="78"/>
        <v>52399</v>
      </c>
      <c r="Q1254" s="115" t="e">
        <f ca="1"/>
        <v>#VALUE!</v>
      </c>
      <c r="S1254" s="219">
        <f t="shared" ca="1" si="79"/>
        <v>52399</v>
      </c>
      <c r="T1254" s="115" t="e">
        <f ca="1"/>
        <v>#VALUE!</v>
      </c>
      <c r="V1254" s="219">
        <f t="shared" ca="1" si="80"/>
        <v>52399</v>
      </c>
      <c r="W1254" s="115" t="e">
        <f ca="1"/>
        <v>#VALUE!</v>
      </c>
    </row>
    <row r="1255" spans="13:23">
      <c r="M1255" s="219">
        <f t="shared" ca="1" si="77"/>
        <v>52406</v>
      </c>
      <c r="N1255" s="115" t="e">
        <f ca="1"/>
        <v>#VALUE!</v>
      </c>
      <c r="P1255" s="219">
        <f t="shared" ca="1" si="78"/>
        <v>52406</v>
      </c>
      <c r="Q1255" s="115" t="e">
        <f ca="1"/>
        <v>#VALUE!</v>
      </c>
      <c r="S1255" s="219">
        <f t="shared" ca="1" si="79"/>
        <v>52406</v>
      </c>
      <c r="T1255" s="115" t="e">
        <f ca="1"/>
        <v>#VALUE!</v>
      </c>
      <c r="V1255" s="219">
        <f t="shared" ca="1" si="80"/>
        <v>52406</v>
      </c>
      <c r="W1255" s="115" t="e">
        <f ca="1"/>
        <v>#VALUE!</v>
      </c>
    </row>
    <row r="1256" spans="13:23">
      <c r="M1256" s="219">
        <f t="shared" ca="1" si="77"/>
        <v>52413</v>
      </c>
      <c r="N1256" s="115" t="e">
        <f ca="1"/>
        <v>#VALUE!</v>
      </c>
      <c r="P1256" s="219">
        <f t="shared" ca="1" si="78"/>
        <v>52413</v>
      </c>
      <c r="Q1256" s="115" t="e">
        <f ca="1"/>
        <v>#VALUE!</v>
      </c>
      <c r="S1256" s="219">
        <f t="shared" ca="1" si="79"/>
        <v>52413</v>
      </c>
      <c r="T1256" s="115" t="e">
        <f ca="1"/>
        <v>#VALUE!</v>
      </c>
      <c r="V1256" s="219">
        <f t="shared" ca="1" si="80"/>
        <v>52413</v>
      </c>
      <c r="W1256" s="115" t="e">
        <f ca="1"/>
        <v>#VALUE!</v>
      </c>
    </row>
    <row r="1257" spans="13:23">
      <c r="M1257" s="219">
        <f t="shared" ca="1" si="77"/>
        <v>52420</v>
      </c>
      <c r="N1257" s="115" t="e">
        <f ca="1"/>
        <v>#VALUE!</v>
      </c>
      <c r="P1257" s="219">
        <f t="shared" ca="1" si="78"/>
        <v>52420</v>
      </c>
      <c r="Q1257" s="115" t="e">
        <f ca="1"/>
        <v>#VALUE!</v>
      </c>
      <c r="S1257" s="219">
        <f t="shared" ca="1" si="79"/>
        <v>52420</v>
      </c>
      <c r="T1257" s="115" t="e">
        <f ca="1"/>
        <v>#VALUE!</v>
      </c>
      <c r="V1257" s="219">
        <f t="shared" ca="1" si="80"/>
        <v>52420</v>
      </c>
      <c r="W1257" s="115" t="e">
        <f ca="1"/>
        <v>#VALUE!</v>
      </c>
    </row>
    <row r="1258" spans="13:23">
      <c r="M1258" s="219">
        <f t="shared" ca="1" si="77"/>
        <v>52427</v>
      </c>
      <c r="N1258" s="115" t="e">
        <f ca="1"/>
        <v>#VALUE!</v>
      </c>
      <c r="P1258" s="219">
        <f t="shared" ca="1" si="78"/>
        <v>52427</v>
      </c>
      <c r="Q1258" s="115" t="e">
        <f ca="1"/>
        <v>#VALUE!</v>
      </c>
      <c r="S1258" s="219">
        <f t="shared" ca="1" si="79"/>
        <v>52427</v>
      </c>
      <c r="T1258" s="115" t="e">
        <f ca="1"/>
        <v>#VALUE!</v>
      </c>
      <c r="V1258" s="219">
        <f t="shared" ca="1" si="80"/>
        <v>52427</v>
      </c>
      <c r="W1258" s="115" t="e">
        <f ca="1"/>
        <v>#VALUE!</v>
      </c>
    </row>
    <row r="1259" spans="13:23">
      <c r="M1259" s="219">
        <f t="shared" ca="1" si="77"/>
        <v>52434</v>
      </c>
      <c r="N1259" s="115" t="e">
        <f ca="1"/>
        <v>#VALUE!</v>
      </c>
      <c r="P1259" s="219">
        <f t="shared" ca="1" si="78"/>
        <v>52434</v>
      </c>
      <c r="Q1259" s="115" t="e">
        <f ca="1"/>
        <v>#VALUE!</v>
      </c>
      <c r="S1259" s="219">
        <f t="shared" ca="1" si="79"/>
        <v>52434</v>
      </c>
      <c r="T1259" s="115" t="e">
        <f ca="1"/>
        <v>#VALUE!</v>
      </c>
      <c r="V1259" s="219">
        <f t="shared" ca="1" si="80"/>
        <v>52434</v>
      </c>
      <c r="W1259" s="115" t="e">
        <f ca="1"/>
        <v>#VALUE!</v>
      </c>
    </row>
    <row r="1260" spans="13:23">
      <c r="M1260" s="219">
        <f t="shared" ca="1" si="77"/>
        <v>52441</v>
      </c>
      <c r="N1260" s="115" t="e">
        <f ca="1"/>
        <v>#VALUE!</v>
      </c>
      <c r="P1260" s="219">
        <f t="shared" ca="1" si="78"/>
        <v>52441</v>
      </c>
      <c r="Q1260" s="115" t="e">
        <f ca="1"/>
        <v>#VALUE!</v>
      </c>
      <c r="S1260" s="219">
        <f t="shared" ca="1" si="79"/>
        <v>52441</v>
      </c>
      <c r="T1260" s="115" t="e">
        <f ca="1"/>
        <v>#VALUE!</v>
      </c>
      <c r="V1260" s="219">
        <f t="shared" ca="1" si="80"/>
        <v>52441</v>
      </c>
      <c r="W1260" s="115" t="e">
        <f ca="1"/>
        <v>#VALUE!</v>
      </c>
    </row>
    <row r="1261" spans="13:23">
      <c r="M1261" s="219">
        <f t="shared" ca="1" si="77"/>
        <v>52448</v>
      </c>
      <c r="N1261" s="115" t="e">
        <f ca="1"/>
        <v>#VALUE!</v>
      </c>
      <c r="P1261" s="219">
        <f t="shared" ca="1" si="78"/>
        <v>52448</v>
      </c>
      <c r="Q1261" s="115" t="e">
        <f ca="1"/>
        <v>#VALUE!</v>
      </c>
      <c r="S1261" s="219">
        <f t="shared" ca="1" si="79"/>
        <v>52448</v>
      </c>
      <c r="T1261" s="115" t="e">
        <f ca="1"/>
        <v>#VALUE!</v>
      </c>
      <c r="V1261" s="219">
        <f t="shared" ca="1" si="80"/>
        <v>52448</v>
      </c>
      <c r="W1261" s="115" t="e">
        <f ca="1"/>
        <v>#VALUE!</v>
      </c>
    </row>
    <row r="1262" spans="13:23">
      <c r="M1262" s="219">
        <f t="shared" ca="1" si="77"/>
        <v>52455</v>
      </c>
      <c r="N1262" s="115" t="e">
        <f ca="1"/>
        <v>#VALUE!</v>
      </c>
      <c r="P1262" s="219">
        <f t="shared" ca="1" si="78"/>
        <v>52455</v>
      </c>
      <c r="Q1262" s="115" t="e">
        <f ca="1"/>
        <v>#VALUE!</v>
      </c>
      <c r="S1262" s="219">
        <f t="shared" ca="1" si="79"/>
        <v>52455</v>
      </c>
      <c r="T1262" s="115" t="e">
        <f ca="1"/>
        <v>#VALUE!</v>
      </c>
      <c r="V1262" s="219">
        <f t="shared" ca="1" si="80"/>
        <v>52455</v>
      </c>
      <c r="W1262" s="115" t="e">
        <f ca="1"/>
        <v>#VALUE!</v>
      </c>
    </row>
    <row r="1263" spans="13:23">
      <c r="M1263" s="219">
        <f t="shared" ca="1" si="77"/>
        <v>52462</v>
      </c>
      <c r="N1263" s="115" t="e">
        <f ca="1"/>
        <v>#VALUE!</v>
      </c>
      <c r="P1263" s="219">
        <f t="shared" ca="1" si="78"/>
        <v>52462</v>
      </c>
      <c r="Q1263" s="115" t="e">
        <f ca="1"/>
        <v>#VALUE!</v>
      </c>
      <c r="S1263" s="219">
        <f t="shared" ca="1" si="79"/>
        <v>52462</v>
      </c>
      <c r="T1263" s="115" t="e">
        <f ca="1"/>
        <v>#VALUE!</v>
      </c>
      <c r="V1263" s="219">
        <f t="shared" ca="1" si="80"/>
        <v>52462</v>
      </c>
      <c r="W1263" s="115" t="e">
        <f ca="1"/>
        <v>#VALUE!</v>
      </c>
    </row>
    <row r="1264" spans="13:23">
      <c r="M1264" s="219">
        <f t="shared" ca="1" si="77"/>
        <v>52469</v>
      </c>
      <c r="N1264" s="115" t="e">
        <f ca="1"/>
        <v>#VALUE!</v>
      </c>
      <c r="P1264" s="219">
        <f t="shared" ca="1" si="78"/>
        <v>52469</v>
      </c>
      <c r="Q1264" s="115" t="e">
        <f ca="1"/>
        <v>#VALUE!</v>
      </c>
      <c r="S1264" s="219">
        <f t="shared" ca="1" si="79"/>
        <v>52469</v>
      </c>
      <c r="T1264" s="115" t="e">
        <f ca="1"/>
        <v>#VALUE!</v>
      </c>
      <c r="V1264" s="219">
        <f t="shared" ca="1" si="80"/>
        <v>52469</v>
      </c>
      <c r="W1264" s="115" t="e">
        <f ca="1"/>
        <v>#VALUE!</v>
      </c>
    </row>
    <row r="1265" spans="13:23">
      <c r="M1265" s="219">
        <f t="shared" ca="1" si="77"/>
        <v>52476</v>
      </c>
      <c r="N1265" s="115" t="e">
        <f ca="1"/>
        <v>#VALUE!</v>
      </c>
      <c r="P1265" s="219">
        <f t="shared" ca="1" si="78"/>
        <v>52476</v>
      </c>
      <c r="Q1265" s="115" t="e">
        <f ca="1"/>
        <v>#VALUE!</v>
      </c>
      <c r="S1265" s="219">
        <f t="shared" ca="1" si="79"/>
        <v>52476</v>
      </c>
      <c r="T1265" s="115" t="e">
        <f ca="1"/>
        <v>#VALUE!</v>
      </c>
      <c r="V1265" s="219">
        <f t="shared" ca="1" si="80"/>
        <v>52476</v>
      </c>
      <c r="W1265" s="115" t="e">
        <f ca="1"/>
        <v>#VALUE!</v>
      </c>
    </row>
    <row r="1266" spans="13:23">
      <c r="M1266" s="219">
        <f t="shared" ca="1" si="77"/>
        <v>52483</v>
      </c>
      <c r="N1266" s="115" t="e">
        <f ca="1"/>
        <v>#VALUE!</v>
      </c>
      <c r="P1266" s="219">
        <f t="shared" ca="1" si="78"/>
        <v>52483</v>
      </c>
      <c r="Q1266" s="115" t="e">
        <f ca="1"/>
        <v>#VALUE!</v>
      </c>
      <c r="S1266" s="219">
        <f t="shared" ca="1" si="79"/>
        <v>52483</v>
      </c>
      <c r="T1266" s="115" t="e">
        <f ca="1"/>
        <v>#VALUE!</v>
      </c>
      <c r="V1266" s="219">
        <f t="shared" ca="1" si="80"/>
        <v>52483</v>
      </c>
      <c r="W1266" s="115" t="e">
        <f ca="1"/>
        <v>#VALUE!</v>
      </c>
    </row>
    <row r="1267" spans="13:23">
      <c r="M1267" s="219">
        <f t="shared" ca="1" si="77"/>
        <v>52490</v>
      </c>
      <c r="N1267" s="115" t="e">
        <f ca="1"/>
        <v>#VALUE!</v>
      </c>
      <c r="P1267" s="219">
        <f t="shared" ca="1" si="78"/>
        <v>52490</v>
      </c>
      <c r="Q1267" s="115" t="e">
        <f ca="1"/>
        <v>#VALUE!</v>
      </c>
      <c r="S1267" s="219">
        <f t="shared" ca="1" si="79"/>
        <v>52490</v>
      </c>
      <c r="T1267" s="115" t="e">
        <f ca="1"/>
        <v>#VALUE!</v>
      </c>
      <c r="V1267" s="219">
        <f t="shared" ca="1" si="80"/>
        <v>52490</v>
      </c>
      <c r="W1267" s="115" t="e">
        <f ca="1"/>
        <v>#VALUE!</v>
      </c>
    </row>
    <row r="1268" spans="13:23">
      <c r="M1268" s="219">
        <f t="shared" ca="1" si="77"/>
        <v>52497</v>
      </c>
      <c r="N1268" s="115" t="e">
        <f ca="1"/>
        <v>#VALUE!</v>
      </c>
      <c r="P1268" s="219">
        <f t="shared" ca="1" si="78"/>
        <v>52497</v>
      </c>
      <c r="Q1268" s="115" t="e">
        <f ca="1"/>
        <v>#VALUE!</v>
      </c>
      <c r="S1268" s="219">
        <f t="shared" ca="1" si="79"/>
        <v>52497</v>
      </c>
      <c r="T1268" s="115" t="e">
        <f ca="1"/>
        <v>#VALUE!</v>
      </c>
      <c r="V1268" s="219">
        <f t="shared" ca="1" si="80"/>
        <v>52497</v>
      </c>
      <c r="W1268" s="115" t="e">
        <f ca="1"/>
        <v>#VALUE!</v>
      </c>
    </row>
    <row r="1269" spans="13:23">
      <c r="M1269" s="219">
        <f t="shared" ca="1" si="77"/>
        <v>52504</v>
      </c>
      <c r="N1269" s="115" t="e">
        <f ca="1"/>
        <v>#VALUE!</v>
      </c>
      <c r="P1269" s="219">
        <f t="shared" ca="1" si="78"/>
        <v>52504</v>
      </c>
      <c r="Q1269" s="115" t="e">
        <f ca="1"/>
        <v>#VALUE!</v>
      </c>
      <c r="S1269" s="219">
        <f t="shared" ca="1" si="79"/>
        <v>52504</v>
      </c>
      <c r="T1269" s="115" t="e">
        <f ca="1"/>
        <v>#VALUE!</v>
      </c>
      <c r="V1269" s="219">
        <f t="shared" ca="1" si="80"/>
        <v>52504</v>
      </c>
      <c r="W1269" s="115" t="e">
        <f ca="1"/>
        <v>#VALUE!</v>
      </c>
    </row>
    <row r="1270" spans="13:23">
      <c r="M1270" s="219">
        <f t="shared" ca="1" si="77"/>
        <v>52511</v>
      </c>
      <c r="N1270" s="115" t="e">
        <f ca="1"/>
        <v>#VALUE!</v>
      </c>
      <c r="P1270" s="219">
        <f t="shared" ca="1" si="78"/>
        <v>52511</v>
      </c>
      <c r="Q1270" s="115" t="e">
        <f ca="1"/>
        <v>#VALUE!</v>
      </c>
      <c r="S1270" s="219">
        <f t="shared" ca="1" si="79"/>
        <v>52511</v>
      </c>
      <c r="T1270" s="115" t="e">
        <f ca="1"/>
        <v>#VALUE!</v>
      </c>
      <c r="V1270" s="219">
        <f t="shared" ca="1" si="80"/>
        <v>52511</v>
      </c>
      <c r="W1270" s="115" t="e">
        <f ca="1"/>
        <v>#VALUE!</v>
      </c>
    </row>
    <row r="1271" spans="13:23">
      <c r="M1271" s="219">
        <f t="shared" ca="1" si="77"/>
        <v>52518</v>
      </c>
      <c r="N1271" s="115" t="e">
        <f ca="1"/>
        <v>#VALUE!</v>
      </c>
      <c r="P1271" s="219">
        <f t="shared" ca="1" si="78"/>
        <v>52518</v>
      </c>
      <c r="Q1271" s="115" t="e">
        <f ca="1"/>
        <v>#VALUE!</v>
      </c>
      <c r="S1271" s="219">
        <f t="shared" ca="1" si="79"/>
        <v>52518</v>
      </c>
      <c r="T1271" s="115" t="e">
        <f ca="1"/>
        <v>#VALUE!</v>
      </c>
      <c r="V1271" s="219">
        <f t="shared" ca="1" si="80"/>
        <v>52518</v>
      </c>
      <c r="W1271" s="115" t="e">
        <f ca="1"/>
        <v>#VALUE!</v>
      </c>
    </row>
    <row r="1272" spans="13:23">
      <c r="M1272" s="219">
        <f t="shared" ca="1" si="77"/>
        <v>52525</v>
      </c>
      <c r="N1272" s="115" t="e">
        <f ca="1"/>
        <v>#VALUE!</v>
      </c>
      <c r="P1272" s="219">
        <f t="shared" ca="1" si="78"/>
        <v>52525</v>
      </c>
      <c r="Q1272" s="115" t="e">
        <f ca="1"/>
        <v>#VALUE!</v>
      </c>
      <c r="S1272" s="219">
        <f t="shared" ca="1" si="79"/>
        <v>52525</v>
      </c>
      <c r="T1272" s="115" t="e">
        <f ca="1"/>
        <v>#VALUE!</v>
      </c>
      <c r="V1272" s="219">
        <f t="shared" ca="1" si="80"/>
        <v>52525</v>
      </c>
      <c r="W1272" s="115" t="e">
        <f ca="1"/>
        <v>#VALUE!</v>
      </c>
    </row>
    <row r="1273" spans="13:23">
      <c r="M1273" s="219">
        <f t="shared" ca="1" si="77"/>
        <v>52532</v>
      </c>
      <c r="N1273" s="115" t="e">
        <f ca="1"/>
        <v>#VALUE!</v>
      </c>
      <c r="P1273" s="219">
        <f t="shared" ca="1" si="78"/>
        <v>52532</v>
      </c>
      <c r="Q1273" s="115" t="e">
        <f ca="1"/>
        <v>#VALUE!</v>
      </c>
      <c r="S1273" s="219">
        <f t="shared" ca="1" si="79"/>
        <v>52532</v>
      </c>
      <c r="T1273" s="115" t="e">
        <f ca="1"/>
        <v>#VALUE!</v>
      </c>
      <c r="V1273" s="219">
        <f t="shared" ca="1" si="80"/>
        <v>52532</v>
      </c>
      <c r="W1273" s="115" t="e">
        <f ca="1"/>
        <v>#VALUE!</v>
      </c>
    </row>
    <row r="1274" spans="13:23">
      <c r="M1274" s="219">
        <f t="shared" ca="1" si="77"/>
        <v>52539</v>
      </c>
      <c r="N1274" s="115" t="e">
        <f ca="1"/>
        <v>#VALUE!</v>
      </c>
      <c r="P1274" s="219">
        <f t="shared" ca="1" si="78"/>
        <v>52539</v>
      </c>
      <c r="Q1274" s="115" t="e">
        <f ca="1"/>
        <v>#VALUE!</v>
      </c>
      <c r="S1274" s="219">
        <f t="shared" ca="1" si="79"/>
        <v>52539</v>
      </c>
      <c r="T1274" s="115" t="e">
        <f ca="1"/>
        <v>#VALUE!</v>
      </c>
      <c r="V1274" s="219">
        <f t="shared" ca="1" si="80"/>
        <v>52539</v>
      </c>
      <c r="W1274" s="115" t="e">
        <f ca="1"/>
        <v>#VALUE!</v>
      </c>
    </row>
    <row r="1275" spans="13:23">
      <c r="M1275" s="219">
        <f t="shared" ca="1" si="77"/>
        <v>52546</v>
      </c>
      <c r="N1275" s="115" t="e">
        <f ca="1"/>
        <v>#VALUE!</v>
      </c>
      <c r="P1275" s="219">
        <f t="shared" ca="1" si="78"/>
        <v>52546</v>
      </c>
      <c r="Q1275" s="115" t="e">
        <f ca="1"/>
        <v>#VALUE!</v>
      </c>
      <c r="S1275" s="219">
        <f t="shared" ca="1" si="79"/>
        <v>52546</v>
      </c>
      <c r="T1275" s="115" t="e">
        <f ca="1"/>
        <v>#VALUE!</v>
      </c>
      <c r="V1275" s="219">
        <f t="shared" ca="1" si="80"/>
        <v>52546</v>
      </c>
      <c r="W1275" s="115" t="e">
        <f ca="1"/>
        <v>#VALUE!</v>
      </c>
    </row>
    <row r="1276" spans="13:23">
      <c r="M1276" s="219">
        <f t="shared" ca="1" si="77"/>
        <v>52553</v>
      </c>
      <c r="N1276" s="115" t="e">
        <f ca="1"/>
        <v>#VALUE!</v>
      </c>
      <c r="P1276" s="219">
        <f t="shared" ca="1" si="78"/>
        <v>52553</v>
      </c>
      <c r="Q1276" s="115" t="e">
        <f ca="1"/>
        <v>#VALUE!</v>
      </c>
      <c r="S1276" s="219">
        <f t="shared" ca="1" si="79"/>
        <v>52553</v>
      </c>
      <c r="T1276" s="115" t="e">
        <f ca="1"/>
        <v>#VALUE!</v>
      </c>
      <c r="V1276" s="219">
        <f t="shared" ca="1" si="80"/>
        <v>52553</v>
      </c>
      <c r="W1276" s="115" t="e">
        <f ca="1"/>
        <v>#VALUE!</v>
      </c>
    </row>
    <row r="1277" spans="13:23">
      <c r="M1277" s="219">
        <f t="shared" ca="1" si="77"/>
        <v>52560</v>
      </c>
      <c r="N1277" s="115" t="e">
        <f ca="1"/>
        <v>#VALUE!</v>
      </c>
      <c r="P1277" s="219">
        <f t="shared" ca="1" si="78"/>
        <v>52560</v>
      </c>
      <c r="Q1277" s="115" t="e">
        <f ca="1"/>
        <v>#VALUE!</v>
      </c>
      <c r="S1277" s="219">
        <f t="shared" ca="1" si="79"/>
        <v>52560</v>
      </c>
      <c r="T1277" s="115" t="e">
        <f ca="1"/>
        <v>#VALUE!</v>
      </c>
      <c r="V1277" s="219">
        <f t="shared" ca="1" si="80"/>
        <v>52560</v>
      </c>
      <c r="W1277" s="115" t="e">
        <f ca="1"/>
        <v>#VALUE!</v>
      </c>
    </row>
    <row r="1278" spans="13:23">
      <c r="M1278" s="219">
        <f t="shared" ca="1" si="77"/>
        <v>52567</v>
      </c>
      <c r="N1278" s="115" t="e">
        <f ca="1"/>
        <v>#VALUE!</v>
      </c>
      <c r="P1278" s="219">
        <f t="shared" ca="1" si="78"/>
        <v>52567</v>
      </c>
      <c r="Q1278" s="115" t="e">
        <f ca="1"/>
        <v>#VALUE!</v>
      </c>
      <c r="S1278" s="219">
        <f t="shared" ca="1" si="79"/>
        <v>52567</v>
      </c>
      <c r="T1278" s="115" t="e">
        <f ca="1"/>
        <v>#VALUE!</v>
      </c>
      <c r="V1278" s="219">
        <f t="shared" ca="1" si="80"/>
        <v>52567</v>
      </c>
      <c r="W1278" s="115" t="e">
        <f ca="1"/>
        <v>#VALUE!</v>
      </c>
    </row>
    <row r="1279" spans="13:23">
      <c r="M1279" s="219">
        <f t="shared" ca="1" si="77"/>
        <v>52574</v>
      </c>
      <c r="N1279" s="115" t="e">
        <f ca="1"/>
        <v>#VALUE!</v>
      </c>
      <c r="P1279" s="219">
        <f t="shared" ca="1" si="78"/>
        <v>52574</v>
      </c>
      <c r="Q1279" s="115" t="e">
        <f ca="1"/>
        <v>#VALUE!</v>
      </c>
      <c r="S1279" s="219">
        <f t="shared" ca="1" si="79"/>
        <v>52574</v>
      </c>
      <c r="T1279" s="115" t="e">
        <f ca="1"/>
        <v>#VALUE!</v>
      </c>
      <c r="V1279" s="219">
        <f t="shared" ca="1" si="80"/>
        <v>52574</v>
      </c>
      <c r="W1279" s="115" t="e">
        <f ca="1"/>
        <v>#VALUE!</v>
      </c>
    </row>
    <row r="1280" spans="13:23">
      <c r="M1280" s="219">
        <f t="shared" ca="1" si="77"/>
        <v>52581</v>
      </c>
      <c r="N1280" s="115" t="e">
        <f ca="1"/>
        <v>#VALUE!</v>
      </c>
      <c r="P1280" s="219">
        <f t="shared" ca="1" si="78"/>
        <v>52581</v>
      </c>
      <c r="Q1280" s="115" t="e">
        <f ca="1"/>
        <v>#VALUE!</v>
      </c>
      <c r="S1280" s="219">
        <f t="shared" ca="1" si="79"/>
        <v>52581</v>
      </c>
      <c r="T1280" s="115" t="e">
        <f ca="1"/>
        <v>#VALUE!</v>
      </c>
      <c r="V1280" s="219">
        <f t="shared" ca="1" si="80"/>
        <v>52581</v>
      </c>
      <c r="W1280" s="115" t="e">
        <f ca="1"/>
        <v>#VALUE!</v>
      </c>
    </row>
    <row r="1281" spans="13:23">
      <c r="M1281" s="219">
        <f t="shared" ca="1" si="77"/>
        <v>52588</v>
      </c>
      <c r="N1281" s="115" t="e">
        <f ca="1"/>
        <v>#VALUE!</v>
      </c>
      <c r="P1281" s="219">
        <f t="shared" ca="1" si="78"/>
        <v>52588</v>
      </c>
      <c r="Q1281" s="115" t="e">
        <f ca="1"/>
        <v>#VALUE!</v>
      </c>
      <c r="S1281" s="219">
        <f t="shared" ca="1" si="79"/>
        <v>52588</v>
      </c>
      <c r="T1281" s="115" t="e">
        <f ca="1"/>
        <v>#VALUE!</v>
      </c>
      <c r="V1281" s="219">
        <f t="shared" ca="1" si="80"/>
        <v>52588</v>
      </c>
      <c r="W1281" s="115" t="e">
        <f ca="1"/>
        <v>#VALUE!</v>
      </c>
    </row>
    <row r="1282" spans="13:23">
      <c r="M1282" s="219">
        <f t="shared" ca="1" si="77"/>
        <v>52595</v>
      </c>
      <c r="N1282" s="115" t="e">
        <f ca="1"/>
        <v>#VALUE!</v>
      </c>
      <c r="P1282" s="219">
        <f t="shared" ca="1" si="78"/>
        <v>52595</v>
      </c>
      <c r="Q1282" s="115" t="e">
        <f ca="1"/>
        <v>#VALUE!</v>
      </c>
      <c r="S1282" s="219">
        <f t="shared" ca="1" si="79"/>
        <v>52595</v>
      </c>
      <c r="T1282" s="115" t="e">
        <f ca="1"/>
        <v>#VALUE!</v>
      </c>
      <c r="V1282" s="219">
        <f t="shared" ca="1" si="80"/>
        <v>52595</v>
      </c>
      <c r="W1282" s="115" t="e">
        <f ca="1"/>
        <v>#VALUE!</v>
      </c>
    </row>
    <row r="1283" spans="13:23">
      <c r="M1283" s="219">
        <f t="shared" ca="1" si="77"/>
        <v>52602</v>
      </c>
      <c r="N1283" s="115" t="e">
        <f ca="1"/>
        <v>#VALUE!</v>
      </c>
      <c r="P1283" s="219">
        <f t="shared" ca="1" si="78"/>
        <v>52602</v>
      </c>
      <c r="Q1283" s="115" t="e">
        <f ca="1"/>
        <v>#VALUE!</v>
      </c>
      <c r="S1283" s="219">
        <f t="shared" ca="1" si="79"/>
        <v>52602</v>
      </c>
      <c r="T1283" s="115" t="e">
        <f ca="1"/>
        <v>#VALUE!</v>
      </c>
      <c r="V1283" s="219">
        <f t="shared" ca="1" si="80"/>
        <v>52602</v>
      </c>
      <c r="W1283" s="115" t="e">
        <f ca="1"/>
        <v>#VALUE!</v>
      </c>
    </row>
    <row r="1284" spans="13:23">
      <c r="M1284" s="219">
        <f t="shared" ca="1" si="77"/>
        <v>52609</v>
      </c>
      <c r="N1284" s="115" t="e">
        <f ca="1"/>
        <v>#VALUE!</v>
      </c>
      <c r="P1284" s="219">
        <f t="shared" ca="1" si="78"/>
        <v>52609</v>
      </c>
      <c r="Q1284" s="115" t="e">
        <f ca="1"/>
        <v>#VALUE!</v>
      </c>
      <c r="S1284" s="219">
        <f t="shared" ca="1" si="79"/>
        <v>52609</v>
      </c>
      <c r="T1284" s="115" t="e">
        <f ca="1"/>
        <v>#VALUE!</v>
      </c>
      <c r="V1284" s="219">
        <f t="shared" ca="1" si="80"/>
        <v>52609</v>
      </c>
      <c r="W1284" s="115" t="e">
        <f ca="1"/>
        <v>#VALUE!</v>
      </c>
    </row>
    <row r="1285" spans="13:23">
      <c r="M1285" s="219">
        <f t="shared" ca="1" si="77"/>
        <v>52616</v>
      </c>
      <c r="N1285" s="115" t="e">
        <f ca="1"/>
        <v>#VALUE!</v>
      </c>
      <c r="P1285" s="219">
        <f t="shared" ca="1" si="78"/>
        <v>52616</v>
      </c>
      <c r="Q1285" s="115" t="e">
        <f ca="1"/>
        <v>#VALUE!</v>
      </c>
      <c r="S1285" s="219">
        <f t="shared" ca="1" si="79"/>
        <v>52616</v>
      </c>
      <c r="T1285" s="115" t="e">
        <f ca="1"/>
        <v>#VALUE!</v>
      </c>
      <c r="V1285" s="219">
        <f t="shared" ca="1" si="80"/>
        <v>52616</v>
      </c>
      <c r="W1285" s="115" t="e">
        <f ca="1"/>
        <v>#VALUE!</v>
      </c>
    </row>
    <row r="1286" spans="13:23">
      <c r="M1286" s="219">
        <f t="shared" ca="1" si="77"/>
        <v>52623</v>
      </c>
      <c r="N1286" s="115" t="e">
        <f ca="1"/>
        <v>#VALUE!</v>
      </c>
      <c r="P1286" s="219">
        <f t="shared" ca="1" si="78"/>
        <v>52623</v>
      </c>
      <c r="Q1286" s="115" t="e">
        <f ca="1"/>
        <v>#VALUE!</v>
      </c>
      <c r="S1286" s="219">
        <f t="shared" ca="1" si="79"/>
        <v>52623</v>
      </c>
      <c r="T1286" s="115" t="e">
        <f ca="1"/>
        <v>#VALUE!</v>
      </c>
      <c r="V1286" s="219">
        <f t="shared" ca="1" si="80"/>
        <v>52623</v>
      </c>
      <c r="W1286" s="115" t="e">
        <f ca="1"/>
        <v>#VALUE!</v>
      </c>
    </row>
    <row r="1287" spans="13:23">
      <c r="M1287" s="219">
        <f t="shared" ca="1" si="77"/>
        <v>52630</v>
      </c>
      <c r="N1287" s="115" t="e">
        <f ca="1"/>
        <v>#VALUE!</v>
      </c>
      <c r="P1287" s="219">
        <f t="shared" ca="1" si="78"/>
        <v>52630</v>
      </c>
      <c r="Q1287" s="115" t="e">
        <f ca="1"/>
        <v>#VALUE!</v>
      </c>
      <c r="S1287" s="219">
        <f t="shared" ca="1" si="79"/>
        <v>52630</v>
      </c>
      <c r="T1287" s="115" t="e">
        <f ca="1"/>
        <v>#VALUE!</v>
      </c>
      <c r="V1287" s="219">
        <f t="shared" ca="1" si="80"/>
        <v>52630</v>
      </c>
      <c r="W1287" s="115" t="e">
        <f ca="1"/>
        <v>#VALUE!</v>
      </c>
    </row>
    <row r="1288" spans="13:23">
      <c r="M1288" s="219">
        <f t="shared" ca="1" si="77"/>
        <v>52637</v>
      </c>
      <c r="N1288" s="115" t="e">
        <f ca="1"/>
        <v>#VALUE!</v>
      </c>
      <c r="P1288" s="219">
        <f t="shared" ca="1" si="78"/>
        <v>52637</v>
      </c>
      <c r="Q1288" s="115" t="e">
        <f ca="1"/>
        <v>#VALUE!</v>
      </c>
      <c r="S1288" s="219">
        <f t="shared" ca="1" si="79"/>
        <v>52637</v>
      </c>
      <c r="T1288" s="115" t="e">
        <f ca="1"/>
        <v>#VALUE!</v>
      </c>
      <c r="V1288" s="219">
        <f t="shared" ca="1" si="80"/>
        <v>52637</v>
      </c>
      <c r="W1288" s="115" t="e">
        <f ca="1"/>
        <v>#VALUE!</v>
      </c>
    </row>
    <row r="1289" spans="13:23">
      <c r="M1289" s="219">
        <f t="shared" ca="1" si="77"/>
        <v>52644</v>
      </c>
      <c r="N1289" s="115" t="e">
        <f ca="1"/>
        <v>#VALUE!</v>
      </c>
      <c r="P1289" s="219">
        <f t="shared" ca="1" si="78"/>
        <v>52644</v>
      </c>
      <c r="Q1289" s="115" t="e">
        <f ca="1"/>
        <v>#VALUE!</v>
      </c>
      <c r="S1289" s="219">
        <f t="shared" ca="1" si="79"/>
        <v>52644</v>
      </c>
      <c r="T1289" s="115" t="e">
        <f ca="1"/>
        <v>#VALUE!</v>
      </c>
      <c r="V1289" s="219">
        <f t="shared" ca="1" si="80"/>
        <v>52644</v>
      </c>
      <c r="W1289" s="115" t="e">
        <f ca="1"/>
        <v>#VALUE!</v>
      </c>
    </row>
    <row r="1290" spans="13:23">
      <c r="M1290" s="219">
        <f t="shared" ca="1" si="77"/>
        <v>52651</v>
      </c>
      <c r="N1290" s="115" t="e">
        <f ca="1"/>
        <v>#VALUE!</v>
      </c>
      <c r="P1290" s="219">
        <f t="shared" ca="1" si="78"/>
        <v>52651</v>
      </c>
      <c r="Q1290" s="115" t="e">
        <f ca="1"/>
        <v>#VALUE!</v>
      </c>
      <c r="S1290" s="219">
        <f t="shared" ca="1" si="79"/>
        <v>52651</v>
      </c>
      <c r="T1290" s="115" t="e">
        <f ca="1"/>
        <v>#VALUE!</v>
      </c>
      <c r="V1290" s="219">
        <f t="shared" ca="1" si="80"/>
        <v>52651</v>
      </c>
      <c r="W1290" s="115" t="e">
        <f ca="1"/>
        <v>#VALUE!</v>
      </c>
    </row>
    <row r="1291" spans="13:23">
      <c r="M1291" s="219">
        <f t="shared" ca="1" si="77"/>
        <v>52658</v>
      </c>
      <c r="N1291" s="115" t="e">
        <f ca="1"/>
        <v>#VALUE!</v>
      </c>
      <c r="P1291" s="219">
        <f t="shared" ca="1" si="78"/>
        <v>52658</v>
      </c>
      <c r="Q1291" s="115" t="e">
        <f ca="1"/>
        <v>#VALUE!</v>
      </c>
      <c r="S1291" s="219">
        <f t="shared" ca="1" si="79"/>
        <v>52658</v>
      </c>
      <c r="T1291" s="115" t="e">
        <f ca="1"/>
        <v>#VALUE!</v>
      </c>
      <c r="V1291" s="219">
        <f t="shared" ca="1" si="80"/>
        <v>52658</v>
      </c>
      <c r="W1291" s="115" t="e">
        <f ca="1"/>
        <v>#VALUE!</v>
      </c>
    </row>
    <row r="1292" spans="13:23">
      <c r="M1292" s="219">
        <f t="shared" ca="1" si="77"/>
        <v>52665</v>
      </c>
      <c r="N1292" s="115" t="e">
        <f ca="1"/>
        <v>#VALUE!</v>
      </c>
      <c r="P1292" s="219">
        <f t="shared" ca="1" si="78"/>
        <v>52665</v>
      </c>
      <c r="Q1292" s="115" t="e">
        <f ca="1"/>
        <v>#VALUE!</v>
      </c>
      <c r="S1292" s="219">
        <f t="shared" ca="1" si="79"/>
        <v>52665</v>
      </c>
      <c r="T1292" s="115" t="e">
        <f ca="1"/>
        <v>#VALUE!</v>
      </c>
      <c r="V1292" s="219">
        <f t="shared" ca="1" si="80"/>
        <v>52665</v>
      </c>
      <c r="W1292" s="115" t="e">
        <f ca="1"/>
        <v>#VALUE!</v>
      </c>
    </row>
    <row r="1293" spans="13:23">
      <c r="M1293" s="219">
        <f t="shared" ref="M1293:M1356" ca="1" si="81">M1292+7</f>
        <v>52672</v>
      </c>
      <c r="N1293" s="115" t="e">
        <f ca="1"/>
        <v>#VALUE!</v>
      </c>
      <c r="P1293" s="219">
        <f t="shared" ref="P1293:P1356" ca="1" si="82">P1292+7</f>
        <v>52672</v>
      </c>
      <c r="Q1293" s="115" t="e">
        <f ca="1"/>
        <v>#VALUE!</v>
      </c>
      <c r="S1293" s="219">
        <f t="shared" ref="S1293:S1356" ca="1" si="83">S1292+7</f>
        <v>52672</v>
      </c>
      <c r="T1293" s="115" t="e">
        <f ca="1"/>
        <v>#VALUE!</v>
      </c>
      <c r="V1293" s="219">
        <f t="shared" ref="V1293:V1356" ca="1" si="84">V1292+7</f>
        <v>52672</v>
      </c>
      <c r="W1293" s="115" t="e">
        <f ca="1"/>
        <v>#VALUE!</v>
      </c>
    </row>
    <row r="1294" spans="13:23">
      <c r="M1294" s="219">
        <f t="shared" ca="1" si="81"/>
        <v>52679</v>
      </c>
      <c r="N1294" s="115" t="e">
        <f ca="1"/>
        <v>#VALUE!</v>
      </c>
      <c r="P1294" s="219">
        <f t="shared" ca="1" si="82"/>
        <v>52679</v>
      </c>
      <c r="Q1294" s="115" t="e">
        <f ca="1"/>
        <v>#VALUE!</v>
      </c>
      <c r="S1294" s="219">
        <f t="shared" ca="1" si="83"/>
        <v>52679</v>
      </c>
      <c r="T1294" s="115" t="e">
        <f ca="1"/>
        <v>#VALUE!</v>
      </c>
      <c r="V1294" s="219">
        <f t="shared" ca="1" si="84"/>
        <v>52679</v>
      </c>
      <c r="W1294" s="115" t="e">
        <f ca="1"/>
        <v>#VALUE!</v>
      </c>
    </row>
    <row r="1295" spans="13:23">
      <c r="M1295" s="219">
        <f t="shared" ca="1" si="81"/>
        <v>52686</v>
      </c>
      <c r="N1295" s="115" t="e">
        <f ca="1"/>
        <v>#VALUE!</v>
      </c>
      <c r="P1295" s="219">
        <f t="shared" ca="1" si="82"/>
        <v>52686</v>
      </c>
      <c r="Q1295" s="115" t="e">
        <f ca="1"/>
        <v>#VALUE!</v>
      </c>
      <c r="S1295" s="219">
        <f t="shared" ca="1" si="83"/>
        <v>52686</v>
      </c>
      <c r="T1295" s="115" t="e">
        <f ca="1"/>
        <v>#VALUE!</v>
      </c>
      <c r="V1295" s="219">
        <f t="shared" ca="1" si="84"/>
        <v>52686</v>
      </c>
      <c r="W1295" s="115" t="e">
        <f ca="1"/>
        <v>#VALUE!</v>
      </c>
    </row>
    <row r="1296" spans="13:23">
      <c r="M1296" s="219">
        <f t="shared" ca="1" si="81"/>
        <v>52693</v>
      </c>
      <c r="N1296" s="115" t="e">
        <f ca="1"/>
        <v>#VALUE!</v>
      </c>
      <c r="P1296" s="219">
        <f t="shared" ca="1" si="82"/>
        <v>52693</v>
      </c>
      <c r="Q1296" s="115" t="e">
        <f ca="1"/>
        <v>#VALUE!</v>
      </c>
      <c r="S1296" s="219">
        <f t="shared" ca="1" si="83"/>
        <v>52693</v>
      </c>
      <c r="T1296" s="115" t="e">
        <f ca="1"/>
        <v>#VALUE!</v>
      </c>
      <c r="V1296" s="219">
        <f t="shared" ca="1" si="84"/>
        <v>52693</v>
      </c>
      <c r="W1296" s="115" t="e">
        <f ca="1"/>
        <v>#VALUE!</v>
      </c>
    </row>
    <row r="1297" spans="13:23">
      <c r="M1297" s="219">
        <f t="shared" ca="1" si="81"/>
        <v>52700</v>
      </c>
      <c r="N1297" s="115" t="e">
        <f ca="1"/>
        <v>#VALUE!</v>
      </c>
      <c r="P1297" s="219">
        <f t="shared" ca="1" si="82"/>
        <v>52700</v>
      </c>
      <c r="Q1297" s="115" t="e">
        <f ca="1"/>
        <v>#VALUE!</v>
      </c>
      <c r="S1297" s="219">
        <f t="shared" ca="1" si="83"/>
        <v>52700</v>
      </c>
      <c r="T1297" s="115" t="e">
        <f ca="1"/>
        <v>#VALUE!</v>
      </c>
      <c r="V1297" s="219">
        <f t="shared" ca="1" si="84"/>
        <v>52700</v>
      </c>
      <c r="W1297" s="115" t="e">
        <f ca="1"/>
        <v>#VALUE!</v>
      </c>
    </row>
    <row r="1298" spans="13:23">
      <c r="M1298" s="219">
        <f t="shared" ca="1" si="81"/>
        <v>52707</v>
      </c>
      <c r="N1298" s="115" t="e">
        <f ca="1"/>
        <v>#VALUE!</v>
      </c>
      <c r="P1298" s="219">
        <f t="shared" ca="1" si="82"/>
        <v>52707</v>
      </c>
      <c r="Q1298" s="115" t="e">
        <f ca="1"/>
        <v>#VALUE!</v>
      </c>
      <c r="S1298" s="219">
        <f t="shared" ca="1" si="83"/>
        <v>52707</v>
      </c>
      <c r="T1298" s="115" t="e">
        <f ca="1"/>
        <v>#VALUE!</v>
      </c>
      <c r="V1298" s="219">
        <f t="shared" ca="1" si="84"/>
        <v>52707</v>
      </c>
      <c r="W1298" s="115" t="e">
        <f ca="1"/>
        <v>#VALUE!</v>
      </c>
    </row>
    <row r="1299" spans="13:23">
      <c r="M1299" s="219">
        <f t="shared" ca="1" si="81"/>
        <v>52714</v>
      </c>
      <c r="N1299" s="115" t="e">
        <f ca="1"/>
        <v>#VALUE!</v>
      </c>
      <c r="P1299" s="219">
        <f t="shared" ca="1" si="82"/>
        <v>52714</v>
      </c>
      <c r="Q1299" s="115" t="e">
        <f ca="1"/>
        <v>#VALUE!</v>
      </c>
      <c r="S1299" s="219">
        <f t="shared" ca="1" si="83"/>
        <v>52714</v>
      </c>
      <c r="T1299" s="115" t="e">
        <f ca="1"/>
        <v>#VALUE!</v>
      </c>
      <c r="V1299" s="219">
        <f t="shared" ca="1" si="84"/>
        <v>52714</v>
      </c>
      <c r="W1299" s="115" t="e">
        <f ca="1"/>
        <v>#VALUE!</v>
      </c>
    </row>
    <row r="1300" spans="13:23">
      <c r="M1300" s="219">
        <f t="shared" ca="1" si="81"/>
        <v>52721</v>
      </c>
      <c r="N1300" s="115" t="e">
        <f ca="1"/>
        <v>#VALUE!</v>
      </c>
      <c r="P1300" s="219">
        <f t="shared" ca="1" si="82"/>
        <v>52721</v>
      </c>
      <c r="Q1300" s="115" t="e">
        <f ca="1"/>
        <v>#VALUE!</v>
      </c>
      <c r="S1300" s="219">
        <f t="shared" ca="1" si="83"/>
        <v>52721</v>
      </c>
      <c r="T1300" s="115" t="e">
        <f ca="1"/>
        <v>#VALUE!</v>
      </c>
      <c r="V1300" s="219">
        <f t="shared" ca="1" si="84"/>
        <v>52721</v>
      </c>
      <c r="W1300" s="115" t="e">
        <f ca="1"/>
        <v>#VALUE!</v>
      </c>
    </row>
    <row r="1301" spans="13:23">
      <c r="M1301" s="219">
        <f t="shared" ca="1" si="81"/>
        <v>52728</v>
      </c>
      <c r="N1301" s="115" t="e">
        <f ca="1"/>
        <v>#VALUE!</v>
      </c>
      <c r="P1301" s="219">
        <f t="shared" ca="1" si="82"/>
        <v>52728</v>
      </c>
      <c r="Q1301" s="115" t="e">
        <f ca="1"/>
        <v>#VALUE!</v>
      </c>
      <c r="S1301" s="219">
        <f t="shared" ca="1" si="83"/>
        <v>52728</v>
      </c>
      <c r="T1301" s="115" t="e">
        <f ca="1"/>
        <v>#VALUE!</v>
      </c>
      <c r="V1301" s="219">
        <f t="shared" ca="1" si="84"/>
        <v>52728</v>
      </c>
      <c r="W1301" s="115" t="e">
        <f ca="1"/>
        <v>#VALUE!</v>
      </c>
    </row>
    <row r="1302" spans="13:23">
      <c r="M1302" s="219">
        <f t="shared" ca="1" si="81"/>
        <v>52735</v>
      </c>
      <c r="N1302" s="115" t="e">
        <f ca="1"/>
        <v>#VALUE!</v>
      </c>
      <c r="P1302" s="219">
        <f t="shared" ca="1" si="82"/>
        <v>52735</v>
      </c>
      <c r="Q1302" s="115" t="e">
        <f ca="1"/>
        <v>#VALUE!</v>
      </c>
      <c r="S1302" s="219">
        <f t="shared" ca="1" si="83"/>
        <v>52735</v>
      </c>
      <c r="T1302" s="115" t="e">
        <f ca="1"/>
        <v>#VALUE!</v>
      </c>
      <c r="V1302" s="219">
        <f t="shared" ca="1" si="84"/>
        <v>52735</v>
      </c>
      <c r="W1302" s="115" t="e">
        <f ca="1"/>
        <v>#VALUE!</v>
      </c>
    </row>
    <row r="1303" spans="13:23">
      <c r="M1303" s="219">
        <f t="shared" ca="1" si="81"/>
        <v>52742</v>
      </c>
      <c r="N1303" s="115" t="e">
        <f ca="1"/>
        <v>#VALUE!</v>
      </c>
      <c r="P1303" s="219">
        <f t="shared" ca="1" si="82"/>
        <v>52742</v>
      </c>
      <c r="Q1303" s="115" t="e">
        <f ca="1"/>
        <v>#VALUE!</v>
      </c>
      <c r="S1303" s="219">
        <f t="shared" ca="1" si="83"/>
        <v>52742</v>
      </c>
      <c r="T1303" s="115" t="e">
        <f ca="1"/>
        <v>#VALUE!</v>
      </c>
      <c r="V1303" s="219">
        <f t="shared" ca="1" si="84"/>
        <v>52742</v>
      </c>
      <c r="W1303" s="115" t="e">
        <f ca="1"/>
        <v>#VALUE!</v>
      </c>
    </row>
    <row r="1304" spans="13:23">
      <c r="M1304" s="219">
        <f t="shared" ca="1" si="81"/>
        <v>52749</v>
      </c>
      <c r="N1304" s="115" t="e">
        <f ca="1"/>
        <v>#VALUE!</v>
      </c>
      <c r="P1304" s="219">
        <f t="shared" ca="1" si="82"/>
        <v>52749</v>
      </c>
      <c r="Q1304" s="115" t="e">
        <f ca="1"/>
        <v>#VALUE!</v>
      </c>
      <c r="S1304" s="219">
        <f t="shared" ca="1" si="83"/>
        <v>52749</v>
      </c>
      <c r="T1304" s="115" t="e">
        <f ca="1"/>
        <v>#VALUE!</v>
      </c>
      <c r="V1304" s="219">
        <f t="shared" ca="1" si="84"/>
        <v>52749</v>
      </c>
      <c r="W1304" s="115" t="e">
        <f ca="1"/>
        <v>#VALUE!</v>
      </c>
    </row>
    <row r="1305" spans="13:23">
      <c r="M1305" s="219">
        <f t="shared" ca="1" si="81"/>
        <v>52756</v>
      </c>
      <c r="N1305" s="115" t="e">
        <f ca="1"/>
        <v>#VALUE!</v>
      </c>
      <c r="P1305" s="219">
        <f t="shared" ca="1" si="82"/>
        <v>52756</v>
      </c>
      <c r="Q1305" s="115" t="e">
        <f ca="1"/>
        <v>#VALUE!</v>
      </c>
      <c r="S1305" s="219">
        <f t="shared" ca="1" si="83"/>
        <v>52756</v>
      </c>
      <c r="T1305" s="115" t="e">
        <f ca="1"/>
        <v>#VALUE!</v>
      </c>
      <c r="V1305" s="219">
        <f t="shared" ca="1" si="84"/>
        <v>52756</v>
      </c>
      <c r="W1305" s="115" t="e">
        <f ca="1"/>
        <v>#VALUE!</v>
      </c>
    </row>
    <row r="1306" spans="13:23">
      <c r="M1306" s="219">
        <f t="shared" ca="1" si="81"/>
        <v>52763</v>
      </c>
      <c r="N1306" s="115" t="e">
        <f ca="1"/>
        <v>#VALUE!</v>
      </c>
      <c r="P1306" s="219">
        <f t="shared" ca="1" si="82"/>
        <v>52763</v>
      </c>
      <c r="Q1306" s="115" t="e">
        <f ca="1"/>
        <v>#VALUE!</v>
      </c>
      <c r="S1306" s="219">
        <f t="shared" ca="1" si="83"/>
        <v>52763</v>
      </c>
      <c r="T1306" s="115" t="e">
        <f ca="1"/>
        <v>#VALUE!</v>
      </c>
      <c r="V1306" s="219">
        <f t="shared" ca="1" si="84"/>
        <v>52763</v>
      </c>
      <c r="W1306" s="115" t="e">
        <f ca="1"/>
        <v>#VALUE!</v>
      </c>
    </row>
    <row r="1307" spans="13:23">
      <c r="M1307" s="219">
        <f t="shared" ca="1" si="81"/>
        <v>52770</v>
      </c>
      <c r="N1307" s="115" t="e">
        <f ca="1"/>
        <v>#VALUE!</v>
      </c>
      <c r="P1307" s="219">
        <f t="shared" ca="1" si="82"/>
        <v>52770</v>
      </c>
      <c r="Q1307" s="115" t="e">
        <f ca="1"/>
        <v>#VALUE!</v>
      </c>
      <c r="S1307" s="219">
        <f t="shared" ca="1" si="83"/>
        <v>52770</v>
      </c>
      <c r="T1307" s="115" t="e">
        <f ca="1"/>
        <v>#VALUE!</v>
      </c>
      <c r="V1307" s="219">
        <f t="shared" ca="1" si="84"/>
        <v>52770</v>
      </c>
      <c r="W1307" s="115" t="e">
        <f ca="1"/>
        <v>#VALUE!</v>
      </c>
    </row>
    <row r="1308" spans="13:23">
      <c r="M1308" s="219">
        <f t="shared" ca="1" si="81"/>
        <v>52777</v>
      </c>
      <c r="N1308" s="115" t="e">
        <f ca="1"/>
        <v>#VALUE!</v>
      </c>
      <c r="P1308" s="219">
        <f t="shared" ca="1" si="82"/>
        <v>52777</v>
      </c>
      <c r="Q1308" s="115" t="e">
        <f ca="1"/>
        <v>#VALUE!</v>
      </c>
      <c r="S1308" s="219">
        <f t="shared" ca="1" si="83"/>
        <v>52777</v>
      </c>
      <c r="T1308" s="115" t="e">
        <f ca="1"/>
        <v>#VALUE!</v>
      </c>
      <c r="V1308" s="219">
        <f t="shared" ca="1" si="84"/>
        <v>52777</v>
      </c>
      <c r="W1308" s="115" t="e">
        <f ca="1"/>
        <v>#VALUE!</v>
      </c>
    </row>
    <row r="1309" spans="13:23">
      <c r="M1309" s="219">
        <f t="shared" ca="1" si="81"/>
        <v>52784</v>
      </c>
      <c r="N1309" s="115" t="e">
        <f ca="1"/>
        <v>#VALUE!</v>
      </c>
      <c r="P1309" s="219">
        <f t="shared" ca="1" si="82"/>
        <v>52784</v>
      </c>
      <c r="Q1309" s="115" t="e">
        <f ca="1"/>
        <v>#VALUE!</v>
      </c>
      <c r="S1309" s="219">
        <f t="shared" ca="1" si="83"/>
        <v>52784</v>
      </c>
      <c r="T1309" s="115" t="e">
        <f ca="1"/>
        <v>#VALUE!</v>
      </c>
      <c r="V1309" s="219">
        <f t="shared" ca="1" si="84"/>
        <v>52784</v>
      </c>
      <c r="W1309" s="115" t="e">
        <f ca="1"/>
        <v>#VALUE!</v>
      </c>
    </row>
    <row r="1310" spans="13:23">
      <c r="M1310" s="219">
        <f t="shared" ca="1" si="81"/>
        <v>52791</v>
      </c>
      <c r="N1310" s="115" t="e">
        <f ca="1"/>
        <v>#VALUE!</v>
      </c>
      <c r="P1310" s="219">
        <f t="shared" ca="1" si="82"/>
        <v>52791</v>
      </c>
      <c r="Q1310" s="115" t="e">
        <f ca="1"/>
        <v>#VALUE!</v>
      </c>
      <c r="S1310" s="219">
        <f t="shared" ca="1" si="83"/>
        <v>52791</v>
      </c>
      <c r="T1310" s="115" t="e">
        <f ca="1"/>
        <v>#VALUE!</v>
      </c>
      <c r="V1310" s="219">
        <f t="shared" ca="1" si="84"/>
        <v>52791</v>
      </c>
      <c r="W1310" s="115" t="e">
        <f ca="1"/>
        <v>#VALUE!</v>
      </c>
    </row>
    <row r="1311" spans="13:23">
      <c r="M1311" s="219">
        <f t="shared" ca="1" si="81"/>
        <v>52798</v>
      </c>
      <c r="N1311" s="115" t="e">
        <f ca="1"/>
        <v>#VALUE!</v>
      </c>
      <c r="P1311" s="219">
        <f t="shared" ca="1" si="82"/>
        <v>52798</v>
      </c>
      <c r="Q1311" s="115" t="e">
        <f ca="1"/>
        <v>#VALUE!</v>
      </c>
      <c r="S1311" s="219">
        <f t="shared" ca="1" si="83"/>
        <v>52798</v>
      </c>
      <c r="T1311" s="115" t="e">
        <f ca="1"/>
        <v>#VALUE!</v>
      </c>
      <c r="V1311" s="219">
        <f t="shared" ca="1" si="84"/>
        <v>52798</v>
      </c>
      <c r="W1311" s="115" t="e">
        <f ca="1"/>
        <v>#VALUE!</v>
      </c>
    </row>
    <row r="1312" spans="13:23">
      <c r="M1312" s="219">
        <f t="shared" ca="1" si="81"/>
        <v>52805</v>
      </c>
      <c r="N1312" s="115" t="e">
        <f ca="1"/>
        <v>#VALUE!</v>
      </c>
      <c r="P1312" s="219">
        <f t="shared" ca="1" si="82"/>
        <v>52805</v>
      </c>
      <c r="Q1312" s="115" t="e">
        <f ca="1"/>
        <v>#VALUE!</v>
      </c>
      <c r="S1312" s="219">
        <f t="shared" ca="1" si="83"/>
        <v>52805</v>
      </c>
      <c r="T1312" s="115" t="e">
        <f ca="1"/>
        <v>#VALUE!</v>
      </c>
      <c r="V1312" s="219">
        <f t="shared" ca="1" si="84"/>
        <v>52805</v>
      </c>
      <c r="W1312" s="115" t="e">
        <f ca="1"/>
        <v>#VALUE!</v>
      </c>
    </row>
    <row r="1313" spans="13:23">
      <c r="M1313" s="219">
        <f t="shared" ca="1" si="81"/>
        <v>52812</v>
      </c>
      <c r="N1313" s="115" t="e">
        <f ca="1"/>
        <v>#VALUE!</v>
      </c>
      <c r="P1313" s="219">
        <f t="shared" ca="1" si="82"/>
        <v>52812</v>
      </c>
      <c r="Q1313" s="115" t="e">
        <f ca="1"/>
        <v>#VALUE!</v>
      </c>
      <c r="S1313" s="219">
        <f t="shared" ca="1" si="83"/>
        <v>52812</v>
      </c>
      <c r="T1313" s="115" t="e">
        <f ca="1"/>
        <v>#VALUE!</v>
      </c>
      <c r="V1313" s="219">
        <f t="shared" ca="1" si="84"/>
        <v>52812</v>
      </c>
      <c r="W1313" s="115" t="e">
        <f ca="1"/>
        <v>#VALUE!</v>
      </c>
    </row>
    <row r="1314" spans="13:23">
      <c r="M1314" s="219">
        <f t="shared" ca="1" si="81"/>
        <v>52819</v>
      </c>
      <c r="N1314" s="115" t="e">
        <f ca="1"/>
        <v>#VALUE!</v>
      </c>
      <c r="P1314" s="219">
        <f t="shared" ca="1" si="82"/>
        <v>52819</v>
      </c>
      <c r="Q1314" s="115" t="e">
        <f ca="1"/>
        <v>#VALUE!</v>
      </c>
      <c r="S1314" s="219">
        <f t="shared" ca="1" si="83"/>
        <v>52819</v>
      </c>
      <c r="T1314" s="115" t="e">
        <f ca="1"/>
        <v>#VALUE!</v>
      </c>
      <c r="V1314" s="219">
        <f t="shared" ca="1" si="84"/>
        <v>52819</v>
      </c>
      <c r="W1314" s="115" t="e">
        <f ca="1"/>
        <v>#VALUE!</v>
      </c>
    </row>
    <row r="1315" spans="13:23">
      <c r="M1315" s="219">
        <f t="shared" ca="1" si="81"/>
        <v>52826</v>
      </c>
      <c r="N1315" s="115" t="e">
        <f ca="1"/>
        <v>#VALUE!</v>
      </c>
      <c r="P1315" s="219">
        <f t="shared" ca="1" si="82"/>
        <v>52826</v>
      </c>
      <c r="Q1315" s="115" t="e">
        <f ca="1"/>
        <v>#VALUE!</v>
      </c>
      <c r="S1315" s="219">
        <f t="shared" ca="1" si="83"/>
        <v>52826</v>
      </c>
      <c r="T1315" s="115" t="e">
        <f ca="1"/>
        <v>#VALUE!</v>
      </c>
      <c r="V1315" s="219">
        <f t="shared" ca="1" si="84"/>
        <v>52826</v>
      </c>
      <c r="W1315" s="115" t="e">
        <f ca="1"/>
        <v>#VALUE!</v>
      </c>
    </row>
    <row r="1316" spans="13:23">
      <c r="M1316" s="219">
        <f t="shared" ca="1" si="81"/>
        <v>52833</v>
      </c>
      <c r="N1316" s="115" t="e">
        <f ca="1"/>
        <v>#VALUE!</v>
      </c>
      <c r="P1316" s="219">
        <f t="shared" ca="1" si="82"/>
        <v>52833</v>
      </c>
      <c r="Q1316" s="115" t="e">
        <f ca="1"/>
        <v>#VALUE!</v>
      </c>
      <c r="S1316" s="219">
        <f t="shared" ca="1" si="83"/>
        <v>52833</v>
      </c>
      <c r="T1316" s="115" t="e">
        <f ca="1"/>
        <v>#VALUE!</v>
      </c>
      <c r="V1316" s="219">
        <f t="shared" ca="1" si="84"/>
        <v>52833</v>
      </c>
      <c r="W1316" s="115" t="e">
        <f ca="1"/>
        <v>#VALUE!</v>
      </c>
    </row>
    <row r="1317" spans="13:23">
      <c r="M1317" s="219">
        <f t="shared" ca="1" si="81"/>
        <v>52840</v>
      </c>
      <c r="N1317" s="115" t="e">
        <f ca="1"/>
        <v>#VALUE!</v>
      </c>
      <c r="P1317" s="219">
        <f t="shared" ca="1" si="82"/>
        <v>52840</v>
      </c>
      <c r="Q1317" s="115" t="e">
        <f ca="1"/>
        <v>#VALUE!</v>
      </c>
      <c r="S1317" s="219">
        <f t="shared" ca="1" si="83"/>
        <v>52840</v>
      </c>
      <c r="T1317" s="115" t="e">
        <f ca="1"/>
        <v>#VALUE!</v>
      </c>
      <c r="V1317" s="219">
        <f t="shared" ca="1" si="84"/>
        <v>52840</v>
      </c>
      <c r="W1317" s="115" t="e">
        <f ca="1"/>
        <v>#VALUE!</v>
      </c>
    </row>
    <row r="1318" spans="13:23">
      <c r="M1318" s="219">
        <f t="shared" ca="1" si="81"/>
        <v>52847</v>
      </c>
      <c r="N1318" s="115" t="e">
        <f ca="1"/>
        <v>#VALUE!</v>
      </c>
      <c r="P1318" s="219">
        <f t="shared" ca="1" si="82"/>
        <v>52847</v>
      </c>
      <c r="Q1318" s="115" t="e">
        <f ca="1"/>
        <v>#VALUE!</v>
      </c>
      <c r="S1318" s="219">
        <f t="shared" ca="1" si="83"/>
        <v>52847</v>
      </c>
      <c r="T1318" s="115" t="e">
        <f ca="1"/>
        <v>#VALUE!</v>
      </c>
      <c r="V1318" s="219">
        <f t="shared" ca="1" si="84"/>
        <v>52847</v>
      </c>
      <c r="W1318" s="115" t="e">
        <f ca="1"/>
        <v>#VALUE!</v>
      </c>
    </row>
    <row r="1319" spans="13:23">
      <c r="M1319" s="219">
        <f t="shared" ca="1" si="81"/>
        <v>52854</v>
      </c>
      <c r="N1319" s="115" t="e">
        <f ca="1"/>
        <v>#VALUE!</v>
      </c>
      <c r="P1319" s="219">
        <f t="shared" ca="1" si="82"/>
        <v>52854</v>
      </c>
      <c r="Q1319" s="115" t="e">
        <f ca="1"/>
        <v>#VALUE!</v>
      </c>
      <c r="S1319" s="219">
        <f t="shared" ca="1" si="83"/>
        <v>52854</v>
      </c>
      <c r="T1319" s="115" t="e">
        <f ca="1"/>
        <v>#VALUE!</v>
      </c>
      <c r="V1319" s="219">
        <f t="shared" ca="1" si="84"/>
        <v>52854</v>
      </c>
      <c r="W1319" s="115" t="e">
        <f ca="1"/>
        <v>#VALUE!</v>
      </c>
    </row>
    <row r="1320" spans="13:23">
      <c r="M1320" s="219">
        <f t="shared" ca="1" si="81"/>
        <v>52861</v>
      </c>
      <c r="N1320" s="115" t="e">
        <f ca="1"/>
        <v>#VALUE!</v>
      </c>
      <c r="P1320" s="219">
        <f t="shared" ca="1" si="82"/>
        <v>52861</v>
      </c>
      <c r="Q1320" s="115" t="e">
        <f ca="1"/>
        <v>#VALUE!</v>
      </c>
      <c r="S1320" s="219">
        <f t="shared" ca="1" si="83"/>
        <v>52861</v>
      </c>
      <c r="T1320" s="115" t="e">
        <f ca="1"/>
        <v>#VALUE!</v>
      </c>
      <c r="V1320" s="219">
        <f t="shared" ca="1" si="84"/>
        <v>52861</v>
      </c>
      <c r="W1320" s="115" t="e">
        <f ca="1"/>
        <v>#VALUE!</v>
      </c>
    </row>
    <row r="1321" spans="13:23">
      <c r="M1321" s="219">
        <f t="shared" ca="1" si="81"/>
        <v>52868</v>
      </c>
      <c r="N1321" s="115" t="e">
        <f ca="1"/>
        <v>#VALUE!</v>
      </c>
      <c r="P1321" s="219">
        <f t="shared" ca="1" si="82"/>
        <v>52868</v>
      </c>
      <c r="Q1321" s="115" t="e">
        <f ca="1"/>
        <v>#VALUE!</v>
      </c>
      <c r="S1321" s="219">
        <f t="shared" ca="1" si="83"/>
        <v>52868</v>
      </c>
      <c r="T1321" s="115" t="e">
        <f ca="1"/>
        <v>#VALUE!</v>
      </c>
      <c r="V1321" s="219">
        <f t="shared" ca="1" si="84"/>
        <v>52868</v>
      </c>
      <c r="W1321" s="115" t="e">
        <f ca="1"/>
        <v>#VALUE!</v>
      </c>
    </row>
    <row r="1322" spans="13:23">
      <c r="M1322" s="219">
        <f t="shared" ca="1" si="81"/>
        <v>52875</v>
      </c>
      <c r="N1322" s="115" t="e">
        <f ca="1"/>
        <v>#VALUE!</v>
      </c>
      <c r="P1322" s="219">
        <f t="shared" ca="1" si="82"/>
        <v>52875</v>
      </c>
      <c r="Q1322" s="115" t="e">
        <f ca="1"/>
        <v>#VALUE!</v>
      </c>
      <c r="S1322" s="219">
        <f t="shared" ca="1" si="83"/>
        <v>52875</v>
      </c>
      <c r="T1322" s="115" t="e">
        <f ca="1"/>
        <v>#VALUE!</v>
      </c>
      <c r="V1322" s="219">
        <f t="shared" ca="1" si="84"/>
        <v>52875</v>
      </c>
      <c r="W1322" s="115" t="e">
        <f ca="1"/>
        <v>#VALUE!</v>
      </c>
    </row>
    <row r="1323" spans="13:23">
      <c r="M1323" s="219">
        <f t="shared" ca="1" si="81"/>
        <v>52882</v>
      </c>
      <c r="N1323" s="115" t="e">
        <f ca="1"/>
        <v>#VALUE!</v>
      </c>
      <c r="P1323" s="219">
        <f t="shared" ca="1" si="82"/>
        <v>52882</v>
      </c>
      <c r="Q1323" s="115" t="e">
        <f ca="1"/>
        <v>#VALUE!</v>
      </c>
      <c r="S1323" s="219">
        <f t="shared" ca="1" si="83"/>
        <v>52882</v>
      </c>
      <c r="T1323" s="115" t="e">
        <f ca="1"/>
        <v>#VALUE!</v>
      </c>
      <c r="V1323" s="219">
        <f t="shared" ca="1" si="84"/>
        <v>52882</v>
      </c>
      <c r="W1323" s="115" t="e">
        <f ca="1"/>
        <v>#VALUE!</v>
      </c>
    </row>
    <row r="1324" spans="13:23">
      <c r="M1324" s="219">
        <f t="shared" ca="1" si="81"/>
        <v>52889</v>
      </c>
      <c r="N1324" s="115" t="e">
        <f ca="1"/>
        <v>#VALUE!</v>
      </c>
      <c r="P1324" s="219">
        <f t="shared" ca="1" si="82"/>
        <v>52889</v>
      </c>
      <c r="Q1324" s="115" t="e">
        <f ca="1"/>
        <v>#VALUE!</v>
      </c>
      <c r="S1324" s="219">
        <f t="shared" ca="1" si="83"/>
        <v>52889</v>
      </c>
      <c r="T1324" s="115" t="e">
        <f ca="1"/>
        <v>#VALUE!</v>
      </c>
      <c r="V1324" s="219">
        <f t="shared" ca="1" si="84"/>
        <v>52889</v>
      </c>
      <c r="W1324" s="115" t="e">
        <f ca="1"/>
        <v>#VALUE!</v>
      </c>
    </row>
    <row r="1325" spans="13:23">
      <c r="M1325" s="219">
        <f t="shared" ca="1" si="81"/>
        <v>52896</v>
      </c>
      <c r="N1325" s="115" t="e">
        <f ca="1"/>
        <v>#VALUE!</v>
      </c>
      <c r="P1325" s="219">
        <f t="shared" ca="1" si="82"/>
        <v>52896</v>
      </c>
      <c r="Q1325" s="115" t="e">
        <f ca="1"/>
        <v>#VALUE!</v>
      </c>
      <c r="S1325" s="219">
        <f t="shared" ca="1" si="83"/>
        <v>52896</v>
      </c>
      <c r="T1325" s="115" t="e">
        <f ca="1"/>
        <v>#VALUE!</v>
      </c>
      <c r="V1325" s="219">
        <f t="shared" ca="1" si="84"/>
        <v>52896</v>
      </c>
      <c r="W1325" s="115" t="e">
        <f ca="1"/>
        <v>#VALUE!</v>
      </c>
    </row>
    <row r="1326" spans="13:23">
      <c r="M1326" s="219">
        <f t="shared" ca="1" si="81"/>
        <v>52903</v>
      </c>
      <c r="N1326" s="115" t="e">
        <f ca="1"/>
        <v>#VALUE!</v>
      </c>
      <c r="P1326" s="219">
        <f t="shared" ca="1" si="82"/>
        <v>52903</v>
      </c>
      <c r="Q1326" s="115" t="e">
        <f ca="1"/>
        <v>#VALUE!</v>
      </c>
      <c r="S1326" s="219">
        <f t="shared" ca="1" si="83"/>
        <v>52903</v>
      </c>
      <c r="T1326" s="115" t="e">
        <f ca="1"/>
        <v>#VALUE!</v>
      </c>
      <c r="V1326" s="219">
        <f t="shared" ca="1" si="84"/>
        <v>52903</v>
      </c>
      <c r="W1326" s="115" t="e">
        <f ca="1"/>
        <v>#VALUE!</v>
      </c>
    </row>
    <row r="1327" spans="13:23">
      <c r="M1327" s="219">
        <f t="shared" ca="1" si="81"/>
        <v>52910</v>
      </c>
      <c r="N1327" s="115" t="e">
        <f ca="1"/>
        <v>#VALUE!</v>
      </c>
      <c r="P1327" s="219">
        <f t="shared" ca="1" si="82"/>
        <v>52910</v>
      </c>
      <c r="Q1327" s="115" t="e">
        <f ca="1"/>
        <v>#VALUE!</v>
      </c>
      <c r="S1327" s="219">
        <f t="shared" ca="1" si="83"/>
        <v>52910</v>
      </c>
      <c r="T1327" s="115" t="e">
        <f ca="1"/>
        <v>#VALUE!</v>
      </c>
      <c r="V1327" s="219">
        <f t="shared" ca="1" si="84"/>
        <v>52910</v>
      </c>
      <c r="W1327" s="115" t="e">
        <f ca="1"/>
        <v>#VALUE!</v>
      </c>
    </row>
    <row r="1328" spans="13:23">
      <c r="M1328" s="219">
        <f t="shared" ca="1" si="81"/>
        <v>52917</v>
      </c>
      <c r="N1328" s="115" t="e">
        <f ca="1"/>
        <v>#VALUE!</v>
      </c>
      <c r="P1328" s="219">
        <f t="shared" ca="1" si="82"/>
        <v>52917</v>
      </c>
      <c r="Q1328" s="115" t="e">
        <f ca="1"/>
        <v>#VALUE!</v>
      </c>
      <c r="S1328" s="219">
        <f t="shared" ca="1" si="83"/>
        <v>52917</v>
      </c>
      <c r="T1328" s="115" t="e">
        <f ca="1"/>
        <v>#VALUE!</v>
      </c>
      <c r="V1328" s="219">
        <f t="shared" ca="1" si="84"/>
        <v>52917</v>
      </c>
      <c r="W1328" s="115" t="e">
        <f ca="1"/>
        <v>#VALUE!</v>
      </c>
    </row>
    <row r="1329" spans="13:23">
      <c r="M1329" s="219">
        <f t="shared" ca="1" si="81"/>
        <v>52924</v>
      </c>
      <c r="N1329" s="115" t="e">
        <f ca="1"/>
        <v>#VALUE!</v>
      </c>
      <c r="P1329" s="219">
        <f t="shared" ca="1" si="82"/>
        <v>52924</v>
      </c>
      <c r="Q1329" s="115" t="e">
        <f ca="1"/>
        <v>#VALUE!</v>
      </c>
      <c r="S1329" s="219">
        <f t="shared" ca="1" si="83"/>
        <v>52924</v>
      </c>
      <c r="T1329" s="115" t="e">
        <f ca="1"/>
        <v>#VALUE!</v>
      </c>
      <c r="V1329" s="219">
        <f t="shared" ca="1" si="84"/>
        <v>52924</v>
      </c>
      <c r="W1329" s="115" t="e">
        <f ca="1"/>
        <v>#VALUE!</v>
      </c>
    </row>
    <row r="1330" spans="13:23">
      <c r="M1330" s="219">
        <f t="shared" ca="1" si="81"/>
        <v>52931</v>
      </c>
      <c r="N1330" s="115" t="e">
        <f ca="1"/>
        <v>#VALUE!</v>
      </c>
      <c r="P1330" s="219">
        <f t="shared" ca="1" si="82"/>
        <v>52931</v>
      </c>
      <c r="Q1330" s="115" t="e">
        <f ca="1"/>
        <v>#VALUE!</v>
      </c>
      <c r="S1330" s="219">
        <f t="shared" ca="1" si="83"/>
        <v>52931</v>
      </c>
      <c r="T1330" s="115" t="e">
        <f ca="1"/>
        <v>#VALUE!</v>
      </c>
      <c r="V1330" s="219">
        <f t="shared" ca="1" si="84"/>
        <v>52931</v>
      </c>
      <c r="W1330" s="115" t="e">
        <f ca="1"/>
        <v>#VALUE!</v>
      </c>
    </row>
    <row r="1331" spans="13:23">
      <c r="M1331" s="219">
        <f t="shared" ca="1" si="81"/>
        <v>52938</v>
      </c>
      <c r="N1331" s="115" t="e">
        <f ca="1"/>
        <v>#VALUE!</v>
      </c>
      <c r="P1331" s="219">
        <f t="shared" ca="1" si="82"/>
        <v>52938</v>
      </c>
      <c r="Q1331" s="115" t="e">
        <f ca="1"/>
        <v>#VALUE!</v>
      </c>
      <c r="S1331" s="219">
        <f t="shared" ca="1" si="83"/>
        <v>52938</v>
      </c>
      <c r="T1331" s="115" t="e">
        <f ca="1"/>
        <v>#VALUE!</v>
      </c>
      <c r="V1331" s="219">
        <f t="shared" ca="1" si="84"/>
        <v>52938</v>
      </c>
      <c r="W1331" s="115" t="e">
        <f ca="1"/>
        <v>#VALUE!</v>
      </c>
    </row>
    <row r="1332" spans="13:23">
      <c r="M1332" s="219">
        <f t="shared" ca="1" si="81"/>
        <v>52945</v>
      </c>
      <c r="N1332" s="115" t="e">
        <f ca="1"/>
        <v>#VALUE!</v>
      </c>
      <c r="P1332" s="219">
        <f t="shared" ca="1" si="82"/>
        <v>52945</v>
      </c>
      <c r="Q1332" s="115" t="e">
        <f ca="1"/>
        <v>#VALUE!</v>
      </c>
      <c r="S1332" s="219">
        <f t="shared" ca="1" si="83"/>
        <v>52945</v>
      </c>
      <c r="T1332" s="115" t="e">
        <f ca="1"/>
        <v>#VALUE!</v>
      </c>
      <c r="V1332" s="219">
        <f t="shared" ca="1" si="84"/>
        <v>52945</v>
      </c>
      <c r="W1332" s="115" t="e">
        <f ca="1"/>
        <v>#VALUE!</v>
      </c>
    </row>
    <row r="1333" spans="13:23">
      <c r="M1333" s="219">
        <f t="shared" ca="1" si="81"/>
        <v>52952</v>
      </c>
      <c r="N1333" s="115" t="e">
        <f ca="1"/>
        <v>#VALUE!</v>
      </c>
      <c r="P1333" s="219">
        <f t="shared" ca="1" si="82"/>
        <v>52952</v>
      </c>
      <c r="Q1333" s="115" t="e">
        <f ca="1"/>
        <v>#VALUE!</v>
      </c>
      <c r="S1333" s="219">
        <f t="shared" ca="1" si="83"/>
        <v>52952</v>
      </c>
      <c r="T1333" s="115" t="e">
        <f ca="1"/>
        <v>#VALUE!</v>
      </c>
      <c r="V1333" s="219">
        <f t="shared" ca="1" si="84"/>
        <v>52952</v>
      </c>
      <c r="W1333" s="115" t="e">
        <f ca="1"/>
        <v>#VALUE!</v>
      </c>
    </row>
    <row r="1334" spans="13:23">
      <c r="M1334" s="219">
        <f t="shared" ca="1" si="81"/>
        <v>52959</v>
      </c>
      <c r="N1334" s="115" t="e">
        <f ca="1"/>
        <v>#VALUE!</v>
      </c>
      <c r="P1334" s="219">
        <f t="shared" ca="1" si="82"/>
        <v>52959</v>
      </c>
      <c r="Q1334" s="115" t="e">
        <f ca="1"/>
        <v>#VALUE!</v>
      </c>
      <c r="S1334" s="219">
        <f t="shared" ca="1" si="83"/>
        <v>52959</v>
      </c>
      <c r="T1334" s="115" t="e">
        <f ca="1"/>
        <v>#VALUE!</v>
      </c>
      <c r="V1334" s="219">
        <f t="shared" ca="1" si="84"/>
        <v>52959</v>
      </c>
      <c r="W1334" s="115" t="e">
        <f ca="1"/>
        <v>#VALUE!</v>
      </c>
    </row>
    <row r="1335" spans="13:23">
      <c r="M1335" s="219">
        <f t="shared" ca="1" si="81"/>
        <v>52966</v>
      </c>
      <c r="N1335" s="115" t="e">
        <f ca="1"/>
        <v>#VALUE!</v>
      </c>
      <c r="P1335" s="219">
        <f t="shared" ca="1" si="82"/>
        <v>52966</v>
      </c>
      <c r="Q1335" s="115" t="e">
        <f ca="1"/>
        <v>#VALUE!</v>
      </c>
      <c r="S1335" s="219">
        <f t="shared" ca="1" si="83"/>
        <v>52966</v>
      </c>
      <c r="T1335" s="115" t="e">
        <f ca="1"/>
        <v>#VALUE!</v>
      </c>
      <c r="V1335" s="219">
        <f t="shared" ca="1" si="84"/>
        <v>52966</v>
      </c>
      <c r="W1335" s="115" t="e">
        <f ca="1"/>
        <v>#VALUE!</v>
      </c>
    </row>
    <row r="1336" spans="13:23">
      <c r="M1336" s="219">
        <f t="shared" ca="1" si="81"/>
        <v>52973</v>
      </c>
      <c r="N1336" s="115" t="e">
        <f ca="1"/>
        <v>#VALUE!</v>
      </c>
      <c r="P1336" s="219">
        <f t="shared" ca="1" si="82"/>
        <v>52973</v>
      </c>
      <c r="Q1336" s="115" t="e">
        <f ca="1"/>
        <v>#VALUE!</v>
      </c>
      <c r="S1336" s="219">
        <f t="shared" ca="1" si="83"/>
        <v>52973</v>
      </c>
      <c r="T1336" s="115" t="e">
        <f ca="1"/>
        <v>#VALUE!</v>
      </c>
      <c r="V1336" s="219">
        <f t="shared" ca="1" si="84"/>
        <v>52973</v>
      </c>
      <c r="W1336" s="115" t="e">
        <f ca="1"/>
        <v>#VALUE!</v>
      </c>
    </row>
    <row r="1337" spans="13:23">
      <c r="M1337" s="219">
        <f t="shared" ca="1" si="81"/>
        <v>52980</v>
      </c>
      <c r="N1337" s="115" t="e">
        <f ca="1"/>
        <v>#VALUE!</v>
      </c>
      <c r="P1337" s="219">
        <f t="shared" ca="1" si="82"/>
        <v>52980</v>
      </c>
      <c r="Q1337" s="115" t="e">
        <f ca="1"/>
        <v>#VALUE!</v>
      </c>
      <c r="S1337" s="219">
        <f t="shared" ca="1" si="83"/>
        <v>52980</v>
      </c>
      <c r="T1337" s="115" t="e">
        <f ca="1"/>
        <v>#VALUE!</v>
      </c>
      <c r="V1337" s="219">
        <f t="shared" ca="1" si="84"/>
        <v>52980</v>
      </c>
      <c r="W1337" s="115" t="e">
        <f ca="1"/>
        <v>#VALUE!</v>
      </c>
    </row>
    <row r="1338" spans="13:23">
      <c r="M1338" s="219">
        <f t="shared" ca="1" si="81"/>
        <v>52987</v>
      </c>
      <c r="N1338" s="115" t="e">
        <f ca="1"/>
        <v>#VALUE!</v>
      </c>
      <c r="P1338" s="219">
        <f t="shared" ca="1" si="82"/>
        <v>52987</v>
      </c>
      <c r="Q1338" s="115" t="e">
        <f ca="1"/>
        <v>#VALUE!</v>
      </c>
      <c r="S1338" s="219">
        <f t="shared" ca="1" si="83"/>
        <v>52987</v>
      </c>
      <c r="T1338" s="115" t="e">
        <f ca="1"/>
        <v>#VALUE!</v>
      </c>
      <c r="V1338" s="219">
        <f t="shared" ca="1" si="84"/>
        <v>52987</v>
      </c>
      <c r="W1338" s="115" t="e">
        <f ca="1"/>
        <v>#VALUE!</v>
      </c>
    </row>
    <row r="1339" spans="13:23">
      <c r="M1339" s="219">
        <f t="shared" ca="1" si="81"/>
        <v>52994</v>
      </c>
      <c r="N1339" s="115" t="e">
        <f ca="1"/>
        <v>#VALUE!</v>
      </c>
      <c r="P1339" s="219">
        <f t="shared" ca="1" si="82"/>
        <v>52994</v>
      </c>
      <c r="Q1339" s="115" t="e">
        <f ca="1"/>
        <v>#VALUE!</v>
      </c>
      <c r="S1339" s="219">
        <f t="shared" ca="1" si="83"/>
        <v>52994</v>
      </c>
      <c r="T1339" s="115" t="e">
        <f ca="1"/>
        <v>#VALUE!</v>
      </c>
      <c r="V1339" s="219">
        <f t="shared" ca="1" si="84"/>
        <v>52994</v>
      </c>
      <c r="W1339" s="115" t="e">
        <f ca="1"/>
        <v>#VALUE!</v>
      </c>
    </row>
    <row r="1340" spans="13:23">
      <c r="M1340" s="219">
        <f t="shared" ca="1" si="81"/>
        <v>53001</v>
      </c>
      <c r="N1340" s="115" t="e">
        <f ca="1"/>
        <v>#VALUE!</v>
      </c>
      <c r="P1340" s="219">
        <f t="shared" ca="1" si="82"/>
        <v>53001</v>
      </c>
      <c r="Q1340" s="115" t="e">
        <f ca="1"/>
        <v>#VALUE!</v>
      </c>
      <c r="S1340" s="219">
        <f t="shared" ca="1" si="83"/>
        <v>53001</v>
      </c>
      <c r="T1340" s="115" t="e">
        <f ca="1"/>
        <v>#VALUE!</v>
      </c>
      <c r="V1340" s="219">
        <f t="shared" ca="1" si="84"/>
        <v>53001</v>
      </c>
      <c r="W1340" s="115" t="e">
        <f ca="1"/>
        <v>#VALUE!</v>
      </c>
    </row>
    <row r="1341" spans="13:23">
      <c r="M1341" s="219">
        <f t="shared" ca="1" si="81"/>
        <v>53008</v>
      </c>
      <c r="N1341" s="115" t="e">
        <f ca="1"/>
        <v>#VALUE!</v>
      </c>
      <c r="P1341" s="219">
        <f t="shared" ca="1" si="82"/>
        <v>53008</v>
      </c>
      <c r="Q1341" s="115" t="e">
        <f ca="1"/>
        <v>#VALUE!</v>
      </c>
      <c r="S1341" s="219">
        <f t="shared" ca="1" si="83"/>
        <v>53008</v>
      </c>
      <c r="T1341" s="115" t="e">
        <f ca="1"/>
        <v>#VALUE!</v>
      </c>
      <c r="V1341" s="219">
        <f t="shared" ca="1" si="84"/>
        <v>53008</v>
      </c>
      <c r="W1341" s="115" t="e">
        <f ca="1"/>
        <v>#VALUE!</v>
      </c>
    </row>
    <row r="1342" spans="13:23">
      <c r="M1342" s="219">
        <f t="shared" ca="1" si="81"/>
        <v>53015</v>
      </c>
      <c r="N1342" s="115" t="e">
        <f ca="1"/>
        <v>#VALUE!</v>
      </c>
      <c r="P1342" s="219">
        <f t="shared" ca="1" si="82"/>
        <v>53015</v>
      </c>
      <c r="Q1342" s="115" t="e">
        <f ca="1"/>
        <v>#VALUE!</v>
      </c>
      <c r="S1342" s="219">
        <f t="shared" ca="1" si="83"/>
        <v>53015</v>
      </c>
      <c r="T1342" s="115" t="e">
        <f ca="1"/>
        <v>#VALUE!</v>
      </c>
      <c r="V1342" s="219">
        <f t="shared" ca="1" si="84"/>
        <v>53015</v>
      </c>
      <c r="W1342" s="115" t="e">
        <f ca="1"/>
        <v>#VALUE!</v>
      </c>
    </row>
    <row r="1343" spans="13:23">
      <c r="M1343" s="219">
        <f t="shared" ca="1" si="81"/>
        <v>53022</v>
      </c>
      <c r="N1343" s="115" t="e">
        <f ca="1"/>
        <v>#VALUE!</v>
      </c>
      <c r="P1343" s="219">
        <f t="shared" ca="1" si="82"/>
        <v>53022</v>
      </c>
      <c r="Q1343" s="115" t="e">
        <f ca="1"/>
        <v>#VALUE!</v>
      </c>
      <c r="S1343" s="219">
        <f t="shared" ca="1" si="83"/>
        <v>53022</v>
      </c>
      <c r="T1343" s="115" t="e">
        <f ca="1"/>
        <v>#VALUE!</v>
      </c>
      <c r="V1343" s="219">
        <f t="shared" ca="1" si="84"/>
        <v>53022</v>
      </c>
      <c r="W1343" s="115" t="e">
        <f ca="1"/>
        <v>#VALUE!</v>
      </c>
    </row>
    <row r="1344" spans="13:23">
      <c r="M1344" s="219">
        <f t="shared" ca="1" si="81"/>
        <v>53029</v>
      </c>
      <c r="N1344" s="115" t="e">
        <f ca="1"/>
        <v>#VALUE!</v>
      </c>
      <c r="P1344" s="219">
        <f t="shared" ca="1" si="82"/>
        <v>53029</v>
      </c>
      <c r="Q1344" s="115" t="e">
        <f ca="1"/>
        <v>#VALUE!</v>
      </c>
      <c r="S1344" s="219">
        <f t="shared" ca="1" si="83"/>
        <v>53029</v>
      </c>
      <c r="T1344" s="115" t="e">
        <f ca="1"/>
        <v>#VALUE!</v>
      </c>
      <c r="V1344" s="219">
        <f t="shared" ca="1" si="84"/>
        <v>53029</v>
      </c>
      <c r="W1344" s="115" t="e">
        <f ca="1"/>
        <v>#VALUE!</v>
      </c>
    </row>
    <row r="1345" spans="13:23">
      <c r="M1345" s="219">
        <f t="shared" ca="1" si="81"/>
        <v>53036</v>
      </c>
      <c r="N1345" s="115" t="e">
        <f ca="1"/>
        <v>#VALUE!</v>
      </c>
      <c r="P1345" s="219">
        <f t="shared" ca="1" si="82"/>
        <v>53036</v>
      </c>
      <c r="Q1345" s="115" t="e">
        <f ca="1"/>
        <v>#VALUE!</v>
      </c>
      <c r="S1345" s="219">
        <f t="shared" ca="1" si="83"/>
        <v>53036</v>
      </c>
      <c r="T1345" s="115" t="e">
        <f ca="1"/>
        <v>#VALUE!</v>
      </c>
      <c r="V1345" s="219">
        <f t="shared" ca="1" si="84"/>
        <v>53036</v>
      </c>
      <c r="W1345" s="115" t="e">
        <f ca="1"/>
        <v>#VALUE!</v>
      </c>
    </row>
    <row r="1346" spans="13:23">
      <c r="M1346" s="219">
        <f t="shared" ca="1" si="81"/>
        <v>53043</v>
      </c>
      <c r="N1346" s="115" t="e">
        <f ca="1"/>
        <v>#VALUE!</v>
      </c>
      <c r="P1346" s="219">
        <f t="shared" ca="1" si="82"/>
        <v>53043</v>
      </c>
      <c r="Q1346" s="115" t="e">
        <f ca="1"/>
        <v>#VALUE!</v>
      </c>
      <c r="S1346" s="219">
        <f t="shared" ca="1" si="83"/>
        <v>53043</v>
      </c>
      <c r="T1346" s="115" t="e">
        <f ca="1"/>
        <v>#VALUE!</v>
      </c>
      <c r="V1346" s="219">
        <f t="shared" ca="1" si="84"/>
        <v>53043</v>
      </c>
      <c r="W1346" s="115" t="e">
        <f ca="1"/>
        <v>#VALUE!</v>
      </c>
    </row>
    <row r="1347" spans="13:23">
      <c r="M1347" s="219">
        <f t="shared" ca="1" si="81"/>
        <v>53050</v>
      </c>
      <c r="N1347" s="115" t="e">
        <f ca="1"/>
        <v>#VALUE!</v>
      </c>
      <c r="P1347" s="219">
        <f t="shared" ca="1" si="82"/>
        <v>53050</v>
      </c>
      <c r="Q1347" s="115" t="e">
        <f ca="1"/>
        <v>#VALUE!</v>
      </c>
      <c r="S1347" s="219">
        <f t="shared" ca="1" si="83"/>
        <v>53050</v>
      </c>
      <c r="T1347" s="115" t="e">
        <f ca="1"/>
        <v>#VALUE!</v>
      </c>
      <c r="V1347" s="219">
        <f t="shared" ca="1" si="84"/>
        <v>53050</v>
      </c>
      <c r="W1347" s="115" t="e">
        <f ca="1"/>
        <v>#VALUE!</v>
      </c>
    </row>
    <row r="1348" spans="13:23">
      <c r="M1348" s="219">
        <f t="shared" ca="1" si="81"/>
        <v>53057</v>
      </c>
      <c r="N1348" s="115" t="e">
        <f ca="1"/>
        <v>#VALUE!</v>
      </c>
      <c r="P1348" s="219">
        <f t="shared" ca="1" si="82"/>
        <v>53057</v>
      </c>
      <c r="Q1348" s="115" t="e">
        <f ca="1"/>
        <v>#VALUE!</v>
      </c>
      <c r="S1348" s="219">
        <f t="shared" ca="1" si="83"/>
        <v>53057</v>
      </c>
      <c r="T1348" s="115" t="e">
        <f ca="1"/>
        <v>#VALUE!</v>
      </c>
      <c r="V1348" s="219">
        <f t="shared" ca="1" si="84"/>
        <v>53057</v>
      </c>
      <c r="W1348" s="115" t="e">
        <f ca="1"/>
        <v>#VALUE!</v>
      </c>
    </row>
    <row r="1349" spans="13:23">
      <c r="M1349" s="219">
        <f t="shared" ca="1" si="81"/>
        <v>53064</v>
      </c>
      <c r="N1349" s="115" t="e">
        <f ca="1"/>
        <v>#VALUE!</v>
      </c>
      <c r="P1349" s="219">
        <f t="shared" ca="1" si="82"/>
        <v>53064</v>
      </c>
      <c r="Q1349" s="115" t="e">
        <f ca="1"/>
        <v>#VALUE!</v>
      </c>
      <c r="S1349" s="219">
        <f t="shared" ca="1" si="83"/>
        <v>53064</v>
      </c>
      <c r="T1349" s="115" t="e">
        <f ca="1"/>
        <v>#VALUE!</v>
      </c>
      <c r="V1349" s="219">
        <f t="shared" ca="1" si="84"/>
        <v>53064</v>
      </c>
      <c r="W1349" s="115" t="e">
        <f ca="1"/>
        <v>#VALUE!</v>
      </c>
    </row>
    <row r="1350" spans="13:23">
      <c r="M1350" s="219">
        <f t="shared" ca="1" si="81"/>
        <v>53071</v>
      </c>
      <c r="N1350" s="115" t="e">
        <f ca="1"/>
        <v>#VALUE!</v>
      </c>
      <c r="P1350" s="219">
        <f t="shared" ca="1" si="82"/>
        <v>53071</v>
      </c>
      <c r="Q1350" s="115" t="e">
        <f ca="1"/>
        <v>#VALUE!</v>
      </c>
      <c r="S1350" s="219">
        <f t="shared" ca="1" si="83"/>
        <v>53071</v>
      </c>
      <c r="T1350" s="115" t="e">
        <f ca="1"/>
        <v>#VALUE!</v>
      </c>
      <c r="V1350" s="219">
        <f t="shared" ca="1" si="84"/>
        <v>53071</v>
      </c>
      <c r="W1350" s="115" t="e">
        <f ca="1"/>
        <v>#VALUE!</v>
      </c>
    </row>
    <row r="1351" spans="13:23">
      <c r="M1351" s="219">
        <f t="shared" ca="1" si="81"/>
        <v>53078</v>
      </c>
      <c r="N1351" s="115" t="e">
        <f ca="1"/>
        <v>#VALUE!</v>
      </c>
      <c r="P1351" s="219">
        <f t="shared" ca="1" si="82"/>
        <v>53078</v>
      </c>
      <c r="Q1351" s="115" t="e">
        <f ca="1"/>
        <v>#VALUE!</v>
      </c>
      <c r="S1351" s="219">
        <f t="shared" ca="1" si="83"/>
        <v>53078</v>
      </c>
      <c r="T1351" s="115" t="e">
        <f ca="1"/>
        <v>#VALUE!</v>
      </c>
      <c r="V1351" s="219">
        <f t="shared" ca="1" si="84"/>
        <v>53078</v>
      </c>
      <c r="W1351" s="115" t="e">
        <f ca="1"/>
        <v>#VALUE!</v>
      </c>
    </row>
    <row r="1352" spans="13:23">
      <c r="M1352" s="219">
        <f t="shared" ca="1" si="81"/>
        <v>53085</v>
      </c>
      <c r="N1352" s="115" t="e">
        <f ca="1"/>
        <v>#VALUE!</v>
      </c>
      <c r="P1352" s="219">
        <f t="shared" ca="1" si="82"/>
        <v>53085</v>
      </c>
      <c r="Q1352" s="115" t="e">
        <f ca="1"/>
        <v>#VALUE!</v>
      </c>
      <c r="S1352" s="219">
        <f t="shared" ca="1" si="83"/>
        <v>53085</v>
      </c>
      <c r="T1352" s="115" t="e">
        <f ca="1"/>
        <v>#VALUE!</v>
      </c>
      <c r="V1352" s="219">
        <f t="shared" ca="1" si="84"/>
        <v>53085</v>
      </c>
      <c r="W1352" s="115" t="e">
        <f ca="1"/>
        <v>#VALUE!</v>
      </c>
    </row>
    <row r="1353" spans="13:23">
      <c r="M1353" s="219">
        <f t="shared" ca="1" si="81"/>
        <v>53092</v>
      </c>
      <c r="N1353" s="115" t="e">
        <f ca="1"/>
        <v>#VALUE!</v>
      </c>
      <c r="P1353" s="219">
        <f t="shared" ca="1" si="82"/>
        <v>53092</v>
      </c>
      <c r="Q1353" s="115" t="e">
        <f ca="1"/>
        <v>#VALUE!</v>
      </c>
      <c r="S1353" s="219">
        <f t="shared" ca="1" si="83"/>
        <v>53092</v>
      </c>
      <c r="T1353" s="115" t="e">
        <f ca="1"/>
        <v>#VALUE!</v>
      </c>
      <c r="V1353" s="219">
        <f t="shared" ca="1" si="84"/>
        <v>53092</v>
      </c>
      <c r="W1353" s="115" t="e">
        <f ca="1"/>
        <v>#VALUE!</v>
      </c>
    </row>
    <row r="1354" spans="13:23">
      <c r="M1354" s="219">
        <f t="shared" ca="1" si="81"/>
        <v>53099</v>
      </c>
      <c r="N1354" s="115" t="e">
        <f ca="1"/>
        <v>#VALUE!</v>
      </c>
      <c r="P1354" s="219">
        <f t="shared" ca="1" si="82"/>
        <v>53099</v>
      </c>
      <c r="Q1354" s="115" t="e">
        <f ca="1"/>
        <v>#VALUE!</v>
      </c>
      <c r="S1354" s="219">
        <f t="shared" ca="1" si="83"/>
        <v>53099</v>
      </c>
      <c r="T1354" s="115" t="e">
        <f ca="1"/>
        <v>#VALUE!</v>
      </c>
      <c r="V1354" s="219">
        <f t="shared" ca="1" si="84"/>
        <v>53099</v>
      </c>
      <c r="W1354" s="115" t="e">
        <f ca="1"/>
        <v>#VALUE!</v>
      </c>
    </row>
    <row r="1355" spans="13:23">
      <c r="M1355" s="219">
        <f t="shared" ca="1" si="81"/>
        <v>53106</v>
      </c>
      <c r="N1355" s="115" t="e">
        <f ca="1"/>
        <v>#VALUE!</v>
      </c>
      <c r="P1355" s="219">
        <f t="shared" ca="1" si="82"/>
        <v>53106</v>
      </c>
      <c r="Q1355" s="115" t="e">
        <f ca="1"/>
        <v>#VALUE!</v>
      </c>
      <c r="S1355" s="219">
        <f t="shared" ca="1" si="83"/>
        <v>53106</v>
      </c>
      <c r="T1355" s="115" t="e">
        <f ca="1"/>
        <v>#VALUE!</v>
      </c>
      <c r="V1355" s="219">
        <f t="shared" ca="1" si="84"/>
        <v>53106</v>
      </c>
      <c r="W1355" s="115" t="e">
        <f ca="1"/>
        <v>#VALUE!</v>
      </c>
    </row>
    <row r="1356" spans="13:23">
      <c r="M1356" s="219">
        <f t="shared" ca="1" si="81"/>
        <v>53113</v>
      </c>
      <c r="N1356" s="115" t="e">
        <f ca="1"/>
        <v>#VALUE!</v>
      </c>
      <c r="P1356" s="219">
        <f t="shared" ca="1" si="82"/>
        <v>53113</v>
      </c>
      <c r="Q1356" s="115" t="e">
        <f ca="1"/>
        <v>#VALUE!</v>
      </c>
      <c r="S1356" s="219">
        <f t="shared" ca="1" si="83"/>
        <v>53113</v>
      </c>
      <c r="T1356" s="115" t="e">
        <f ca="1"/>
        <v>#VALUE!</v>
      </c>
      <c r="V1356" s="219">
        <f t="shared" ca="1" si="84"/>
        <v>53113</v>
      </c>
      <c r="W1356" s="115" t="e">
        <f ca="1"/>
        <v>#VALUE!</v>
      </c>
    </row>
    <row r="1357" spans="13:23">
      <c r="M1357" s="219">
        <f t="shared" ref="M1357:M1420" ca="1" si="85">M1356+7</f>
        <v>53120</v>
      </c>
      <c r="N1357" s="115" t="e">
        <f ca="1"/>
        <v>#VALUE!</v>
      </c>
      <c r="P1357" s="219">
        <f t="shared" ref="P1357:P1371" ca="1" si="86">P1356+7</f>
        <v>53120</v>
      </c>
      <c r="Q1357" s="115" t="e">
        <f ca="1"/>
        <v>#VALUE!</v>
      </c>
      <c r="S1357" s="219">
        <f t="shared" ref="S1357:S1371" ca="1" si="87">S1356+7</f>
        <v>53120</v>
      </c>
      <c r="T1357" s="115" t="e">
        <f ca="1"/>
        <v>#VALUE!</v>
      </c>
      <c r="V1357" s="219">
        <f t="shared" ref="V1357:V1371" ca="1" si="88">V1356+7</f>
        <v>53120</v>
      </c>
      <c r="W1357" s="115" t="e">
        <f ca="1"/>
        <v>#VALUE!</v>
      </c>
    </row>
    <row r="1358" spans="13:23">
      <c r="M1358" s="219">
        <f t="shared" ca="1" si="85"/>
        <v>53127</v>
      </c>
      <c r="N1358" s="115" t="e">
        <f ca="1"/>
        <v>#VALUE!</v>
      </c>
      <c r="P1358" s="219">
        <f t="shared" ca="1" si="86"/>
        <v>53127</v>
      </c>
      <c r="Q1358" s="115" t="e">
        <f ca="1"/>
        <v>#VALUE!</v>
      </c>
      <c r="S1358" s="219">
        <f t="shared" ca="1" si="87"/>
        <v>53127</v>
      </c>
      <c r="T1358" s="115" t="e">
        <f ca="1"/>
        <v>#VALUE!</v>
      </c>
      <c r="V1358" s="219">
        <f t="shared" ca="1" si="88"/>
        <v>53127</v>
      </c>
      <c r="W1358" s="115" t="e">
        <f ca="1"/>
        <v>#VALUE!</v>
      </c>
    </row>
    <row r="1359" spans="13:23">
      <c r="M1359" s="219">
        <f t="shared" ca="1" si="85"/>
        <v>53134</v>
      </c>
      <c r="N1359" s="115" t="e">
        <f ca="1"/>
        <v>#VALUE!</v>
      </c>
      <c r="P1359" s="219">
        <f t="shared" ca="1" si="86"/>
        <v>53134</v>
      </c>
      <c r="Q1359" s="115" t="e">
        <f ca="1"/>
        <v>#VALUE!</v>
      </c>
      <c r="S1359" s="219">
        <f t="shared" ca="1" si="87"/>
        <v>53134</v>
      </c>
      <c r="T1359" s="115" t="e">
        <f ca="1"/>
        <v>#VALUE!</v>
      </c>
      <c r="V1359" s="219">
        <f t="shared" ca="1" si="88"/>
        <v>53134</v>
      </c>
      <c r="W1359" s="115" t="e">
        <f ca="1"/>
        <v>#VALUE!</v>
      </c>
    </row>
    <row r="1360" spans="13:23">
      <c r="M1360" s="219">
        <f t="shared" ca="1" si="85"/>
        <v>53141</v>
      </c>
      <c r="N1360" s="115" t="e">
        <f ca="1"/>
        <v>#VALUE!</v>
      </c>
      <c r="P1360" s="219">
        <f t="shared" ca="1" si="86"/>
        <v>53141</v>
      </c>
      <c r="Q1360" s="115" t="e">
        <f ca="1"/>
        <v>#VALUE!</v>
      </c>
      <c r="S1360" s="219">
        <f t="shared" ca="1" si="87"/>
        <v>53141</v>
      </c>
      <c r="T1360" s="115" t="e">
        <f ca="1"/>
        <v>#VALUE!</v>
      </c>
      <c r="V1360" s="219">
        <f t="shared" ca="1" si="88"/>
        <v>53141</v>
      </c>
      <c r="W1360" s="115" t="e">
        <f ca="1"/>
        <v>#VALUE!</v>
      </c>
    </row>
    <row r="1361" spans="13:23">
      <c r="M1361" s="219">
        <f t="shared" ca="1" si="85"/>
        <v>53148</v>
      </c>
      <c r="N1361" s="115" t="e">
        <f ca="1"/>
        <v>#VALUE!</v>
      </c>
      <c r="P1361" s="219">
        <f t="shared" ca="1" si="86"/>
        <v>53148</v>
      </c>
      <c r="Q1361" s="115" t="e">
        <f ca="1"/>
        <v>#VALUE!</v>
      </c>
      <c r="S1361" s="219">
        <f t="shared" ca="1" si="87"/>
        <v>53148</v>
      </c>
      <c r="T1361" s="115" t="e">
        <f ca="1"/>
        <v>#VALUE!</v>
      </c>
      <c r="V1361" s="219">
        <f t="shared" ca="1" si="88"/>
        <v>53148</v>
      </c>
      <c r="W1361" s="115" t="e">
        <f ca="1"/>
        <v>#VALUE!</v>
      </c>
    </row>
    <row r="1362" spans="13:23">
      <c r="M1362" s="219">
        <f t="shared" ca="1" si="85"/>
        <v>53155</v>
      </c>
      <c r="N1362" s="115" t="e">
        <f ca="1"/>
        <v>#VALUE!</v>
      </c>
      <c r="P1362" s="219">
        <f t="shared" ca="1" si="86"/>
        <v>53155</v>
      </c>
      <c r="Q1362" s="115" t="e">
        <f ca="1"/>
        <v>#VALUE!</v>
      </c>
      <c r="S1362" s="219">
        <f t="shared" ca="1" si="87"/>
        <v>53155</v>
      </c>
      <c r="T1362" s="115" t="e">
        <f ca="1"/>
        <v>#VALUE!</v>
      </c>
      <c r="V1362" s="219">
        <f t="shared" ca="1" si="88"/>
        <v>53155</v>
      </c>
      <c r="W1362" s="115" t="e">
        <f ca="1"/>
        <v>#VALUE!</v>
      </c>
    </row>
    <row r="1363" spans="13:23">
      <c r="M1363" s="219">
        <f t="shared" ca="1" si="85"/>
        <v>53162</v>
      </c>
      <c r="N1363" s="115" t="e">
        <f ca="1"/>
        <v>#VALUE!</v>
      </c>
      <c r="P1363" s="219">
        <f t="shared" ca="1" si="86"/>
        <v>53162</v>
      </c>
      <c r="Q1363" s="115" t="e">
        <f ca="1"/>
        <v>#VALUE!</v>
      </c>
      <c r="S1363" s="219">
        <f t="shared" ca="1" si="87"/>
        <v>53162</v>
      </c>
      <c r="T1363" s="115" t="e">
        <f ca="1"/>
        <v>#VALUE!</v>
      </c>
      <c r="V1363" s="219">
        <f t="shared" ca="1" si="88"/>
        <v>53162</v>
      </c>
      <c r="W1363" s="115" t="e">
        <f ca="1"/>
        <v>#VALUE!</v>
      </c>
    </row>
    <row r="1364" spans="13:23">
      <c r="M1364" s="219">
        <f t="shared" ca="1" si="85"/>
        <v>53169</v>
      </c>
      <c r="N1364" s="115" t="e">
        <f ca="1"/>
        <v>#VALUE!</v>
      </c>
      <c r="P1364" s="219">
        <f t="shared" ca="1" si="86"/>
        <v>53169</v>
      </c>
      <c r="Q1364" s="115" t="e">
        <f ca="1"/>
        <v>#VALUE!</v>
      </c>
      <c r="S1364" s="219">
        <f t="shared" ca="1" si="87"/>
        <v>53169</v>
      </c>
      <c r="T1364" s="115" t="e">
        <f ca="1"/>
        <v>#VALUE!</v>
      </c>
      <c r="V1364" s="219">
        <f t="shared" ca="1" si="88"/>
        <v>53169</v>
      </c>
      <c r="W1364" s="115" t="e">
        <f ca="1"/>
        <v>#VALUE!</v>
      </c>
    </row>
    <row r="1365" spans="13:23">
      <c r="M1365" s="219">
        <f t="shared" ca="1" si="85"/>
        <v>53176</v>
      </c>
      <c r="N1365" s="115" t="e">
        <f ca="1"/>
        <v>#VALUE!</v>
      </c>
      <c r="P1365" s="219">
        <f t="shared" ca="1" si="86"/>
        <v>53176</v>
      </c>
      <c r="Q1365" s="115" t="e">
        <f ca="1"/>
        <v>#VALUE!</v>
      </c>
      <c r="S1365" s="219">
        <f t="shared" ca="1" si="87"/>
        <v>53176</v>
      </c>
      <c r="T1365" s="115" t="e">
        <f ca="1"/>
        <v>#VALUE!</v>
      </c>
      <c r="V1365" s="219">
        <f t="shared" ca="1" si="88"/>
        <v>53176</v>
      </c>
      <c r="W1365" s="115" t="e">
        <f ca="1"/>
        <v>#VALUE!</v>
      </c>
    </row>
    <row r="1366" spans="13:23">
      <c r="M1366" s="219">
        <f t="shared" ca="1" si="85"/>
        <v>53183</v>
      </c>
      <c r="N1366" s="115" t="e">
        <f ca="1"/>
        <v>#VALUE!</v>
      </c>
      <c r="P1366" s="219">
        <f t="shared" ca="1" si="86"/>
        <v>53183</v>
      </c>
      <c r="Q1366" s="115" t="e">
        <f ca="1"/>
        <v>#VALUE!</v>
      </c>
      <c r="S1366" s="219">
        <f t="shared" ca="1" si="87"/>
        <v>53183</v>
      </c>
      <c r="T1366" s="115" t="e">
        <f ca="1"/>
        <v>#VALUE!</v>
      </c>
      <c r="V1366" s="219">
        <f t="shared" ca="1" si="88"/>
        <v>53183</v>
      </c>
      <c r="W1366" s="115" t="e">
        <f ca="1"/>
        <v>#VALUE!</v>
      </c>
    </row>
    <row r="1367" spans="13:23">
      <c r="M1367" s="219">
        <f t="shared" ca="1" si="85"/>
        <v>53190</v>
      </c>
      <c r="N1367" s="115" t="e">
        <f ca="1"/>
        <v>#VALUE!</v>
      </c>
      <c r="P1367" s="219">
        <f t="shared" ca="1" si="86"/>
        <v>53190</v>
      </c>
      <c r="Q1367" s="115" t="e">
        <f ca="1"/>
        <v>#VALUE!</v>
      </c>
      <c r="S1367" s="219">
        <f t="shared" ca="1" si="87"/>
        <v>53190</v>
      </c>
      <c r="T1367" s="115" t="e">
        <f ca="1"/>
        <v>#VALUE!</v>
      </c>
      <c r="V1367" s="219">
        <f t="shared" ca="1" si="88"/>
        <v>53190</v>
      </c>
      <c r="W1367" s="115" t="e">
        <f ca="1"/>
        <v>#VALUE!</v>
      </c>
    </row>
    <row r="1368" spans="13:23">
      <c r="M1368" s="219">
        <f t="shared" ca="1" si="85"/>
        <v>53197</v>
      </c>
      <c r="N1368" s="115" t="e">
        <f ca="1"/>
        <v>#VALUE!</v>
      </c>
      <c r="P1368" s="219">
        <f t="shared" ca="1" si="86"/>
        <v>53197</v>
      </c>
      <c r="Q1368" s="115" t="e">
        <f ca="1"/>
        <v>#VALUE!</v>
      </c>
      <c r="S1368" s="219">
        <f t="shared" ca="1" si="87"/>
        <v>53197</v>
      </c>
      <c r="T1368" s="115" t="e">
        <f ca="1"/>
        <v>#VALUE!</v>
      </c>
      <c r="V1368" s="219">
        <f t="shared" ca="1" si="88"/>
        <v>53197</v>
      </c>
      <c r="W1368" s="115" t="e">
        <f ca="1"/>
        <v>#VALUE!</v>
      </c>
    </row>
    <row r="1369" spans="13:23">
      <c r="M1369" s="219">
        <f t="shared" ca="1" si="85"/>
        <v>53204</v>
      </c>
      <c r="N1369" s="115" t="e">
        <f ca="1"/>
        <v>#VALUE!</v>
      </c>
      <c r="P1369" s="219">
        <f t="shared" ca="1" si="86"/>
        <v>53204</v>
      </c>
      <c r="Q1369" s="115" t="e">
        <f ca="1"/>
        <v>#VALUE!</v>
      </c>
      <c r="S1369" s="219">
        <f t="shared" ca="1" si="87"/>
        <v>53204</v>
      </c>
      <c r="T1369" s="115" t="e">
        <f ca="1"/>
        <v>#VALUE!</v>
      </c>
      <c r="V1369" s="219">
        <f t="shared" ca="1" si="88"/>
        <v>53204</v>
      </c>
      <c r="W1369" s="115" t="e">
        <f ca="1"/>
        <v>#VALUE!</v>
      </c>
    </row>
    <row r="1370" spans="13:23">
      <c r="M1370" s="219">
        <f t="shared" ca="1" si="85"/>
        <v>53211</v>
      </c>
      <c r="N1370" s="115" t="e">
        <f ca="1"/>
        <v>#VALUE!</v>
      </c>
      <c r="P1370" s="219">
        <f t="shared" ca="1" si="86"/>
        <v>53211</v>
      </c>
      <c r="Q1370" s="115" t="e">
        <f ca="1"/>
        <v>#VALUE!</v>
      </c>
      <c r="S1370" s="219">
        <f t="shared" ca="1" si="87"/>
        <v>53211</v>
      </c>
      <c r="T1370" s="115" t="e">
        <f ca="1"/>
        <v>#VALUE!</v>
      </c>
      <c r="V1370" s="219">
        <f t="shared" ca="1" si="88"/>
        <v>53211</v>
      </c>
      <c r="W1370" s="115" t="e">
        <f ca="1"/>
        <v>#VALUE!</v>
      </c>
    </row>
    <row r="1371" spans="13:23">
      <c r="M1371" s="219">
        <f t="shared" ca="1" si="85"/>
        <v>53218</v>
      </c>
      <c r="N1371" s="115" t="e">
        <f ca="1"/>
        <v>#VALUE!</v>
      </c>
      <c r="P1371" s="219">
        <f t="shared" ca="1" si="86"/>
        <v>53218</v>
      </c>
      <c r="Q1371" s="115" t="e">
        <f ca="1"/>
        <v>#VALUE!</v>
      </c>
      <c r="S1371" s="219">
        <f t="shared" ca="1" si="87"/>
        <v>53218</v>
      </c>
      <c r="T1371" s="115" t="e">
        <f ca="1"/>
        <v>#VALUE!</v>
      </c>
      <c r="V1371" s="219">
        <f t="shared" ca="1" si="88"/>
        <v>53218</v>
      </c>
      <c r="W1371" s="115" t="e">
        <f ca="1"/>
        <v>#VALUE!</v>
      </c>
    </row>
    <row r="1372" spans="13:23">
      <c r="M1372" s="92">
        <f ca="1">M1371+7</f>
        <v>53225</v>
      </c>
      <c r="N1372" s="115" t="e">
        <f ca="1"/>
        <v>#VALUE!</v>
      </c>
      <c r="P1372" s="92">
        <f ca="1">P1371+7</f>
        <v>53225</v>
      </c>
      <c r="Q1372" s="115" t="e">
        <f ca="1"/>
        <v>#VALUE!</v>
      </c>
      <c r="S1372" s="92">
        <f ca="1">S1371+7</f>
        <v>53225</v>
      </c>
      <c r="T1372" s="115" t="e">
        <f ca="1"/>
        <v>#VALUE!</v>
      </c>
      <c r="V1372" s="92">
        <f ca="1">V1371+7</f>
        <v>53225</v>
      </c>
      <c r="W1372" s="115" t="e">
        <f ca="1"/>
        <v>#VALUE!</v>
      </c>
    </row>
    <row r="1373" spans="13:23">
      <c r="M1373" s="92">
        <f t="shared" ca="1" si="85"/>
        <v>53232</v>
      </c>
      <c r="N1373" s="115" t="e">
        <f ca="1"/>
        <v>#VALUE!</v>
      </c>
      <c r="P1373" s="92">
        <f t="shared" ref="P1373:P1436" ca="1" si="89">P1372+7</f>
        <v>53232</v>
      </c>
      <c r="Q1373" s="115" t="e">
        <f ca="1"/>
        <v>#VALUE!</v>
      </c>
      <c r="S1373" s="92">
        <f t="shared" ref="S1373:S1436" ca="1" si="90">S1372+7</f>
        <v>53232</v>
      </c>
      <c r="T1373" s="115" t="e">
        <f ca="1"/>
        <v>#VALUE!</v>
      </c>
      <c r="V1373" s="92">
        <f t="shared" ref="V1373:V1436" ca="1" si="91">V1372+7</f>
        <v>53232</v>
      </c>
      <c r="W1373" s="115" t="e">
        <f ca="1"/>
        <v>#VALUE!</v>
      </c>
    </row>
    <row r="1374" spans="13:23">
      <c r="M1374" s="92">
        <f t="shared" ca="1" si="85"/>
        <v>53239</v>
      </c>
      <c r="N1374" s="115" t="e">
        <f ca="1"/>
        <v>#VALUE!</v>
      </c>
      <c r="P1374" s="92">
        <f t="shared" ca="1" si="89"/>
        <v>53239</v>
      </c>
      <c r="Q1374" s="115" t="e">
        <f ca="1"/>
        <v>#VALUE!</v>
      </c>
      <c r="S1374" s="92">
        <f t="shared" ca="1" si="90"/>
        <v>53239</v>
      </c>
      <c r="T1374" s="115" t="e">
        <f ca="1"/>
        <v>#VALUE!</v>
      </c>
      <c r="V1374" s="92">
        <f t="shared" ca="1" si="91"/>
        <v>53239</v>
      </c>
      <c r="W1374" s="115" t="e">
        <f ca="1"/>
        <v>#VALUE!</v>
      </c>
    </row>
    <row r="1375" spans="13:23">
      <c r="M1375" s="92">
        <f t="shared" ca="1" si="85"/>
        <v>53246</v>
      </c>
      <c r="N1375" s="115" t="e">
        <f ca="1"/>
        <v>#VALUE!</v>
      </c>
      <c r="P1375" s="92">
        <f t="shared" ca="1" si="89"/>
        <v>53246</v>
      </c>
      <c r="Q1375" s="115" t="e">
        <f ca="1"/>
        <v>#VALUE!</v>
      </c>
      <c r="S1375" s="92">
        <f t="shared" ca="1" si="90"/>
        <v>53246</v>
      </c>
      <c r="T1375" s="115" t="e">
        <f ca="1"/>
        <v>#VALUE!</v>
      </c>
      <c r="V1375" s="92">
        <f t="shared" ca="1" si="91"/>
        <v>53246</v>
      </c>
      <c r="W1375" s="115" t="e">
        <f ca="1"/>
        <v>#VALUE!</v>
      </c>
    </row>
    <row r="1376" spans="13:23">
      <c r="M1376" s="92">
        <f t="shared" ca="1" si="85"/>
        <v>53253</v>
      </c>
      <c r="N1376" s="115" t="e">
        <f ca="1"/>
        <v>#VALUE!</v>
      </c>
      <c r="P1376" s="92">
        <f t="shared" ca="1" si="89"/>
        <v>53253</v>
      </c>
      <c r="Q1376" s="115" t="e">
        <f ca="1"/>
        <v>#VALUE!</v>
      </c>
      <c r="S1376" s="92">
        <f t="shared" ca="1" si="90"/>
        <v>53253</v>
      </c>
      <c r="T1376" s="115" t="e">
        <f ca="1"/>
        <v>#VALUE!</v>
      </c>
      <c r="V1376" s="92">
        <f t="shared" ca="1" si="91"/>
        <v>53253</v>
      </c>
      <c r="W1376" s="115" t="e">
        <f ca="1"/>
        <v>#VALUE!</v>
      </c>
    </row>
    <row r="1377" spans="13:23">
      <c r="M1377" s="92">
        <f t="shared" ca="1" si="85"/>
        <v>53260</v>
      </c>
      <c r="N1377" s="115" t="e">
        <f ca="1"/>
        <v>#VALUE!</v>
      </c>
      <c r="P1377" s="92">
        <f t="shared" ca="1" si="89"/>
        <v>53260</v>
      </c>
      <c r="Q1377" s="115" t="e">
        <f ca="1"/>
        <v>#VALUE!</v>
      </c>
      <c r="S1377" s="92">
        <f t="shared" ca="1" si="90"/>
        <v>53260</v>
      </c>
      <c r="T1377" s="115" t="e">
        <f ca="1"/>
        <v>#VALUE!</v>
      </c>
      <c r="V1377" s="92">
        <f t="shared" ca="1" si="91"/>
        <v>53260</v>
      </c>
      <c r="W1377" s="115" t="e">
        <f ca="1"/>
        <v>#VALUE!</v>
      </c>
    </row>
    <row r="1378" spans="13:23">
      <c r="M1378" s="92">
        <f t="shared" ca="1" si="85"/>
        <v>53267</v>
      </c>
      <c r="N1378" s="115" t="e">
        <f ca="1"/>
        <v>#VALUE!</v>
      </c>
      <c r="P1378" s="92">
        <f t="shared" ca="1" si="89"/>
        <v>53267</v>
      </c>
      <c r="Q1378" s="115" t="e">
        <f ca="1"/>
        <v>#VALUE!</v>
      </c>
      <c r="S1378" s="92">
        <f t="shared" ca="1" si="90"/>
        <v>53267</v>
      </c>
      <c r="T1378" s="115" t="e">
        <f ca="1"/>
        <v>#VALUE!</v>
      </c>
      <c r="V1378" s="92">
        <f t="shared" ca="1" si="91"/>
        <v>53267</v>
      </c>
      <c r="W1378" s="115" t="e">
        <f ca="1"/>
        <v>#VALUE!</v>
      </c>
    </row>
    <row r="1379" spans="13:23">
      <c r="M1379" s="92">
        <f t="shared" ca="1" si="85"/>
        <v>53274</v>
      </c>
      <c r="N1379" s="115" t="e">
        <f ca="1"/>
        <v>#VALUE!</v>
      </c>
      <c r="P1379" s="92">
        <f t="shared" ca="1" si="89"/>
        <v>53274</v>
      </c>
      <c r="Q1379" s="115" t="e">
        <f ca="1"/>
        <v>#VALUE!</v>
      </c>
      <c r="S1379" s="92">
        <f t="shared" ca="1" si="90"/>
        <v>53274</v>
      </c>
      <c r="T1379" s="115" t="e">
        <f ca="1"/>
        <v>#VALUE!</v>
      </c>
      <c r="V1379" s="92">
        <f t="shared" ca="1" si="91"/>
        <v>53274</v>
      </c>
      <c r="W1379" s="115" t="e">
        <f ca="1"/>
        <v>#VALUE!</v>
      </c>
    </row>
    <row r="1380" spans="13:23">
      <c r="M1380" s="92">
        <f t="shared" ca="1" si="85"/>
        <v>53281</v>
      </c>
      <c r="N1380" s="115" t="e">
        <f ca="1"/>
        <v>#VALUE!</v>
      </c>
      <c r="P1380" s="92">
        <f t="shared" ca="1" si="89"/>
        <v>53281</v>
      </c>
      <c r="Q1380" s="115" t="e">
        <f ca="1"/>
        <v>#VALUE!</v>
      </c>
      <c r="S1380" s="92">
        <f t="shared" ca="1" si="90"/>
        <v>53281</v>
      </c>
      <c r="T1380" s="115" t="e">
        <f ca="1"/>
        <v>#VALUE!</v>
      </c>
      <c r="V1380" s="92">
        <f t="shared" ca="1" si="91"/>
        <v>53281</v>
      </c>
      <c r="W1380" s="115" t="e">
        <f ca="1"/>
        <v>#VALUE!</v>
      </c>
    </row>
    <row r="1381" spans="13:23">
      <c r="M1381" s="92">
        <f t="shared" ca="1" si="85"/>
        <v>53288</v>
      </c>
      <c r="N1381" s="115" t="e">
        <f ca="1"/>
        <v>#VALUE!</v>
      </c>
      <c r="P1381" s="92">
        <f t="shared" ca="1" si="89"/>
        <v>53288</v>
      </c>
      <c r="Q1381" s="115" t="e">
        <f ca="1"/>
        <v>#VALUE!</v>
      </c>
      <c r="S1381" s="92">
        <f t="shared" ca="1" si="90"/>
        <v>53288</v>
      </c>
      <c r="T1381" s="115" t="e">
        <f ca="1"/>
        <v>#VALUE!</v>
      </c>
      <c r="V1381" s="92">
        <f t="shared" ca="1" si="91"/>
        <v>53288</v>
      </c>
      <c r="W1381" s="115" t="e">
        <f ca="1"/>
        <v>#VALUE!</v>
      </c>
    </row>
    <row r="1382" spans="13:23">
      <c r="M1382" s="92">
        <f t="shared" ca="1" si="85"/>
        <v>53295</v>
      </c>
      <c r="N1382" s="115" t="e">
        <f ca="1"/>
        <v>#VALUE!</v>
      </c>
      <c r="P1382" s="92">
        <f t="shared" ca="1" si="89"/>
        <v>53295</v>
      </c>
      <c r="Q1382" s="115" t="e">
        <f ca="1"/>
        <v>#VALUE!</v>
      </c>
      <c r="S1382" s="92">
        <f t="shared" ca="1" si="90"/>
        <v>53295</v>
      </c>
      <c r="T1382" s="115" t="e">
        <f ca="1"/>
        <v>#VALUE!</v>
      </c>
      <c r="V1382" s="92">
        <f t="shared" ca="1" si="91"/>
        <v>53295</v>
      </c>
      <c r="W1382" s="115" t="e">
        <f ca="1"/>
        <v>#VALUE!</v>
      </c>
    </row>
    <row r="1383" spans="13:23">
      <c r="M1383" s="92">
        <f t="shared" ca="1" si="85"/>
        <v>53302</v>
      </c>
      <c r="N1383" s="115" t="e">
        <f ca="1"/>
        <v>#VALUE!</v>
      </c>
      <c r="P1383" s="92">
        <f t="shared" ca="1" si="89"/>
        <v>53302</v>
      </c>
      <c r="Q1383" s="115" t="e">
        <f ca="1"/>
        <v>#VALUE!</v>
      </c>
      <c r="S1383" s="92">
        <f t="shared" ca="1" si="90"/>
        <v>53302</v>
      </c>
      <c r="T1383" s="115" t="e">
        <f ca="1"/>
        <v>#VALUE!</v>
      </c>
      <c r="V1383" s="92">
        <f t="shared" ca="1" si="91"/>
        <v>53302</v>
      </c>
      <c r="W1383" s="115" t="e">
        <f ca="1"/>
        <v>#VALUE!</v>
      </c>
    </row>
    <row r="1384" spans="13:23">
      <c r="M1384" s="92">
        <f t="shared" ca="1" si="85"/>
        <v>53309</v>
      </c>
      <c r="N1384" s="115" t="e">
        <f ca="1"/>
        <v>#VALUE!</v>
      </c>
      <c r="P1384" s="92">
        <f t="shared" ca="1" si="89"/>
        <v>53309</v>
      </c>
      <c r="Q1384" s="115" t="e">
        <f ca="1"/>
        <v>#VALUE!</v>
      </c>
      <c r="S1384" s="92">
        <f t="shared" ca="1" si="90"/>
        <v>53309</v>
      </c>
      <c r="T1384" s="115" t="e">
        <f ca="1"/>
        <v>#VALUE!</v>
      </c>
      <c r="V1384" s="92">
        <f t="shared" ca="1" si="91"/>
        <v>53309</v>
      </c>
      <c r="W1384" s="115" t="e">
        <f ca="1"/>
        <v>#VALUE!</v>
      </c>
    </row>
    <row r="1385" spans="13:23">
      <c r="M1385" s="92">
        <f t="shared" ca="1" si="85"/>
        <v>53316</v>
      </c>
      <c r="N1385" s="115" t="e">
        <f ca="1"/>
        <v>#VALUE!</v>
      </c>
      <c r="P1385" s="92">
        <f t="shared" ca="1" si="89"/>
        <v>53316</v>
      </c>
      <c r="Q1385" s="115" t="e">
        <f ca="1"/>
        <v>#VALUE!</v>
      </c>
      <c r="S1385" s="92">
        <f t="shared" ca="1" si="90"/>
        <v>53316</v>
      </c>
      <c r="T1385" s="115" t="e">
        <f ca="1"/>
        <v>#VALUE!</v>
      </c>
      <c r="V1385" s="92">
        <f t="shared" ca="1" si="91"/>
        <v>53316</v>
      </c>
      <c r="W1385" s="115" t="e">
        <f ca="1"/>
        <v>#VALUE!</v>
      </c>
    </row>
    <row r="1386" spans="13:23">
      <c r="M1386" s="92">
        <f t="shared" ca="1" si="85"/>
        <v>53323</v>
      </c>
      <c r="N1386" s="115" t="e">
        <f ca="1"/>
        <v>#VALUE!</v>
      </c>
      <c r="P1386" s="92">
        <f t="shared" ca="1" si="89"/>
        <v>53323</v>
      </c>
      <c r="Q1386" s="115" t="e">
        <f ca="1"/>
        <v>#VALUE!</v>
      </c>
      <c r="S1386" s="92">
        <f t="shared" ca="1" si="90"/>
        <v>53323</v>
      </c>
      <c r="T1386" s="115" t="e">
        <f ca="1"/>
        <v>#VALUE!</v>
      </c>
      <c r="V1386" s="92">
        <f t="shared" ca="1" si="91"/>
        <v>53323</v>
      </c>
      <c r="W1386" s="115" t="e">
        <f ca="1"/>
        <v>#VALUE!</v>
      </c>
    </row>
    <row r="1387" spans="13:23">
      <c r="M1387" s="92">
        <f t="shared" ca="1" si="85"/>
        <v>53330</v>
      </c>
      <c r="N1387" s="115" t="e">
        <f ca="1"/>
        <v>#VALUE!</v>
      </c>
      <c r="P1387" s="92">
        <f t="shared" ca="1" si="89"/>
        <v>53330</v>
      </c>
      <c r="Q1387" s="115" t="e">
        <f ca="1"/>
        <v>#VALUE!</v>
      </c>
      <c r="S1387" s="92">
        <f t="shared" ca="1" si="90"/>
        <v>53330</v>
      </c>
      <c r="T1387" s="115" t="e">
        <f ca="1"/>
        <v>#VALUE!</v>
      </c>
      <c r="V1387" s="92">
        <f t="shared" ca="1" si="91"/>
        <v>53330</v>
      </c>
      <c r="W1387" s="115" t="e">
        <f ca="1"/>
        <v>#VALUE!</v>
      </c>
    </row>
    <row r="1388" spans="13:23">
      <c r="M1388" s="92">
        <f t="shared" ca="1" si="85"/>
        <v>53337</v>
      </c>
      <c r="N1388" s="115" t="e">
        <f ca="1"/>
        <v>#VALUE!</v>
      </c>
      <c r="P1388" s="92">
        <f t="shared" ca="1" si="89"/>
        <v>53337</v>
      </c>
      <c r="Q1388" s="115" t="e">
        <f ca="1"/>
        <v>#VALUE!</v>
      </c>
      <c r="S1388" s="92">
        <f t="shared" ca="1" si="90"/>
        <v>53337</v>
      </c>
      <c r="T1388" s="115" t="e">
        <f ca="1"/>
        <v>#VALUE!</v>
      </c>
      <c r="V1388" s="92">
        <f t="shared" ca="1" si="91"/>
        <v>53337</v>
      </c>
      <c r="W1388" s="115" t="e">
        <f ca="1"/>
        <v>#VALUE!</v>
      </c>
    </row>
    <row r="1389" spans="13:23">
      <c r="M1389" s="92">
        <f t="shared" ca="1" si="85"/>
        <v>53344</v>
      </c>
      <c r="N1389" s="115" t="e">
        <f ca="1"/>
        <v>#VALUE!</v>
      </c>
      <c r="P1389" s="92">
        <f t="shared" ca="1" si="89"/>
        <v>53344</v>
      </c>
      <c r="Q1389" s="115" t="e">
        <f ca="1"/>
        <v>#VALUE!</v>
      </c>
      <c r="S1389" s="92">
        <f t="shared" ca="1" si="90"/>
        <v>53344</v>
      </c>
      <c r="T1389" s="115" t="e">
        <f ca="1"/>
        <v>#VALUE!</v>
      </c>
      <c r="V1389" s="92">
        <f t="shared" ca="1" si="91"/>
        <v>53344</v>
      </c>
      <c r="W1389" s="115" t="e">
        <f ca="1"/>
        <v>#VALUE!</v>
      </c>
    </row>
    <row r="1390" spans="13:23">
      <c r="M1390" s="92">
        <f t="shared" ca="1" si="85"/>
        <v>53351</v>
      </c>
      <c r="N1390" s="115" t="e">
        <f ca="1"/>
        <v>#VALUE!</v>
      </c>
      <c r="P1390" s="92">
        <f t="shared" ca="1" si="89"/>
        <v>53351</v>
      </c>
      <c r="Q1390" s="115" t="e">
        <f ca="1"/>
        <v>#VALUE!</v>
      </c>
      <c r="S1390" s="92">
        <f t="shared" ca="1" si="90"/>
        <v>53351</v>
      </c>
      <c r="T1390" s="115" t="e">
        <f ca="1"/>
        <v>#VALUE!</v>
      </c>
      <c r="V1390" s="92">
        <f t="shared" ca="1" si="91"/>
        <v>53351</v>
      </c>
      <c r="W1390" s="115" t="e">
        <f ca="1"/>
        <v>#VALUE!</v>
      </c>
    </row>
    <row r="1391" spans="13:23">
      <c r="M1391" s="92">
        <f t="shared" ca="1" si="85"/>
        <v>53358</v>
      </c>
      <c r="N1391" s="115" t="e">
        <f ca="1"/>
        <v>#VALUE!</v>
      </c>
      <c r="P1391" s="92">
        <f t="shared" ca="1" si="89"/>
        <v>53358</v>
      </c>
      <c r="Q1391" s="115" t="e">
        <f ca="1"/>
        <v>#VALUE!</v>
      </c>
      <c r="S1391" s="92">
        <f t="shared" ca="1" si="90"/>
        <v>53358</v>
      </c>
      <c r="T1391" s="115" t="e">
        <f ca="1"/>
        <v>#VALUE!</v>
      </c>
      <c r="V1391" s="92">
        <f t="shared" ca="1" si="91"/>
        <v>53358</v>
      </c>
      <c r="W1391" s="115" t="e">
        <f ca="1"/>
        <v>#VALUE!</v>
      </c>
    </row>
    <row r="1392" spans="13:23">
      <c r="M1392" s="92">
        <f t="shared" ca="1" si="85"/>
        <v>53365</v>
      </c>
      <c r="N1392" s="115" t="e">
        <f ca="1"/>
        <v>#VALUE!</v>
      </c>
      <c r="P1392" s="92">
        <f t="shared" ca="1" si="89"/>
        <v>53365</v>
      </c>
      <c r="Q1392" s="115" t="e">
        <f ca="1"/>
        <v>#VALUE!</v>
      </c>
      <c r="S1392" s="92">
        <f t="shared" ca="1" si="90"/>
        <v>53365</v>
      </c>
      <c r="T1392" s="115" t="e">
        <f ca="1"/>
        <v>#VALUE!</v>
      </c>
      <c r="V1392" s="92">
        <f t="shared" ca="1" si="91"/>
        <v>53365</v>
      </c>
      <c r="W1392" s="115" t="e">
        <f ca="1"/>
        <v>#VALUE!</v>
      </c>
    </row>
    <row r="1393" spans="13:23">
      <c r="M1393" s="92">
        <f t="shared" ca="1" si="85"/>
        <v>53372</v>
      </c>
      <c r="N1393" s="115" t="e">
        <f ca="1"/>
        <v>#VALUE!</v>
      </c>
      <c r="P1393" s="92">
        <f t="shared" ca="1" si="89"/>
        <v>53372</v>
      </c>
      <c r="Q1393" s="115" t="e">
        <f ca="1"/>
        <v>#VALUE!</v>
      </c>
      <c r="S1393" s="92">
        <f t="shared" ca="1" si="90"/>
        <v>53372</v>
      </c>
      <c r="T1393" s="115" t="e">
        <f ca="1"/>
        <v>#VALUE!</v>
      </c>
      <c r="V1393" s="92">
        <f t="shared" ca="1" si="91"/>
        <v>53372</v>
      </c>
      <c r="W1393" s="115" t="e">
        <f ca="1"/>
        <v>#VALUE!</v>
      </c>
    </row>
    <row r="1394" spans="13:23">
      <c r="M1394" s="92">
        <f t="shared" ca="1" si="85"/>
        <v>53379</v>
      </c>
      <c r="N1394" s="115" t="e">
        <f ca="1"/>
        <v>#VALUE!</v>
      </c>
      <c r="P1394" s="92">
        <f t="shared" ca="1" si="89"/>
        <v>53379</v>
      </c>
      <c r="Q1394" s="115" t="e">
        <f ca="1"/>
        <v>#VALUE!</v>
      </c>
      <c r="S1394" s="92">
        <f t="shared" ca="1" si="90"/>
        <v>53379</v>
      </c>
      <c r="T1394" s="115" t="e">
        <f ca="1"/>
        <v>#VALUE!</v>
      </c>
      <c r="V1394" s="92">
        <f t="shared" ca="1" si="91"/>
        <v>53379</v>
      </c>
      <c r="W1394" s="115" t="e">
        <f ca="1"/>
        <v>#VALUE!</v>
      </c>
    </row>
    <row r="1395" spans="13:23">
      <c r="M1395" s="92">
        <f t="shared" ca="1" si="85"/>
        <v>53386</v>
      </c>
      <c r="N1395" s="115" t="e">
        <f ca="1"/>
        <v>#VALUE!</v>
      </c>
      <c r="P1395" s="92">
        <f t="shared" ca="1" si="89"/>
        <v>53386</v>
      </c>
      <c r="Q1395" s="115" t="e">
        <f ca="1"/>
        <v>#VALUE!</v>
      </c>
      <c r="S1395" s="92">
        <f t="shared" ca="1" si="90"/>
        <v>53386</v>
      </c>
      <c r="T1395" s="115" t="e">
        <f ca="1"/>
        <v>#VALUE!</v>
      </c>
      <c r="V1395" s="92">
        <f t="shared" ca="1" si="91"/>
        <v>53386</v>
      </c>
      <c r="W1395" s="115" t="e">
        <f ca="1"/>
        <v>#VALUE!</v>
      </c>
    </row>
    <row r="1396" spans="13:23">
      <c r="M1396" s="92">
        <f t="shared" ca="1" si="85"/>
        <v>53393</v>
      </c>
      <c r="N1396" s="115" t="e">
        <f ca="1"/>
        <v>#VALUE!</v>
      </c>
      <c r="P1396" s="92">
        <f t="shared" ca="1" si="89"/>
        <v>53393</v>
      </c>
      <c r="Q1396" s="115" t="e">
        <f ca="1"/>
        <v>#VALUE!</v>
      </c>
      <c r="S1396" s="92">
        <f t="shared" ca="1" si="90"/>
        <v>53393</v>
      </c>
      <c r="T1396" s="115" t="e">
        <f ca="1"/>
        <v>#VALUE!</v>
      </c>
      <c r="V1396" s="92">
        <f t="shared" ca="1" si="91"/>
        <v>53393</v>
      </c>
      <c r="W1396" s="115" t="e">
        <f ca="1"/>
        <v>#VALUE!</v>
      </c>
    </row>
    <row r="1397" spans="13:23">
      <c r="M1397" s="92">
        <f t="shared" ca="1" si="85"/>
        <v>53400</v>
      </c>
      <c r="N1397" s="115" t="e">
        <f ca="1"/>
        <v>#VALUE!</v>
      </c>
      <c r="P1397" s="92">
        <f t="shared" ca="1" si="89"/>
        <v>53400</v>
      </c>
      <c r="Q1397" s="115" t="e">
        <f ca="1"/>
        <v>#VALUE!</v>
      </c>
      <c r="S1397" s="92">
        <f t="shared" ca="1" si="90"/>
        <v>53400</v>
      </c>
      <c r="T1397" s="115" t="e">
        <f ca="1"/>
        <v>#VALUE!</v>
      </c>
      <c r="V1397" s="92">
        <f t="shared" ca="1" si="91"/>
        <v>53400</v>
      </c>
      <c r="W1397" s="115" t="e">
        <f ca="1"/>
        <v>#VALUE!</v>
      </c>
    </row>
    <row r="1398" spans="13:23">
      <c r="M1398" s="92">
        <f t="shared" ca="1" si="85"/>
        <v>53407</v>
      </c>
      <c r="N1398" s="115" t="e">
        <f ca="1"/>
        <v>#VALUE!</v>
      </c>
      <c r="P1398" s="92">
        <f t="shared" ca="1" si="89"/>
        <v>53407</v>
      </c>
      <c r="Q1398" s="115" t="e">
        <f ca="1"/>
        <v>#VALUE!</v>
      </c>
      <c r="S1398" s="92">
        <f t="shared" ca="1" si="90"/>
        <v>53407</v>
      </c>
      <c r="T1398" s="115" t="e">
        <f ca="1"/>
        <v>#VALUE!</v>
      </c>
      <c r="V1398" s="92">
        <f t="shared" ca="1" si="91"/>
        <v>53407</v>
      </c>
      <c r="W1398" s="115" t="e">
        <f ca="1"/>
        <v>#VALUE!</v>
      </c>
    </row>
    <row r="1399" spans="13:23">
      <c r="M1399" s="92">
        <f t="shared" ca="1" si="85"/>
        <v>53414</v>
      </c>
      <c r="N1399" s="115" t="e">
        <f ca="1"/>
        <v>#VALUE!</v>
      </c>
      <c r="P1399" s="92">
        <f t="shared" ca="1" si="89"/>
        <v>53414</v>
      </c>
      <c r="Q1399" s="115" t="e">
        <f ca="1"/>
        <v>#VALUE!</v>
      </c>
      <c r="S1399" s="92">
        <f t="shared" ca="1" si="90"/>
        <v>53414</v>
      </c>
      <c r="T1399" s="115" t="e">
        <f ca="1"/>
        <v>#VALUE!</v>
      </c>
      <c r="V1399" s="92">
        <f t="shared" ca="1" si="91"/>
        <v>53414</v>
      </c>
      <c r="W1399" s="115" t="e">
        <f ca="1"/>
        <v>#VALUE!</v>
      </c>
    </row>
    <row r="1400" spans="13:23">
      <c r="M1400" s="92">
        <f t="shared" ca="1" si="85"/>
        <v>53421</v>
      </c>
      <c r="N1400" s="115" t="e">
        <f ca="1"/>
        <v>#VALUE!</v>
      </c>
      <c r="P1400" s="92">
        <f t="shared" ca="1" si="89"/>
        <v>53421</v>
      </c>
      <c r="Q1400" s="115" t="e">
        <f ca="1"/>
        <v>#VALUE!</v>
      </c>
      <c r="S1400" s="92">
        <f t="shared" ca="1" si="90"/>
        <v>53421</v>
      </c>
      <c r="T1400" s="115" t="e">
        <f ca="1"/>
        <v>#VALUE!</v>
      </c>
      <c r="V1400" s="92">
        <f t="shared" ca="1" si="91"/>
        <v>53421</v>
      </c>
      <c r="W1400" s="115" t="e">
        <f ca="1"/>
        <v>#VALUE!</v>
      </c>
    </row>
    <row r="1401" spans="13:23">
      <c r="M1401" s="92">
        <f t="shared" ca="1" si="85"/>
        <v>53428</v>
      </c>
      <c r="N1401" s="115" t="e">
        <f ca="1"/>
        <v>#VALUE!</v>
      </c>
      <c r="P1401" s="92">
        <f t="shared" ca="1" si="89"/>
        <v>53428</v>
      </c>
      <c r="Q1401" s="115" t="e">
        <f ca="1"/>
        <v>#VALUE!</v>
      </c>
      <c r="S1401" s="92">
        <f t="shared" ca="1" si="90"/>
        <v>53428</v>
      </c>
      <c r="T1401" s="115" t="e">
        <f ca="1"/>
        <v>#VALUE!</v>
      </c>
      <c r="V1401" s="92">
        <f t="shared" ca="1" si="91"/>
        <v>53428</v>
      </c>
      <c r="W1401" s="115" t="e">
        <f ca="1"/>
        <v>#VALUE!</v>
      </c>
    </row>
    <row r="1402" spans="13:23">
      <c r="M1402" s="92">
        <f t="shared" ca="1" si="85"/>
        <v>53435</v>
      </c>
      <c r="N1402" s="115" t="e">
        <f ca="1"/>
        <v>#VALUE!</v>
      </c>
      <c r="P1402" s="92">
        <f t="shared" ca="1" si="89"/>
        <v>53435</v>
      </c>
      <c r="Q1402" s="115" t="e">
        <f ca="1"/>
        <v>#VALUE!</v>
      </c>
      <c r="S1402" s="92">
        <f t="shared" ca="1" si="90"/>
        <v>53435</v>
      </c>
      <c r="T1402" s="115" t="e">
        <f ca="1"/>
        <v>#VALUE!</v>
      </c>
      <c r="V1402" s="92">
        <f t="shared" ca="1" si="91"/>
        <v>53435</v>
      </c>
      <c r="W1402" s="115" t="e">
        <f ca="1"/>
        <v>#VALUE!</v>
      </c>
    </row>
    <row r="1403" spans="13:23">
      <c r="M1403" s="92">
        <f t="shared" ca="1" si="85"/>
        <v>53442</v>
      </c>
      <c r="N1403" s="115" t="e">
        <f ca="1"/>
        <v>#VALUE!</v>
      </c>
      <c r="P1403" s="92">
        <f t="shared" ca="1" si="89"/>
        <v>53442</v>
      </c>
      <c r="Q1403" s="115" t="e">
        <f ca="1"/>
        <v>#VALUE!</v>
      </c>
      <c r="S1403" s="92">
        <f t="shared" ca="1" si="90"/>
        <v>53442</v>
      </c>
      <c r="T1403" s="115" t="e">
        <f ca="1"/>
        <v>#VALUE!</v>
      </c>
      <c r="V1403" s="92">
        <f t="shared" ca="1" si="91"/>
        <v>53442</v>
      </c>
      <c r="W1403" s="115" t="e">
        <f ca="1"/>
        <v>#VALUE!</v>
      </c>
    </row>
    <row r="1404" spans="13:23">
      <c r="M1404" s="92">
        <f t="shared" ca="1" si="85"/>
        <v>53449</v>
      </c>
      <c r="N1404" s="115" t="e">
        <f ca="1"/>
        <v>#VALUE!</v>
      </c>
      <c r="P1404" s="92">
        <f t="shared" ca="1" si="89"/>
        <v>53449</v>
      </c>
      <c r="Q1404" s="115" t="e">
        <f ca="1"/>
        <v>#VALUE!</v>
      </c>
      <c r="S1404" s="92">
        <f t="shared" ca="1" si="90"/>
        <v>53449</v>
      </c>
      <c r="T1404" s="115" t="e">
        <f ca="1"/>
        <v>#VALUE!</v>
      </c>
      <c r="V1404" s="92">
        <f t="shared" ca="1" si="91"/>
        <v>53449</v>
      </c>
      <c r="W1404" s="115" t="e">
        <f ca="1"/>
        <v>#VALUE!</v>
      </c>
    </row>
    <row r="1405" spans="13:23">
      <c r="M1405" s="92">
        <f t="shared" ca="1" si="85"/>
        <v>53456</v>
      </c>
      <c r="N1405" s="115" t="e">
        <f ca="1"/>
        <v>#VALUE!</v>
      </c>
      <c r="P1405" s="92">
        <f t="shared" ca="1" si="89"/>
        <v>53456</v>
      </c>
      <c r="Q1405" s="115" t="e">
        <f ca="1"/>
        <v>#VALUE!</v>
      </c>
      <c r="S1405" s="92">
        <f t="shared" ca="1" si="90"/>
        <v>53456</v>
      </c>
      <c r="T1405" s="115" t="e">
        <f ca="1"/>
        <v>#VALUE!</v>
      </c>
      <c r="V1405" s="92">
        <f t="shared" ca="1" si="91"/>
        <v>53456</v>
      </c>
      <c r="W1405" s="115" t="e">
        <f ca="1"/>
        <v>#VALUE!</v>
      </c>
    </row>
    <row r="1406" spans="13:23">
      <c r="M1406" s="92">
        <f t="shared" ca="1" si="85"/>
        <v>53463</v>
      </c>
      <c r="N1406" s="115" t="e">
        <f ca="1"/>
        <v>#VALUE!</v>
      </c>
      <c r="P1406" s="92">
        <f t="shared" ca="1" si="89"/>
        <v>53463</v>
      </c>
      <c r="Q1406" s="115" t="e">
        <f ca="1"/>
        <v>#VALUE!</v>
      </c>
      <c r="S1406" s="92">
        <f t="shared" ca="1" si="90"/>
        <v>53463</v>
      </c>
      <c r="T1406" s="115" t="e">
        <f ca="1"/>
        <v>#VALUE!</v>
      </c>
      <c r="V1406" s="92">
        <f t="shared" ca="1" si="91"/>
        <v>53463</v>
      </c>
      <c r="W1406" s="115" t="e">
        <f ca="1"/>
        <v>#VALUE!</v>
      </c>
    </row>
    <row r="1407" spans="13:23">
      <c r="M1407" s="92">
        <f t="shared" ca="1" si="85"/>
        <v>53470</v>
      </c>
      <c r="N1407" s="115" t="e">
        <f ca="1"/>
        <v>#VALUE!</v>
      </c>
      <c r="P1407" s="92">
        <f t="shared" ca="1" si="89"/>
        <v>53470</v>
      </c>
      <c r="Q1407" s="115" t="e">
        <f ca="1"/>
        <v>#VALUE!</v>
      </c>
      <c r="S1407" s="92">
        <f t="shared" ca="1" si="90"/>
        <v>53470</v>
      </c>
      <c r="T1407" s="115" t="e">
        <f ca="1"/>
        <v>#VALUE!</v>
      </c>
      <c r="V1407" s="92">
        <f t="shared" ca="1" si="91"/>
        <v>53470</v>
      </c>
      <c r="W1407" s="115" t="e">
        <f ca="1"/>
        <v>#VALUE!</v>
      </c>
    </row>
    <row r="1408" spans="13:23">
      <c r="M1408" s="92">
        <f t="shared" ca="1" si="85"/>
        <v>53477</v>
      </c>
      <c r="N1408" s="115" t="e">
        <f ca="1"/>
        <v>#VALUE!</v>
      </c>
      <c r="P1408" s="92">
        <f t="shared" ca="1" si="89"/>
        <v>53477</v>
      </c>
      <c r="Q1408" s="115" t="e">
        <f ca="1"/>
        <v>#VALUE!</v>
      </c>
      <c r="S1408" s="92">
        <f t="shared" ca="1" si="90"/>
        <v>53477</v>
      </c>
      <c r="T1408" s="115" t="e">
        <f ca="1"/>
        <v>#VALUE!</v>
      </c>
      <c r="V1408" s="92">
        <f t="shared" ca="1" si="91"/>
        <v>53477</v>
      </c>
      <c r="W1408" s="115" t="e">
        <f ca="1"/>
        <v>#VALUE!</v>
      </c>
    </row>
    <row r="1409" spans="13:23">
      <c r="M1409" s="92">
        <f t="shared" ca="1" si="85"/>
        <v>53484</v>
      </c>
      <c r="N1409" s="115" t="e">
        <f ca="1"/>
        <v>#VALUE!</v>
      </c>
      <c r="P1409" s="92">
        <f t="shared" ca="1" si="89"/>
        <v>53484</v>
      </c>
      <c r="Q1409" s="115" t="e">
        <f ca="1"/>
        <v>#VALUE!</v>
      </c>
      <c r="S1409" s="92">
        <f t="shared" ca="1" si="90"/>
        <v>53484</v>
      </c>
      <c r="T1409" s="115" t="e">
        <f ca="1"/>
        <v>#VALUE!</v>
      </c>
      <c r="V1409" s="92">
        <f t="shared" ca="1" si="91"/>
        <v>53484</v>
      </c>
      <c r="W1409" s="115" t="e">
        <f ca="1"/>
        <v>#VALUE!</v>
      </c>
    </row>
    <row r="1410" spans="13:23">
      <c r="M1410" s="92">
        <f t="shared" ca="1" si="85"/>
        <v>53491</v>
      </c>
      <c r="N1410" s="115" t="e">
        <f ca="1"/>
        <v>#VALUE!</v>
      </c>
      <c r="P1410" s="92">
        <f t="shared" ca="1" si="89"/>
        <v>53491</v>
      </c>
      <c r="Q1410" s="115" t="e">
        <f ca="1"/>
        <v>#VALUE!</v>
      </c>
      <c r="S1410" s="92">
        <f t="shared" ca="1" si="90"/>
        <v>53491</v>
      </c>
      <c r="T1410" s="115" t="e">
        <f ca="1"/>
        <v>#VALUE!</v>
      </c>
      <c r="V1410" s="92">
        <f t="shared" ca="1" si="91"/>
        <v>53491</v>
      </c>
      <c r="W1410" s="115" t="e">
        <f ca="1"/>
        <v>#VALUE!</v>
      </c>
    </row>
    <row r="1411" spans="13:23">
      <c r="M1411" s="92">
        <f t="shared" ca="1" si="85"/>
        <v>53498</v>
      </c>
      <c r="N1411" s="115" t="e">
        <f ca="1"/>
        <v>#VALUE!</v>
      </c>
      <c r="P1411" s="92">
        <f t="shared" ca="1" si="89"/>
        <v>53498</v>
      </c>
      <c r="Q1411" s="115" t="e">
        <f ca="1"/>
        <v>#VALUE!</v>
      </c>
      <c r="S1411" s="92">
        <f t="shared" ca="1" si="90"/>
        <v>53498</v>
      </c>
      <c r="T1411" s="115" t="e">
        <f ca="1"/>
        <v>#VALUE!</v>
      </c>
      <c r="V1411" s="92">
        <f t="shared" ca="1" si="91"/>
        <v>53498</v>
      </c>
      <c r="W1411" s="115" t="e">
        <f ca="1"/>
        <v>#VALUE!</v>
      </c>
    </row>
    <row r="1412" spans="13:23">
      <c r="M1412" s="92">
        <f t="shared" ca="1" si="85"/>
        <v>53505</v>
      </c>
      <c r="N1412" s="115" t="e">
        <f ca="1"/>
        <v>#VALUE!</v>
      </c>
      <c r="P1412" s="92">
        <f t="shared" ca="1" si="89"/>
        <v>53505</v>
      </c>
      <c r="Q1412" s="115" t="e">
        <f ca="1"/>
        <v>#VALUE!</v>
      </c>
      <c r="S1412" s="92">
        <f t="shared" ca="1" si="90"/>
        <v>53505</v>
      </c>
      <c r="T1412" s="115" t="e">
        <f ca="1"/>
        <v>#VALUE!</v>
      </c>
      <c r="V1412" s="92">
        <f t="shared" ca="1" si="91"/>
        <v>53505</v>
      </c>
      <c r="W1412" s="115" t="e">
        <f ca="1"/>
        <v>#VALUE!</v>
      </c>
    </row>
    <row r="1413" spans="13:23">
      <c r="M1413" s="92">
        <f t="shared" ca="1" si="85"/>
        <v>53512</v>
      </c>
      <c r="N1413" s="115" t="e">
        <f ca="1"/>
        <v>#VALUE!</v>
      </c>
      <c r="P1413" s="92">
        <f t="shared" ca="1" si="89"/>
        <v>53512</v>
      </c>
      <c r="Q1413" s="115" t="e">
        <f ca="1"/>
        <v>#VALUE!</v>
      </c>
      <c r="S1413" s="92">
        <f t="shared" ca="1" si="90"/>
        <v>53512</v>
      </c>
      <c r="T1413" s="115" t="e">
        <f ca="1"/>
        <v>#VALUE!</v>
      </c>
      <c r="V1413" s="92">
        <f t="shared" ca="1" si="91"/>
        <v>53512</v>
      </c>
      <c r="W1413" s="115" t="e">
        <f ca="1"/>
        <v>#VALUE!</v>
      </c>
    </row>
    <row r="1414" spans="13:23">
      <c r="M1414" s="92">
        <f t="shared" ca="1" si="85"/>
        <v>53519</v>
      </c>
      <c r="N1414" s="115" t="e">
        <f ca="1"/>
        <v>#VALUE!</v>
      </c>
      <c r="P1414" s="92">
        <f t="shared" ca="1" si="89"/>
        <v>53519</v>
      </c>
      <c r="Q1414" s="115" t="e">
        <f ca="1"/>
        <v>#VALUE!</v>
      </c>
      <c r="S1414" s="92">
        <f t="shared" ca="1" si="90"/>
        <v>53519</v>
      </c>
      <c r="T1414" s="115" t="e">
        <f ca="1"/>
        <v>#VALUE!</v>
      </c>
      <c r="V1414" s="92">
        <f t="shared" ca="1" si="91"/>
        <v>53519</v>
      </c>
      <c r="W1414" s="115" t="e">
        <f ca="1"/>
        <v>#VALUE!</v>
      </c>
    </row>
    <row r="1415" spans="13:23">
      <c r="M1415" s="92">
        <f t="shared" ca="1" si="85"/>
        <v>53526</v>
      </c>
      <c r="N1415" s="115" t="e">
        <f ca="1"/>
        <v>#VALUE!</v>
      </c>
      <c r="P1415" s="92">
        <f t="shared" ca="1" si="89"/>
        <v>53526</v>
      </c>
      <c r="Q1415" s="115" t="e">
        <f ca="1"/>
        <v>#VALUE!</v>
      </c>
      <c r="S1415" s="92">
        <f t="shared" ca="1" si="90"/>
        <v>53526</v>
      </c>
      <c r="T1415" s="115" t="e">
        <f ca="1"/>
        <v>#VALUE!</v>
      </c>
      <c r="V1415" s="92">
        <f t="shared" ca="1" si="91"/>
        <v>53526</v>
      </c>
      <c r="W1415" s="115" t="e">
        <f ca="1"/>
        <v>#VALUE!</v>
      </c>
    </row>
    <row r="1416" spans="13:23">
      <c r="M1416" s="92">
        <f t="shared" ca="1" si="85"/>
        <v>53533</v>
      </c>
      <c r="N1416" s="115" t="e">
        <f ca="1"/>
        <v>#VALUE!</v>
      </c>
      <c r="P1416" s="92">
        <f t="shared" ca="1" si="89"/>
        <v>53533</v>
      </c>
      <c r="Q1416" s="115" t="e">
        <f ca="1"/>
        <v>#VALUE!</v>
      </c>
      <c r="S1416" s="92">
        <f t="shared" ca="1" si="90"/>
        <v>53533</v>
      </c>
      <c r="T1416" s="115" t="e">
        <f ca="1"/>
        <v>#VALUE!</v>
      </c>
      <c r="V1416" s="92">
        <f t="shared" ca="1" si="91"/>
        <v>53533</v>
      </c>
      <c r="W1416" s="115" t="e">
        <f ca="1"/>
        <v>#VALUE!</v>
      </c>
    </row>
    <row r="1417" spans="13:23">
      <c r="M1417" s="92">
        <f t="shared" ca="1" si="85"/>
        <v>53540</v>
      </c>
      <c r="N1417" s="115" t="e">
        <f ca="1"/>
        <v>#VALUE!</v>
      </c>
      <c r="P1417" s="92">
        <f t="shared" ca="1" si="89"/>
        <v>53540</v>
      </c>
      <c r="Q1417" s="115" t="e">
        <f ca="1"/>
        <v>#VALUE!</v>
      </c>
      <c r="S1417" s="92">
        <f t="shared" ca="1" si="90"/>
        <v>53540</v>
      </c>
      <c r="T1417" s="115" t="e">
        <f ca="1"/>
        <v>#VALUE!</v>
      </c>
      <c r="V1417" s="92">
        <f t="shared" ca="1" si="91"/>
        <v>53540</v>
      </c>
      <c r="W1417" s="115" t="e">
        <f ca="1"/>
        <v>#VALUE!</v>
      </c>
    </row>
    <row r="1418" spans="13:23">
      <c r="M1418" s="92">
        <f t="shared" ca="1" si="85"/>
        <v>53547</v>
      </c>
      <c r="N1418" s="115" t="e">
        <f ca="1"/>
        <v>#VALUE!</v>
      </c>
      <c r="P1418" s="92">
        <f t="shared" ca="1" si="89"/>
        <v>53547</v>
      </c>
      <c r="Q1418" s="115" t="e">
        <f ca="1"/>
        <v>#VALUE!</v>
      </c>
      <c r="S1418" s="92">
        <f t="shared" ca="1" si="90"/>
        <v>53547</v>
      </c>
      <c r="T1418" s="115" t="e">
        <f ca="1"/>
        <v>#VALUE!</v>
      </c>
      <c r="V1418" s="92">
        <f t="shared" ca="1" si="91"/>
        <v>53547</v>
      </c>
      <c r="W1418" s="115" t="e">
        <f ca="1"/>
        <v>#VALUE!</v>
      </c>
    </row>
    <row r="1419" spans="13:23">
      <c r="M1419" s="92">
        <f t="shared" ca="1" si="85"/>
        <v>53554</v>
      </c>
      <c r="N1419" s="115" t="e">
        <f ca="1"/>
        <v>#VALUE!</v>
      </c>
      <c r="P1419" s="92">
        <f t="shared" ca="1" si="89"/>
        <v>53554</v>
      </c>
      <c r="Q1419" s="115" t="e">
        <f ca="1"/>
        <v>#VALUE!</v>
      </c>
      <c r="S1419" s="92">
        <f t="shared" ca="1" si="90"/>
        <v>53554</v>
      </c>
      <c r="T1419" s="115" t="e">
        <f ca="1"/>
        <v>#VALUE!</v>
      </c>
      <c r="V1419" s="92">
        <f t="shared" ca="1" si="91"/>
        <v>53554</v>
      </c>
      <c r="W1419" s="115" t="e">
        <f ca="1"/>
        <v>#VALUE!</v>
      </c>
    </row>
    <row r="1420" spans="13:23">
      <c r="M1420" s="92">
        <f t="shared" ca="1" si="85"/>
        <v>53561</v>
      </c>
      <c r="N1420" s="115" t="e">
        <f ca="1"/>
        <v>#VALUE!</v>
      </c>
      <c r="P1420" s="92">
        <f t="shared" ca="1" si="89"/>
        <v>53561</v>
      </c>
      <c r="Q1420" s="115" t="e">
        <f ca="1"/>
        <v>#VALUE!</v>
      </c>
      <c r="S1420" s="92">
        <f t="shared" ca="1" si="90"/>
        <v>53561</v>
      </c>
      <c r="T1420" s="115" t="e">
        <f ca="1"/>
        <v>#VALUE!</v>
      </c>
      <c r="V1420" s="92">
        <f t="shared" ca="1" si="91"/>
        <v>53561</v>
      </c>
      <c r="W1420" s="115" t="e">
        <f ca="1"/>
        <v>#VALUE!</v>
      </c>
    </row>
    <row r="1421" spans="13:23">
      <c r="M1421" s="92">
        <f t="shared" ref="M1421:M1484" ca="1" si="92">M1420+7</f>
        <v>53568</v>
      </c>
      <c r="N1421" s="115" t="e">
        <f ca="1"/>
        <v>#VALUE!</v>
      </c>
      <c r="P1421" s="92">
        <f t="shared" ca="1" si="89"/>
        <v>53568</v>
      </c>
      <c r="Q1421" s="115" t="e">
        <f ca="1"/>
        <v>#VALUE!</v>
      </c>
      <c r="S1421" s="92">
        <f t="shared" ca="1" si="90"/>
        <v>53568</v>
      </c>
      <c r="T1421" s="115" t="e">
        <f ca="1"/>
        <v>#VALUE!</v>
      </c>
      <c r="V1421" s="92">
        <f t="shared" ca="1" si="91"/>
        <v>53568</v>
      </c>
      <c r="W1421" s="115" t="e">
        <f ca="1"/>
        <v>#VALUE!</v>
      </c>
    </row>
    <row r="1422" spans="13:23">
      <c r="M1422" s="92">
        <f t="shared" ca="1" si="92"/>
        <v>53575</v>
      </c>
      <c r="N1422" s="115" t="e">
        <f ca="1"/>
        <v>#VALUE!</v>
      </c>
      <c r="P1422" s="92">
        <f t="shared" ca="1" si="89"/>
        <v>53575</v>
      </c>
      <c r="Q1422" s="115" t="e">
        <f ca="1"/>
        <v>#VALUE!</v>
      </c>
      <c r="S1422" s="92">
        <f t="shared" ca="1" si="90"/>
        <v>53575</v>
      </c>
      <c r="T1422" s="115" t="e">
        <f ca="1"/>
        <v>#VALUE!</v>
      </c>
      <c r="V1422" s="92">
        <f t="shared" ca="1" si="91"/>
        <v>53575</v>
      </c>
      <c r="W1422" s="115" t="e">
        <f ca="1"/>
        <v>#VALUE!</v>
      </c>
    </row>
    <row r="1423" spans="13:23">
      <c r="M1423" s="92">
        <f t="shared" ca="1" si="92"/>
        <v>53582</v>
      </c>
      <c r="N1423" s="115" t="e">
        <f ca="1"/>
        <v>#VALUE!</v>
      </c>
      <c r="P1423" s="92">
        <f t="shared" ca="1" si="89"/>
        <v>53582</v>
      </c>
      <c r="Q1423" s="115" t="e">
        <f ca="1"/>
        <v>#VALUE!</v>
      </c>
      <c r="S1423" s="92">
        <f t="shared" ca="1" si="90"/>
        <v>53582</v>
      </c>
      <c r="T1423" s="115" t="e">
        <f ca="1"/>
        <v>#VALUE!</v>
      </c>
      <c r="V1423" s="92">
        <f t="shared" ca="1" si="91"/>
        <v>53582</v>
      </c>
      <c r="W1423" s="115" t="e">
        <f ca="1"/>
        <v>#VALUE!</v>
      </c>
    </row>
    <row r="1424" spans="13:23">
      <c r="M1424" s="92">
        <f t="shared" ca="1" si="92"/>
        <v>53589</v>
      </c>
      <c r="N1424" s="115" t="e">
        <f ca="1"/>
        <v>#VALUE!</v>
      </c>
      <c r="P1424" s="92">
        <f t="shared" ca="1" si="89"/>
        <v>53589</v>
      </c>
      <c r="Q1424" s="115" t="e">
        <f ca="1"/>
        <v>#VALUE!</v>
      </c>
      <c r="S1424" s="92">
        <f t="shared" ca="1" si="90"/>
        <v>53589</v>
      </c>
      <c r="T1424" s="115" t="e">
        <f ca="1"/>
        <v>#VALUE!</v>
      </c>
      <c r="V1424" s="92">
        <f t="shared" ca="1" si="91"/>
        <v>53589</v>
      </c>
      <c r="W1424" s="115" t="e">
        <f ca="1"/>
        <v>#VALUE!</v>
      </c>
    </row>
    <row r="1425" spans="13:23">
      <c r="M1425" s="92">
        <f t="shared" ca="1" si="92"/>
        <v>53596</v>
      </c>
      <c r="N1425" s="115" t="e">
        <f ca="1"/>
        <v>#VALUE!</v>
      </c>
      <c r="P1425" s="92">
        <f t="shared" ca="1" si="89"/>
        <v>53596</v>
      </c>
      <c r="Q1425" s="115" t="e">
        <f ca="1"/>
        <v>#VALUE!</v>
      </c>
      <c r="S1425" s="92">
        <f t="shared" ca="1" si="90"/>
        <v>53596</v>
      </c>
      <c r="T1425" s="115" t="e">
        <f ca="1"/>
        <v>#VALUE!</v>
      </c>
      <c r="V1425" s="92">
        <f t="shared" ca="1" si="91"/>
        <v>53596</v>
      </c>
      <c r="W1425" s="115" t="e">
        <f ca="1"/>
        <v>#VALUE!</v>
      </c>
    </row>
    <row r="1426" spans="13:23">
      <c r="M1426" s="92">
        <f t="shared" ca="1" si="92"/>
        <v>53603</v>
      </c>
      <c r="N1426" s="115" t="e">
        <f ca="1"/>
        <v>#VALUE!</v>
      </c>
      <c r="P1426" s="92">
        <f t="shared" ca="1" si="89"/>
        <v>53603</v>
      </c>
      <c r="Q1426" s="115" t="e">
        <f ca="1"/>
        <v>#VALUE!</v>
      </c>
      <c r="S1426" s="92">
        <f t="shared" ca="1" si="90"/>
        <v>53603</v>
      </c>
      <c r="T1426" s="115" t="e">
        <f ca="1"/>
        <v>#VALUE!</v>
      </c>
      <c r="V1426" s="92">
        <f t="shared" ca="1" si="91"/>
        <v>53603</v>
      </c>
      <c r="W1426" s="115" t="e">
        <f ca="1"/>
        <v>#VALUE!</v>
      </c>
    </row>
    <row r="1427" spans="13:23">
      <c r="M1427" s="92">
        <f t="shared" ca="1" si="92"/>
        <v>53610</v>
      </c>
      <c r="N1427" s="115" t="e">
        <f ca="1"/>
        <v>#VALUE!</v>
      </c>
      <c r="P1427" s="92">
        <f t="shared" ca="1" si="89"/>
        <v>53610</v>
      </c>
      <c r="Q1427" s="115" t="e">
        <f ca="1"/>
        <v>#VALUE!</v>
      </c>
      <c r="S1427" s="92">
        <f t="shared" ca="1" si="90"/>
        <v>53610</v>
      </c>
      <c r="T1427" s="115" t="e">
        <f ca="1"/>
        <v>#VALUE!</v>
      </c>
      <c r="V1427" s="92">
        <f t="shared" ca="1" si="91"/>
        <v>53610</v>
      </c>
      <c r="W1427" s="115" t="e">
        <f ca="1"/>
        <v>#VALUE!</v>
      </c>
    </row>
    <row r="1428" spans="13:23">
      <c r="M1428" s="92">
        <f t="shared" ca="1" si="92"/>
        <v>53617</v>
      </c>
      <c r="N1428" s="115" t="e">
        <f ca="1"/>
        <v>#VALUE!</v>
      </c>
      <c r="P1428" s="92">
        <f t="shared" ca="1" si="89"/>
        <v>53617</v>
      </c>
      <c r="Q1428" s="115" t="e">
        <f ca="1"/>
        <v>#VALUE!</v>
      </c>
      <c r="S1428" s="92">
        <f t="shared" ca="1" si="90"/>
        <v>53617</v>
      </c>
      <c r="T1428" s="115" t="e">
        <f ca="1"/>
        <v>#VALUE!</v>
      </c>
      <c r="V1428" s="92">
        <f t="shared" ca="1" si="91"/>
        <v>53617</v>
      </c>
      <c r="W1428" s="115" t="e">
        <f ca="1"/>
        <v>#VALUE!</v>
      </c>
    </row>
    <row r="1429" spans="13:23">
      <c r="M1429" s="92">
        <f t="shared" ca="1" si="92"/>
        <v>53624</v>
      </c>
      <c r="N1429" s="115" t="e">
        <f ca="1"/>
        <v>#VALUE!</v>
      </c>
      <c r="P1429" s="92">
        <f t="shared" ca="1" si="89"/>
        <v>53624</v>
      </c>
      <c r="Q1429" s="115" t="e">
        <f ca="1"/>
        <v>#VALUE!</v>
      </c>
      <c r="S1429" s="92">
        <f t="shared" ca="1" si="90"/>
        <v>53624</v>
      </c>
      <c r="T1429" s="115" t="e">
        <f ca="1"/>
        <v>#VALUE!</v>
      </c>
      <c r="V1429" s="92">
        <f t="shared" ca="1" si="91"/>
        <v>53624</v>
      </c>
      <c r="W1429" s="115" t="e">
        <f ca="1"/>
        <v>#VALUE!</v>
      </c>
    </row>
    <row r="1430" spans="13:23">
      <c r="M1430" s="92">
        <f t="shared" ca="1" si="92"/>
        <v>53631</v>
      </c>
      <c r="N1430" s="115" t="e">
        <f ca="1"/>
        <v>#VALUE!</v>
      </c>
      <c r="P1430" s="92">
        <f t="shared" ca="1" si="89"/>
        <v>53631</v>
      </c>
      <c r="Q1430" s="115" t="e">
        <f ca="1"/>
        <v>#VALUE!</v>
      </c>
      <c r="S1430" s="92">
        <f t="shared" ca="1" si="90"/>
        <v>53631</v>
      </c>
      <c r="T1430" s="115" t="e">
        <f ca="1"/>
        <v>#VALUE!</v>
      </c>
      <c r="V1430" s="92">
        <f t="shared" ca="1" si="91"/>
        <v>53631</v>
      </c>
      <c r="W1430" s="115" t="e">
        <f ca="1"/>
        <v>#VALUE!</v>
      </c>
    </row>
    <row r="1431" spans="13:23">
      <c r="M1431" s="92">
        <f t="shared" ca="1" si="92"/>
        <v>53638</v>
      </c>
      <c r="N1431" s="115" t="e">
        <f ca="1"/>
        <v>#VALUE!</v>
      </c>
      <c r="P1431" s="92">
        <f t="shared" ca="1" si="89"/>
        <v>53638</v>
      </c>
      <c r="Q1431" s="115" t="e">
        <f ca="1"/>
        <v>#VALUE!</v>
      </c>
      <c r="S1431" s="92">
        <f t="shared" ca="1" si="90"/>
        <v>53638</v>
      </c>
      <c r="T1431" s="115" t="e">
        <f ca="1"/>
        <v>#VALUE!</v>
      </c>
      <c r="V1431" s="92">
        <f t="shared" ca="1" si="91"/>
        <v>53638</v>
      </c>
      <c r="W1431" s="115" t="e">
        <f ca="1"/>
        <v>#VALUE!</v>
      </c>
    </row>
    <row r="1432" spans="13:23">
      <c r="M1432" s="92">
        <f t="shared" ca="1" si="92"/>
        <v>53645</v>
      </c>
      <c r="N1432" s="115" t="e">
        <f ca="1"/>
        <v>#VALUE!</v>
      </c>
      <c r="P1432" s="92">
        <f t="shared" ca="1" si="89"/>
        <v>53645</v>
      </c>
      <c r="Q1432" s="115" t="e">
        <f ca="1"/>
        <v>#VALUE!</v>
      </c>
      <c r="S1432" s="92">
        <f t="shared" ca="1" si="90"/>
        <v>53645</v>
      </c>
      <c r="T1432" s="115" t="e">
        <f ca="1"/>
        <v>#VALUE!</v>
      </c>
      <c r="V1432" s="92">
        <f t="shared" ca="1" si="91"/>
        <v>53645</v>
      </c>
      <c r="W1432" s="115" t="e">
        <f ca="1"/>
        <v>#VALUE!</v>
      </c>
    </row>
    <row r="1433" spans="13:23">
      <c r="M1433" s="92">
        <f t="shared" ca="1" si="92"/>
        <v>53652</v>
      </c>
      <c r="N1433" s="115" t="e">
        <f ca="1"/>
        <v>#VALUE!</v>
      </c>
      <c r="P1433" s="92">
        <f t="shared" ca="1" si="89"/>
        <v>53652</v>
      </c>
      <c r="Q1433" s="115" t="e">
        <f ca="1"/>
        <v>#VALUE!</v>
      </c>
      <c r="S1433" s="92">
        <f t="shared" ca="1" si="90"/>
        <v>53652</v>
      </c>
      <c r="T1433" s="115" t="e">
        <f ca="1"/>
        <v>#VALUE!</v>
      </c>
      <c r="V1433" s="92">
        <f t="shared" ca="1" si="91"/>
        <v>53652</v>
      </c>
      <c r="W1433" s="115" t="e">
        <f ca="1"/>
        <v>#VALUE!</v>
      </c>
    </row>
    <row r="1434" spans="13:23">
      <c r="M1434" s="92">
        <f t="shared" ca="1" si="92"/>
        <v>53659</v>
      </c>
      <c r="N1434" s="115" t="e">
        <f ca="1"/>
        <v>#VALUE!</v>
      </c>
      <c r="P1434" s="92">
        <f t="shared" ca="1" si="89"/>
        <v>53659</v>
      </c>
      <c r="Q1434" s="115" t="e">
        <f ca="1"/>
        <v>#VALUE!</v>
      </c>
      <c r="S1434" s="92">
        <f t="shared" ca="1" si="90"/>
        <v>53659</v>
      </c>
      <c r="T1434" s="115" t="e">
        <f ca="1"/>
        <v>#VALUE!</v>
      </c>
      <c r="V1434" s="92">
        <f t="shared" ca="1" si="91"/>
        <v>53659</v>
      </c>
      <c r="W1434" s="115" t="e">
        <f ca="1"/>
        <v>#VALUE!</v>
      </c>
    </row>
    <row r="1435" spans="13:23">
      <c r="M1435" s="92">
        <f t="shared" ca="1" si="92"/>
        <v>53666</v>
      </c>
      <c r="N1435" s="115" t="e">
        <f ca="1"/>
        <v>#VALUE!</v>
      </c>
      <c r="P1435" s="92">
        <f t="shared" ca="1" si="89"/>
        <v>53666</v>
      </c>
      <c r="Q1435" s="115" t="e">
        <f ca="1"/>
        <v>#VALUE!</v>
      </c>
      <c r="S1435" s="92">
        <f t="shared" ca="1" si="90"/>
        <v>53666</v>
      </c>
      <c r="T1435" s="115" t="e">
        <f ca="1"/>
        <v>#VALUE!</v>
      </c>
      <c r="V1435" s="92">
        <f t="shared" ca="1" si="91"/>
        <v>53666</v>
      </c>
      <c r="W1435" s="115" t="e">
        <f ca="1"/>
        <v>#VALUE!</v>
      </c>
    </row>
    <row r="1436" spans="13:23">
      <c r="M1436" s="92">
        <f t="shared" ca="1" si="92"/>
        <v>53673</v>
      </c>
      <c r="N1436" s="115" t="e">
        <f ca="1"/>
        <v>#VALUE!</v>
      </c>
      <c r="P1436" s="92">
        <f t="shared" ca="1" si="89"/>
        <v>53673</v>
      </c>
      <c r="Q1436" s="115" t="e">
        <f ca="1"/>
        <v>#VALUE!</v>
      </c>
      <c r="S1436" s="92">
        <f t="shared" ca="1" si="90"/>
        <v>53673</v>
      </c>
      <c r="T1436" s="115" t="e">
        <f ca="1"/>
        <v>#VALUE!</v>
      </c>
      <c r="V1436" s="92">
        <f t="shared" ca="1" si="91"/>
        <v>53673</v>
      </c>
      <c r="W1436" s="115" t="e">
        <f ca="1"/>
        <v>#VALUE!</v>
      </c>
    </row>
    <row r="1437" spans="13:23">
      <c r="M1437" s="92">
        <f t="shared" ca="1" si="92"/>
        <v>53680</v>
      </c>
      <c r="N1437" s="115" t="e">
        <f ca="1"/>
        <v>#VALUE!</v>
      </c>
      <c r="P1437" s="92">
        <f t="shared" ref="P1437:P1500" ca="1" si="93">P1436+7</f>
        <v>53680</v>
      </c>
      <c r="Q1437" s="115" t="e">
        <f ca="1"/>
        <v>#VALUE!</v>
      </c>
      <c r="S1437" s="92">
        <f t="shared" ref="S1437:S1500" ca="1" si="94">S1436+7</f>
        <v>53680</v>
      </c>
      <c r="T1437" s="115" t="e">
        <f ca="1"/>
        <v>#VALUE!</v>
      </c>
      <c r="V1437" s="92">
        <f t="shared" ref="V1437:V1500" ca="1" si="95">V1436+7</f>
        <v>53680</v>
      </c>
      <c r="W1437" s="115" t="e">
        <f ca="1"/>
        <v>#VALUE!</v>
      </c>
    </row>
    <row r="1438" spans="13:23">
      <c r="M1438" s="92">
        <f t="shared" ca="1" si="92"/>
        <v>53687</v>
      </c>
      <c r="N1438" s="115" t="e">
        <f ca="1"/>
        <v>#VALUE!</v>
      </c>
      <c r="P1438" s="92">
        <f t="shared" ca="1" si="93"/>
        <v>53687</v>
      </c>
      <c r="Q1438" s="115" t="e">
        <f ca="1"/>
        <v>#VALUE!</v>
      </c>
      <c r="S1438" s="92">
        <f t="shared" ca="1" si="94"/>
        <v>53687</v>
      </c>
      <c r="T1438" s="115" t="e">
        <f ca="1"/>
        <v>#VALUE!</v>
      </c>
      <c r="V1438" s="92">
        <f t="shared" ca="1" si="95"/>
        <v>53687</v>
      </c>
      <c r="W1438" s="115" t="e">
        <f ca="1"/>
        <v>#VALUE!</v>
      </c>
    </row>
    <row r="1439" spans="13:23">
      <c r="M1439" s="92">
        <f t="shared" ca="1" si="92"/>
        <v>53694</v>
      </c>
      <c r="N1439" s="115" t="e">
        <f ca="1"/>
        <v>#VALUE!</v>
      </c>
      <c r="P1439" s="92">
        <f t="shared" ca="1" si="93"/>
        <v>53694</v>
      </c>
      <c r="Q1439" s="115" t="e">
        <f ca="1"/>
        <v>#VALUE!</v>
      </c>
      <c r="S1439" s="92">
        <f t="shared" ca="1" si="94"/>
        <v>53694</v>
      </c>
      <c r="T1439" s="115" t="e">
        <f ca="1"/>
        <v>#VALUE!</v>
      </c>
      <c r="V1439" s="92">
        <f t="shared" ca="1" si="95"/>
        <v>53694</v>
      </c>
      <c r="W1439" s="115" t="e">
        <f ca="1"/>
        <v>#VALUE!</v>
      </c>
    </row>
    <row r="1440" spans="13:23">
      <c r="M1440" s="92">
        <f t="shared" ca="1" si="92"/>
        <v>53701</v>
      </c>
      <c r="N1440" s="115" t="e">
        <f ca="1"/>
        <v>#VALUE!</v>
      </c>
      <c r="P1440" s="92">
        <f t="shared" ca="1" si="93"/>
        <v>53701</v>
      </c>
      <c r="Q1440" s="115" t="e">
        <f ca="1"/>
        <v>#VALUE!</v>
      </c>
      <c r="S1440" s="92">
        <f t="shared" ca="1" si="94"/>
        <v>53701</v>
      </c>
      <c r="T1440" s="115" t="e">
        <f ca="1"/>
        <v>#VALUE!</v>
      </c>
      <c r="V1440" s="92">
        <f t="shared" ca="1" si="95"/>
        <v>53701</v>
      </c>
      <c r="W1440" s="115" t="e">
        <f ca="1"/>
        <v>#VALUE!</v>
      </c>
    </row>
    <row r="1441" spans="13:23">
      <c r="M1441" s="92">
        <f t="shared" ca="1" si="92"/>
        <v>53708</v>
      </c>
      <c r="N1441" s="115" t="e">
        <f ca="1"/>
        <v>#VALUE!</v>
      </c>
      <c r="P1441" s="92">
        <f t="shared" ca="1" si="93"/>
        <v>53708</v>
      </c>
      <c r="Q1441" s="115" t="e">
        <f ca="1"/>
        <v>#VALUE!</v>
      </c>
      <c r="S1441" s="92">
        <f t="shared" ca="1" si="94"/>
        <v>53708</v>
      </c>
      <c r="T1441" s="115" t="e">
        <f ca="1"/>
        <v>#VALUE!</v>
      </c>
      <c r="V1441" s="92">
        <f t="shared" ca="1" si="95"/>
        <v>53708</v>
      </c>
      <c r="W1441" s="115" t="e">
        <f ca="1"/>
        <v>#VALUE!</v>
      </c>
    </row>
    <row r="1442" spans="13:23">
      <c r="M1442" s="92">
        <f t="shared" ca="1" si="92"/>
        <v>53715</v>
      </c>
      <c r="N1442" s="115" t="e">
        <f ca="1"/>
        <v>#VALUE!</v>
      </c>
      <c r="P1442" s="92">
        <f t="shared" ca="1" si="93"/>
        <v>53715</v>
      </c>
      <c r="Q1442" s="115" t="e">
        <f ca="1"/>
        <v>#VALUE!</v>
      </c>
      <c r="S1442" s="92">
        <f t="shared" ca="1" si="94"/>
        <v>53715</v>
      </c>
      <c r="T1442" s="115" t="e">
        <f ca="1"/>
        <v>#VALUE!</v>
      </c>
      <c r="V1442" s="92">
        <f t="shared" ca="1" si="95"/>
        <v>53715</v>
      </c>
      <c r="W1442" s="115" t="e">
        <f ca="1"/>
        <v>#VALUE!</v>
      </c>
    </row>
    <row r="1443" spans="13:23">
      <c r="M1443" s="92">
        <f t="shared" ca="1" si="92"/>
        <v>53722</v>
      </c>
      <c r="N1443" s="115" t="e">
        <f ca="1"/>
        <v>#VALUE!</v>
      </c>
      <c r="P1443" s="92">
        <f t="shared" ca="1" si="93"/>
        <v>53722</v>
      </c>
      <c r="Q1443" s="115" t="e">
        <f ca="1"/>
        <v>#VALUE!</v>
      </c>
      <c r="S1443" s="92">
        <f t="shared" ca="1" si="94"/>
        <v>53722</v>
      </c>
      <c r="T1443" s="115" t="e">
        <f ca="1"/>
        <v>#VALUE!</v>
      </c>
      <c r="V1443" s="92">
        <f t="shared" ca="1" si="95"/>
        <v>53722</v>
      </c>
      <c r="W1443" s="115" t="e">
        <f ca="1"/>
        <v>#VALUE!</v>
      </c>
    </row>
    <row r="1444" spans="13:23">
      <c r="M1444" s="92">
        <f t="shared" ca="1" si="92"/>
        <v>53729</v>
      </c>
      <c r="N1444" s="115" t="e">
        <f ca="1"/>
        <v>#VALUE!</v>
      </c>
      <c r="P1444" s="92">
        <f t="shared" ca="1" si="93"/>
        <v>53729</v>
      </c>
      <c r="Q1444" s="115" t="e">
        <f ca="1"/>
        <v>#VALUE!</v>
      </c>
      <c r="S1444" s="92">
        <f t="shared" ca="1" si="94"/>
        <v>53729</v>
      </c>
      <c r="T1444" s="115" t="e">
        <f ca="1"/>
        <v>#VALUE!</v>
      </c>
      <c r="V1444" s="92">
        <f t="shared" ca="1" si="95"/>
        <v>53729</v>
      </c>
      <c r="W1444" s="115" t="e">
        <f ca="1"/>
        <v>#VALUE!</v>
      </c>
    </row>
    <row r="1445" spans="13:23">
      <c r="M1445" s="92">
        <f t="shared" ca="1" si="92"/>
        <v>53736</v>
      </c>
      <c r="N1445" s="115" t="e">
        <f ca="1"/>
        <v>#VALUE!</v>
      </c>
      <c r="P1445" s="92">
        <f t="shared" ca="1" si="93"/>
        <v>53736</v>
      </c>
      <c r="Q1445" s="115" t="e">
        <f ca="1"/>
        <v>#VALUE!</v>
      </c>
      <c r="S1445" s="92">
        <f t="shared" ca="1" si="94"/>
        <v>53736</v>
      </c>
      <c r="T1445" s="115" t="e">
        <f ca="1"/>
        <v>#VALUE!</v>
      </c>
      <c r="V1445" s="92">
        <f t="shared" ca="1" si="95"/>
        <v>53736</v>
      </c>
      <c r="W1445" s="115" t="e">
        <f ca="1"/>
        <v>#VALUE!</v>
      </c>
    </row>
    <row r="1446" spans="13:23">
      <c r="M1446" s="92">
        <f t="shared" ca="1" si="92"/>
        <v>53743</v>
      </c>
      <c r="N1446" s="115" t="e">
        <f ca="1"/>
        <v>#VALUE!</v>
      </c>
      <c r="P1446" s="92">
        <f t="shared" ca="1" si="93"/>
        <v>53743</v>
      </c>
      <c r="Q1446" s="115" t="e">
        <f ca="1"/>
        <v>#VALUE!</v>
      </c>
      <c r="S1446" s="92">
        <f t="shared" ca="1" si="94"/>
        <v>53743</v>
      </c>
      <c r="T1446" s="115" t="e">
        <f ca="1"/>
        <v>#VALUE!</v>
      </c>
      <c r="V1446" s="92">
        <f t="shared" ca="1" si="95"/>
        <v>53743</v>
      </c>
      <c r="W1446" s="115" t="e">
        <f ca="1"/>
        <v>#VALUE!</v>
      </c>
    </row>
    <row r="1447" spans="13:23">
      <c r="M1447" s="92">
        <f t="shared" ca="1" si="92"/>
        <v>53750</v>
      </c>
      <c r="N1447" s="115" t="e">
        <f ca="1"/>
        <v>#VALUE!</v>
      </c>
      <c r="P1447" s="92">
        <f t="shared" ca="1" si="93"/>
        <v>53750</v>
      </c>
      <c r="Q1447" s="115" t="e">
        <f ca="1"/>
        <v>#VALUE!</v>
      </c>
      <c r="S1447" s="92">
        <f t="shared" ca="1" si="94"/>
        <v>53750</v>
      </c>
      <c r="T1447" s="115" t="e">
        <f ca="1"/>
        <v>#VALUE!</v>
      </c>
      <c r="V1447" s="92">
        <f t="shared" ca="1" si="95"/>
        <v>53750</v>
      </c>
      <c r="W1447" s="115" t="e">
        <f ca="1"/>
        <v>#VALUE!</v>
      </c>
    </row>
    <row r="1448" spans="13:23">
      <c r="M1448" s="92">
        <f t="shared" ca="1" si="92"/>
        <v>53757</v>
      </c>
      <c r="N1448" s="115" t="e">
        <f ca="1"/>
        <v>#VALUE!</v>
      </c>
      <c r="P1448" s="92">
        <f t="shared" ca="1" si="93"/>
        <v>53757</v>
      </c>
      <c r="Q1448" s="115" t="e">
        <f ca="1"/>
        <v>#VALUE!</v>
      </c>
      <c r="S1448" s="92">
        <f t="shared" ca="1" si="94"/>
        <v>53757</v>
      </c>
      <c r="T1448" s="115" t="e">
        <f ca="1"/>
        <v>#VALUE!</v>
      </c>
      <c r="V1448" s="92">
        <f t="shared" ca="1" si="95"/>
        <v>53757</v>
      </c>
      <c r="W1448" s="115" t="e">
        <f ca="1"/>
        <v>#VALUE!</v>
      </c>
    </row>
    <row r="1449" spans="13:23">
      <c r="M1449" s="92">
        <f t="shared" ca="1" si="92"/>
        <v>53764</v>
      </c>
      <c r="N1449" s="115" t="e">
        <f ca="1"/>
        <v>#VALUE!</v>
      </c>
      <c r="P1449" s="92">
        <f t="shared" ca="1" si="93"/>
        <v>53764</v>
      </c>
      <c r="Q1449" s="115" t="e">
        <f ca="1"/>
        <v>#VALUE!</v>
      </c>
      <c r="S1449" s="92">
        <f t="shared" ca="1" si="94"/>
        <v>53764</v>
      </c>
      <c r="T1449" s="115" t="e">
        <f ca="1"/>
        <v>#VALUE!</v>
      </c>
      <c r="V1449" s="92">
        <f t="shared" ca="1" si="95"/>
        <v>53764</v>
      </c>
      <c r="W1449" s="115" t="e">
        <f ca="1"/>
        <v>#VALUE!</v>
      </c>
    </row>
    <row r="1450" spans="13:23">
      <c r="M1450" s="92">
        <f t="shared" ca="1" si="92"/>
        <v>53771</v>
      </c>
      <c r="N1450" s="115" t="e">
        <f ca="1"/>
        <v>#VALUE!</v>
      </c>
      <c r="P1450" s="92">
        <f t="shared" ca="1" si="93"/>
        <v>53771</v>
      </c>
      <c r="Q1450" s="115" t="e">
        <f ca="1"/>
        <v>#VALUE!</v>
      </c>
      <c r="S1450" s="92">
        <f t="shared" ca="1" si="94"/>
        <v>53771</v>
      </c>
      <c r="T1450" s="115" t="e">
        <f ca="1"/>
        <v>#VALUE!</v>
      </c>
      <c r="V1450" s="92">
        <f t="shared" ca="1" si="95"/>
        <v>53771</v>
      </c>
      <c r="W1450" s="115" t="e">
        <f ca="1"/>
        <v>#VALUE!</v>
      </c>
    </row>
    <row r="1451" spans="13:23">
      <c r="M1451" s="92">
        <f t="shared" ca="1" si="92"/>
        <v>53778</v>
      </c>
      <c r="N1451" s="115" t="e">
        <f ca="1"/>
        <v>#VALUE!</v>
      </c>
      <c r="P1451" s="92">
        <f t="shared" ca="1" si="93"/>
        <v>53778</v>
      </c>
      <c r="Q1451" s="115" t="e">
        <f ca="1"/>
        <v>#VALUE!</v>
      </c>
      <c r="S1451" s="92">
        <f t="shared" ca="1" si="94"/>
        <v>53778</v>
      </c>
      <c r="T1451" s="115" t="e">
        <f ca="1"/>
        <v>#VALUE!</v>
      </c>
      <c r="V1451" s="92">
        <f t="shared" ca="1" si="95"/>
        <v>53778</v>
      </c>
      <c r="W1451" s="115" t="e">
        <f ca="1"/>
        <v>#VALUE!</v>
      </c>
    </row>
    <row r="1452" spans="13:23">
      <c r="M1452" s="92">
        <f t="shared" ca="1" si="92"/>
        <v>53785</v>
      </c>
      <c r="N1452" s="115" t="e">
        <f ca="1"/>
        <v>#VALUE!</v>
      </c>
      <c r="P1452" s="92">
        <f t="shared" ca="1" si="93"/>
        <v>53785</v>
      </c>
      <c r="Q1452" s="115" t="e">
        <f ca="1"/>
        <v>#VALUE!</v>
      </c>
      <c r="S1452" s="92">
        <f t="shared" ca="1" si="94"/>
        <v>53785</v>
      </c>
      <c r="T1452" s="115" t="e">
        <f ca="1"/>
        <v>#VALUE!</v>
      </c>
      <c r="V1452" s="92">
        <f t="shared" ca="1" si="95"/>
        <v>53785</v>
      </c>
      <c r="W1452" s="115" t="e">
        <f ca="1"/>
        <v>#VALUE!</v>
      </c>
    </row>
    <row r="1453" spans="13:23">
      <c r="M1453" s="92">
        <f t="shared" ca="1" si="92"/>
        <v>53792</v>
      </c>
      <c r="N1453" s="115" t="e">
        <f ca="1"/>
        <v>#VALUE!</v>
      </c>
      <c r="P1453" s="92">
        <f t="shared" ca="1" si="93"/>
        <v>53792</v>
      </c>
      <c r="Q1453" s="115" t="e">
        <f ca="1"/>
        <v>#VALUE!</v>
      </c>
      <c r="S1453" s="92">
        <f t="shared" ca="1" si="94"/>
        <v>53792</v>
      </c>
      <c r="T1453" s="115" t="e">
        <f ca="1"/>
        <v>#VALUE!</v>
      </c>
      <c r="V1453" s="92">
        <f t="shared" ca="1" si="95"/>
        <v>53792</v>
      </c>
      <c r="W1453" s="115" t="e">
        <f ca="1"/>
        <v>#VALUE!</v>
      </c>
    </row>
    <row r="1454" spans="13:23">
      <c r="M1454" s="92">
        <f t="shared" ca="1" si="92"/>
        <v>53799</v>
      </c>
      <c r="N1454" s="115" t="e">
        <f ca="1"/>
        <v>#VALUE!</v>
      </c>
      <c r="P1454" s="92">
        <f t="shared" ca="1" si="93"/>
        <v>53799</v>
      </c>
      <c r="Q1454" s="115" t="e">
        <f ca="1"/>
        <v>#VALUE!</v>
      </c>
      <c r="S1454" s="92">
        <f t="shared" ca="1" si="94"/>
        <v>53799</v>
      </c>
      <c r="T1454" s="115" t="e">
        <f ca="1"/>
        <v>#VALUE!</v>
      </c>
      <c r="V1454" s="92">
        <f t="shared" ca="1" si="95"/>
        <v>53799</v>
      </c>
      <c r="W1454" s="115" t="e">
        <f ca="1"/>
        <v>#VALUE!</v>
      </c>
    </row>
    <row r="1455" spans="13:23">
      <c r="M1455" s="92">
        <f t="shared" ca="1" si="92"/>
        <v>53806</v>
      </c>
      <c r="N1455" s="115" t="e">
        <f ca="1"/>
        <v>#VALUE!</v>
      </c>
      <c r="P1455" s="92">
        <f t="shared" ca="1" si="93"/>
        <v>53806</v>
      </c>
      <c r="Q1455" s="115" t="e">
        <f ca="1"/>
        <v>#VALUE!</v>
      </c>
      <c r="S1455" s="92">
        <f t="shared" ca="1" si="94"/>
        <v>53806</v>
      </c>
      <c r="T1455" s="115" t="e">
        <f ca="1"/>
        <v>#VALUE!</v>
      </c>
      <c r="V1455" s="92">
        <f t="shared" ca="1" si="95"/>
        <v>53806</v>
      </c>
      <c r="W1455" s="115" t="e">
        <f ca="1"/>
        <v>#VALUE!</v>
      </c>
    </row>
    <row r="1456" spans="13:23">
      <c r="M1456" s="92">
        <f t="shared" ca="1" si="92"/>
        <v>53813</v>
      </c>
      <c r="N1456" s="115" t="e">
        <f ca="1"/>
        <v>#VALUE!</v>
      </c>
      <c r="P1456" s="92">
        <f t="shared" ca="1" si="93"/>
        <v>53813</v>
      </c>
      <c r="Q1456" s="115" t="e">
        <f ca="1"/>
        <v>#VALUE!</v>
      </c>
      <c r="S1456" s="92">
        <f t="shared" ca="1" si="94"/>
        <v>53813</v>
      </c>
      <c r="T1456" s="115" t="e">
        <f ca="1"/>
        <v>#VALUE!</v>
      </c>
      <c r="V1456" s="92">
        <f t="shared" ca="1" si="95"/>
        <v>53813</v>
      </c>
      <c r="W1456" s="115" t="e">
        <f ca="1"/>
        <v>#VALUE!</v>
      </c>
    </row>
    <row r="1457" spans="13:23">
      <c r="M1457" s="92">
        <f t="shared" ca="1" si="92"/>
        <v>53820</v>
      </c>
      <c r="N1457" s="115" t="e">
        <f ca="1"/>
        <v>#VALUE!</v>
      </c>
      <c r="P1457" s="92">
        <f t="shared" ca="1" si="93"/>
        <v>53820</v>
      </c>
      <c r="Q1457" s="115" t="e">
        <f ca="1"/>
        <v>#VALUE!</v>
      </c>
      <c r="S1457" s="92">
        <f t="shared" ca="1" si="94"/>
        <v>53820</v>
      </c>
      <c r="T1457" s="115" t="e">
        <f ca="1"/>
        <v>#VALUE!</v>
      </c>
      <c r="V1457" s="92">
        <f t="shared" ca="1" si="95"/>
        <v>53820</v>
      </c>
      <c r="W1457" s="115" t="e">
        <f ca="1"/>
        <v>#VALUE!</v>
      </c>
    </row>
    <row r="1458" spans="13:23">
      <c r="M1458" s="92">
        <f t="shared" ca="1" si="92"/>
        <v>53827</v>
      </c>
      <c r="N1458" s="115" t="e">
        <f ca="1"/>
        <v>#VALUE!</v>
      </c>
      <c r="P1458" s="92">
        <f t="shared" ca="1" si="93"/>
        <v>53827</v>
      </c>
      <c r="Q1458" s="115" t="e">
        <f ca="1"/>
        <v>#VALUE!</v>
      </c>
      <c r="S1458" s="92">
        <f t="shared" ca="1" si="94"/>
        <v>53827</v>
      </c>
      <c r="T1458" s="115" t="e">
        <f ca="1"/>
        <v>#VALUE!</v>
      </c>
      <c r="V1458" s="92">
        <f t="shared" ca="1" si="95"/>
        <v>53827</v>
      </c>
      <c r="W1458" s="115" t="e">
        <f ca="1"/>
        <v>#VALUE!</v>
      </c>
    </row>
    <row r="1459" spans="13:23">
      <c r="M1459" s="92">
        <f t="shared" ca="1" si="92"/>
        <v>53834</v>
      </c>
      <c r="N1459" s="115" t="e">
        <f ca="1"/>
        <v>#VALUE!</v>
      </c>
      <c r="P1459" s="92">
        <f t="shared" ca="1" si="93"/>
        <v>53834</v>
      </c>
      <c r="Q1459" s="115" t="e">
        <f ca="1"/>
        <v>#VALUE!</v>
      </c>
      <c r="S1459" s="92">
        <f t="shared" ca="1" si="94"/>
        <v>53834</v>
      </c>
      <c r="T1459" s="115" t="e">
        <f ca="1"/>
        <v>#VALUE!</v>
      </c>
      <c r="V1459" s="92">
        <f t="shared" ca="1" si="95"/>
        <v>53834</v>
      </c>
      <c r="W1459" s="115" t="e">
        <f ca="1"/>
        <v>#VALUE!</v>
      </c>
    </row>
    <row r="1460" spans="13:23">
      <c r="M1460" s="92">
        <f t="shared" ca="1" si="92"/>
        <v>53841</v>
      </c>
      <c r="N1460" s="115" t="e">
        <f ca="1"/>
        <v>#VALUE!</v>
      </c>
      <c r="P1460" s="92">
        <f t="shared" ca="1" si="93"/>
        <v>53841</v>
      </c>
      <c r="Q1460" s="115" t="e">
        <f ca="1"/>
        <v>#VALUE!</v>
      </c>
      <c r="S1460" s="92">
        <f t="shared" ca="1" si="94"/>
        <v>53841</v>
      </c>
      <c r="T1460" s="115" t="e">
        <f ca="1"/>
        <v>#VALUE!</v>
      </c>
      <c r="V1460" s="92">
        <f t="shared" ca="1" si="95"/>
        <v>53841</v>
      </c>
      <c r="W1460" s="115" t="e">
        <f ca="1"/>
        <v>#VALUE!</v>
      </c>
    </row>
    <row r="1461" spans="13:23">
      <c r="M1461" s="92">
        <f t="shared" ca="1" si="92"/>
        <v>53848</v>
      </c>
      <c r="N1461" s="115" t="e">
        <f ca="1"/>
        <v>#VALUE!</v>
      </c>
      <c r="P1461" s="92">
        <f t="shared" ca="1" si="93"/>
        <v>53848</v>
      </c>
      <c r="Q1461" s="115" t="e">
        <f ca="1"/>
        <v>#VALUE!</v>
      </c>
      <c r="S1461" s="92">
        <f t="shared" ca="1" si="94"/>
        <v>53848</v>
      </c>
      <c r="T1461" s="115" t="e">
        <f ca="1"/>
        <v>#VALUE!</v>
      </c>
      <c r="V1461" s="92">
        <f t="shared" ca="1" si="95"/>
        <v>53848</v>
      </c>
      <c r="W1461" s="115" t="e">
        <f ca="1"/>
        <v>#VALUE!</v>
      </c>
    </row>
    <row r="1462" spans="13:23">
      <c r="M1462" s="92">
        <f t="shared" ca="1" si="92"/>
        <v>53855</v>
      </c>
      <c r="N1462" s="115" t="e">
        <f ca="1"/>
        <v>#VALUE!</v>
      </c>
      <c r="P1462" s="92">
        <f t="shared" ca="1" si="93"/>
        <v>53855</v>
      </c>
      <c r="Q1462" s="115" t="e">
        <f ca="1"/>
        <v>#VALUE!</v>
      </c>
      <c r="S1462" s="92">
        <f t="shared" ca="1" si="94"/>
        <v>53855</v>
      </c>
      <c r="T1462" s="115" t="e">
        <f ca="1"/>
        <v>#VALUE!</v>
      </c>
      <c r="V1462" s="92">
        <f t="shared" ca="1" si="95"/>
        <v>53855</v>
      </c>
      <c r="W1462" s="115" t="e">
        <f ca="1"/>
        <v>#VALUE!</v>
      </c>
    </row>
    <row r="1463" spans="13:23">
      <c r="M1463" s="92">
        <f t="shared" ca="1" si="92"/>
        <v>53862</v>
      </c>
      <c r="N1463" s="115" t="e">
        <f ca="1"/>
        <v>#VALUE!</v>
      </c>
      <c r="P1463" s="92">
        <f t="shared" ca="1" si="93"/>
        <v>53862</v>
      </c>
      <c r="Q1463" s="115" t="e">
        <f ca="1"/>
        <v>#VALUE!</v>
      </c>
      <c r="S1463" s="92">
        <f t="shared" ca="1" si="94"/>
        <v>53862</v>
      </c>
      <c r="T1463" s="115" t="e">
        <f ca="1"/>
        <v>#VALUE!</v>
      </c>
      <c r="V1463" s="92">
        <f t="shared" ca="1" si="95"/>
        <v>53862</v>
      </c>
      <c r="W1463" s="115" t="e">
        <f ca="1"/>
        <v>#VALUE!</v>
      </c>
    </row>
    <row r="1464" spans="13:23">
      <c r="M1464" s="92">
        <f t="shared" ca="1" si="92"/>
        <v>53869</v>
      </c>
      <c r="N1464" s="115" t="e">
        <f ca="1"/>
        <v>#VALUE!</v>
      </c>
      <c r="P1464" s="92">
        <f t="shared" ca="1" si="93"/>
        <v>53869</v>
      </c>
      <c r="Q1464" s="115" t="e">
        <f ca="1"/>
        <v>#VALUE!</v>
      </c>
      <c r="S1464" s="92">
        <f t="shared" ca="1" si="94"/>
        <v>53869</v>
      </c>
      <c r="T1464" s="115" t="e">
        <f ca="1"/>
        <v>#VALUE!</v>
      </c>
      <c r="V1464" s="92">
        <f t="shared" ca="1" si="95"/>
        <v>53869</v>
      </c>
      <c r="W1464" s="115" t="e">
        <f ca="1"/>
        <v>#VALUE!</v>
      </c>
    </row>
    <row r="1465" spans="13:23">
      <c r="M1465" s="92">
        <f t="shared" ca="1" si="92"/>
        <v>53876</v>
      </c>
      <c r="N1465" s="115" t="e">
        <f ca="1"/>
        <v>#VALUE!</v>
      </c>
      <c r="P1465" s="92">
        <f t="shared" ca="1" si="93"/>
        <v>53876</v>
      </c>
      <c r="Q1465" s="115" t="e">
        <f ca="1"/>
        <v>#VALUE!</v>
      </c>
      <c r="S1465" s="92">
        <f t="shared" ca="1" si="94"/>
        <v>53876</v>
      </c>
      <c r="T1465" s="115" t="e">
        <f ca="1"/>
        <v>#VALUE!</v>
      </c>
      <c r="V1465" s="92">
        <f t="shared" ca="1" si="95"/>
        <v>53876</v>
      </c>
      <c r="W1465" s="115" t="e">
        <f ca="1"/>
        <v>#VALUE!</v>
      </c>
    </row>
    <row r="1466" spans="13:23">
      <c r="M1466" s="92">
        <f t="shared" ca="1" si="92"/>
        <v>53883</v>
      </c>
      <c r="N1466" s="115" t="e">
        <f ca="1"/>
        <v>#VALUE!</v>
      </c>
      <c r="P1466" s="92">
        <f t="shared" ca="1" si="93"/>
        <v>53883</v>
      </c>
      <c r="Q1466" s="115" t="e">
        <f ca="1"/>
        <v>#VALUE!</v>
      </c>
      <c r="S1466" s="92">
        <f t="shared" ca="1" si="94"/>
        <v>53883</v>
      </c>
      <c r="T1466" s="115" t="e">
        <f ca="1"/>
        <v>#VALUE!</v>
      </c>
      <c r="V1466" s="92">
        <f t="shared" ca="1" si="95"/>
        <v>53883</v>
      </c>
      <c r="W1466" s="115" t="e">
        <f ca="1"/>
        <v>#VALUE!</v>
      </c>
    </row>
    <row r="1467" spans="13:23">
      <c r="M1467" s="92">
        <f t="shared" ca="1" si="92"/>
        <v>53890</v>
      </c>
      <c r="N1467" s="115" t="e">
        <f ca="1"/>
        <v>#VALUE!</v>
      </c>
      <c r="P1467" s="92">
        <f t="shared" ca="1" si="93"/>
        <v>53890</v>
      </c>
      <c r="Q1467" s="115" t="e">
        <f ca="1"/>
        <v>#VALUE!</v>
      </c>
      <c r="S1467" s="92">
        <f t="shared" ca="1" si="94"/>
        <v>53890</v>
      </c>
      <c r="T1467" s="115" t="e">
        <f ca="1"/>
        <v>#VALUE!</v>
      </c>
      <c r="V1467" s="92">
        <f t="shared" ca="1" si="95"/>
        <v>53890</v>
      </c>
      <c r="W1467" s="115" t="e">
        <f ca="1"/>
        <v>#VALUE!</v>
      </c>
    </row>
    <row r="1468" spans="13:23">
      <c r="M1468" s="92">
        <f t="shared" ca="1" si="92"/>
        <v>53897</v>
      </c>
      <c r="N1468" s="115" t="e">
        <f ca="1"/>
        <v>#VALUE!</v>
      </c>
      <c r="P1468" s="92">
        <f t="shared" ca="1" si="93"/>
        <v>53897</v>
      </c>
      <c r="Q1468" s="115" t="e">
        <f ca="1"/>
        <v>#VALUE!</v>
      </c>
      <c r="S1468" s="92">
        <f t="shared" ca="1" si="94"/>
        <v>53897</v>
      </c>
      <c r="T1468" s="115" t="e">
        <f ca="1"/>
        <v>#VALUE!</v>
      </c>
      <c r="V1468" s="92">
        <f t="shared" ca="1" si="95"/>
        <v>53897</v>
      </c>
      <c r="W1468" s="115" t="e">
        <f ca="1"/>
        <v>#VALUE!</v>
      </c>
    </row>
    <row r="1469" spans="13:23">
      <c r="M1469" s="92">
        <f t="shared" ca="1" si="92"/>
        <v>53904</v>
      </c>
      <c r="N1469" s="115" t="e">
        <f ca="1"/>
        <v>#VALUE!</v>
      </c>
      <c r="P1469" s="92">
        <f t="shared" ca="1" si="93"/>
        <v>53904</v>
      </c>
      <c r="Q1469" s="115" t="e">
        <f ca="1"/>
        <v>#VALUE!</v>
      </c>
      <c r="S1469" s="92">
        <f t="shared" ca="1" si="94"/>
        <v>53904</v>
      </c>
      <c r="T1469" s="115" t="e">
        <f ca="1"/>
        <v>#VALUE!</v>
      </c>
      <c r="V1469" s="92">
        <f t="shared" ca="1" si="95"/>
        <v>53904</v>
      </c>
      <c r="W1469" s="115" t="e">
        <f ca="1"/>
        <v>#VALUE!</v>
      </c>
    </row>
    <row r="1470" spans="13:23">
      <c r="M1470" s="92">
        <f t="shared" ca="1" si="92"/>
        <v>53911</v>
      </c>
      <c r="N1470" s="115" t="e">
        <f ca="1"/>
        <v>#VALUE!</v>
      </c>
      <c r="P1470" s="92">
        <f t="shared" ca="1" si="93"/>
        <v>53911</v>
      </c>
      <c r="Q1470" s="115" t="e">
        <f ca="1"/>
        <v>#VALUE!</v>
      </c>
      <c r="S1470" s="92">
        <f t="shared" ca="1" si="94"/>
        <v>53911</v>
      </c>
      <c r="T1470" s="115" t="e">
        <f ca="1"/>
        <v>#VALUE!</v>
      </c>
      <c r="V1470" s="92">
        <f t="shared" ca="1" si="95"/>
        <v>53911</v>
      </c>
      <c r="W1470" s="115" t="e">
        <f ca="1"/>
        <v>#VALUE!</v>
      </c>
    </row>
    <row r="1471" spans="13:23">
      <c r="M1471" s="92">
        <f t="shared" ca="1" si="92"/>
        <v>53918</v>
      </c>
      <c r="N1471" s="115" t="e">
        <f ca="1"/>
        <v>#VALUE!</v>
      </c>
      <c r="P1471" s="92">
        <f t="shared" ca="1" si="93"/>
        <v>53918</v>
      </c>
      <c r="Q1471" s="115" t="e">
        <f ca="1"/>
        <v>#VALUE!</v>
      </c>
      <c r="S1471" s="92">
        <f t="shared" ca="1" si="94"/>
        <v>53918</v>
      </c>
      <c r="T1471" s="115" t="e">
        <f ca="1"/>
        <v>#VALUE!</v>
      </c>
      <c r="V1471" s="92">
        <f t="shared" ca="1" si="95"/>
        <v>53918</v>
      </c>
      <c r="W1471" s="115" t="e">
        <f ca="1"/>
        <v>#VALUE!</v>
      </c>
    </row>
    <row r="1472" spans="13:23">
      <c r="M1472" s="92">
        <f t="shared" ca="1" si="92"/>
        <v>53925</v>
      </c>
      <c r="N1472" s="115" t="e">
        <f ca="1"/>
        <v>#VALUE!</v>
      </c>
      <c r="P1472" s="92">
        <f t="shared" ca="1" si="93"/>
        <v>53925</v>
      </c>
      <c r="Q1472" s="115" t="e">
        <f ca="1"/>
        <v>#VALUE!</v>
      </c>
      <c r="S1472" s="92">
        <f t="shared" ca="1" si="94"/>
        <v>53925</v>
      </c>
      <c r="T1472" s="115" t="e">
        <f ca="1"/>
        <v>#VALUE!</v>
      </c>
      <c r="V1472" s="92">
        <f t="shared" ca="1" si="95"/>
        <v>53925</v>
      </c>
      <c r="W1472" s="115" t="e">
        <f ca="1"/>
        <v>#VALUE!</v>
      </c>
    </row>
    <row r="1473" spans="13:23">
      <c r="M1473" s="92">
        <f t="shared" ca="1" si="92"/>
        <v>53932</v>
      </c>
      <c r="N1473" s="115" t="e">
        <f ca="1"/>
        <v>#VALUE!</v>
      </c>
      <c r="P1473" s="92">
        <f t="shared" ca="1" si="93"/>
        <v>53932</v>
      </c>
      <c r="Q1473" s="115" t="e">
        <f ca="1"/>
        <v>#VALUE!</v>
      </c>
      <c r="S1473" s="92">
        <f t="shared" ca="1" si="94"/>
        <v>53932</v>
      </c>
      <c r="T1473" s="115" t="e">
        <f ca="1"/>
        <v>#VALUE!</v>
      </c>
      <c r="V1473" s="92">
        <f t="shared" ca="1" si="95"/>
        <v>53932</v>
      </c>
      <c r="W1473" s="115" t="e">
        <f ca="1"/>
        <v>#VALUE!</v>
      </c>
    </row>
    <row r="1474" spans="13:23">
      <c r="M1474" s="92">
        <f t="shared" ca="1" si="92"/>
        <v>53939</v>
      </c>
      <c r="N1474" s="115" t="e">
        <f ca="1"/>
        <v>#VALUE!</v>
      </c>
      <c r="P1474" s="92">
        <f t="shared" ca="1" si="93"/>
        <v>53939</v>
      </c>
      <c r="Q1474" s="115" t="e">
        <f ca="1"/>
        <v>#VALUE!</v>
      </c>
      <c r="S1474" s="92">
        <f t="shared" ca="1" si="94"/>
        <v>53939</v>
      </c>
      <c r="T1474" s="115" t="e">
        <f ca="1"/>
        <v>#VALUE!</v>
      </c>
      <c r="V1474" s="92">
        <f t="shared" ca="1" si="95"/>
        <v>53939</v>
      </c>
      <c r="W1474" s="115" t="e">
        <f ca="1"/>
        <v>#VALUE!</v>
      </c>
    </row>
    <row r="1475" spans="13:23">
      <c r="M1475" s="92">
        <f t="shared" ca="1" si="92"/>
        <v>53946</v>
      </c>
      <c r="N1475" s="115" t="e">
        <f ca="1"/>
        <v>#VALUE!</v>
      </c>
      <c r="P1475" s="92">
        <f t="shared" ca="1" si="93"/>
        <v>53946</v>
      </c>
      <c r="Q1475" s="115" t="e">
        <f ca="1"/>
        <v>#VALUE!</v>
      </c>
      <c r="S1475" s="92">
        <f t="shared" ca="1" si="94"/>
        <v>53946</v>
      </c>
      <c r="T1475" s="115" t="e">
        <f ca="1"/>
        <v>#VALUE!</v>
      </c>
      <c r="V1475" s="92">
        <f t="shared" ca="1" si="95"/>
        <v>53946</v>
      </c>
      <c r="W1475" s="115" t="e">
        <f ca="1"/>
        <v>#VALUE!</v>
      </c>
    </row>
    <row r="1476" spans="13:23">
      <c r="M1476" s="92">
        <f t="shared" ca="1" si="92"/>
        <v>53953</v>
      </c>
      <c r="N1476" s="115" t="e">
        <f ca="1"/>
        <v>#VALUE!</v>
      </c>
      <c r="P1476" s="92">
        <f t="shared" ca="1" si="93"/>
        <v>53953</v>
      </c>
      <c r="Q1476" s="115" t="e">
        <f ca="1"/>
        <v>#VALUE!</v>
      </c>
      <c r="S1476" s="92">
        <f t="shared" ca="1" si="94"/>
        <v>53953</v>
      </c>
      <c r="T1476" s="115" t="e">
        <f ca="1"/>
        <v>#VALUE!</v>
      </c>
      <c r="V1476" s="92">
        <f t="shared" ca="1" si="95"/>
        <v>53953</v>
      </c>
      <c r="W1476" s="115" t="e">
        <f ca="1"/>
        <v>#VALUE!</v>
      </c>
    </row>
    <row r="1477" spans="13:23">
      <c r="M1477" s="92">
        <f t="shared" ca="1" si="92"/>
        <v>53960</v>
      </c>
      <c r="N1477" s="115" t="e">
        <f ca="1"/>
        <v>#VALUE!</v>
      </c>
      <c r="P1477" s="92">
        <f t="shared" ca="1" si="93"/>
        <v>53960</v>
      </c>
      <c r="Q1477" s="115" t="e">
        <f ca="1"/>
        <v>#VALUE!</v>
      </c>
      <c r="S1477" s="92">
        <f t="shared" ca="1" si="94"/>
        <v>53960</v>
      </c>
      <c r="T1477" s="115" t="e">
        <f ca="1"/>
        <v>#VALUE!</v>
      </c>
      <c r="V1477" s="92">
        <f t="shared" ca="1" si="95"/>
        <v>53960</v>
      </c>
      <c r="W1477" s="115" t="e">
        <f ca="1"/>
        <v>#VALUE!</v>
      </c>
    </row>
    <row r="1478" spans="13:23">
      <c r="M1478" s="92">
        <f t="shared" ca="1" si="92"/>
        <v>53967</v>
      </c>
      <c r="N1478" s="115" t="e">
        <f ca="1"/>
        <v>#VALUE!</v>
      </c>
      <c r="P1478" s="92">
        <f t="shared" ca="1" si="93"/>
        <v>53967</v>
      </c>
      <c r="Q1478" s="115" t="e">
        <f ca="1"/>
        <v>#VALUE!</v>
      </c>
      <c r="S1478" s="92">
        <f t="shared" ca="1" si="94"/>
        <v>53967</v>
      </c>
      <c r="T1478" s="115" t="e">
        <f ca="1"/>
        <v>#VALUE!</v>
      </c>
      <c r="V1478" s="92">
        <f t="shared" ca="1" si="95"/>
        <v>53967</v>
      </c>
      <c r="W1478" s="115" t="e">
        <f ca="1"/>
        <v>#VALUE!</v>
      </c>
    </row>
    <row r="1479" spans="13:23">
      <c r="M1479" s="92">
        <f t="shared" ca="1" si="92"/>
        <v>53974</v>
      </c>
      <c r="N1479" s="115" t="e">
        <f ca="1"/>
        <v>#VALUE!</v>
      </c>
      <c r="P1479" s="92">
        <f t="shared" ca="1" si="93"/>
        <v>53974</v>
      </c>
      <c r="Q1479" s="115" t="e">
        <f ca="1"/>
        <v>#VALUE!</v>
      </c>
      <c r="S1479" s="92">
        <f t="shared" ca="1" si="94"/>
        <v>53974</v>
      </c>
      <c r="T1479" s="115" t="e">
        <f ca="1"/>
        <v>#VALUE!</v>
      </c>
      <c r="V1479" s="92">
        <f t="shared" ca="1" si="95"/>
        <v>53974</v>
      </c>
      <c r="W1479" s="115" t="e">
        <f ca="1"/>
        <v>#VALUE!</v>
      </c>
    </row>
    <row r="1480" spans="13:23">
      <c r="M1480" s="92">
        <f t="shared" ca="1" si="92"/>
        <v>53981</v>
      </c>
      <c r="N1480" s="115" t="e">
        <f ca="1"/>
        <v>#VALUE!</v>
      </c>
      <c r="P1480" s="92">
        <f t="shared" ca="1" si="93"/>
        <v>53981</v>
      </c>
      <c r="Q1480" s="115" t="e">
        <f ca="1"/>
        <v>#VALUE!</v>
      </c>
      <c r="S1480" s="92">
        <f t="shared" ca="1" si="94"/>
        <v>53981</v>
      </c>
      <c r="T1480" s="115" t="e">
        <f ca="1"/>
        <v>#VALUE!</v>
      </c>
      <c r="V1480" s="92">
        <f t="shared" ca="1" si="95"/>
        <v>53981</v>
      </c>
      <c r="W1480" s="115" t="e">
        <f ca="1"/>
        <v>#VALUE!</v>
      </c>
    </row>
    <row r="1481" spans="13:23">
      <c r="M1481" s="92">
        <f t="shared" ca="1" si="92"/>
        <v>53988</v>
      </c>
      <c r="N1481" s="115" t="e">
        <f ca="1"/>
        <v>#VALUE!</v>
      </c>
      <c r="P1481" s="92">
        <f t="shared" ca="1" si="93"/>
        <v>53988</v>
      </c>
      <c r="Q1481" s="115" t="e">
        <f ca="1"/>
        <v>#VALUE!</v>
      </c>
      <c r="S1481" s="92">
        <f t="shared" ca="1" si="94"/>
        <v>53988</v>
      </c>
      <c r="T1481" s="115" t="e">
        <f ca="1"/>
        <v>#VALUE!</v>
      </c>
      <c r="V1481" s="92">
        <f t="shared" ca="1" si="95"/>
        <v>53988</v>
      </c>
      <c r="W1481" s="115" t="e">
        <f ca="1"/>
        <v>#VALUE!</v>
      </c>
    </row>
    <row r="1482" spans="13:23">
      <c r="M1482" s="92">
        <f t="shared" ca="1" si="92"/>
        <v>53995</v>
      </c>
      <c r="N1482" s="115" t="e">
        <f ca="1"/>
        <v>#VALUE!</v>
      </c>
      <c r="P1482" s="92">
        <f t="shared" ca="1" si="93"/>
        <v>53995</v>
      </c>
      <c r="Q1482" s="115" t="e">
        <f ca="1"/>
        <v>#VALUE!</v>
      </c>
      <c r="S1482" s="92">
        <f t="shared" ca="1" si="94"/>
        <v>53995</v>
      </c>
      <c r="T1482" s="115" t="e">
        <f ca="1"/>
        <v>#VALUE!</v>
      </c>
      <c r="V1482" s="92">
        <f t="shared" ca="1" si="95"/>
        <v>53995</v>
      </c>
      <c r="W1482" s="115" t="e">
        <f ca="1"/>
        <v>#VALUE!</v>
      </c>
    </row>
    <row r="1483" spans="13:23">
      <c r="M1483" s="92">
        <f t="shared" ca="1" si="92"/>
        <v>54002</v>
      </c>
      <c r="N1483" s="115" t="e">
        <f ca="1"/>
        <v>#VALUE!</v>
      </c>
      <c r="P1483" s="92">
        <f t="shared" ca="1" si="93"/>
        <v>54002</v>
      </c>
      <c r="Q1483" s="115" t="e">
        <f ca="1"/>
        <v>#VALUE!</v>
      </c>
      <c r="S1483" s="92">
        <f t="shared" ca="1" si="94"/>
        <v>54002</v>
      </c>
      <c r="T1483" s="115" t="e">
        <f ca="1"/>
        <v>#VALUE!</v>
      </c>
      <c r="V1483" s="92">
        <f t="shared" ca="1" si="95"/>
        <v>54002</v>
      </c>
      <c r="W1483" s="115" t="e">
        <f ca="1"/>
        <v>#VALUE!</v>
      </c>
    </row>
    <row r="1484" spans="13:23">
      <c r="M1484" s="92">
        <f t="shared" ca="1" si="92"/>
        <v>54009</v>
      </c>
      <c r="N1484" s="115" t="e">
        <f ca="1"/>
        <v>#VALUE!</v>
      </c>
      <c r="P1484" s="92">
        <f t="shared" ca="1" si="93"/>
        <v>54009</v>
      </c>
      <c r="Q1484" s="115" t="e">
        <f ca="1"/>
        <v>#VALUE!</v>
      </c>
      <c r="S1484" s="92">
        <f t="shared" ca="1" si="94"/>
        <v>54009</v>
      </c>
      <c r="T1484" s="115" t="e">
        <f ca="1"/>
        <v>#VALUE!</v>
      </c>
      <c r="V1484" s="92">
        <f t="shared" ca="1" si="95"/>
        <v>54009</v>
      </c>
      <c r="W1484" s="115" t="e">
        <f ca="1"/>
        <v>#VALUE!</v>
      </c>
    </row>
    <row r="1485" spans="13:23">
      <c r="M1485" s="92">
        <f t="shared" ref="M1485:M1548" ca="1" si="96">M1484+7</f>
        <v>54016</v>
      </c>
      <c r="N1485" s="115" t="e">
        <f ca="1"/>
        <v>#VALUE!</v>
      </c>
      <c r="P1485" s="92">
        <f t="shared" ca="1" si="93"/>
        <v>54016</v>
      </c>
      <c r="Q1485" s="115" t="e">
        <f ca="1"/>
        <v>#VALUE!</v>
      </c>
      <c r="S1485" s="92">
        <f t="shared" ca="1" si="94"/>
        <v>54016</v>
      </c>
      <c r="T1485" s="115" t="e">
        <f ca="1"/>
        <v>#VALUE!</v>
      </c>
      <c r="V1485" s="92">
        <f t="shared" ca="1" si="95"/>
        <v>54016</v>
      </c>
      <c r="W1485" s="115" t="e">
        <f ca="1"/>
        <v>#VALUE!</v>
      </c>
    </row>
    <row r="1486" spans="13:23">
      <c r="M1486" s="92">
        <f t="shared" ca="1" si="96"/>
        <v>54023</v>
      </c>
      <c r="N1486" s="115" t="e">
        <f ca="1"/>
        <v>#VALUE!</v>
      </c>
      <c r="P1486" s="92">
        <f t="shared" ca="1" si="93"/>
        <v>54023</v>
      </c>
      <c r="Q1486" s="115" t="e">
        <f ca="1"/>
        <v>#VALUE!</v>
      </c>
      <c r="S1486" s="92">
        <f t="shared" ca="1" si="94"/>
        <v>54023</v>
      </c>
      <c r="T1486" s="115" t="e">
        <f ca="1"/>
        <v>#VALUE!</v>
      </c>
      <c r="V1486" s="92">
        <f t="shared" ca="1" si="95"/>
        <v>54023</v>
      </c>
      <c r="W1486" s="115" t="e">
        <f ca="1"/>
        <v>#VALUE!</v>
      </c>
    </row>
    <row r="1487" spans="13:23">
      <c r="M1487" s="92">
        <f t="shared" ca="1" si="96"/>
        <v>54030</v>
      </c>
      <c r="N1487" s="115" t="e">
        <f ca="1"/>
        <v>#VALUE!</v>
      </c>
      <c r="P1487" s="92">
        <f t="shared" ca="1" si="93"/>
        <v>54030</v>
      </c>
      <c r="Q1487" s="115" t="e">
        <f ca="1"/>
        <v>#VALUE!</v>
      </c>
      <c r="S1487" s="92">
        <f t="shared" ca="1" si="94"/>
        <v>54030</v>
      </c>
      <c r="T1487" s="115" t="e">
        <f ca="1"/>
        <v>#VALUE!</v>
      </c>
      <c r="V1487" s="92">
        <f t="shared" ca="1" si="95"/>
        <v>54030</v>
      </c>
      <c r="W1487" s="115" t="e">
        <f ca="1"/>
        <v>#VALUE!</v>
      </c>
    </row>
    <row r="1488" spans="13:23">
      <c r="M1488" s="92">
        <f t="shared" ca="1" si="96"/>
        <v>54037</v>
      </c>
      <c r="N1488" s="115" t="e">
        <f ca="1"/>
        <v>#VALUE!</v>
      </c>
      <c r="P1488" s="92">
        <f t="shared" ca="1" si="93"/>
        <v>54037</v>
      </c>
      <c r="Q1488" s="115" t="e">
        <f ca="1"/>
        <v>#VALUE!</v>
      </c>
      <c r="S1488" s="92">
        <f t="shared" ca="1" si="94"/>
        <v>54037</v>
      </c>
      <c r="T1488" s="115" t="e">
        <f ca="1"/>
        <v>#VALUE!</v>
      </c>
      <c r="V1488" s="92">
        <f t="shared" ca="1" si="95"/>
        <v>54037</v>
      </c>
      <c r="W1488" s="115" t="e">
        <f ca="1"/>
        <v>#VALUE!</v>
      </c>
    </row>
    <row r="1489" spans="13:23">
      <c r="M1489" s="92">
        <f t="shared" ca="1" si="96"/>
        <v>54044</v>
      </c>
      <c r="N1489" s="115" t="e">
        <f ca="1"/>
        <v>#VALUE!</v>
      </c>
      <c r="P1489" s="92">
        <f t="shared" ca="1" si="93"/>
        <v>54044</v>
      </c>
      <c r="Q1489" s="115" t="e">
        <f ca="1"/>
        <v>#VALUE!</v>
      </c>
      <c r="S1489" s="92">
        <f t="shared" ca="1" si="94"/>
        <v>54044</v>
      </c>
      <c r="T1489" s="115" t="e">
        <f ca="1"/>
        <v>#VALUE!</v>
      </c>
      <c r="V1489" s="92">
        <f t="shared" ca="1" si="95"/>
        <v>54044</v>
      </c>
      <c r="W1489" s="115" t="e">
        <f ca="1"/>
        <v>#VALUE!</v>
      </c>
    </row>
    <row r="1490" spans="13:23">
      <c r="M1490" s="92">
        <f t="shared" ca="1" si="96"/>
        <v>54051</v>
      </c>
      <c r="N1490" s="115" t="e">
        <f ca="1"/>
        <v>#VALUE!</v>
      </c>
      <c r="P1490" s="92">
        <f t="shared" ca="1" si="93"/>
        <v>54051</v>
      </c>
      <c r="Q1490" s="115" t="e">
        <f ca="1"/>
        <v>#VALUE!</v>
      </c>
      <c r="S1490" s="92">
        <f t="shared" ca="1" si="94"/>
        <v>54051</v>
      </c>
      <c r="T1490" s="115" t="e">
        <f ca="1"/>
        <v>#VALUE!</v>
      </c>
      <c r="V1490" s="92">
        <f t="shared" ca="1" si="95"/>
        <v>54051</v>
      </c>
      <c r="W1490" s="115" t="e">
        <f ca="1"/>
        <v>#VALUE!</v>
      </c>
    </row>
    <row r="1491" spans="13:23">
      <c r="M1491" s="92">
        <f t="shared" ca="1" si="96"/>
        <v>54058</v>
      </c>
      <c r="N1491" s="115" t="e">
        <f ca="1"/>
        <v>#VALUE!</v>
      </c>
      <c r="P1491" s="92">
        <f t="shared" ca="1" si="93"/>
        <v>54058</v>
      </c>
      <c r="Q1491" s="115" t="e">
        <f ca="1"/>
        <v>#VALUE!</v>
      </c>
      <c r="S1491" s="92">
        <f t="shared" ca="1" si="94"/>
        <v>54058</v>
      </c>
      <c r="T1491" s="115" t="e">
        <f ca="1"/>
        <v>#VALUE!</v>
      </c>
      <c r="V1491" s="92">
        <f t="shared" ca="1" si="95"/>
        <v>54058</v>
      </c>
      <c r="W1491" s="115" t="e">
        <f ca="1"/>
        <v>#VALUE!</v>
      </c>
    </row>
    <row r="1492" spans="13:23">
      <c r="M1492" s="92">
        <f t="shared" ca="1" si="96"/>
        <v>54065</v>
      </c>
      <c r="N1492" s="115" t="e">
        <f ca="1"/>
        <v>#VALUE!</v>
      </c>
      <c r="P1492" s="92">
        <f t="shared" ca="1" si="93"/>
        <v>54065</v>
      </c>
      <c r="Q1492" s="115" t="e">
        <f ca="1"/>
        <v>#VALUE!</v>
      </c>
      <c r="S1492" s="92">
        <f t="shared" ca="1" si="94"/>
        <v>54065</v>
      </c>
      <c r="T1492" s="115" t="e">
        <f ca="1"/>
        <v>#VALUE!</v>
      </c>
      <c r="V1492" s="92">
        <f t="shared" ca="1" si="95"/>
        <v>54065</v>
      </c>
      <c r="W1492" s="115" t="e">
        <f ca="1"/>
        <v>#VALUE!</v>
      </c>
    </row>
    <row r="1493" spans="13:23">
      <c r="M1493" s="92">
        <f t="shared" ca="1" si="96"/>
        <v>54072</v>
      </c>
      <c r="N1493" s="115" t="e">
        <f ca="1"/>
        <v>#VALUE!</v>
      </c>
      <c r="P1493" s="92">
        <f t="shared" ca="1" si="93"/>
        <v>54072</v>
      </c>
      <c r="Q1493" s="115" t="e">
        <f ca="1"/>
        <v>#VALUE!</v>
      </c>
      <c r="S1493" s="92">
        <f t="shared" ca="1" si="94"/>
        <v>54072</v>
      </c>
      <c r="T1493" s="115" t="e">
        <f ca="1"/>
        <v>#VALUE!</v>
      </c>
      <c r="V1493" s="92">
        <f t="shared" ca="1" si="95"/>
        <v>54072</v>
      </c>
      <c r="W1493" s="115" t="e">
        <f ca="1"/>
        <v>#VALUE!</v>
      </c>
    </row>
    <row r="1494" spans="13:23">
      <c r="M1494" s="92">
        <f t="shared" ca="1" si="96"/>
        <v>54079</v>
      </c>
      <c r="N1494" s="115" t="e">
        <f ca="1"/>
        <v>#VALUE!</v>
      </c>
      <c r="P1494" s="92">
        <f t="shared" ca="1" si="93"/>
        <v>54079</v>
      </c>
      <c r="Q1494" s="115" t="e">
        <f ca="1"/>
        <v>#VALUE!</v>
      </c>
      <c r="S1494" s="92">
        <f t="shared" ca="1" si="94"/>
        <v>54079</v>
      </c>
      <c r="T1494" s="115" t="e">
        <f ca="1"/>
        <v>#VALUE!</v>
      </c>
      <c r="V1494" s="92">
        <f t="shared" ca="1" si="95"/>
        <v>54079</v>
      </c>
      <c r="W1494" s="115" t="e">
        <f ca="1"/>
        <v>#VALUE!</v>
      </c>
    </row>
    <row r="1495" spans="13:23">
      <c r="M1495" s="92">
        <f t="shared" ca="1" si="96"/>
        <v>54086</v>
      </c>
      <c r="N1495" s="115" t="e">
        <f ca="1"/>
        <v>#VALUE!</v>
      </c>
      <c r="P1495" s="92">
        <f t="shared" ca="1" si="93"/>
        <v>54086</v>
      </c>
      <c r="Q1495" s="115" t="e">
        <f ca="1"/>
        <v>#VALUE!</v>
      </c>
      <c r="S1495" s="92">
        <f t="shared" ca="1" si="94"/>
        <v>54086</v>
      </c>
      <c r="T1495" s="115" t="e">
        <f ca="1"/>
        <v>#VALUE!</v>
      </c>
      <c r="V1495" s="92">
        <f t="shared" ca="1" si="95"/>
        <v>54086</v>
      </c>
      <c r="W1495" s="115" t="e">
        <f ca="1"/>
        <v>#VALUE!</v>
      </c>
    </row>
    <row r="1496" spans="13:23">
      <c r="M1496" s="92">
        <f t="shared" ca="1" si="96"/>
        <v>54093</v>
      </c>
      <c r="N1496" s="115" t="e">
        <f ca="1"/>
        <v>#VALUE!</v>
      </c>
      <c r="P1496" s="92">
        <f t="shared" ca="1" si="93"/>
        <v>54093</v>
      </c>
      <c r="Q1496" s="115" t="e">
        <f ca="1"/>
        <v>#VALUE!</v>
      </c>
      <c r="S1496" s="92">
        <f t="shared" ca="1" si="94"/>
        <v>54093</v>
      </c>
      <c r="T1496" s="115" t="e">
        <f ca="1"/>
        <v>#VALUE!</v>
      </c>
      <c r="V1496" s="92">
        <f t="shared" ca="1" si="95"/>
        <v>54093</v>
      </c>
      <c r="W1496" s="115" t="e">
        <f ca="1"/>
        <v>#VALUE!</v>
      </c>
    </row>
    <row r="1497" spans="13:23">
      <c r="M1497" s="92">
        <f t="shared" ca="1" si="96"/>
        <v>54100</v>
      </c>
      <c r="N1497" s="115" t="e">
        <f ca="1"/>
        <v>#VALUE!</v>
      </c>
      <c r="P1497" s="92">
        <f t="shared" ca="1" si="93"/>
        <v>54100</v>
      </c>
      <c r="Q1497" s="115" t="e">
        <f ca="1"/>
        <v>#VALUE!</v>
      </c>
      <c r="S1497" s="92">
        <f t="shared" ca="1" si="94"/>
        <v>54100</v>
      </c>
      <c r="T1497" s="115" t="e">
        <f ca="1"/>
        <v>#VALUE!</v>
      </c>
      <c r="V1497" s="92">
        <f t="shared" ca="1" si="95"/>
        <v>54100</v>
      </c>
      <c r="W1497" s="115" t="e">
        <f ca="1"/>
        <v>#VALUE!</v>
      </c>
    </row>
    <row r="1498" spans="13:23">
      <c r="M1498" s="92">
        <f t="shared" ca="1" si="96"/>
        <v>54107</v>
      </c>
      <c r="N1498" s="115" t="e">
        <f ca="1"/>
        <v>#VALUE!</v>
      </c>
      <c r="P1498" s="92">
        <f t="shared" ca="1" si="93"/>
        <v>54107</v>
      </c>
      <c r="Q1498" s="115" t="e">
        <f ca="1"/>
        <v>#VALUE!</v>
      </c>
      <c r="S1498" s="92">
        <f t="shared" ca="1" si="94"/>
        <v>54107</v>
      </c>
      <c r="T1498" s="115" t="e">
        <f ca="1"/>
        <v>#VALUE!</v>
      </c>
      <c r="V1498" s="92">
        <f t="shared" ca="1" si="95"/>
        <v>54107</v>
      </c>
      <c r="W1498" s="115" t="e">
        <f ca="1"/>
        <v>#VALUE!</v>
      </c>
    </row>
    <row r="1499" spans="13:23">
      <c r="M1499" s="92">
        <f t="shared" ca="1" si="96"/>
        <v>54114</v>
      </c>
      <c r="N1499" s="115" t="e">
        <f ca="1"/>
        <v>#VALUE!</v>
      </c>
      <c r="P1499" s="92">
        <f t="shared" ca="1" si="93"/>
        <v>54114</v>
      </c>
      <c r="Q1499" s="115" t="e">
        <f ca="1"/>
        <v>#VALUE!</v>
      </c>
      <c r="S1499" s="92">
        <f t="shared" ca="1" si="94"/>
        <v>54114</v>
      </c>
      <c r="T1499" s="115" t="e">
        <f ca="1"/>
        <v>#VALUE!</v>
      </c>
      <c r="V1499" s="92">
        <f t="shared" ca="1" si="95"/>
        <v>54114</v>
      </c>
      <c r="W1499" s="115" t="e">
        <f ca="1"/>
        <v>#VALUE!</v>
      </c>
    </row>
    <row r="1500" spans="13:23">
      <c r="M1500" s="92">
        <f t="shared" ca="1" si="96"/>
        <v>54121</v>
      </c>
      <c r="N1500" s="115" t="e">
        <f ca="1"/>
        <v>#VALUE!</v>
      </c>
      <c r="P1500" s="92">
        <f t="shared" ca="1" si="93"/>
        <v>54121</v>
      </c>
      <c r="Q1500" s="115" t="e">
        <f ca="1"/>
        <v>#VALUE!</v>
      </c>
      <c r="S1500" s="92">
        <f t="shared" ca="1" si="94"/>
        <v>54121</v>
      </c>
      <c r="T1500" s="115" t="e">
        <f ca="1"/>
        <v>#VALUE!</v>
      </c>
      <c r="V1500" s="92">
        <f t="shared" ca="1" si="95"/>
        <v>54121</v>
      </c>
      <c r="W1500" s="115" t="e">
        <f ca="1"/>
        <v>#VALUE!</v>
      </c>
    </row>
    <row r="1501" spans="13:23">
      <c r="M1501" s="92">
        <f t="shared" ca="1" si="96"/>
        <v>54128</v>
      </c>
      <c r="N1501" s="115" t="e">
        <f ca="1"/>
        <v>#VALUE!</v>
      </c>
      <c r="P1501" s="92">
        <f t="shared" ref="P1501:P1564" ca="1" si="97">P1500+7</f>
        <v>54128</v>
      </c>
      <c r="Q1501" s="115" t="e">
        <f ca="1"/>
        <v>#VALUE!</v>
      </c>
      <c r="S1501" s="92">
        <f t="shared" ref="S1501:S1564" ca="1" si="98">S1500+7</f>
        <v>54128</v>
      </c>
      <c r="T1501" s="115" t="e">
        <f ca="1"/>
        <v>#VALUE!</v>
      </c>
      <c r="V1501" s="92">
        <f t="shared" ref="V1501:V1564" ca="1" si="99">V1500+7</f>
        <v>54128</v>
      </c>
      <c r="W1501" s="115" t="e">
        <f ca="1"/>
        <v>#VALUE!</v>
      </c>
    </row>
    <row r="1502" spans="13:23">
      <c r="M1502" s="92">
        <f t="shared" ca="1" si="96"/>
        <v>54135</v>
      </c>
      <c r="N1502" s="115" t="e">
        <f ca="1"/>
        <v>#VALUE!</v>
      </c>
      <c r="P1502" s="92">
        <f t="shared" ca="1" si="97"/>
        <v>54135</v>
      </c>
      <c r="Q1502" s="115" t="e">
        <f ca="1"/>
        <v>#VALUE!</v>
      </c>
      <c r="S1502" s="92">
        <f t="shared" ca="1" si="98"/>
        <v>54135</v>
      </c>
      <c r="T1502" s="115" t="e">
        <f ca="1"/>
        <v>#VALUE!</v>
      </c>
      <c r="V1502" s="92">
        <f t="shared" ca="1" si="99"/>
        <v>54135</v>
      </c>
      <c r="W1502" s="115" t="e">
        <f ca="1"/>
        <v>#VALUE!</v>
      </c>
    </row>
    <row r="1503" spans="13:23">
      <c r="M1503" s="92">
        <f t="shared" ca="1" si="96"/>
        <v>54142</v>
      </c>
      <c r="N1503" s="115" t="e">
        <f ca="1"/>
        <v>#VALUE!</v>
      </c>
      <c r="P1503" s="92">
        <f t="shared" ca="1" si="97"/>
        <v>54142</v>
      </c>
      <c r="Q1503" s="115" t="e">
        <f ca="1"/>
        <v>#VALUE!</v>
      </c>
      <c r="S1503" s="92">
        <f t="shared" ca="1" si="98"/>
        <v>54142</v>
      </c>
      <c r="T1503" s="115" t="e">
        <f ca="1"/>
        <v>#VALUE!</v>
      </c>
      <c r="V1503" s="92">
        <f t="shared" ca="1" si="99"/>
        <v>54142</v>
      </c>
      <c r="W1503" s="115" t="e">
        <f ca="1"/>
        <v>#VALUE!</v>
      </c>
    </row>
    <row r="1504" spans="13:23">
      <c r="M1504" s="92">
        <f t="shared" ca="1" si="96"/>
        <v>54149</v>
      </c>
      <c r="N1504" s="115" t="e">
        <f ca="1"/>
        <v>#VALUE!</v>
      </c>
      <c r="P1504" s="92">
        <f t="shared" ca="1" si="97"/>
        <v>54149</v>
      </c>
      <c r="Q1504" s="115" t="e">
        <f ca="1"/>
        <v>#VALUE!</v>
      </c>
      <c r="S1504" s="92">
        <f t="shared" ca="1" si="98"/>
        <v>54149</v>
      </c>
      <c r="T1504" s="115" t="e">
        <f ca="1"/>
        <v>#VALUE!</v>
      </c>
      <c r="V1504" s="92">
        <f t="shared" ca="1" si="99"/>
        <v>54149</v>
      </c>
      <c r="W1504" s="115" t="e">
        <f ca="1"/>
        <v>#VALUE!</v>
      </c>
    </row>
    <row r="1505" spans="13:23">
      <c r="M1505" s="92">
        <f t="shared" ca="1" si="96"/>
        <v>54156</v>
      </c>
      <c r="N1505" s="115" t="e">
        <f ca="1"/>
        <v>#VALUE!</v>
      </c>
      <c r="P1505" s="92">
        <f t="shared" ca="1" si="97"/>
        <v>54156</v>
      </c>
      <c r="Q1505" s="115" t="e">
        <f ca="1"/>
        <v>#VALUE!</v>
      </c>
      <c r="S1505" s="92">
        <f t="shared" ca="1" si="98"/>
        <v>54156</v>
      </c>
      <c r="T1505" s="115" t="e">
        <f ca="1"/>
        <v>#VALUE!</v>
      </c>
      <c r="V1505" s="92">
        <f t="shared" ca="1" si="99"/>
        <v>54156</v>
      </c>
      <c r="W1505" s="115" t="e">
        <f ca="1"/>
        <v>#VALUE!</v>
      </c>
    </row>
    <row r="1506" spans="13:23">
      <c r="M1506" s="92">
        <f t="shared" ca="1" si="96"/>
        <v>54163</v>
      </c>
      <c r="N1506" s="115" t="e">
        <f ca="1"/>
        <v>#VALUE!</v>
      </c>
      <c r="P1506" s="92">
        <f t="shared" ca="1" si="97"/>
        <v>54163</v>
      </c>
      <c r="Q1506" s="115" t="e">
        <f ca="1"/>
        <v>#VALUE!</v>
      </c>
      <c r="S1506" s="92">
        <f t="shared" ca="1" si="98"/>
        <v>54163</v>
      </c>
      <c r="T1506" s="115" t="e">
        <f ca="1"/>
        <v>#VALUE!</v>
      </c>
      <c r="V1506" s="92">
        <f t="shared" ca="1" si="99"/>
        <v>54163</v>
      </c>
      <c r="W1506" s="115" t="e">
        <f ca="1"/>
        <v>#VALUE!</v>
      </c>
    </row>
    <row r="1507" spans="13:23">
      <c r="M1507" s="92">
        <f t="shared" ca="1" si="96"/>
        <v>54170</v>
      </c>
      <c r="N1507" s="115" t="e">
        <f ca="1"/>
        <v>#VALUE!</v>
      </c>
      <c r="P1507" s="92">
        <f t="shared" ca="1" si="97"/>
        <v>54170</v>
      </c>
      <c r="Q1507" s="115" t="e">
        <f ca="1"/>
        <v>#VALUE!</v>
      </c>
      <c r="S1507" s="92">
        <f t="shared" ca="1" si="98"/>
        <v>54170</v>
      </c>
      <c r="T1507" s="115" t="e">
        <f ca="1"/>
        <v>#VALUE!</v>
      </c>
      <c r="V1507" s="92">
        <f t="shared" ca="1" si="99"/>
        <v>54170</v>
      </c>
      <c r="W1507" s="115" t="e">
        <f ca="1"/>
        <v>#VALUE!</v>
      </c>
    </row>
    <row r="1508" spans="13:23">
      <c r="M1508" s="92">
        <f t="shared" ca="1" si="96"/>
        <v>54177</v>
      </c>
      <c r="N1508" s="115" t="e">
        <f ca="1"/>
        <v>#VALUE!</v>
      </c>
      <c r="P1508" s="92">
        <f t="shared" ca="1" si="97"/>
        <v>54177</v>
      </c>
      <c r="Q1508" s="115" t="e">
        <f ca="1"/>
        <v>#VALUE!</v>
      </c>
      <c r="S1508" s="92">
        <f t="shared" ca="1" si="98"/>
        <v>54177</v>
      </c>
      <c r="T1508" s="115" t="e">
        <f ca="1"/>
        <v>#VALUE!</v>
      </c>
      <c r="V1508" s="92">
        <f t="shared" ca="1" si="99"/>
        <v>54177</v>
      </c>
      <c r="W1508" s="115" t="e">
        <f ca="1"/>
        <v>#VALUE!</v>
      </c>
    </row>
    <row r="1509" spans="13:23">
      <c r="M1509" s="92">
        <f t="shared" ca="1" si="96"/>
        <v>54184</v>
      </c>
      <c r="N1509" s="115" t="e">
        <f ca="1"/>
        <v>#VALUE!</v>
      </c>
      <c r="P1509" s="92">
        <f t="shared" ca="1" si="97"/>
        <v>54184</v>
      </c>
      <c r="Q1509" s="115" t="e">
        <f ca="1"/>
        <v>#VALUE!</v>
      </c>
      <c r="S1509" s="92">
        <f t="shared" ca="1" si="98"/>
        <v>54184</v>
      </c>
      <c r="T1509" s="115" t="e">
        <f ca="1"/>
        <v>#VALUE!</v>
      </c>
      <c r="V1509" s="92">
        <f t="shared" ca="1" si="99"/>
        <v>54184</v>
      </c>
      <c r="W1509" s="115" t="e">
        <f ca="1"/>
        <v>#VALUE!</v>
      </c>
    </row>
    <row r="1510" spans="13:23">
      <c r="M1510" s="92">
        <f t="shared" ca="1" si="96"/>
        <v>54191</v>
      </c>
      <c r="N1510" s="115" t="e">
        <f ca="1"/>
        <v>#VALUE!</v>
      </c>
      <c r="P1510" s="92">
        <f t="shared" ca="1" si="97"/>
        <v>54191</v>
      </c>
      <c r="Q1510" s="115" t="e">
        <f ca="1"/>
        <v>#VALUE!</v>
      </c>
      <c r="S1510" s="92">
        <f t="shared" ca="1" si="98"/>
        <v>54191</v>
      </c>
      <c r="T1510" s="115" t="e">
        <f ca="1"/>
        <v>#VALUE!</v>
      </c>
      <c r="V1510" s="92">
        <f t="shared" ca="1" si="99"/>
        <v>54191</v>
      </c>
      <c r="W1510" s="115" t="e">
        <f ca="1"/>
        <v>#VALUE!</v>
      </c>
    </row>
    <row r="1511" spans="13:23">
      <c r="M1511" s="92">
        <f t="shared" ca="1" si="96"/>
        <v>54198</v>
      </c>
      <c r="N1511" s="115" t="e">
        <f ca="1"/>
        <v>#VALUE!</v>
      </c>
      <c r="P1511" s="92">
        <f t="shared" ca="1" si="97"/>
        <v>54198</v>
      </c>
      <c r="Q1511" s="115" t="e">
        <f ca="1"/>
        <v>#VALUE!</v>
      </c>
      <c r="S1511" s="92">
        <f t="shared" ca="1" si="98"/>
        <v>54198</v>
      </c>
      <c r="T1511" s="115" t="e">
        <f ca="1"/>
        <v>#VALUE!</v>
      </c>
      <c r="V1511" s="92">
        <f t="shared" ca="1" si="99"/>
        <v>54198</v>
      </c>
      <c r="W1511" s="115" t="e">
        <f ca="1"/>
        <v>#VALUE!</v>
      </c>
    </row>
    <row r="1512" spans="13:23">
      <c r="M1512" s="92">
        <f t="shared" ca="1" si="96"/>
        <v>54205</v>
      </c>
      <c r="N1512" s="115" t="e">
        <f ca="1"/>
        <v>#VALUE!</v>
      </c>
      <c r="P1512" s="92">
        <f t="shared" ca="1" si="97"/>
        <v>54205</v>
      </c>
      <c r="Q1512" s="115" t="e">
        <f ca="1"/>
        <v>#VALUE!</v>
      </c>
      <c r="S1512" s="92">
        <f t="shared" ca="1" si="98"/>
        <v>54205</v>
      </c>
      <c r="T1512" s="115" t="e">
        <f ca="1"/>
        <v>#VALUE!</v>
      </c>
      <c r="V1512" s="92">
        <f t="shared" ca="1" si="99"/>
        <v>54205</v>
      </c>
      <c r="W1512" s="115" t="e">
        <f ca="1"/>
        <v>#VALUE!</v>
      </c>
    </row>
    <row r="1513" spans="13:23">
      <c r="M1513" s="92">
        <f t="shared" ca="1" si="96"/>
        <v>54212</v>
      </c>
      <c r="N1513" s="115" t="e">
        <f ca="1"/>
        <v>#VALUE!</v>
      </c>
      <c r="P1513" s="92">
        <f t="shared" ca="1" si="97"/>
        <v>54212</v>
      </c>
      <c r="Q1513" s="115" t="e">
        <f ca="1"/>
        <v>#VALUE!</v>
      </c>
      <c r="S1513" s="92">
        <f t="shared" ca="1" si="98"/>
        <v>54212</v>
      </c>
      <c r="T1513" s="115" t="e">
        <f ca="1"/>
        <v>#VALUE!</v>
      </c>
      <c r="V1513" s="92">
        <f t="shared" ca="1" si="99"/>
        <v>54212</v>
      </c>
      <c r="W1513" s="115" t="e">
        <f ca="1"/>
        <v>#VALUE!</v>
      </c>
    </row>
    <row r="1514" spans="13:23">
      <c r="M1514" s="92">
        <f t="shared" ca="1" si="96"/>
        <v>54219</v>
      </c>
      <c r="N1514" s="115" t="e">
        <f ca="1"/>
        <v>#VALUE!</v>
      </c>
      <c r="P1514" s="92">
        <f t="shared" ca="1" si="97"/>
        <v>54219</v>
      </c>
      <c r="Q1514" s="115" t="e">
        <f ca="1"/>
        <v>#VALUE!</v>
      </c>
      <c r="S1514" s="92">
        <f t="shared" ca="1" si="98"/>
        <v>54219</v>
      </c>
      <c r="T1514" s="115" t="e">
        <f ca="1"/>
        <v>#VALUE!</v>
      </c>
      <c r="V1514" s="92">
        <f t="shared" ca="1" si="99"/>
        <v>54219</v>
      </c>
      <c r="W1514" s="115" t="e">
        <f ca="1"/>
        <v>#VALUE!</v>
      </c>
    </row>
    <row r="1515" spans="13:23">
      <c r="M1515" s="92">
        <f t="shared" ca="1" si="96"/>
        <v>54226</v>
      </c>
      <c r="N1515" s="115" t="e">
        <f ca="1"/>
        <v>#VALUE!</v>
      </c>
      <c r="P1515" s="92">
        <f t="shared" ca="1" si="97"/>
        <v>54226</v>
      </c>
      <c r="Q1515" s="115" t="e">
        <f ca="1"/>
        <v>#VALUE!</v>
      </c>
      <c r="S1515" s="92">
        <f t="shared" ca="1" si="98"/>
        <v>54226</v>
      </c>
      <c r="T1515" s="115" t="e">
        <f ca="1"/>
        <v>#VALUE!</v>
      </c>
      <c r="V1515" s="92">
        <f t="shared" ca="1" si="99"/>
        <v>54226</v>
      </c>
      <c r="W1515" s="115" t="e">
        <f ca="1"/>
        <v>#VALUE!</v>
      </c>
    </row>
    <row r="1516" spans="13:23">
      <c r="M1516" s="92">
        <f t="shared" ca="1" si="96"/>
        <v>54233</v>
      </c>
      <c r="N1516" s="115" t="e">
        <f ca="1"/>
        <v>#VALUE!</v>
      </c>
      <c r="P1516" s="92">
        <f t="shared" ca="1" si="97"/>
        <v>54233</v>
      </c>
      <c r="Q1516" s="115" t="e">
        <f ca="1"/>
        <v>#VALUE!</v>
      </c>
      <c r="S1516" s="92">
        <f t="shared" ca="1" si="98"/>
        <v>54233</v>
      </c>
      <c r="T1516" s="115" t="e">
        <f ca="1"/>
        <v>#VALUE!</v>
      </c>
      <c r="V1516" s="92">
        <f t="shared" ca="1" si="99"/>
        <v>54233</v>
      </c>
      <c r="W1516" s="115" t="e">
        <f ca="1"/>
        <v>#VALUE!</v>
      </c>
    </row>
    <row r="1517" spans="13:23">
      <c r="M1517" s="92">
        <f t="shared" ca="1" si="96"/>
        <v>54240</v>
      </c>
      <c r="N1517" s="115" t="e">
        <f ca="1"/>
        <v>#VALUE!</v>
      </c>
      <c r="P1517" s="92">
        <f t="shared" ca="1" si="97"/>
        <v>54240</v>
      </c>
      <c r="Q1517" s="115" t="e">
        <f ca="1"/>
        <v>#VALUE!</v>
      </c>
      <c r="S1517" s="92">
        <f t="shared" ca="1" si="98"/>
        <v>54240</v>
      </c>
      <c r="T1517" s="115" t="e">
        <f ca="1"/>
        <v>#VALUE!</v>
      </c>
      <c r="V1517" s="92">
        <f t="shared" ca="1" si="99"/>
        <v>54240</v>
      </c>
      <c r="W1517" s="115" t="e">
        <f ca="1"/>
        <v>#VALUE!</v>
      </c>
    </row>
    <row r="1518" spans="13:23">
      <c r="M1518" s="92">
        <f t="shared" ca="1" si="96"/>
        <v>54247</v>
      </c>
      <c r="N1518" s="115" t="e">
        <f ca="1"/>
        <v>#VALUE!</v>
      </c>
      <c r="P1518" s="92">
        <f t="shared" ca="1" si="97"/>
        <v>54247</v>
      </c>
      <c r="Q1518" s="115" t="e">
        <f ca="1"/>
        <v>#VALUE!</v>
      </c>
      <c r="S1518" s="92">
        <f t="shared" ca="1" si="98"/>
        <v>54247</v>
      </c>
      <c r="T1518" s="115" t="e">
        <f ca="1"/>
        <v>#VALUE!</v>
      </c>
      <c r="V1518" s="92">
        <f t="shared" ca="1" si="99"/>
        <v>54247</v>
      </c>
      <c r="W1518" s="115" t="e">
        <f ca="1"/>
        <v>#VALUE!</v>
      </c>
    </row>
    <row r="1519" spans="13:23">
      <c r="M1519" s="92">
        <f t="shared" ca="1" si="96"/>
        <v>54254</v>
      </c>
      <c r="N1519" s="115" t="e">
        <f ca="1"/>
        <v>#VALUE!</v>
      </c>
      <c r="P1519" s="92">
        <f t="shared" ca="1" si="97"/>
        <v>54254</v>
      </c>
      <c r="Q1519" s="115" t="e">
        <f ca="1"/>
        <v>#VALUE!</v>
      </c>
      <c r="S1519" s="92">
        <f t="shared" ca="1" si="98"/>
        <v>54254</v>
      </c>
      <c r="T1519" s="115" t="e">
        <f ca="1"/>
        <v>#VALUE!</v>
      </c>
      <c r="V1519" s="92">
        <f t="shared" ca="1" si="99"/>
        <v>54254</v>
      </c>
      <c r="W1519" s="115" t="e">
        <f ca="1"/>
        <v>#VALUE!</v>
      </c>
    </row>
    <row r="1520" spans="13:23">
      <c r="M1520" s="92">
        <f t="shared" ca="1" si="96"/>
        <v>54261</v>
      </c>
      <c r="N1520" s="115" t="e">
        <f ca="1"/>
        <v>#VALUE!</v>
      </c>
      <c r="P1520" s="92">
        <f t="shared" ca="1" si="97"/>
        <v>54261</v>
      </c>
      <c r="Q1520" s="115" t="e">
        <f ca="1"/>
        <v>#VALUE!</v>
      </c>
      <c r="S1520" s="92">
        <f t="shared" ca="1" si="98"/>
        <v>54261</v>
      </c>
      <c r="T1520" s="115" t="e">
        <f ca="1"/>
        <v>#VALUE!</v>
      </c>
      <c r="V1520" s="92">
        <f t="shared" ca="1" si="99"/>
        <v>54261</v>
      </c>
      <c r="W1520" s="115" t="e">
        <f ca="1"/>
        <v>#VALUE!</v>
      </c>
    </row>
    <row r="1521" spans="13:23">
      <c r="M1521" s="92">
        <f t="shared" ca="1" si="96"/>
        <v>54268</v>
      </c>
      <c r="N1521" s="115" t="e">
        <f ca="1"/>
        <v>#VALUE!</v>
      </c>
      <c r="P1521" s="92">
        <f t="shared" ca="1" si="97"/>
        <v>54268</v>
      </c>
      <c r="Q1521" s="115" t="e">
        <f ca="1"/>
        <v>#VALUE!</v>
      </c>
      <c r="S1521" s="92">
        <f t="shared" ca="1" si="98"/>
        <v>54268</v>
      </c>
      <c r="T1521" s="115" t="e">
        <f ca="1"/>
        <v>#VALUE!</v>
      </c>
      <c r="V1521" s="92">
        <f t="shared" ca="1" si="99"/>
        <v>54268</v>
      </c>
      <c r="W1521" s="115" t="e">
        <f ca="1"/>
        <v>#VALUE!</v>
      </c>
    </row>
    <row r="1522" spans="13:23">
      <c r="M1522" s="92">
        <f t="shared" ca="1" si="96"/>
        <v>54275</v>
      </c>
      <c r="N1522" s="115" t="e">
        <f ca="1"/>
        <v>#VALUE!</v>
      </c>
      <c r="P1522" s="92">
        <f t="shared" ca="1" si="97"/>
        <v>54275</v>
      </c>
      <c r="Q1522" s="115" t="e">
        <f ca="1"/>
        <v>#VALUE!</v>
      </c>
      <c r="S1522" s="92">
        <f t="shared" ca="1" si="98"/>
        <v>54275</v>
      </c>
      <c r="T1522" s="115" t="e">
        <f ca="1"/>
        <v>#VALUE!</v>
      </c>
      <c r="V1522" s="92">
        <f t="shared" ca="1" si="99"/>
        <v>54275</v>
      </c>
      <c r="W1522" s="115" t="e">
        <f ca="1"/>
        <v>#VALUE!</v>
      </c>
    </row>
    <row r="1523" spans="13:23">
      <c r="M1523" s="92">
        <f t="shared" ca="1" si="96"/>
        <v>54282</v>
      </c>
      <c r="N1523" s="115" t="e">
        <f ca="1"/>
        <v>#VALUE!</v>
      </c>
      <c r="P1523" s="92">
        <f t="shared" ca="1" si="97"/>
        <v>54282</v>
      </c>
      <c r="Q1523" s="115" t="e">
        <f ca="1"/>
        <v>#VALUE!</v>
      </c>
      <c r="S1523" s="92">
        <f t="shared" ca="1" si="98"/>
        <v>54282</v>
      </c>
      <c r="T1523" s="115" t="e">
        <f ca="1"/>
        <v>#VALUE!</v>
      </c>
      <c r="V1523" s="92">
        <f t="shared" ca="1" si="99"/>
        <v>54282</v>
      </c>
      <c r="W1523" s="115" t="e">
        <f ca="1"/>
        <v>#VALUE!</v>
      </c>
    </row>
    <row r="1524" spans="13:23">
      <c r="M1524" s="92">
        <f t="shared" ca="1" si="96"/>
        <v>54289</v>
      </c>
      <c r="N1524" s="115" t="e">
        <f ca="1"/>
        <v>#VALUE!</v>
      </c>
      <c r="P1524" s="92">
        <f t="shared" ca="1" si="97"/>
        <v>54289</v>
      </c>
      <c r="Q1524" s="115" t="e">
        <f ca="1"/>
        <v>#VALUE!</v>
      </c>
      <c r="S1524" s="92">
        <f t="shared" ca="1" si="98"/>
        <v>54289</v>
      </c>
      <c r="T1524" s="115" t="e">
        <f ca="1"/>
        <v>#VALUE!</v>
      </c>
      <c r="V1524" s="92">
        <f t="shared" ca="1" si="99"/>
        <v>54289</v>
      </c>
      <c r="W1524" s="115" t="e">
        <f ca="1"/>
        <v>#VALUE!</v>
      </c>
    </row>
    <row r="1525" spans="13:23">
      <c r="M1525" s="92">
        <f t="shared" ca="1" si="96"/>
        <v>54296</v>
      </c>
      <c r="N1525" s="115" t="e">
        <f ca="1"/>
        <v>#VALUE!</v>
      </c>
      <c r="P1525" s="92">
        <f t="shared" ca="1" si="97"/>
        <v>54296</v>
      </c>
      <c r="Q1525" s="115" t="e">
        <f ca="1"/>
        <v>#VALUE!</v>
      </c>
      <c r="S1525" s="92">
        <f t="shared" ca="1" si="98"/>
        <v>54296</v>
      </c>
      <c r="T1525" s="115" t="e">
        <f ca="1"/>
        <v>#VALUE!</v>
      </c>
      <c r="V1525" s="92">
        <f t="shared" ca="1" si="99"/>
        <v>54296</v>
      </c>
      <c r="W1525" s="115" t="e">
        <f ca="1"/>
        <v>#VALUE!</v>
      </c>
    </row>
    <row r="1526" spans="13:23">
      <c r="M1526" s="92">
        <f t="shared" ca="1" si="96"/>
        <v>54303</v>
      </c>
      <c r="N1526" s="115" t="e">
        <f ca="1"/>
        <v>#VALUE!</v>
      </c>
      <c r="P1526" s="92">
        <f t="shared" ca="1" si="97"/>
        <v>54303</v>
      </c>
      <c r="Q1526" s="115" t="e">
        <f ca="1"/>
        <v>#VALUE!</v>
      </c>
      <c r="S1526" s="92">
        <f t="shared" ca="1" si="98"/>
        <v>54303</v>
      </c>
      <c r="T1526" s="115" t="e">
        <f ca="1"/>
        <v>#VALUE!</v>
      </c>
      <c r="V1526" s="92">
        <f t="shared" ca="1" si="99"/>
        <v>54303</v>
      </c>
      <c r="W1526" s="115" t="e">
        <f ca="1"/>
        <v>#VALUE!</v>
      </c>
    </row>
    <row r="1527" spans="13:23">
      <c r="M1527" s="92">
        <f t="shared" ca="1" si="96"/>
        <v>54310</v>
      </c>
      <c r="N1527" s="115" t="e">
        <f ca="1"/>
        <v>#VALUE!</v>
      </c>
      <c r="P1527" s="92">
        <f t="shared" ca="1" si="97"/>
        <v>54310</v>
      </c>
      <c r="Q1527" s="115" t="e">
        <f ca="1"/>
        <v>#VALUE!</v>
      </c>
      <c r="S1527" s="92">
        <f t="shared" ca="1" si="98"/>
        <v>54310</v>
      </c>
      <c r="T1527" s="115" t="e">
        <f ca="1"/>
        <v>#VALUE!</v>
      </c>
      <c r="V1527" s="92">
        <f t="shared" ca="1" si="99"/>
        <v>54310</v>
      </c>
      <c r="W1527" s="115" t="e">
        <f ca="1"/>
        <v>#VALUE!</v>
      </c>
    </row>
    <row r="1528" spans="13:23">
      <c r="M1528" s="92">
        <f t="shared" ca="1" si="96"/>
        <v>54317</v>
      </c>
      <c r="N1528" s="115" t="e">
        <f ca="1"/>
        <v>#VALUE!</v>
      </c>
      <c r="P1528" s="92">
        <f t="shared" ca="1" si="97"/>
        <v>54317</v>
      </c>
      <c r="Q1528" s="115" t="e">
        <f ca="1"/>
        <v>#VALUE!</v>
      </c>
      <c r="S1528" s="92">
        <f t="shared" ca="1" si="98"/>
        <v>54317</v>
      </c>
      <c r="T1528" s="115" t="e">
        <f ca="1"/>
        <v>#VALUE!</v>
      </c>
      <c r="V1528" s="92">
        <f t="shared" ca="1" si="99"/>
        <v>54317</v>
      </c>
      <c r="W1528" s="115" t="e">
        <f ca="1"/>
        <v>#VALUE!</v>
      </c>
    </row>
    <row r="1529" spans="13:23">
      <c r="M1529" s="92">
        <f t="shared" ca="1" si="96"/>
        <v>54324</v>
      </c>
      <c r="N1529" s="115" t="e">
        <f ca="1"/>
        <v>#VALUE!</v>
      </c>
      <c r="P1529" s="92">
        <f t="shared" ca="1" si="97"/>
        <v>54324</v>
      </c>
      <c r="Q1529" s="115" t="e">
        <f ca="1"/>
        <v>#VALUE!</v>
      </c>
      <c r="S1529" s="92">
        <f t="shared" ca="1" si="98"/>
        <v>54324</v>
      </c>
      <c r="T1529" s="115" t="e">
        <f ca="1"/>
        <v>#VALUE!</v>
      </c>
      <c r="V1529" s="92">
        <f t="shared" ca="1" si="99"/>
        <v>54324</v>
      </c>
      <c r="W1529" s="115" t="e">
        <f ca="1"/>
        <v>#VALUE!</v>
      </c>
    </row>
    <row r="1530" spans="13:23">
      <c r="M1530" s="92">
        <f t="shared" ca="1" si="96"/>
        <v>54331</v>
      </c>
      <c r="N1530" s="115" t="e">
        <f ca="1"/>
        <v>#VALUE!</v>
      </c>
      <c r="P1530" s="92">
        <f t="shared" ca="1" si="97"/>
        <v>54331</v>
      </c>
      <c r="Q1530" s="115" t="e">
        <f ca="1"/>
        <v>#VALUE!</v>
      </c>
      <c r="S1530" s="92">
        <f t="shared" ca="1" si="98"/>
        <v>54331</v>
      </c>
      <c r="T1530" s="115" t="e">
        <f ca="1"/>
        <v>#VALUE!</v>
      </c>
      <c r="V1530" s="92">
        <f t="shared" ca="1" si="99"/>
        <v>54331</v>
      </c>
      <c r="W1530" s="115" t="e">
        <f ca="1"/>
        <v>#VALUE!</v>
      </c>
    </row>
    <row r="1531" spans="13:23">
      <c r="M1531" s="92">
        <f t="shared" ca="1" si="96"/>
        <v>54338</v>
      </c>
      <c r="N1531" s="115" t="e">
        <f ca="1"/>
        <v>#VALUE!</v>
      </c>
      <c r="P1531" s="92">
        <f t="shared" ca="1" si="97"/>
        <v>54338</v>
      </c>
      <c r="Q1531" s="115" t="e">
        <f ca="1"/>
        <v>#VALUE!</v>
      </c>
      <c r="S1531" s="92">
        <f t="shared" ca="1" si="98"/>
        <v>54338</v>
      </c>
      <c r="T1531" s="115" t="e">
        <f ca="1"/>
        <v>#VALUE!</v>
      </c>
      <c r="V1531" s="92">
        <f t="shared" ca="1" si="99"/>
        <v>54338</v>
      </c>
      <c r="W1531" s="115" t="e">
        <f ca="1"/>
        <v>#VALUE!</v>
      </c>
    </row>
    <row r="1532" spans="13:23">
      <c r="M1532" s="92">
        <f t="shared" ca="1" si="96"/>
        <v>54345</v>
      </c>
      <c r="N1532" s="115" t="e">
        <f ca="1"/>
        <v>#VALUE!</v>
      </c>
      <c r="P1532" s="92">
        <f t="shared" ca="1" si="97"/>
        <v>54345</v>
      </c>
      <c r="Q1532" s="115" t="e">
        <f ca="1"/>
        <v>#VALUE!</v>
      </c>
      <c r="S1532" s="92">
        <f t="shared" ca="1" si="98"/>
        <v>54345</v>
      </c>
      <c r="T1532" s="115" t="e">
        <f ca="1"/>
        <v>#VALUE!</v>
      </c>
      <c r="V1532" s="92">
        <f t="shared" ca="1" si="99"/>
        <v>54345</v>
      </c>
      <c r="W1532" s="115" t="e">
        <f ca="1"/>
        <v>#VALUE!</v>
      </c>
    </row>
    <row r="1533" spans="13:23">
      <c r="M1533" s="92">
        <f t="shared" ca="1" si="96"/>
        <v>54352</v>
      </c>
      <c r="N1533" s="115" t="e">
        <f ca="1"/>
        <v>#VALUE!</v>
      </c>
      <c r="P1533" s="92">
        <f t="shared" ca="1" si="97"/>
        <v>54352</v>
      </c>
      <c r="Q1533" s="115" t="e">
        <f ca="1"/>
        <v>#VALUE!</v>
      </c>
      <c r="S1533" s="92">
        <f t="shared" ca="1" si="98"/>
        <v>54352</v>
      </c>
      <c r="T1533" s="115" t="e">
        <f ca="1"/>
        <v>#VALUE!</v>
      </c>
      <c r="V1533" s="92">
        <f t="shared" ca="1" si="99"/>
        <v>54352</v>
      </c>
      <c r="W1533" s="115" t="e">
        <f ca="1"/>
        <v>#VALUE!</v>
      </c>
    </row>
    <row r="1534" spans="13:23">
      <c r="M1534" s="92">
        <f t="shared" ca="1" si="96"/>
        <v>54359</v>
      </c>
      <c r="N1534" s="115" t="e">
        <f ca="1"/>
        <v>#VALUE!</v>
      </c>
      <c r="P1534" s="92">
        <f t="shared" ca="1" si="97"/>
        <v>54359</v>
      </c>
      <c r="Q1534" s="115" t="e">
        <f ca="1"/>
        <v>#VALUE!</v>
      </c>
      <c r="S1534" s="92">
        <f t="shared" ca="1" si="98"/>
        <v>54359</v>
      </c>
      <c r="T1534" s="115" t="e">
        <f ca="1"/>
        <v>#VALUE!</v>
      </c>
      <c r="V1534" s="92">
        <f t="shared" ca="1" si="99"/>
        <v>54359</v>
      </c>
      <c r="W1534" s="115" t="e">
        <f ca="1"/>
        <v>#VALUE!</v>
      </c>
    </row>
    <row r="1535" spans="13:23">
      <c r="M1535" s="92">
        <f t="shared" ca="1" si="96"/>
        <v>54366</v>
      </c>
      <c r="N1535" s="115" t="e">
        <f ca="1"/>
        <v>#VALUE!</v>
      </c>
      <c r="P1535" s="92">
        <f t="shared" ca="1" si="97"/>
        <v>54366</v>
      </c>
      <c r="Q1535" s="115" t="e">
        <f ca="1"/>
        <v>#VALUE!</v>
      </c>
      <c r="S1535" s="92">
        <f t="shared" ca="1" si="98"/>
        <v>54366</v>
      </c>
      <c r="T1535" s="115" t="e">
        <f ca="1"/>
        <v>#VALUE!</v>
      </c>
      <c r="V1535" s="92">
        <f t="shared" ca="1" si="99"/>
        <v>54366</v>
      </c>
      <c r="W1535" s="115" t="e">
        <f ca="1"/>
        <v>#VALUE!</v>
      </c>
    </row>
    <row r="1536" spans="13:23">
      <c r="M1536" s="92">
        <f t="shared" ca="1" si="96"/>
        <v>54373</v>
      </c>
      <c r="N1536" s="115" t="e">
        <f ca="1"/>
        <v>#VALUE!</v>
      </c>
      <c r="P1536" s="92">
        <f t="shared" ca="1" si="97"/>
        <v>54373</v>
      </c>
      <c r="Q1536" s="115" t="e">
        <f ca="1"/>
        <v>#VALUE!</v>
      </c>
      <c r="S1536" s="92">
        <f t="shared" ca="1" si="98"/>
        <v>54373</v>
      </c>
      <c r="T1536" s="115" t="e">
        <f ca="1"/>
        <v>#VALUE!</v>
      </c>
      <c r="V1536" s="92">
        <f t="shared" ca="1" si="99"/>
        <v>54373</v>
      </c>
      <c r="W1536" s="115" t="e">
        <f ca="1"/>
        <v>#VALUE!</v>
      </c>
    </row>
    <row r="1537" spans="13:23">
      <c r="M1537" s="92">
        <f t="shared" ca="1" si="96"/>
        <v>54380</v>
      </c>
      <c r="N1537" s="115" t="e">
        <f ca="1"/>
        <v>#VALUE!</v>
      </c>
      <c r="P1537" s="92">
        <f t="shared" ca="1" si="97"/>
        <v>54380</v>
      </c>
      <c r="Q1537" s="115" t="e">
        <f ca="1"/>
        <v>#VALUE!</v>
      </c>
      <c r="S1537" s="92">
        <f t="shared" ca="1" si="98"/>
        <v>54380</v>
      </c>
      <c r="T1537" s="115" t="e">
        <f ca="1"/>
        <v>#VALUE!</v>
      </c>
      <c r="V1537" s="92">
        <f t="shared" ca="1" si="99"/>
        <v>54380</v>
      </c>
      <c r="W1537" s="115" t="e">
        <f ca="1"/>
        <v>#VALUE!</v>
      </c>
    </row>
    <row r="1538" spans="13:23">
      <c r="M1538" s="92">
        <f t="shared" ca="1" si="96"/>
        <v>54387</v>
      </c>
      <c r="N1538" s="115" t="e">
        <f ca="1"/>
        <v>#VALUE!</v>
      </c>
      <c r="P1538" s="92">
        <f t="shared" ca="1" si="97"/>
        <v>54387</v>
      </c>
      <c r="Q1538" s="115" t="e">
        <f ca="1"/>
        <v>#VALUE!</v>
      </c>
      <c r="S1538" s="92">
        <f t="shared" ca="1" si="98"/>
        <v>54387</v>
      </c>
      <c r="T1538" s="115" t="e">
        <f ca="1"/>
        <v>#VALUE!</v>
      </c>
      <c r="V1538" s="92">
        <f t="shared" ca="1" si="99"/>
        <v>54387</v>
      </c>
      <c r="W1538" s="115" t="e">
        <f ca="1"/>
        <v>#VALUE!</v>
      </c>
    </row>
    <row r="1539" spans="13:23">
      <c r="M1539" s="92">
        <f t="shared" ca="1" si="96"/>
        <v>54394</v>
      </c>
      <c r="N1539" s="115" t="e">
        <f ca="1"/>
        <v>#VALUE!</v>
      </c>
      <c r="P1539" s="92">
        <f t="shared" ca="1" si="97"/>
        <v>54394</v>
      </c>
      <c r="Q1539" s="115" t="e">
        <f ca="1"/>
        <v>#VALUE!</v>
      </c>
      <c r="S1539" s="92">
        <f t="shared" ca="1" si="98"/>
        <v>54394</v>
      </c>
      <c r="T1539" s="115" t="e">
        <f ca="1"/>
        <v>#VALUE!</v>
      </c>
      <c r="V1539" s="92">
        <f t="shared" ca="1" si="99"/>
        <v>54394</v>
      </c>
      <c r="W1539" s="115" t="e">
        <f ca="1"/>
        <v>#VALUE!</v>
      </c>
    </row>
    <row r="1540" spans="13:23">
      <c r="M1540" s="92">
        <f t="shared" ca="1" si="96"/>
        <v>54401</v>
      </c>
      <c r="N1540" s="115" t="e">
        <f ca="1"/>
        <v>#VALUE!</v>
      </c>
      <c r="P1540" s="92">
        <f t="shared" ca="1" si="97"/>
        <v>54401</v>
      </c>
      <c r="Q1540" s="115" t="e">
        <f ca="1"/>
        <v>#VALUE!</v>
      </c>
      <c r="S1540" s="92">
        <f t="shared" ca="1" si="98"/>
        <v>54401</v>
      </c>
      <c r="T1540" s="115" t="e">
        <f ca="1"/>
        <v>#VALUE!</v>
      </c>
      <c r="V1540" s="92">
        <f t="shared" ca="1" si="99"/>
        <v>54401</v>
      </c>
      <c r="W1540" s="115" t="e">
        <f ca="1"/>
        <v>#VALUE!</v>
      </c>
    </row>
    <row r="1541" spans="13:23">
      <c r="M1541" s="92">
        <f t="shared" ca="1" si="96"/>
        <v>54408</v>
      </c>
      <c r="N1541" s="115" t="e">
        <f ca="1"/>
        <v>#VALUE!</v>
      </c>
      <c r="P1541" s="92">
        <f t="shared" ca="1" si="97"/>
        <v>54408</v>
      </c>
      <c r="Q1541" s="115" t="e">
        <f ca="1"/>
        <v>#VALUE!</v>
      </c>
      <c r="S1541" s="92">
        <f t="shared" ca="1" si="98"/>
        <v>54408</v>
      </c>
      <c r="T1541" s="115" t="e">
        <f ca="1"/>
        <v>#VALUE!</v>
      </c>
      <c r="V1541" s="92">
        <f t="shared" ca="1" si="99"/>
        <v>54408</v>
      </c>
      <c r="W1541" s="115" t="e">
        <f ca="1"/>
        <v>#VALUE!</v>
      </c>
    </row>
    <row r="1542" spans="13:23">
      <c r="M1542" s="92">
        <f t="shared" ca="1" si="96"/>
        <v>54415</v>
      </c>
      <c r="N1542" s="115" t="e">
        <f ca="1"/>
        <v>#VALUE!</v>
      </c>
      <c r="P1542" s="92">
        <f t="shared" ca="1" si="97"/>
        <v>54415</v>
      </c>
      <c r="Q1542" s="115" t="e">
        <f ca="1"/>
        <v>#VALUE!</v>
      </c>
      <c r="S1542" s="92">
        <f t="shared" ca="1" si="98"/>
        <v>54415</v>
      </c>
      <c r="T1542" s="115" t="e">
        <f ca="1"/>
        <v>#VALUE!</v>
      </c>
      <c r="V1542" s="92">
        <f t="shared" ca="1" si="99"/>
        <v>54415</v>
      </c>
      <c r="W1542" s="115" t="e">
        <f ca="1"/>
        <v>#VALUE!</v>
      </c>
    </row>
    <row r="1543" spans="13:23">
      <c r="M1543" s="92">
        <f t="shared" ca="1" si="96"/>
        <v>54422</v>
      </c>
      <c r="N1543" s="115" t="e">
        <f ca="1"/>
        <v>#VALUE!</v>
      </c>
      <c r="P1543" s="92">
        <f t="shared" ca="1" si="97"/>
        <v>54422</v>
      </c>
      <c r="Q1543" s="115" t="e">
        <f ca="1"/>
        <v>#VALUE!</v>
      </c>
      <c r="S1543" s="92">
        <f t="shared" ca="1" si="98"/>
        <v>54422</v>
      </c>
      <c r="T1543" s="115" t="e">
        <f ca="1"/>
        <v>#VALUE!</v>
      </c>
      <c r="V1543" s="92">
        <f t="shared" ca="1" si="99"/>
        <v>54422</v>
      </c>
      <c r="W1543" s="115" t="e">
        <f ca="1"/>
        <v>#VALUE!</v>
      </c>
    </row>
    <row r="1544" spans="13:23">
      <c r="M1544" s="92">
        <f t="shared" ca="1" si="96"/>
        <v>54429</v>
      </c>
      <c r="N1544" s="115" t="e">
        <f ca="1"/>
        <v>#VALUE!</v>
      </c>
      <c r="P1544" s="92">
        <f t="shared" ca="1" si="97"/>
        <v>54429</v>
      </c>
      <c r="Q1544" s="115" t="e">
        <f ca="1"/>
        <v>#VALUE!</v>
      </c>
      <c r="S1544" s="92">
        <f t="shared" ca="1" si="98"/>
        <v>54429</v>
      </c>
      <c r="T1544" s="115" t="e">
        <f ca="1"/>
        <v>#VALUE!</v>
      </c>
      <c r="V1544" s="92">
        <f t="shared" ca="1" si="99"/>
        <v>54429</v>
      </c>
      <c r="W1544" s="115" t="e">
        <f ca="1"/>
        <v>#VALUE!</v>
      </c>
    </row>
    <row r="1545" spans="13:23">
      <c r="M1545" s="92">
        <f t="shared" ca="1" si="96"/>
        <v>54436</v>
      </c>
      <c r="N1545" s="115" t="e">
        <f ca="1"/>
        <v>#VALUE!</v>
      </c>
      <c r="P1545" s="92">
        <f t="shared" ca="1" si="97"/>
        <v>54436</v>
      </c>
      <c r="Q1545" s="115" t="e">
        <f ca="1"/>
        <v>#VALUE!</v>
      </c>
      <c r="S1545" s="92">
        <f t="shared" ca="1" si="98"/>
        <v>54436</v>
      </c>
      <c r="T1545" s="115" t="e">
        <f ca="1"/>
        <v>#VALUE!</v>
      </c>
      <c r="V1545" s="92">
        <f t="shared" ca="1" si="99"/>
        <v>54436</v>
      </c>
      <c r="W1545" s="115" t="e">
        <f ca="1"/>
        <v>#VALUE!</v>
      </c>
    </row>
    <row r="1546" spans="13:23">
      <c r="M1546" s="92">
        <f t="shared" ca="1" si="96"/>
        <v>54443</v>
      </c>
      <c r="N1546" s="115" t="e">
        <f ca="1"/>
        <v>#VALUE!</v>
      </c>
      <c r="P1546" s="92">
        <f t="shared" ca="1" si="97"/>
        <v>54443</v>
      </c>
      <c r="Q1546" s="115" t="e">
        <f ca="1"/>
        <v>#VALUE!</v>
      </c>
      <c r="S1546" s="92">
        <f t="shared" ca="1" si="98"/>
        <v>54443</v>
      </c>
      <c r="T1546" s="115" t="e">
        <f ca="1"/>
        <v>#VALUE!</v>
      </c>
      <c r="V1546" s="92">
        <f t="shared" ca="1" si="99"/>
        <v>54443</v>
      </c>
      <c r="W1546" s="115" t="e">
        <f ca="1"/>
        <v>#VALUE!</v>
      </c>
    </row>
    <row r="1547" spans="13:23">
      <c r="M1547" s="92">
        <f t="shared" ca="1" si="96"/>
        <v>54450</v>
      </c>
      <c r="N1547" s="115" t="e">
        <f ca="1"/>
        <v>#VALUE!</v>
      </c>
      <c r="P1547" s="92">
        <f t="shared" ca="1" si="97"/>
        <v>54450</v>
      </c>
      <c r="Q1547" s="115" t="e">
        <f ca="1"/>
        <v>#VALUE!</v>
      </c>
      <c r="S1547" s="92">
        <f t="shared" ca="1" si="98"/>
        <v>54450</v>
      </c>
      <c r="T1547" s="115" t="e">
        <f ca="1"/>
        <v>#VALUE!</v>
      </c>
      <c r="V1547" s="92">
        <f t="shared" ca="1" si="99"/>
        <v>54450</v>
      </c>
      <c r="W1547" s="115" t="e">
        <f ca="1"/>
        <v>#VALUE!</v>
      </c>
    </row>
    <row r="1548" spans="13:23">
      <c r="M1548" s="92">
        <f t="shared" ca="1" si="96"/>
        <v>54457</v>
      </c>
      <c r="N1548" s="115" t="e">
        <f ca="1"/>
        <v>#VALUE!</v>
      </c>
      <c r="P1548" s="92">
        <f t="shared" ca="1" si="97"/>
        <v>54457</v>
      </c>
      <c r="Q1548" s="115" t="e">
        <f ca="1"/>
        <v>#VALUE!</v>
      </c>
      <c r="S1548" s="92">
        <f t="shared" ca="1" si="98"/>
        <v>54457</v>
      </c>
      <c r="T1548" s="115" t="e">
        <f ca="1"/>
        <v>#VALUE!</v>
      </c>
      <c r="V1548" s="92">
        <f t="shared" ca="1" si="99"/>
        <v>54457</v>
      </c>
      <c r="W1548" s="115" t="e">
        <f ca="1"/>
        <v>#VALUE!</v>
      </c>
    </row>
    <row r="1549" spans="13:23">
      <c r="M1549" s="92">
        <f t="shared" ref="M1549:M1612" ca="1" si="100">M1548+7</f>
        <v>54464</v>
      </c>
      <c r="N1549" s="115" t="e">
        <f ca="1"/>
        <v>#VALUE!</v>
      </c>
      <c r="P1549" s="92">
        <f t="shared" ca="1" si="97"/>
        <v>54464</v>
      </c>
      <c r="Q1549" s="115" t="e">
        <f ca="1"/>
        <v>#VALUE!</v>
      </c>
      <c r="S1549" s="92">
        <f t="shared" ca="1" si="98"/>
        <v>54464</v>
      </c>
      <c r="T1549" s="115" t="e">
        <f ca="1"/>
        <v>#VALUE!</v>
      </c>
      <c r="V1549" s="92">
        <f t="shared" ca="1" si="99"/>
        <v>54464</v>
      </c>
      <c r="W1549" s="115" t="e">
        <f ca="1"/>
        <v>#VALUE!</v>
      </c>
    </row>
    <row r="1550" spans="13:23">
      <c r="M1550" s="92">
        <f t="shared" ca="1" si="100"/>
        <v>54471</v>
      </c>
      <c r="N1550" s="115" t="e">
        <f ca="1"/>
        <v>#VALUE!</v>
      </c>
      <c r="P1550" s="92">
        <f t="shared" ca="1" si="97"/>
        <v>54471</v>
      </c>
      <c r="Q1550" s="115" t="e">
        <f ca="1"/>
        <v>#VALUE!</v>
      </c>
      <c r="S1550" s="92">
        <f t="shared" ca="1" si="98"/>
        <v>54471</v>
      </c>
      <c r="T1550" s="115" t="e">
        <f ca="1"/>
        <v>#VALUE!</v>
      </c>
      <c r="V1550" s="92">
        <f t="shared" ca="1" si="99"/>
        <v>54471</v>
      </c>
      <c r="W1550" s="115" t="e">
        <f ca="1"/>
        <v>#VALUE!</v>
      </c>
    </row>
    <row r="1551" spans="13:23">
      <c r="M1551" s="92">
        <f t="shared" ca="1" si="100"/>
        <v>54478</v>
      </c>
      <c r="N1551" s="115" t="e">
        <f ca="1"/>
        <v>#VALUE!</v>
      </c>
      <c r="P1551" s="92">
        <f t="shared" ca="1" si="97"/>
        <v>54478</v>
      </c>
      <c r="Q1551" s="115" t="e">
        <f ca="1"/>
        <v>#VALUE!</v>
      </c>
      <c r="S1551" s="92">
        <f t="shared" ca="1" si="98"/>
        <v>54478</v>
      </c>
      <c r="T1551" s="115" t="e">
        <f ca="1"/>
        <v>#VALUE!</v>
      </c>
      <c r="V1551" s="92">
        <f t="shared" ca="1" si="99"/>
        <v>54478</v>
      </c>
      <c r="W1551" s="115" t="e">
        <f ca="1"/>
        <v>#VALUE!</v>
      </c>
    </row>
    <row r="1552" spans="13:23">
      <c r="M1552" s="92">
        <f t="shared" ca="1" si="100"/>
        <v>54485</v>
      </c>
      <c r="N1552" s="115" t="e">
        <f ca="1"/>
        <v>#VALUE!</v>
      </c>
      <c r="P1552" s="92">
        <f t="shared" ca="1" si="97"/>
        <v>54485</v>
      </c>
      <c r="Q1552" s="115" t="e">
        <f ca="1"/>
        <v>#VALUE!</v>
      </c>
      <c r="S1552" s="92">
        <f t="shared" ca="1" si="98"/>
        <v>54485</v>
      </c>
      <c r="T1552" s="115" t="e">
        <f ca="1"/>
        <v>#VALUE!</v>
      </c>
      <c r="V1552" s="92">
        <f t="shared" ca="1" si="99"/>
        <v>54485</v>
      </c>
      <c r="W1552" s="115" t="e">
        <f ca="1"/>
        <v>#VALUE!</v>
      </c>
    </row>
    <row r="1553" spans="13:23">
      <c r="M1553" s="92">
        <f t="shared" ca="1" si="100"/>
        <v>54492</v>
      </c>
      <c r="N1553" s="115" t="e">
        <f ca="1"/>
        <v>#VALUE!</v>
      </c>
      <c r="P1553" s="92">
        <f t="shared" ca="1" si="97"/>
        <v>54492</v>
      </c>
      <c r="Q1553" s="115" t="e">
        <f ca="1"/>
        <v>#VALUE!</v>
      </c>
      <c r="S1553" s="92">
        <f t="shared" ca="1" si="98"/>
        <v>54492</v>
      </c>
      <c r="T1553" s="115" t="e">
        <f ca="1"/>
        <v>#VALUE!</v>
      </c>
      <c r="V1553" s="92">
        <f t="shared" ca="1" si="99"/>
        <v>54492</v>
      </c>
      <c r="W1553" s="115" t="e">
        <f ca="1"/>
        <v>#VALUE!</v>
      </c>
    </row>
    <row r="1554" spans="13:23">
      <c r="M1554" s="92">
        <f t="shared" ca="1" si="100"/>
        <v>54499</v>
      </c>
      <c r="N1554" s="115" t="e">
        <f ca="1"/>
        <v>#VALUE!</v>
      </c>
      <c r="P1554" s="92">
        <f t="shared" ca="1" si="97"/>
        <v>54499</v>
      </c>
      <c r="Q1554" s="115" t="e">
        <f ca="1"/>
        <v>#VALUE!</v>
      </c>
      <c r="S1554" s="92">
        <f t="shared" ca="1" si="98"/>
        <v>54499</v>
      </c>
      <c r="T1554" s="115" t="e">
        <f ca="1"/>
        <v>#VALUE!</v>
      </c>
      <c r="V1554" s="92">
        <f t="shared" ca="1" si="99"/>
        <v>54499</v>
      </c>
      <c r="W1554" s="115" t="e">
        <f ca="1"/>
        <v>#VALUE!</v>
      </c>
    </row>
    <row r="1555" spans="13:23">
      <c r="M1555" s="92">
        <f t="shared" ca="1" si="100"/>
        <v>54506</v>
      </c>
      <c r="N1555" s="115" t="e">
        <f ca="1"/>
        <v>#VALUE!</v>
      </c>
      <c r="P1555" s="92">
        <f t="shared" ca="1" si="97"/>
        <v>54506</v>
      </c>
      <c r="Q1555" s="115" t="e">
        <f ca="1"/>
        <v>#VALUE!</v>
      </c>
      <c r="S1555" s="92">
        <f t="shared" ca="1" si="98"/>
        <v>54506</v>
      </c>
      <c r="T1555" s="115" t="e">
        <f ca="1"/>
        <v>#VALUE!</v>
      </c>
      <c r="V1555" s="92">
        <f t="shared" ca="1" si="99"/>
        <v>54506</v>
      </c>
      <c r="W1555" s="115" t="e">
        <f ca="1"/>
        <v>#VALUE!</v>
      </c>
    </row>
    <row r="1556" spans="13:23">
      <c r="M1556" s="92">
        <f t="shared" ca="1" si="100"/>
        <v>54513</v>
      </c>
      <c r="N1556" s="115" t="e">
        <f ca="1"/>
        <v>#VALUE!</v>
      </c>
      <c r="P1556" s="92">
        <f t="shared" ca="1" si="97"/>
        <v>54513</v>
      </c>
      <c r="Q1556" s="115" t="e">
        <f ca="1"/>
        <v>#VALUE!</v>
      </c>
      <c r="S1556" s="92">
        <f t="shared" ca="1" si="98"/>
        <v>54513</v>
      </c>
      <c r="T1556" s="115" t="e">
        <f ca="1"/>
        <v>#VALUE!</v>
      </c>
      <c r="V1556" s="92">
        <f t="shared" ca="1" si="99"/>
        <v>54513</v>
      </c>
      <c r="W1556" s="115" t="e">
        <f ca="1"/>
        <v>#VALUE!</v>
      </c>
    </row>
    <row r="1557" spans="13:23">
      <c r="M1557" s="92">
        <f t="shared" ca="1" si="100"/>
        <v>54520</v>
      </c>
      <c r="N1557" s="115" t="e">
        <f ca="1"/>
        <v>#VALUE!</v>
      </c>
      <c r="P1557" s="92">
        <f t="shared" ca="1" si="97"/>
        <v>54520</v>
      </c>
      <c r="Q1557" s="115" t="e">
        <f ca="1"/>
        <v>#VALUE!</v>
      </c>
      <c r="S1557" s="92">
        <f t="shared" ca="1" si="98"/>
        <v>54520</v>
      </c>
      <c r="T1557" s="115" t="e">
        <f ca="1"/>
        <v>#VALUE!</v>
      </c>
      <c r="V1557" s="92">
        <f t="shared" ca="1" si="99"/>
        <v>54520</v>
      </c>
      <c r="W1557" s="115" t="e">
        <f ca="1"/>
        <v>#VALUE!</v>
      </c>
    </row>
    <row r="1558" spans="13:23">
      <c r="M1558" s="92">
        <f t="shared" ca="1" si="100"/>
        <v>54527</v>
      </c>
      <c r="N1558" s="115" t="e">
        <f ca="1"/>
        <v>#VALUE!</v>
      </c>
      <c r="P1558" s="92">
        <f t="shared" ca="1" si="97"/>
        <v>54527</v>
      </c>
      <c r="Q1558" s="115" t="e">
        <f ca="1"/>
        <v>#VALUE!</v>
      </c>
      <c r="S1558" s="92">
        <f t="shared" ca="1" si="98"/>
        <v>54527</v>
      </c>
      <c r="T1558" s="115" t="e">
        <f ca="1"/>
        <v>#VALUE!</v>
      </c>
      <c r="V1558" s="92">
        <f t="shared" ca="1" si="99"/>
        <v>54527</v>
      </c>
      <c r="W1558" s="115" t="e">
        <f ca="1"/>
        <v>#VALUE!</v>
      </c>
    </row>
    <row r="1559" spans="13:23">
      <c r="M1559" s="92">
        <f t="shared" ca="1" si="100"/>
        <v>54534</v>
      </c>
      <c r="N1559" s="115" t="e">
        <f ca="1"/>
        <v>#VALUE!</v>
      </c>
      <c r="P1559" s="92">
        <f t="shared" ca="1" si="97"/>
        <v>54534</v>
      </c>
      <c r="Q1559" s="115" t="e">
        <f ca="1"/>
        <v>#VALUE!</v>
      </c>
      <c r="S1559" s="92">
        <f t="shared" ca="1" si="98"/>
        <v>54534</v>
      </c>
      <c r="T1559" s="115" t="e">
        <f ca="1"/>
        <v>#VALUE!</v>
      </c>
      <c r="V1559" s="92">
        <f t="shared" ca="1" si="99"/>
        <v>54534</v>
      </c>
      <c r="W1559" s="115" t="e">
        <f ca="1"/>
        <v>#VALUE!</v>
      </c>
    </row>
    <row r="1560" spans="13:23">
      <c r="M1560" s="92">
        <f t="shared" ca="1" si="100"/>
        <v>54541</v>
      </c>
      <c r="N1560" s="115" t="e">
        <f ca="1"/>
        <v>#VALUE!</v>
      </c>
      <c r="P1560" s="92">
        <f t="shared" ca="1" si="97"/>
        <v>54541</v>
      </c>
      <c r="Q1560" s="115" t="e">
        <f ca="1"/>
        <v>#VALUE!</v>
      </c>
      <c r="S1560" s="92">
        <f t="shared" ca="1" si="98"/>
        <v>54541</v>
      </c>
      <c r="T1560" s="115" t="e">
        <f ca="1"/>
        <v>#VALUE!</v>
      </c>
      <c r="V1560" s="92">
        <f t="shared" ca="1" si="99"/>
        <v>54541</v>
      </c>
      <c r="W1560" s="115" t="e">
        <f ca="1"/>
        <v>#VALUE!</v>
      </c>
    </row>
    <row r="1561" spans="13:23">
      <c r="M1561" s="92">
        <f t="shared" ca="1" si="100"/>
        <v>54548</v>
      </c>
      <c r="N1561" s="115" t="e">
        <f ca="1"/>
        <v>#VALUE!</v>
      </c>
      <c r="P1561" s="92">
        <f t="shared" ca="1" si="97"/>
        <v>54548</v>
      </c>
      <c r="Q1561" s="115" t="e">
        <f ca="1"/>
        <v>#VALUE!</v>
      </c>
      <c r="S1561" s="92">
        <f t="shared" ca="1" si="98"/>
        <v>54548</v>
      </c>
      <c r="T1561" s="115" t="e">
        <f ca="1"/>
        <v>#VALUE!</v>
      </c>
      <c r="V1561" s="92">
        <f t="shared" ca="1" si="99"/>
        <v>54548</v>
      </c>
      <c r="W1561" s="115" t="e">
        <f ca="1"/>
        <v>#VALUE!</v>
      </c>
    </row>
    <row r="1562" spans="13:23">
      <c r="M1562" s="92">
        <f t="shared" ca="1" si="100"/>
        <v>54555</v>
      </c>
      <c r="N1562" s="115" t="e">
        <f ca="1"/>
        <v>#VALUE!</v>
      </c>
      <c r="P1562" s="92">
        <f t="shared" ca="1" si="97"/>
        <v>54555</v>
      </c>
      <c r="Q1562" s="115" t="e">
        <f ca="1"/>
        <v>#VALUE!</v>
      </c>
      <c r="S1562" s="92">
        <f t="shared" ca="1" si="98"/>
        <v>54555</v>
      </c>
      <c r="T1562" s="115" t="e">
        <f ca="1"/>
        <v>#VALUE!</v>
      </c>
      <c r="V1562" s="92">
        <f t="shared" ca="1" si="99"/>
        <v>54555</v>
      </c>
      <c r="W1562" s="115" t="e">
        <f ca="1"/>
        <v>#VALUE!</v>
      </c>
    </row>
    <row r="1563" spans="13:23">
      <c r="M1563" s="92">
        <f t="shared" ca="1" si="100"/>
        <v>54562</v>
      </c>
      <c r="N1563" s="115" t="e">
        <f ca="1"/>
        <v>#VALUE!</v>
      </c>
      <c r="P1563" s="92">
        <f t="shared" ca="1" si="97"/>
        <v>54562</v>
      </c>
      <c r="Q1563" s="115" t="e">
        <f ca="1"/>
        <v>#VALUE!</v>
      </c>
      <c r="S1563" s="92">
        <f t="shared" ca="1" si="98"/>
        <v>54562</v>
      </c>
      <c r="T1563" s="115" t="e">
        <f ca="1"/>
        <v>#VALUE!</v>
      </c>
      <c r="V1563" s="92">
        <f t="shared" ca="1" si="99"/>
        <v>54562</v>
      </c>
      <c r="W1563" s="115" t="e">
        <f ca="1"/>
        <v>#VALUE!</v>
      </c>
    </row>
    <row r="1564" spans="13:23">
      <c r="M1564" s="92">
        <f t="shared" ca="1" si="100"/>
        <v>54569</v>
      </c>
      <c r="N1564" s="115" t="e">
        <f ca="1"/>
        <v>#VALUE!</v>
      </c>
      <c r="P1564" s="92">
        <f t="shared" ca="1" si="97"/>
        <v>54569</v>
      </c>
      <c r="Q1564" s="115" t="e">
        <f ca="1"/>
        <v>#VALUE!</v>
      </c>
      <c r="S1564" s="92">
        <f t="shared" ca="1" si="98"/>
        <v>54569</v>
      </c>
      <c r="T1564" s="115" t="e">
        <f ca="1"/>
        <v>#VALUE!</v>
      </c>
      <c r="V1564" s="92">
        <f t="shared" ca="1" si="99"/>
        <v>54569</v>
      </c>
      <c r="W1564" s="115" t="e">
        <f ca="1"/>
        <v>#VALUE!</v>
      </c>
    </row>
    <row r="1565" spans="13:23">
      <c r="M1565" s="92">
        <f t="shared" ca="1" si="100"/>
        <v>54576</v>
      </c>
      <c r="N1565" s="115" t="e">
        <f ca="1"/>
        <v>#VALUE!</v>
      </c>
      <c r="P1565" s="92">
        <f t="shared" ref="P1565:P1628" ca="1" si="101">P1564+7</f>
        <v>54576</v>
      </c>
      <c r="Q1565" s="115" t="e">
        <f ca="1"/>
        <v>#VALUE!</v>
      </c>
      <c r="S1565" s="92">
        <f t="shared" ref="S1565:S1628" ca="1" si="102">S1564+7</f>
        <v>54576</v>
      </c>
      <c r="T1565" s="115" t="e">
        <f ca="1"/>
        <v>#VALUE!</v>
      </c>
      <c r="V1565" s="92">
        <f t="shared" ref="V1565:V1628" ca="1" si="103">V1564+7</f>
        <v>54576</v>
      </c>
      <c r="W1565" s="115" t="e">
        <f ca="1"/>
        <v>#VALUE!</v>
      </c>
    </row>
    <row r="1566" spans="13:23">
      <c r="M1566" s="92">
        <f t="shared" ca="1" si="100"/>
        <v>54583</v>
      </c>
      <c r="N1566" s="115" t="e">
        <f ca="1"/>
        <v>#VALUE!</v>
      </c>
      <c r="P1566" s="92">
        <f t="shared" ca="1" si="101"/>
        <v>54583</v>
      </c>
      <c r="Q1566" s="115" t="e">
        <f ca="1"/>
        <v>#VALUE!</v>
      </c>
      <c r="S1566" s="92">
        <f t="shared" ca="1" si="102"/>
        <v>54583</v>
      </c>
      <c r="T1566" s="115" t="e">
        <f ca="1"/>
        <v>#VALUE!</v>
      </c>
      <c r="V1566" s="92">
        <f t="shared" ca="1" si="103"/>
        <v>54583</v>
      </c>
      <c r="W1566" s="115" t="e">
        <f ca="1"/>
        <v>#VALUE!</v>
      </c>
    </row>
    <row r="1567" spans="13:23">
      <c r="M1567" s="92">
        <f t="shared" ca="1" si="100"/>
        <v>54590</v>
      </c>
      <c r="N1567" s="115" t="e">
        <f ca="1"/>
        <v>#VALUE!</v>
      </c>
      <c r="P1567" s="92">
        <f t="shared" ca="1" si="101"/>
        <v>54590</v>
      </c>
      <c r="Q1567" s="115" t="e">
        <f ca="1"/>
        <v>#VALUE!</v>
      </c>
      <c r="S1567" s="92">
        <f t="shared" ca="1" si="102"/>
        <v>54590</v>
      </c>
      <c r="T1567" s="115" t="e">
        <f ca="1"/>
        <v>#VALUE!</v>
      </c>
      <c r="V1567" s="92">
        <f t="shared" ca="1" si="103"/>
        <v>54590</v>
      </c>
      <c r="W1567" s="115" t="e">
        <f ca="1"/>
        <v>#VALUE!</v>
      </c>
    </row>
    <row r="1568" spans="13:23">
      <c r="M1568" s="92">
        <f t="shared" ca="1" si="100"/>
        <v>54597</v>
      </c>
      <c r="N1568" s="115" t="e">
        <f ca="1"/>
        <v>#VALUE!</v>
      </c>
      <c r="P1568" s="92">
        <f t="shared" ca="1" si="101"/>
        <v>54597</v>
      </c>
      <c r="Q1568" s="115" t="e">
        <f ca="1"/>
        <v>#VALUE!</v>
      </c>
      <c r="S1568" s="92">
        <f t="shared" ca="1" si="102"/>
        <v>54597</v>
      </c>
      <c r="T1568" s="115" t="e">
        <f ca="1"/>
        <v>#VALUE!</v>
      </c>
      <c r="V1568" s="92">
        <f t="shared" ca="1" si="103"/>
        <v>54597</v>
      </c>
      <c r="W1568" s="115" t="e">
        <f ca="1"/>
        <v>#VALUE!</v>
      </c>
    </row>
    <row r="1569" spans="13:23">
      <c r="M1569" s="92">
        <f t="shared" ca="1" si="100"/>
        <v>54604</v>
      </c>
      <c r="N1569" s="115" t="e">
        <f ca="1"/>
        <v>#VALUE!</v>
      </c>
      <c r="P1569" s="92">
        <f t="shared" ca="1" si="101"/>
        <v>54604</v>
      </c>
      <c r="Q1569" s="115" t="e">
        <f ca="1"/>
        <v>#VALUE!</v>
      </c>
      <c r="S1569" s="92">
        <f t="shared" ca="1" si="102"/>
        <v>54604</v>
      </c>
      <c r="T1569" s="115" t="e">
        <f ca="1"/>
        <v>#VALUE!</v>
      </c>
      <c r="V1569" s="92">
        <f t="shared" ca="1" si="103"/>
        <v>54604</v>
      </c>
      <c r="W1569" s="115" t="e">
        <f ca="1"/>
        <v>#VALUE!</v>
      </c>
    </row>
    <row r="1570" spans="13:23">
      <c r="M1570" s="92">
        <f t="shared" ca="1" si="100"/>
        <v>54611</v>
      </c>
      <c r="N1570" s="115" t="e">
        <f ca="1"/>
        <v>#VALUE!</v>
      </c>
      <c r="P1570" s="92">
        <f t="shared" ca="1" si="101"/>
        <v>54611</v>
      </c>
      <c r="Q1570" s="115" t="e">
        <f ca="1"/>
        <v>#VALUE!</v>
      </c>
      <c r="S1570" s="92">
        <f t="shared" ca="1" si="102"/>
        <v>54611</v>
      </c>
      <c r="T1570" s="115" t="e">
        <f ca="1"/>
        <v>#VALUE!</v>
      </c>
      <c r="V1570" s="92">
        <f t="shared" ca="1" si="103"/>
        <v>54611</v>
      </c>
      <c r="W1570" s="115" t="e">
        <f ca="1"/>
        <v>#VALUE!</v>
      </c>
    </row>
    <row r="1571" spans="13:23">
      <c r="M1571" s="92">
        <f t="shared" ca="1" si="100"/>
        <v>54618</v>
      </c>
      <c r="N1571" s="115" t="e">
        <f ca="1"/>
        <v>#VALUE!</v>
      </c>
      <c r="P1571" s="92">
        <f t="shared" ca="1" si="101"/>
        <v>54618</v>
      </c>
      <c r="Q1571" s="115" t="e">
        <f ca="1"/>
        <v>#VALUE!</v>
      </c>
      <c r="S1571" s="92">
        <f t="shared" ca="1" si="102"/>
        <v>54618</v>
      </c>
      <c r="T1571" s="115" t="e">
        <f ca="1"/>
        <v>#VALUE!</v>
      </c>
      <c r="V1571" s="92">
        <f t="shared" ca="1" si="103"/>
        <v>54618</v>
      </c>
      <c r="W1571" s="115" t="e">
        <f ca="1"/>
        <v>#VALUE!</v>
      </c>
    </row>
    <row r="1572" spans="13:23">
      <c r="M1572" s="92">
        <f t="shared" ca="1" si="100"/>
        <v>54625</v>
      </c>
      <c r="N1572" s="115" t="e">
        <f ca="1"/>
        <v>#VALUE!</v>
      </c>
      <c r="P1572" s="92">
        <f t="shared" ca="1" si="101"/>
        <v>54625</v>
      </c>
      <c r="Q1572" s="115" t="e">
        <f ca="1"/>
        <v>#VALUE!</v>
      </c>
      <c r="S1572" s="92">
        <f t="shared" ca="1" si="102"/>
        <v>54625</v>
      </c>
      <c r="T1572" s="115" t="e">
        <f ca="1"/>
        <v>#VALUE!</v>
      </c>
      <c r="V1572" s="92">
        <f t="shared" ca="1" si="103"/>
        <v>54625</v>
      </c>
      <c r="W1572" s="115" t="e">
        <f ca="1"/>
        <v>#VALUE!</v>
      </c>
    </row>
    <row r="1573" spans="13:23">
      <c r="M1573" s="219">
        <f t="shared" ca="1" si="100"/>
        <v>54632</v>
      </c>
      <c r="N1573" s="115" t="e">
        <f ca="1"/>
        <v>#VALUE!</v>
      </c>
      <c r="P1573" s="219">
        <f t="shared" ca="1" si="101"/>
        <v>54632</v>
      </c>
      <c r="Q1573" s="115" t="e">
        <f ca="1"/>
        <v>#VALUE!</v>
      </c>
      <c r="S1573" s="219">
        <f t="shared" ca="1" si="102"/>
        <v>54632</v>
      </c>
      <c r="T1573" s="115" t="e">
        <f ca="1"/>
        <v>#VALUE!</v>
      </c>
      <c r="V1573" s="219">
        <f t="shared" ca="1" si="103"/>
        <v>54632</v>
      </c>
      <c r="W1573" s="115" t="e">
        <f ca="1"/>
        <v>#VALUE!</v>
      </c>
    </row>
    <row r="1574" spans="13:23">
      <c r="M1574" s="219">
        <f t="shared" ca="1" si="100"/>
        <v>54639</v>
      </c>
      <c r="N1574" s="115" t="e">
        <f ca="1"/>
        <v>#VALUE!</v>
      </c>
      <c r="P1574" s="219">
        <f t="shared" ca="1" si="101"/>
        <v>54639</v>
      </c>
      <c r="Q1574" s="115" t="e">
        <f ca="1"/>
        <v>#VALUE!</v>
      </c>
      <c r="S1574" s="219">
        <f t="shared" ca="1" si="102"/>
        <v>54639</v>
      </c>
      <c r="T1574" s="115" t="e">
        <f ca="1"/>
        <v>#VALUE!</v>
      </c>
      <c r="V1574" s="219">
        <f t="shared" ca="1" si="103"/>
        <v>54639</v>
      </c>
      <c r="W1574" s="115" t="e">
        <f ca="1"/>
        <v>#VALUE!</v>
      </c>
    </row>
    <row r="1575" spans="13:23">
      <c r="M1575" s="219">
        <f t="shared" ca="1" si="100"/>
        <v>54646</v>
      </c>
      <c r="N1575" s="115" t="e">
        <f ca="1"/>
        <v>#VALUE!</v>
      </c>
      <c r="P1575" s="219">
        <f t="shared" ca="1" si="101"/>
        <v>54646</v>
      </c>
      <c r="Q1575" s="115" t="e">
        <f ca="1"/>
        <v>#VALUE!</v>
      </c>
      <c r="S1575" s="219">
        <f t="shared" ca="1" si="102"/>
        <v>54646</v>
      </c>
      <c r="T1575" s="115" t="e">
        <f ca="1"/>
        <v>#VALUE!</v>
      </c>
      <c r="V1575" s="219">
        <f t="shared" ca="1" si="103"/>
        <v>54646</v>
      </c>
      <c r="W1575" s="115" t="e">
        <f ca="1"/>
        <v>#VALUE!</v>
      </c>
    </row>
    <row r="1576" spans="13:23">
      <c r="M1576" s="219">
        <f t="shared" ca="1" si="100"/>
        <v>54653</v>
      </c>
      <c r="N1576" s="115" t="e">
        <f ca="1"/>
        <v>#VALUE!</v>
      </c>
      <c r="P1576" s="219">
        <f t="shared" ca="1" si="101"/>
        <v>54653</v>
      </c>
      <c r="Q1576" s="115" t="e">
        <f ca="1"/>
        <v>#VALUE!</v>
      </c>
      <c r="S1576" s="219">
        <f t="shared" ca="1" si="102"/>
        <v>54653</v>
      </c>
      <c r="T1576" s="115" t="e">
        <f ca="1"/>
        <v>#VALUE!</v>
      </c>
      <c r="V1576" s="219">
        <f t="shared" ca="1" si="103"/>
        <v>54653</v>
      </c>
      <c r="W1576" s="115" t="e">
        <f ca="1"/>
        <v>#VALUE!</v>
      </c>
    </row>
    <row r="1577" spans="13:23">
      <c r="M1577" s="219">
        <f t="shared" ca="1" si="100"/>
        <v>54660</v>
      </c>
      <c r="N1577" s="115" t="e">
        <f ca="1"/>
        <v>#VALUE!</v>
      </c>
      <c r="P1577" s="219">
        <f t="shared" ca="1" si="101"/>
        <v>54660</v>
      </c>
      <c r="Q1577" s="115" t="e">
        <f ca="1"/>
        <v>#VALUE!</v>
      </c>
      <c r="S1577" s="219">
        <f t="shared" ca="1" si="102"/>
        <v>54660</v>
      </c>
      <c r="T1577" s="115" t="e">
        <f ca="1"/>
        <v>#VALUE!</v>
      </c>
      <c r="V1577" s="219">
        <f t="shared" ca="1" si="103"/>
        <v>54660</v>
      </c>
      <c r="W1577" s="115" t="e">
        <f ca="1"/>
        <v>#VALUE!</v>
      </c>
    </row>
    <row r="1578" spans="13:23">
      <c r="M1578" s="219">
        <f t="shared" ca="1" si="100"/>
        <v>54667</v>
      </c>
      <c r="N1578" s="115" t="e">
        <f ca="1"/>
        <v>#VALUE!</v>
      </c>
      <c r="P1578" s="219">
        <f t="shared" ca="1" si="101"/>
        <v>54667</v>
      </c>
      <c r="Q1578" s="115" t="e">
        <f ca="1"/>
        <v>#VALUE!</v>
      </c>
      <c r="S1578" s="219">
        <f t="shared" ca="1" si="102"/>
        <v>54667</v>
      </c>
      <c r="T1578" s="115" t="e">
        <f ca="1"/>
        <v>#VALUE!</v>
      </c>
      <c r="V1578" s="219">
        <f t="shared" ca="1" si="103"/>
        <v>54667</v>
      </c>
      <c r="W1578" s="115" t="e">
        <f ca="1"/>
        <v>#VALUE!</v>
      </c>
    </row>
    <row r="1579" spans="13:23">
      <c r="M1579" s="219">
        <f t="shared" ca="1" si="100"/>
        <v>54674</v>
      </c>
      <c r="N1579" s="115" t="e">
        <f ca="1"/>
        <v>#VALUE!</v>
      </c>
      <c r="P1579" s="219">
        <f t="shared" ca="1" si="101"/>
        <v>54674</v>
      </c>
      <c r="Q1579" s="115" t="e">
        <f ca="1"/>
        <v>#VALUE!</v>
      </c>
      <c r="S1579" s="219">
        <f t="shared" ca="1" si="102"/>
        <v>54674</v>
      </c>
      <c r="T1579" s="115" t="e">
        <f ca="1"/>
        <v>#VALUE!</v>
      </c>
      <c r="V1579" s="219">
        <f t="shared" ca="1" si="103"/>
        <v>54674</v>
      </c>
      <c r="W1579" s="115" t="e">
        <f ca="1"/>
        <v>#VALUE!</v>
      </c>
    </row>
    <row r="1580" spans="13:23">
      <c r="M1580" s="219">
        <f t="shared" ca="1" si="100"/>
        <v>54681</v>
      </c>
      <c r="N1580" s="115" t="e">
        <f ca="1"/>
        <v>#VALUE!</v>
      </c>
      <c r="P1580" s="219">
        <f t="shared" ca="1" si="101"/>
        <v>54681</v>
      </c>
      <c r="Q1580" s="115" t="e">
        <f ca="1"/>
        <v>#VALUE!</v>
      </c>
      <c r="S1580" s="219">
        <f t="shared" ca="1" si="102"/>
        <v>54681</v>
      </c>
      <c r="T1580" s="115" t="e">
        <f ca="1"/>
        <v>#VALUE!</v>
      </c>
      <c r="V1580" s="219">
        <f t="shared" ca="1" si="103"/>
        <v>54681</v>
      </c>
      <c r="W1580" s="115" t="e">
        <f ca="1"/>
        <v>#VALUE!</v>
      </c>
    </row>
    <row r="1581" spans="13:23">
      <c r="M1581" s="219">
        <f t="shared" ca="1" si="100"/>
        <v>54688</v>
      </c>
      <c r="N1581" s="115" t="e">
        <f ca="1"/>
        <v>#VALUE!</v>
      </c>
      <c r="P1581" s="219">
        <f t="shared" ca="1" si="101"/>
        <v>54688</v>
      </c>
      <c r="Q1581" s="115" t="e">
        <f ca="1"/>
        <v>#VALUE!</v>
      </c>
      <c r="S1581" s="219">
        <f t="shared" ca="1" si="102"/>
        <v>54688</v>
      </c>
      <c r="T1581" s="115" t="e">
        <f ca="1"/>
        <v>#VALUE!</v>
      </c>
      <c r="V1581" s="219">
        <f t="shared" ca="1" si="103"/>
        <v>54688</v>
      </c>
      <c r="W1581" s="115" t="e">
        <f ca="1"/>
        <v>#VALUE!</v>
      </c>
    </row>
    <row r="1582" spans="13:23">
      <c r="M1582" s="219">
        <f t="shared" ca="1" si="100"/>
        <v>54695</v>
      </c>
      <c r="N1582" s="115" t="e">
        <f ca="1"/>
        <v>#VALUE!</v>
      </c>
      <c r="P1582" s="219">
        <f t="shared" ca="1" si="101"/>
        <v>54695</v>
      </c>
      <c r="Q1582" s="115" t="e">
        <f ca="1"/>
        <v>#VALUE!</v>
      </c>
      <c r="S1582" s="219">
        <f t="shared" ca="1" si="102"/>
        <v>54695</v>
      </c>
      <c r="T1582" s="115" t="e">
        <f ca="1"/>
        <v>#VALUE!</v>
      </c>
      <c r="V1582" s="219">
        <f t="shared" ca="1" si="103"/>
        <v>54695</v>
      </c>
      <c r="W1582" s="115" t="e">
        <f ca="1"/>
        <v>#VALUE!</v>
      </c>
    </row>
    <row r="1583" spans="13:23">
      <c r="M1583" s="219">
        <f t="shared" ca="1" si="100"/>
        <v>54702</v>
      </c>
      <c r="N1583" s="115" t="e">
        <f ca="1"/>
        <v>#VALUE!</v>
      </c>
      <c r="P1583" s="219">
        <f t="shared" ca="1" si="101"/>
        <v>54702</v>
      </c>
      <c r="Q1583" s="115" t="e">
        <f ca="1"/>
        <v>#VALUE!</v>
      </c>
      <c r="S1583" s="219">
        <f t="shared" ca="1" si="102"/>
        <v>54702</v>
      </c>
      <c r="T1583" s="115" t="e">
        <f ca="1"/>
        <v>#VALUE!</v>
      </c>
      <c r="V1583" s="219">
        <f t="shared" ca="1" si="103"/>
        <v>54702</v>
      </c>
      <c r="W1583" s="115" t="e">
        <f ca="1"/>
        <v>#VALUE!</v>
      </c>
    </row>
    <row r="1584" spans="13:23">
      <c r="M1584" s="219">
        <f t="shared" ca="1" si="100"/>
        <v>54709</v>
      </c>
      <c r="N1584" s="115" t="e">
        <f ca="1"/>
        <v>#VALUE!</v>
      </c>
      <c r="P1584" s="219">
        <f t="shared" ca="1" si="101"/>
        <v>54709</v>
      </c>
      <c r="Q1584" s="115" t="e">
        <f ca="1"/>
        <v>#VALUE!</v>
      </c>
      <c r="S1584" s="219">
        <f t="shared" ca="1" si="102"/>
        <v>54709</v>
      </c>
      <c r="T1584" s="115" t="e">
        <f ca="1"/>
        <v>#VALUE!</v>
      </c>
      <c r="V1584" s="219">
        <f t="shared" ca="1" si="103"/>
        <v>54709</v>
      </c>
      <c r="W1584" s="115" t="e">
        <f ca="1"/>
        <v>#VALUE!</v>
      </c>
    </row>
    <row r="1585" spans="13:23">
      <c r="M1585" s="219">
        <f t="shared" ca="1" si="100"/>
        <v>54716</v>
      </c>
      <c r="N1585" s="115" t="e">
        <f ca="1"/>
        <v>#VALUE!</v>
      </c>
      <c r="P1585" s="219">
        <f t="shared" ca="1" si="101"/>
        <v>54716</v>
      </c>
      <c r="Q1585" s="115" t="e">
        <f ca="1"/>
        <v>#VALUE!</v>
      </c>
      <c r="S1585" s="219">
        <f t="shared" ca="1" si="102"/>
        <v>54716</v>
      </c>
      <c r="T1585" s="115" t="e">
        <f ca="1"/>
        <v>#VALUE!</v>
      </c>
      <c r="V1585" s="219">
        <f t="shared" ca="1" si="103"/>
        <v>54716</v>
      </c>
      <c r="W1585" s="115" t="e">
        <f ca="1"/>
        <v>#VALUE!</v>
      </c>
    </row>
    <row r="1586" spans="13:23">
      <c r="M1586" s="219">
        <f t="shared" ca="1" si="100"/>
        <v>54723</v>
      </c>
      <c r="N1586" s="115" t="e">
        <f ca="1"/>
        <v>#VALUE!</v>
      </c>
      <c r="P1586" s="219">
        <f t="shared" ca="1" si="101"/>
        <v>54723</v>
      </c>
      <c r="Q1586" s="115" t="e">
        <f ca="1"/>
        <v>#VALUE!</v>
      </c>
      <c r="S1586" s="219">
        <f t="shared" ca="1" si="102"/>
        <v>54723</v>
      </c>
      <c r="T1586" s="115" t="e">
        <f ca="1"/>
        <v>#VALUE!</v>
      </c>
      <c r="V1586" s="219">
        <f t="shared" ca="1" si="103"/>
        <v>54723</v>
      </c>
      <c r="W1586" s="115" t="e">
        <f ca="1"/>
        <v>#VALUE!</v>
      </c>
    </row>
    <row r="1587" spans="13:23">
      <c r="M1587" s="219">
        <f t="shared" ca="1" si="100"/>
        <v>54730</v>
      </c>
      <c r="N1587" s="115" t="e">
        <f ca="1"/>
        <v>#VALUE!</v>
      </c>
      <c r="P1587" s="219">
        <f t="shared" ca="1" si="101"/>
        <v>54730</v>
      </c>
      <c r="Q1587" s="115" t="e">
        <f ca="1"/>
        <v>#VALUE!</v>
      </c>
      <c r="S1587" s="219">
        <f t="shared" ca="1" si="102"/>
        <v>54730</v>
      </c>
      <c r="T1587" s="115" t="e">
        <f ca="1"/>
        <v>#VALUE!</v>
      </c>
      <c r="V1587" s="219">
        <f t="shared" ca="1" si="103"/>
        <v>54730</v>
      </c>
      <c r="W1587" s="115" t="e">
        <f ca="1"/>
        <v>#VALUE!</v>
      </c>
    </row>
    <row r="1588" spans="13:23">
      <c r="M1588" s="219">
        <f t="shared" ca="1" si="100"/>
        <v>54737</v>
      </c>
      <c r="N1588" s="115" t="e">
        <f ca="1"/>
        <v>#VALUE!</v>
      </c>
      <c r="P1588" s="219">
        <f t="shared" ca="1" si="101"/>
        <v>54737</v>
      </c>
      <c r="Q1588" s="115" t="e">
        <f ca="1"/>
        <v>#VALUE!</v>
      </c>
      <c r="S1588" s="219">
        <f t="shared" ca="1" si="102"/>
        <v>54737</v>
      </c>
      <c r="T1588" s="115" t="e">
        <f ca="1"/>
        <v>#VALUE!</v>
      </c>
      <c r="V1588" s="219">
        <f t="shared" ca="1" si="103"/>
        <v>54737</v>
      </c>
      <c r="W1588" s="115" t="e">
        <f ca="1"/>
        <v>#VALUE!</v>
      </c>
    </row>
    <row r="1589" spans="13:23">
      <c r="M1589" s="219">
        <f t="shared" ca="1" si="100"/>
        <v>54744</v>
      </c>
      <c r="N1589" s="115" t="e">
        <f ca="1"/>
        <v>#VALUE!</v>
      </c>
      <c r="P1589" s="219">
        <f t="shared" ca="1" si="101"/>
        <v>54744</v>
      </c>
      <c r="Q1589" s="115" t="e">
        <f ca="1"/>
        <v>#VALUE!</v>
      </c>
      <c r="S1589" s="219">
        <f t="shared" ca="1" si="102"/>
        <v>54744</v>
      </c>
      <c r="T1589" s="115" t="e">
        <f ca="1"/>
        <v>#VALUE!</v>
      </c>
      <c r="V1589" s="219">
        <f t="shared" ca="1" si="103"/>
        <v>54744</v>
      </c>
      <c r="W1589" s="115" t="e">
        <f ca="1"/>
        <v>#VALUE!</v>
      </c>
    </row>
    <row r="1590" spans="13:23">
      <c r="M1590" s="219">
        <f t="shared" ca="1" si="100"/>
        <v>54751</v>
      </c>
      <c r="N1590" s="115" t="e">
        <f ca="1"/>
        <v>#VALUE!</v>
      </c>
      <c r="P1590" s="219">
        <f t="shared" ca="1" si="101"/>
        <v>54751</v>
      </c>
      <c r="Q1590" s="115" t="e">
        <f ca="1"/>
        <v>#VALUE!</v>
      </c>
      <c r="S1590" s="219">
        <f t="shared" ca="1" si="102"/>
        <v>54751</v>
      </c>
      <c r="T1590" s="115" t="e">
        <f ca="1"/>
        <v>#VALUE!</v>
      </c>
      <c r="V1590" s="219">
        <f t="shared" ca="1" si="103"/>
        <v>54751</v>
      </c>
      <c r="W1590" s="115" t="e">
        <f ca="1"/>
        <v>#VALUE!</v>
      </c>
    </row>
    <row r="1591" spans="13:23">
      <c r="M1591" s="219">
        <f t="shared" ca="1" si="100"/>
        <v>54758</v>
      </c>
      <c r="N1591" s="115" t="e">
        <f ca="1"/>
        <v>#VALUE!</v>
      </c>
      <c r="P1591" s="219">
        <f t="shared" ca="1" si="101"/>
        <v>54758</v>
      </c>
      <c r="Q1591" s="115" t="e">
        <f ca="1"/>
        <v>#VALUE!</v>
      </c>
      <c r="S1591" s="219">
        <f t="shared" ca="1" si="102"/>
        <v>54758</v>
      </c>
      <c r="T1591" s="115" t="e">
        <f ca="1"/>
        <v>#VALUE!</v>
      </c>
      <c r="V1591" s="219">
        <f t="shared" ca="1" si="103"/>
        <v>54758</v>
      </c>
      <c r="W1591" s="115" t="e">
        <f ca="1"/>
        <v>#VALUE!</v>
      </c>
    </row>
    <row r="1592" spans="13:23">
      <c r="M1592" s="219">
        <f t="shared" ca="1" si="100"/>
        <v>54765</v>
      </c>
      <c r="N1592" s="115" t="e">
        <f ca="1"/>
        <v>#VALUE!</v>
      </c>
      <c r="P1592" s="219">
        <f t="shared" ca="1" si="101"/>
        <v>54765</v>
      </c>
      <c r="Q1592" s="115" t="e">
        <f ca="1"/>
        <v>#VALUE!</v>
      </c>
      <c r="S1592" s="219">
        <f t="shared" ca="1" si="102"/>
        <v>54765</v>
      </c>
      <c r="T1592" s="115" t="e">
        <f ca="1"/>
        <v>#VALUE!</v>
      </c>
      <c r="V1592" s="219">
        <f t="shared" ca="1" si="103"/>
        <v>54765</v>
      </c>
      <c r="W1592" s="115" t="e">
        <f ca="1"/>
        <v>#VALUE!</v>
      </c>
    </row>
    <row r="1593" spans="13:23">
      <c r="M1593" s="219">
        <f t="shared" ca="1" si="100"/>
        <v>54772</v>
      </c>
      <c r="N1593" s="115" t="e">
        <f ca="1"/>
        <v>#VALUE!</v>
      </c>
      <c r="P1593" s="219">
        <f t="shared" ca="1" si="101"/>
        <v>54772</v>
      </c>
      <c r="Q1593" s="115" t="e">
        <f ca="1"/>
        <v>#VALUE!</v>
      </c>
      <c r="S1593" s="219">
        <f t="shared" ca="1" si="102"/>
        <v>54772</v>
      </c>
      <c r="T1593" s="115" t="e">
        <f ca="1"/>
        <v>#VALUE!</v>
      </c>
      <c r="V1593" s="219">
        <f t="shared" ca="1" si="103"/>
        <v>54772</v>
      </c>
      <c r="W1593" s="115" t="e">
        <f ca="1"/>
        <v>#VALUE!</v>
      </c>
    </row>
    <row r="1594" spans="13:23">
      <c r="M1594" s="219">
        <f t="shared" ca="1" si="100"/>
        <v>54779</v>
      </c>
      <c r="N1594" s="115" t="e">
        <f ca="1"/>
        <v>#VALUE!</v>
      </c>
      <c r="P1594" s="219">
        <f t="shared" ca="1" si="101"/>
        <v>54779</v>
      </c>
      <c r="Q1594" s="115" t="e">
        <f ca="1"/>
        <v>#VALUE!</v>
      </c>
      <c r="S1594" s="219">
        <f t="shared" ca="1" si="102"/>
        <v>54779</v>
      </c>
      <c r="T1594" s="115" t="e">
        <f ca="1"/>
        <v>#VALUE!</v>
      </c>
      <c r="V1594" s="219">
        <f t="shared" ca="1" si="103"/>
        <v>54779</v>
      </c>
      <c r="W1594" s="115" t="e">
        <f ca="1"/>
        <v>#VALUE!</v>
      </c>
    </row>
    <row r="1595" spans="13:23">
      <c r="M1595" s="219">
        <f t="shared" ca="1" si="100"/>
        <v>54786</v>
      </c>
      <c r="N1595" s="115" t="e">
        <f ca="1"/>
        <v>#VALUE!</v>
      </c>
      <c r="P1595" s="219">
        <f t="shared" ca="1" si="101"/>
        <v>54786</v>
      </c>
      <c r="Q1595" s="115" t="e">
        <f ca="1"/>
        <v>#VALUE!</v>
      </c>
      <c r="S1595" s="219">
        <f t="shared" ca="1" si="102"/>
        <v>54786</v>
      </c>
      <c r="T1595" s="115" t="e">
        <f ca="1"/>
        <v>#VALUE!</v>
      </c>
      <c r="V1595" s="219">
        <f t="shared" ca="1" si="103"/>
        <v>54786</v>
      </c>
      <c r="W1595" s="115" t="e">
        <f ca="1"/>
        <v>#VALUE!</v>
      </c>
    </row>
    <row r="1596" spans="13:23">
      <c r="M1596" s="219">
        <f t="shared" ca="1" si="100"/>
        <v>54793</v>
      </c>
      <c r="N1596" s="115" t="e">
        <f ca="1"/>
        <v>#VALUE!</v>
      </c>
      <c r="P1596" s="219">
        <f t="shared" ca="1" si="101"/>
        <v>54793</v>
      </c>
      <c r="Q1596" s="115" t="e">
        <f ca="1"/>
        <v>#VALUE!</v>
      </c>
      <c r="S1596" s="219">
        <f t="shared" ca="1" si="102"/>
        <v>54793</v>
      </c>
      <c r="T1596" s="115" t="e">
        <f ca="1"/>
        <v>#VALUE!</v>
      </c>
      <c r="V1596" s="219">
        <f t="shared" ca="1" si="103"/>
        <v>54793</v>
      </c>
      <c r="W1596" s="115" t="e">
        <f ca="1"/>
        <v>#VALUE!</v>
      </c>
    </row>
    <row r="1597" spans="13:23">
      <c r="M1597" s="219">
        <f t="shared" ca="1" si="100"/>
        <v>54800</v>
      </c>
      <c r="N1597" s="115" t="e">
        <f ca="1"/>
        <v>#VALUE!</v>
      </c>
      <c r="P1597" s="219">
        <f t="shared" ca="1" si="101"/>
        <v>54800</v>
      </c>
      <c r="Q1597" s="115" t="e">
        <f ca="1"/>
        <v>#VALUE!</v>
      </c>
      <c r="S1597" s="219">
        <f t="shared" ca="1" si="102"/>
        <v>54800</v>
      </c>
      <c r="T1597" s="115" t="e">
        <f ca="1"/>
        <v>#VALUE!</v>
      </c>
      <c r="V1597" s="219">
        <f t="shared" ca="1" si="103"/>
        <v>54800</v>
      </c>
      <c r="W1597" s="115" t="e">
        <f ca="1"/>
        <v>#VALUE!</v>
      </c>
    </row>
    <row r="1598" spans="13:23">
      <c r="M1598" s="219">
        <f t="shared" ca="1" si="100"/>
        <v>54807</v>
      </c>
      <c r="N1598" s="115" t="e">
        <f ca="1"/>
        <v>#VALUE!</v>
      </c>
      <c r="P1598" s="219">
        <f t="shared" ca="1" si="101"/>
        <v>54807</v>
      </c>
      <c r="Q1598" s="115" t="e">
        <f ca="1"/>
        <v>#VALUE!</v>
      </c>
      <c r="S1598" s="219">
        <f t="shared" ca="1" si="102"/>
        <v>54807</v>
      </c>
      <c r="T1598" s="115" t="e">
        <f ca="1"/>
        <v>#VALUE!</v>
      </c>
      <c r="V1598" s="219">
        <f t="shared" ca="1" si="103"/>
        <v>54807</v>
      </c>
      <c r="W1598" s="115" t="e">
        <f ca="1"/>
        <v>#VALUE!</v>
      </c>
    </row>
    <row r="1599" spans="13:23">
      <c r="M1599" s="219">
        <f t="shared" ca="1" si="100"/>
        <v>54814</v>
      </c>
      <c r="N1599" s="115" t="e">
        <f ca="1"/>
        <v>#VALUE!</v>
      </c>
      <c r="P1599" s="219">
        <f t="shared" ca="1" si="101"/>
        <v>54814</v>
      </c>
      <c r="Q1599" s="115" t="e">
        <f ca="1"/>
        <v>#VALUE!</v>
      </c>
      <c r="S1599" s="219">
        <f t="shared" ca="1" si="102"/>
        <v>54814</v>
      </c>
      <c r="T1599" s="115" t="e">
        <f ca="1"/>
        <v>#VALUE!</v>
      </c>
      <c r="V1599" s="219">
        <f t="shared" ca="1" si="103"/>
        <v>54814</v>
      </c>
      <c r="W1599" s="115" t="e">
        <f ca="1"/>
        <v>#VALUE!</v>
      </c>
    </row>
    <row r="1600" spans="13:23">
      <c r="M1600" s="219">
        <f t="shared" ca="1" si="100"/>
        <v>54821</v>
      </c>
      <c r="N1600" s="115" t="e">
        <f ca="1"/>
        <v>#VALUE!</v>
      </c>
      <c r="P1600" s="219">
        <f t="shared" ca="1" si="101"/>
        <v>54821</v>
      </c>
      <c r="Q1600" s="115" t="e">
        <f ca="1"/>
        <v>#VALUE!</v>
      </c>
      <c r="S1600" s="219">
        <f t="shared" ca="1" si="102"/>
        <v>54821</v>
      </c>
      <c r="T1600" s="115" t="e">
        <f ca="1"/>
        <v>#VALUE!</v>
      </c>
      <c r="V1600" s="219">
        <f t="shared" ca="1" si="103"/>
        <v>54821</v>
      </c>
      <c r="W1600" s="115" t="e">
        <f ca="1"/>
        <v>#VALUE!</v>
      </c>
    </row>
    <row r="1601" spans="13:23">
      <c r="M1601" s="219">
        <f t="shared" ca="1" si="100"/>
        <v>54828</v>
      </c>
      <c r="N1601" s="115" t="e">
        <f ca="1"/>
        <v>#VALUE!</v>
      </c>
      <c r="P1601" s="219">
        <f t="shared" ca="1" si="101"/>
        <v>54828</v>
      </c>
      <c r="Q1601" s="115" t="e">
        <f ca="1"/>
        <v>#VALUE!</v>
      </c>
      <c r="S1601" s="219">
        <f t="shared" ca="1" si="102"/>
        <v>54828</v>
      </c>
      <c r="T1601" s="115" t="e">
        <f ca="1"/>
        <v>#VALUE!</v>
      </c>
      <c r="V1601" s="219">
        <f t="shared" ca="1" si="103"/>
        <v>54828</v>
      </c>
      <c r="W1601" s="115" t="e">
        <f ca="1"/>
        <v>#VALUE!</v>
      </c>
    </row>
    <row r="1602" spans="13:23">
      <c r="M1602" s="219">
        <f t="shared" ca="1" si="100"/>
        <v>54835</v>
      </c>
      <c r="N1602" s="115" t="e">
        <f ca="1"/>
        <v>#VALUE!</v>
      </c>
      <c r="P1602" s="219">
        <f t="shared" ca="1" si="101"/>
        <v>54835</v>
      </c>
      <c r="Q1602" s="115" t="e">
        <f ca="1"/>
        <v>#VALUE!</v>
      </c>
      <c r="S1602" s="219">
        <f t="shared" ca="1" si="102"/>
        <v>54835</v>
      </c>
      <c r="T1602" s="115" t="e">
        <f ca="1"/>
        <v>#VALUE!</v>
      </c>
      <c r="V1602" s="219">
        <f t="shared" ca="1" si="103"/>
        <v>54835</v>
      </c>
      <c r="W1602" s="115" t="e">
        <f ca="1"/>
        <v>#VALUE!</v>
      </c>
    </row>
    <row r="1603" spans="13:23">
      <c r="M1603" s="219">
        <f t="shared" ca="1" si="100"/>
        <v>54842</v>
      </c>
      <c r="N1603" s="115" t="e">
        <f ca="1"/>
        <v>#VALUE!</v>
      </c>
      <c r="P1603" s="219">
        <f t="shared" ca="1" si="101"/>
        <v>54842</v>
      </c>
      <c r="Q1603" s="115" t="e">
        <f ca="1"/>
        <v>#VALUE!</v>
      </c>
      <c r="S1603" s="219">
        <f t="shared" ca="1" si="102"/>
        <v>54842</v>
      </c>
      <c r="T1603" s="115" t="e">
        <f ca="1"/>
        <v>#VALUE!</v>
      </c>
      <c r="V1603" s="219">
        <f t="shared" ca="1" si="103"/>
        <v>54842</v>
      </c>
      <c r="W1603" s="115" t="e">
        <f ca="1"/>
        <v>#VALUE!</v>
      </c>
    </row>
    <row r="1604" spans="13:23">
      <c r="M1604" s="219">
        <f t="shared" ca="1" si="100"/>
        <v>54849</v>
      </c>
      <c r="N1604" s="115" t="e">
        <f ca="1"/>
        <v>#VALUE!</v>
      </c>
      <c r="P1604" s="219">
        <f t="shared" ca="1" si="101"/>
        <v>54849</v>
      </c>
      <c r="Q1604" s="115" t="e">
        <f ca="1"/>
        <v>#VALUE!</v>
      </c>
      <c r="S1604" s="219">
        <f t="shared" ca="1" si="102"/>
        <v>54849</v>
      </c>
      <c r="T1604" s="115" t="e">
        <f ca="1"/>
        <v>#VALUE!</v>
      </c>
      <c r="V1604" s="219">
        <f t="shared" ca="1" si="103"/>
        <v>54849</v>
      </c>
      <c r="W1604" s="115" t="e">
        <f ca="1"/>
        <v>#VALUE!</v>
      </c>
    </row>
    <row r="1605" spans="13:23">
      <c r="M1605" s="219">
        <f t="shared" ca="1" si="100"/>
        <v>54856</v>
      </c>
      <c r="N1605" s="115" t="e">
        <f ca="1"/>
        <v>#VALUE!</v>
      </c>
      <c r="P1605" s="219">
        <f t="shared" ca="1" si="101"/>
        <v>54856</v>
      </c>
      <c r="Q1605" s="115" t="e">
        <f ca="1"/>
        <v>#VALUE!</v>
      </c>
      <c r="S1605" s="219">
        <f t="shared" ca="1" si="102"/>
        <v>54856</v>
      </c>
      <c r="T1605" s="115" t="e">
        <f ca="1"/>
        <v>#VALUE!</v>
      </c>
      <c r="V1605" s="219">
        <f t="shared" ca="1" si="103"/>
        <v>54856</v>
      </c>
      <c r="W1605" s="115" t="e">
        <f ca="1"/>
        <v>#VALUE!</v>
      </c>
    </row>
    <row r="1606" spans="13:23">
      <c r="M1606" s="219">
        <f t="shared" ca="1" si="100"/>
        <v>54863</v>
      </c>
      <c r="N1606" s="115" t="e">
        <f ca="1"/>
        <v>#VALUE!</v>
      </c>
      <c r="P1606" s="219">
        <f t="shared" ca="1" si="101"/>
        <v>54863</v>
      </c>
      <c r="Q1606" s="115" t="e">
        <f ca="1"/>
        <v>#VALUE!</v>
      </c>
      <c r="S1606" s="219">
        <f t="shared" ca="1" si="102"/>
        <v>54863</v>
      </c>
      <c r="T1606" s="115" t="e">
        <f ca="1"/>
        <v>#VALUE!</v>
      </c>
      <c r="V1606" s="219">
        <f t="shared" ca="1" si="103"/>
        <v>54863</v>
      </c>
      <c r="W1606" s="115" t="e">
        <f ca="1"/>
        <v>#VALUE!</v>
      </c>
    </row>
    <row r="1607" spans="13:23">
      <c r="M1607" s="219">
        <f t="shared" ca="1" si="100"/>
        <v>54870</v>
      </c>
      <c r="N1607" s="115" t="e">
        <f ca="1"/>
        <v>#VALUE!</v>
      </c>
      <c r="P1607" s="219">
        <f t="shared" ca="1" si="101"/>
        <v>54870</v>
      </c>
      <c r="Q1607" s="115" t="e">
        <f ca="1"/>
        <v>#VALUE!</v>
      </c>
      <c r="S1607" s="219">
        <f t="shared" ca="1" si="102"/>
        <v>54870</v>
      </c>
      <c r="T1607" s="115" t="e">
        <f ca="1"/>
        <v>#VALUE!</v>
      </c>
      <c r="V1607" s="219">
        <f t="shared" ca="1" si="103"/>
        <v>54870</v>
      </c>
      <c r="W1607" s="115" t="e">
        <f ca="1"/>
        <v>#VALUE!</v>
      </c>
    </row>
    <row r="1608" spans="13:23">
      <c r="M1608" s="219">
        <f t="shared" ca="1" si="100"/>
        <v>54877</v>
      </c>
      <c r="N1608" s="115" t="e">
        <f ca="1"/>
        <v>#VALUE!</v>
      </c>
      <c r="P1608" s="219">
        <f t="shared" ca="1" si="101"/>
        <v>54877</v>
      </c>
      <c r="Q1608" s="115" t="e">
        <f ca="1"/>
        <v>#VALUE!</v>
      </c>
      <c r="S1608" s="219">
        <f t="shared" ca="1" si="102"/>
        <v>54877</v>
      </c>
      <c r="T1608" s="115" t="e">
        <f ca="1"/>
        <v>#VALUE!</v>
      </c>
      <c r="V1608" s="219">
        <f t="shared" ca="1" si="103"/>
        <v>54877</v>
      </c>
      <c r="W1608" s="115" t="e">
        <f ca="1"/>
        <v>#VALUE!</v>
      </c>
    </row>
    <row r="1609" spans="13:23">
      <c r="M1609" s="219">
        <f t="shared" ca="1" si="100"/>
        <v>54884</v>
      </c>
      <c r="N1609" s="115" t="e">
        <f ca="1"/>
        <v>#VALUE!</v>
      </c>
      <c r="P1609" s="219">
        <f t="shared" ca="1" si="101"/>
        <v>54884</v>
      </c>
      <c r="Q1609" s="115" t="e">
        <f ca="1"/>
        <v>#VALUE!</v>
      </c>
      <c r="S1609" s="219">
        <f t="shared" ca="1" si="102"/>
        <v>54884</v>
      </c>
      <c r="T1609" s="115" t="e">
        <f ca="1"/>
        <v>#VALUE!</v>
      </c>
      <c r="V1609" s="219">
        <f t="shared" ca="1" si="103"/>
        <v>54884</v>
      </c>
      <c r="W1609" s="115" t="e">
        <f ca="1"/>
        <v>#VALUE!</v>
      </c>
    </row>
    <row r="1610" spans="13:23">
      <c r="M1610" s="219">
        <f t="shared" ca="1" si="100"/>
        <v>54891</v>
      </c>
      <c r="N1610" s="115" t="e">
        <f ca="1"/>
        <v>#VALUE!</v>
      </c>
      <c r="P1610" s="219">
        <f t="shared" ca="1" si="101"/>
        <v>54891</v>
      </c>
      <c r="Q1610" s="115" t="e">
        <f ca="1"/>
        <v>#VALUE!</v>
      </c>
      <c r="S1610" s="219">
        <f t="shared" ca="1" si="102"/>
        <v>54891</v>
      </c>
      <c r="T1610" s="115" t="e">
        <f ca="1"/>
        <v>#VALUE!</v>
      </c>
      <c r="V1610" s="219">
        <f t="shared" ca="1" si="103"/>
        <v>54891</v>
      </c>
      <c r="W1610" s="115" t="e">
        <f ca="1"/>
        <v>#VALUE!</v>
      </c>
    </row>
    <row r="1611" spans="13:23">
      <c r="M1611" s="219">
        <f t="shared" ca="1" si="100"/>
        <v>54898</v>
      </c>
      <c r="N1611" s="115" t="e">
        <f ca="1"/>
        <v>#VALUE!</v>
      </c>
      <c r="P1611" s="219">
        <f t="shared" ca="1" si="101"/>
        <v>54898</v>
      </c>
      <c r="Q1611" s="115" t="e">
        <f ca="1"/>
        <v>#VALUE!</v>
      </c>
      <c r="S1611" s="219">
        <f t="shared" ca="1" si="102"/>
        <v>54898</v>
      </c>
      <c r="T1611" s="115" t="e">
        <f ca="1"/>
        <v>#VALUE!</v>
      </c>
      <c r="V1611" s="219">
        <f t="shared" ca="1" si="103"/>
        <v>54898</v>
      </c>
      <c r="W1611" s="115" t="e">
        <f ca="1"/>
        <v>#VALUE!</v>
      </c>
    </row>
    <row r="1612" spans="13:23">
      <c r="M1612" s="219">
        <f t="shared" ca="1" si="100"/>
        <v>54905</v>
      </c>
      <c r="N1612" s="115" t="e">
        <f ca="1"/>
        <v>#VALUE!</v>
      </c>
      <c r="P1612" s="219">
        <f t="shared" ca="1" si="101"/>
        <v>54905</v>
      </c>
      <c r="Q1612" s="115" t="e">
        <f ca="1"/>
        <v>#VALUE!</v>
      </c>
      <c r="S1612" s="219">
        <f t="shared" ca="1" si="102"/>
        <v>54905</v>
      </c>
      <c r="T1612" s="115" t="e">
        <f ca="1"/>
        <v>#VALUE!</v>
      </c>
      <c r="V1612" s="219">
        <f t="shared" ca="1" si="103"/>
        <v>54905</v>
      </c>
      <c r="W1612" s="115" t="e">
        <f ca="1"/>
        <v>#VALUE!</v>
      </c>
    </row>
    <row r="1613" spans="13:23">
      <c r="M1613" s="219">
        <f t="shared" ref="M1613:M1676" ca="1" si="104">M1612+7</f>
        <v>54912</v>
      </c>
      <c r="N1613" s="115" t="e">
        <f ca="1"/>
        <v>#VALUE!</v>
      </c>
      <c r="P1613" s="219">
        <f t="shared" ca="1" si="101"/>
        <v>54912</v>
      </c>
      <c r="Q1613" s="115" t="e">
        <f ca="1"/>
        <v>#VALUE!</v>
      </c>
      <c r="S1613" s="219">
        <f t="shared" ca="1" si="102"/>
        <v>54912</v>
      </c>
      <c r="T1613" s="115" t="e">
        <f ca="1"/>
        <v>#VALUE!</v>
      </c>
      <c r="V1613" s="219">
        <f t="shared" ca="1" si="103"/>
        <v>54912</v>
      </c>
      <c r="W1613" s="115" t="e">
        <f ca="1"/>
        <v>#VALUE!</v>
      </c>
    </row>
    <row r="1614" spans="13:23">
      <c r="M1614" s="219">
        <f t="shared" ca="1" si="104"/>
        <v>54919</v>
      </c>
      <c r="N1614" s="115" t="e">
        <f ca="1"/>
        <v>#VALUE!</v>
      </c>
      <c r="P1614" s="219">
        <f t="shared" ca="1" si="101"/>
        <v>54919</v>
      </c>
      <c r="Q1614" s="115" t="e">
        <f ca="1"/>
        <v>#VALUE!</v>
      </c>
      <c r="S1614" s="219">
        <f t="shared" ca="1" si="102"/>
        <v>54919</v>
      </c>
      <c r="T1614" s="115" t="e">
        <f ca="1"/>
        <v>#VALUE!</v>
      </c>
      <c r="V1614" s="219">
        <f t="shared" ca="1" si="103"/>
        <v>54919</v>
      </c>
      <c r="W1614" s="115" t="e">
        <f ca="1"/>
        <v>#VALUE!</v>
      </c>
    </row>
    <row r="1615" spans="13:23">
      <c r="M1615" s="219">
        <f t="shared" ca="1" si="104"/>
        <v>54926</v>
      </c>
      <c r="N1615" s="115" t="e">
        <f ca="1"/>
        <v>#VALUE!</v>
      </c>
      <c r="P1615" s="219">
        <f t="shared" ca="1" si="101"/>
        <v>54926</v>
      </c>
      <c r="Q1615" s="115" t="e">
        <f ca="1"/>
        <v>#VALUE!</v>
      </c>
      <c r="S1615" s="219">
        <f t="shared" ca="1" si="102"/>
        <v>54926</v>
      </c>
      <c r="T1615" s="115" t="e">
        <f ca="1"/>
        <v>#VALUE!</v>
      </c>
      <c r="V1615" s="219">
        <f t="shared" ca="1" si="103"/>
        <v>54926</v>
      </c>
      <c r="W1615" s="115" t="e">
        <f ca="1"/>
        <v>#VALUE!</v>
      </c>
    </row>
    <row r="1616" spans="13:23">
      <c r="M1616" s="219">
        <f t="shared" ca="1" si="104"/>
        <v>54933</v>
      </c>
      <c r="N1616" s="115" t="e">
        <f ca="1"/>
        <v>#VALUE!</v>
      </c>
      <c r="P1616" s="219">
        <f t="shared" ca="1" si="101"/>
        <v>54933</v>
      </c>
      <c r="Q1616" s="115" t="e">
        <f ca="1"/>
        <v>#VALUE!</v>
      </c>
      <c r="S1616" s="219">
        <f t="shared" ca="1" si="102"/>
        <v>54933</v>
      </c>
      <c r="T1616" s="115" t="e">
        <f ca="1"/>
        <v>#VALUE!</v>
      </c>
      <c r="V1616" s="219">
        <f t="shared" ca="1" si="103"/>
        <v>54933</v>
      </c>
      <c r="W1616" s="115" t="e">
        <f ca="1"/>
        <v>#VALUE!</v>
      </c>
    </row>
    <row r="1617" spans="13:23">
      <c r="M1617" s="219">
        <f t="shared" ca="1" si="104"/>
        <v>54940</v>
      </c>
      <c r="N1617" s="115" t="e">
        <f ca="1"/>
        <v>#VALUE!</v>
      </c>
      <c r="P1617" s="219">
        <f t="shared" ca="1" si="101"/>
        <v>54940</v>
      </c>
      <c r="Q1617" s="115" t="e">
        <f ca="1"/>
        <v>#VALUE!</v>
      </c>
      <c r="S1617" s="219">
        <f t="shared" ca="1" si="102"/>
        <v>54940</v>
      </c>
      <c r="T1617" s="115" t="e">
        <f ca="1"/>
        <v>#VALUE!</v>
      </c>
      <c r="V1617" s="219">
        <f t="shared" ca="1" si="103"/>
        <v>54940</v>
      </c>
      <c r="W1617" s="115" t="e">
        <f ca="1"/>
        <v>#VALUE!</v>
      </c>
    </row>
    <row r="1618" spans="13:23">
      <c r="M1618" s="219">
        <f t="shared" ca="1" si="104"/>
        <v>54947</v>
      </c>
      <c r="N1618" s="115" t="e">
        <f ca="1"/>
        <v>#VALUE!</v>
      </c>
      <c r="P1618" s="219">
        <f t="shared" ca="1" si="101"/>
        <v>54947</v>
      </c>
      <c r="Q1618" s="115" t="e">
        <f ca="1"/>
        <v>#VALUE!</v>
      </c>
      <c r="S1618" s="219">
        <f t="shared" ca="1" si="102"/>
        <v>54947</v>
      </c>
      <c r="T1618" s="115" t="e">
        <f ca="1"/>
        <v>#VALUE!</v>
      </c>
      <c r="V1618" s="219">
        <f t="shared" ca="1" si="103"/>
        <v>54947</v>
      </c>
      <c r="W1618" s="115" t="e">
        <f ca="1"/>
        <v>#VALUE!</v>
      </c>
    </row>
    <row r="1619" spans="13:23">
      <c r="M1619" s="219">
        <f t="shared" ca="1" si="104"/>
        <v>54954</v>
      </c>
      <c r="N1619" s="115" t="e">
        <f ca="1"/>
        <v>#VALUE!</v>
      </c>
      <c r="P1619" s="219">
        <f t="shared" ca="1" si="101"/>
        <v>54954</v>
      </c>
      <c r="Q1619" s="115" t="e">
        <f ca="1"/>
        <v>#VALUE!</v>
      </c>
      <c r="S1619" s="219">
        <f t="shared" ca="1" si="102"/>
        <v>54954</v>
      </c>
      <c r="T1619" s="115" t="e">
        <f ca="1"/>
        <v>#VALUE!</v>
      </c>
      <c r="V1619" s="219">
        <f t="shared" ca="1" si="103"/>
        <v>54954</v>
      </c>
      <c r="W1619" s="115" t="e">
        <f ca="1"/>
        <v>#VALUE!</v>
      </c>
    </row>
    <row r="1620" spans="13:23">
      <c r="M1620" s="219">
        <f t="shared" ca="1" si="104"/>
        <v>54961</v>
      </c>
      <c r="N1620" s="115" t="e">
        <f ca="1"/>
        <v>#VALUE!</v>
      </c>
      <c r="P1620" s="219">
        <f t="shared" ca="1" si="101"/>
        <v>54961</v>
      </c>
      <c r="Q1620" s="115" t="e">
        <f ca="1"/>
        <v>#VALUE!</v>
      </c>
      <c r="S1620" s="219">
        <f t="shared" ca="1" si="102"/>
        <v>54961</v>
      </c>
      <c r="T1620" s="115" t="e">
        <f ca="1"/>
        <v>#VALUE!</v>
      </c>
      <c r="V1620" s="219">
        <f t="shared" ca="1" si="103"/>
        <v>54961</v>
      </c>
      <c r="W1620" s="115" t="e">
        <f ca="1"/>
        <v>#VALUE!</v>
      </c>
    </row>
    <row r="1621" spans="13:23">
      <c r="M1621" s="219">
        <f t="shared" ca="1" si="104"/>
        <v>54968</v>
      </c>
      <c r="N1621" s="115" t="e">
        <f ca="1"/>
        <v>#VALUE!</v>
      </c>
      <c r="P1621" s="219">
        <f t="shared" ca="1" si="101"/>
        <v>54968</v>
      </c>
      <c r="Q1621" s="115" t="e">
        <f ca="1"/>
        <v>#VALUE!</v>
      </c>
      <c r="S1621" s="219">
        <f t="shared" ca="1" si="102"/>
        <v>54968</v>
      </c>
      <c r="T1621" s="115" t="e">
        <f ca="1"/>
        <v>#VALUE!</v>
      </c>
      <c r="V1621" s="219">
        <f t="shared" ca="1" si="103"/>
        <v>54968</v>
      </c>
      <c r="W1621" s="115" t="e">
        <f ca="1"/>
        <v>#VALUE!</v>
      </c>
    </row>
    <row r="1622" spans="13:23">
      <c r="M1622" s="219">
        <f t="shared" ca="1" si="104"/>
        <v>54975</v>
      </c>
      <c r="N1622" s="115" t="e">
        <f ca="1"/>
        <v>#VALUE!</v>
      </c>
      <c r="P1622" s="219">
        <f t="shared" ca="1" si="101"/>
        <v>54975</v>
      </c>
      <c r="Q1622" s="115" t="e">
        <f ca="1"/>
        <v>#VALUE!</v>
      </c>
      <c r="S1622" s="219">
        <f t="shared" ca="1" si="102"/>
        <v>54975</v>
      </c>
      <c r="T1622" s="115" t="e">
        <f ca="1"/>
        <v>#VALUE!</v>
      </c>
      <c r="V1622" s="219">
        <f t="shared" ca="1" si="103"/>
        <v>54975</v>
      </c>
      <c r="W1622" s="115" t="e">
        <f ca="1"/>
        <v>#VALUE!</v>
      </c>
    </row>
    <row r="1623" spans="13:23">
      <c r="M1623" s="219">
        <f t="shared" ca="1" si="104"/>
        <v>54982</v>
      </c>
      <c r="N1623" s="115" t="e">
        <f ca="1"/>
        <v>#VALUE!</v>
      </c>
      <c r="P1623" s="219">
        <f t="shared" ca="1" si="101"/>
        <v>54982</v>
      </c>
      <c r="Q1623" s="115" t="e">
        <f ca="1"/>
        <v>#VALUE!</v>
      </c>
      <c r="S1623" s="219">
        <f t="shared" ca="1" si="102"/>
        <v>54982</v>
      </c>
      <c r="T1623" s="115" t="e">
        <f ca="1"/>
        <v>#VALUE!</v>
      </c>
      <c r="V1623" s="219">
        <f t="shared" ca="1" si="103"/>
        <v>54982</v>
      </c>
      <c r="W1623" s="115" t="e">
        <f ca="1"/>
        <v>#VALUE!</v>
      </c>
    </row>
    <row r="1624" spans="13:23">
      <c r="M1624" s="219">
        <f t="shared" ca="1" si="104"/>
        <v>54989</v>
      </c>
      <c r="N1624" s="115" t="e">
        <f ca="1"/>
        <v>#VALUE!</v>
      </c>
      <c r="P1624" s="219">
        <f t="shared" ca="1" si="101"/>
        <v>54989</v>
      </c>
      <c r="Q1624" s="115" t="e">
        <f ca="1"/>
        <v>#VALUE!</v>
      </c>
      <c r="S1624" s="219">
        <f t="shared" ca="1" si="102"/>
        <v>54989</v>
      </c>
      <c r="T1624" s="115" t="e">
        <f ca="1"/>
        <v>#VALUE!</v>
      </c>
      <c r="V1624" s="219">
        <f t="shared" ca="1" si="103"/>
        <v>54989</v>
      </c>
      <c r="W1624" s="115" t="e">
        <f ca="1"/>
        <v>#VALUE!</v>
      </c>
    </row>
    <row r="1625" spans="13:23">
      <c r="M1625" s="219">
        <f t="shared" ca="1" si="104"/>
        <v>54996</v>
      </c>
      <c r="N1625" s="115" t="e">
        <f ca="1"/>
        <v>#VALUE!</v>
      </c>
      <c r="P1625" s="219">
        <f t="shared" ca="1" si="101"/>
        <v>54996</v>
      </c>
      <c r="Q1625" s="115" t="e">
        <f ca="1"/>
        <v>#VALUE!</v>
      </c>
      <c r="S1625" s="219">
        <f t="shared" ca="1" si="102"/>
        <v>54996</v>
      </c>
      <c r="T1625" s="115" t="e">
        <f ca="1"/>
        <v>#VALUE!</v>
      </c>
      <c r="V1625" s="219">
        <f t="shared" ca="1" si="103"/>
        <v>54996</v>
      </c>
      <c r="W1625" s="115" t="e">
        <f ca="1"/>
        <v>#VALUE!</v>
      </c>
    </row>
    <row r="1626" spans="13:23">
      <c r="M1626" s="219">
        <f t="shared" ca="1" si="104"/>
        <v>55003</v>
      </c>
      <c r="N1626" s="115" t="e">
        <f ca="1"/>
        <v>#VALUE!</v>
      </c>
      <c r="P1626" s="219">
        <f t="shared" ca="1" si="101"/>
        <v>55003</v>
      </c>
      <c r="Q1626" s="115" t="e">
        <f ca="1"/>
        <v>#VALUE!</v>
      </c>
      <c r="S1626" s="219">
        <f t="shared" ca="1" si="102"/>
        <v>55003</v>
      </c>
      <c r="T1626" s="115" t="e">
        <f ca="1"/>
        <v>#VALUE!</v>
      </c>
      <c r="V1626" s="219">
        <f t="shared" ca="1" si="103"/>
        <v>55003</v>
      </c>
      <c r="W1626" s="115" t="e">
        <f ca="1"/>
        <v>#VALUE!</v>
      </c>
    </row>
    <row r="1627" spans="13:23">
      <c r="M1627" s="219">
        <f t="shared" ca="1" si="104"/>
        <v>55010</v>
      </c>
      <c r="N1627" s="115" t="e">
        <f ca="1"/>
        <v>#VALUE!</v>
      </c>
      <c r="P1627" s="219">
        <f t="shared" ca="1" si="101"/>
        <v>55010</v>
      </c>
      <c r="Q1627" s="115" t="e">
        <f ca="1"/>
        <v>#VALUE!</v>
      </c>
      <c r="S1627" s="219">
        <f t="shared" ca="1" si="102"/>
        <v>55010</v>
      </c>
      <c r="T1627" s="115" t="e">
        <f ca="1"/>
        <v>#VALUE!</v>
      </c>
      <c r="V1627" s="219">
        <f t="shared" ca="1" si="103"/>
        <v>55010</v>
      </c>
      <c r="W1627" s="115" t="e">
        <f ca="1"/>
        <v>#VALUE!</v>
      </c>
    </row>
    <row r="1628" spans="13:23">
      <c r="M1628" s="219">
        <f t="shared" ca="1" si="104"/>
        <v>55017</v>
      </c>
      <c r="N1628" s="115" t="e">
        <f ca="1"/>
        <v>#VALUE!</v>
      </c>
      <c r="P1628" s="219">
        <f t="shared" ca="1" si="101"/>
        <v>55017</v>
      </c>
      <c r="Q1628" s="115" t="e">
        <f ca="1"/>
        <v>#VALUE!</v>
      </c>
      <c r="S1628" s="219">
        <f t="shared" ca="1" si="102"/>
        <v>55017</v>
      </c>
      <c r="T1628" s="115" t="e">
        <f ca="1"/>
        <v>#VALUE!</v>
      </c>
      <c r="V1628" s="219">
        <f t="shared" ca="1" si="103"/>
        <v>55017</v>
      </c>
      <c r="W1628" s="115" t="e">
        <f ca="1"/>
        <v>#VALUE!</v>
      </c>
    </row>
    <row r="1629" spans="13:23">
      <c r="M1629" s="219">
        <f t="shared" ca="1" si="104"/>
        <v>55024</v>
      </c>
      <c r="N1629" s="115" t="e">
        <f ca="1"/>
        <v>#VALUE!</v>
      </c>
      <c r="P1629" s="219">
        <f t="shared" ref="P1629:P1692" ca="1" si="105">P1628+7</f>
        <v>55024</v>
      </c>
      <c r="Q1629" s="115" t="e">
        <f ca="1"/>
        <v>#VALUE!</v>
      </c>
      <c r="S1629" s="219">
        <f t="shared" ref="S1629:S1692" ca="1" si="106">S1628+7</f>
        <v>55024</v>
      </c>
      <c r="T1629" s="115" t="e">
        <f ca="1"/>
        <v>#VALUE!</v>
      </c>
      <c r="V1629" s="219">
        <f t="shared" ref="V1629:V1692" ca="1" si="107">V1628+7</f>
        <v>55024</v>
      </c>
      <c r="W1629" s="115" t="e">
        <f ca="1"/>
        <v>#VALUE!</v>
      </c>
    </row>
    <row r="1630" spans="13:23">
      <c r="M1630" s="219">
        <f t="shared" ca="1" si="104"/>
        <v>55031</v>
      </c>
      <c r="N1630" s="115" t="e">
        <f ca="1"/>
        <v>#VALUE!</v>
      </c>
      <c r="P1630" s="219">
        <f t="shared" ca="1" si="105"/>
        <v>55031</v>
      </c>
      <c r="Q1630" s="115" t="e">
        <f ca="1"/>
        <v>#VALUE!</v>
      </c>
      <c r="S1630" s="219">
        <f t="shared" ca="1" si="106"/>
        <v>55031</v>
      </c>
      <c r="T1630" s="115" t="e">
        <f ca="1"/>
        <v>#VALUE!</v>
      </c>
      <c r="V1630" s="219">
        <f t="shared" ca="1" si="107"/>
        <v>55031</v>
      </c>
      <c r="W1630" s="115" t="e">
        <f ca="1"/>
        <v>#VALUE!</v>
      </c>
    </row>
    <row r="1631" spans="13:23">
      <c r="M1631" s="219">
        <f t="shared" ca="1" si="104"/>
        <v>55038</v>
      </c>
      <c r="N1631" s="115" t="e">
        <f ca="1"/>
        <v>#VALUE!</v>
      </c>
      <c r="P1631" s="219">
        <f t="shared" ca="1" si="105"/>
        <v>55038</v>
      </c>
      <c r="Q1631" s="115" t="e">
        <f ca="1"/>
        <v>#VALUE!</v>
      </c>
      <c r="S1631" s="219">
        <f t="shared" ca="1" si="106"/>
        <v>55038</v>
      </c>
      <c r="T1631" s="115" t="e">
        <f ca="1"/>
        <v>#VALUE!</v>
      </c>
      <c r="V1631" s="219">
        <f t="shared" ca="1" si="107"/>
        <v>55038</v>
      </c>
      <c r="W1631" s="115" t="e">
        <f ca="1"/>
        <v>#VALUE!</v>
      </c>
    </row>
    <row r="1632" spans="13:23">
      <c r="M1632" s="219">
        <f t="shared" ca="1" si="104"/>
        <v>55045</v>
      </c>
      <c r="N1632" s="115" t="e">
        <f ca="1"/>
        <v>#VALUE!</v>
      </c>
      <c r="P1632" s="219">
        <f t="shared" ca="1" si="105"/>
        <v>55045</v>
      </c>
      <c r="Q1632" s="115" t="e">
        <f ca="1"/>
        <v>#VALUE!</v>
      </c>
      <c r="S1632" s="219">
        <f t="shared" ca="1" si="106"/>
        <v>55045</v>
      </c>
      <c r="T1632" s="115" t="e">
        <f ca="1"/>
        <v>#VALUE!</v>
      </c>
      <c r="V1632" s="219">
        <f t="shared" ca="1" si="107"/>
        <v>55045</v>
      </c>
      <c r="W1632" s="115" t="e">
        <f ca="1"/>
        <v>#VALUE!</v>
      </c>
    </row>
    <row r="1633" spans="13:23">
      <c r="M1633" s="219">
        <f t="shared" ca="1" si="104"/>
        <v>55052</v>
      </c>
      <c r="N1633" s="115" t="e">
        <f ca="1"/>
        <v>#VALUE!</v>
      </c>
      <c r="P1633" s="219">
        <f t="shared" ca="1" si="105"/>
        <v>55052</v>
      </c>
      <c r="Q1633" s="115" t="e">
        <f ca="1"/>
        <v>#VALUE!</v>
      </c>
      <c r="S1633" s="219">
        <f t="shared" ca="1" si="106"/>
        <v>55052</v>
      </c>
      <c r="T1633" s="115" t="e">
        <f ca="1"/>
        <v>#VALUE!</v>
      </c>
      <c r="V1633" s="219">
        <f t="shared" ca="1" si="107"/>
        <v>55052</v>
      </c>
      <c r="W1633" s="115" t="e">
        <f ca="1"/>
        <v>#VALUE!</v>
      </c>
    </row>
    <row r="1634" spans="13:23">
      <c r="M1634" s="219">
        <f t="shared" ca="1" si="104"/>
        <v>55059</v>
      </c>
      <c r="N1634" s="115" t="e">
        <f ca="1"/>
        <v>#VALUE!</v>
      </c>
      <c r="P1634" s="219">
        <f t="shared" ca="1" si="105"/>
        <v>55059</v>
      </c>
      <c r="Q1634" s="115" t="e">
        <f ca="1"/>
        <v>#VALUE!</v>
      </c>
      <c r="S1634" s="219">
        <f t="shared" ca="1" si="106"/>
        <v>55059</v>
      </c>
      <c r="T1634" s="115" t="e">
        <f ca="1"/>
        <v>#VALUE!</v>
      </c>
      <c r="V1634" s="219">
        <f t="shared" ca="1" si="107"/>
        <v>55059</v>
      </c>
      <c r="W1634" s="115" t="e">
        <f ca="1"/>
        <v>#VALUE!</v>
      </c>
    </row>
    <row r="1635" spans="13:23">
      <c r="M1635" s="219">
        <f t="shared" ca="1" si="104"/>
        <v>55066</v>
      </c>
      <c r="N1635" s="115" t="e">
        <f ca="1"/>
        <v>#VALUE!</v>
      </c>
      <c r="P1635" s="219">
        <f t="shared" ca="1" si="105"/>
        <v>55066</v>
      </c>
      <c r="Q1635" s="115" t="e">
        <f ca="1"/>
        <v>#VALUE!</v>
      </c>
      <c r="S1635" s="219">
        <f t="shared" ca="1" si="106"/>
        <v>55066</v>
      </c>
      <c r="T1635" s="115" t="e">
        <f ca="1"/>
        <v>#VALUE!</v>
      </c>
      <c r="V1635" s="219">
        <f t="shared" ca="1" si="107"/>
        <v>55066</v>
      </c>
      <c r="W1635" s="115" t="e">
        <f ca="1"/>
        <v>#VALUE!</v>
      </c>
    </row>
    <row r="1636" spans="13:23">
      <c r="M1636" s="219">
        <f t="shared" ca="1" si="104"/>
        <v>55073</v>
      </c>
      <c r="N1636" s="115" t="e">
        <f ca="1"/>
        <v>#VALUE!</v>
      </c>
      <c r="P1636" s="219">
        <f t="shared" ca="1" si="105"/>
        <v>55073</v>
      </c>
      <c r="Q1636" s="115" t="e">
        <f ca="1"/>
        <v>#VALUE!</v>
      </c>
      <c r="S1636" s="219">
        <f t="shared" ca="1" si="106"/>
        <v>55073</v>
      </c>
      <c r="T1636" s="115" t="e">
        <f ca="1"/>
        <v>#VALUE!</v>
      </c>
      <c r="V1636" s="219">
        <f t="shared" ca="1" si="107"/>
        <v>55073</v>
      </c>
      <c r="W1636" s="115" t="e">
        <f ca="1"/>
        <v>#VALUE!</v>
      </c>
    </row>
    <row r="1637" spans="13:23">
      <c r="M1637" s="219">
        <f t="shared" ca="1" si="104"/>
        <v>55080</v>
      </c>
      <c r="N1637" s="115" t="e">
        <f ca="1"/>
        <v>#VALUE!</v>
      </c>
      <c r="P1637" s="219">
        <f t="shared" ca="1" si="105"/>
        <v>55080</v>
      </c>
      <c r="Q1637" s="115" t="e">
        <f ca="1"/>
        <v>#VALUE!</v>
      </c>
      <c r="S1637" s="219">
        <f t="shared" ca="1" si="106"/>
        <v>55080</v>
      </c>
      <c r="T1637" s="115" t="e">
        <f ca="1"/>
        <v>#VALUE!</v>
      </c>
      <c r="V1637" s="219">
        <f t="shared" ca="1" si="107"/>
        <v>55080</v>
      </c>
      <c r="W1637" s="115" t="e">
        <f ca="1"/>
        <v>#VALUE!</v>
      </c>
    </row>
    <row r="1638" spans="13:23">
      <c r="M1638" s="219">
        <f t="shared" ca="1" si="104"/>
        <v>55087</v>
      </c>
      <c r="N1638" s="115" t="e">
        <f ca="1"/>
        <v>#VALUE!</v>
      </c>
      <c r="P1638" s="219">
        <f t="shared" ca="1" si="105"/>
        <v>55087</v>
      </c>
      <c r="Q1638" s="115" t="e">
        <f ca="1"/>
        <v>#VALUE!</v>
      </c>
      <c r="S1638" s="219">
        <f t="shared" ca="1" si="106"/>
        <v>55087</v>
      </c>
      <c r="T1638" s="115" t="e">
        <f ca="1"/>
        <v>#VALUE!</v>
      </c>
      <c r="V1638" s="219">
        <f t="shared" ca="1" si="107"/>
        <v>55087</v>
      </c>
      <c r="W1638" s="115" t="e">
        <f ca="1"/>
        <v>#VALUE!</v>
      </c>
    </row>
    <row r="1639" spans="13:23">
      <c r="M1639" s="219">
        <f t="shared" ca="1" si="104"/>
        <v>55094</v>
      </c>
      <c r="N1639" s="115" t="e">
        <f ca="1"/>
        <v>#VALUE!</v>
      </c>
      <c r="P1639" s="219">
        <f t="shared" ca="1" si="105"/>
        <v>55094</v>
      </c>
      <c r="Q1639" s="115" t="e">
        <f ca="1"/>
        <v>#VALUE!</v>
      </c>
      <c r="S1639" s="219">
        <f t="shared" ca="1" si="106"/>
        <v>55094</v>
      </c>
      <c r="T1639" s="115" t="e">
        <f ca="1"/>
        <v>#VALUE!</v>
      </c>
      <c r="V1639" s="219">
        <f t="shared" ca="1" si="107"/>
        <v>55094</v>
      </c>
      <c r="W1639" s="115" t="e">
        <f ca="1"/>
        <v>#VALUE!</v>
      </c>
    </row>
    <row r="1640" spans="13:23">
      <c r="M1640" s="219">
        <f t="shared" ca="1" si="104"/>
        <v>55101</v>
      </c>
      <c r="N1640" s="115" t="e">
        <f ca="1"/>
        <v>#VALUE!</v>
      </c>
      <c r="P1640" s="219">
        <f t="shared" ca="1" si="105"/>
        <v>55101</v>
      </c>
      <c r="Q1640" s="115" t="e">
        <f ca="1"/>
        <v>#VALUE!</v>
      </c>
      <c r="S1640" s="219">
        <f t="shared" ca="1" si="106"/>
        <v>55101</v>
      </c>
      <c r="T1640" s="115" t="e">
        <f ca="1"/>
        <v>#VALUE!</v>
      </c>
      <c r="V1640" s="219">
        <f t="shared" ca="1" si="107"/>
        <v>55101</v>
      </c>
      <c r="W1640" s="115" t="e">
        <f ca="1"/>
        <v>#VALUE!</v>
      </c>
    </row>
    <row r="1641" spans="13:23">
      <c r="M1641" s="219">
        <f t="shared" ca="1" si="104"/>
        <v>55108</v>
      </c>
      <c r="N1641" s="115" t="e">
        <f ca="1"/>
        <v>#VALUE!</v>
      </c>
      <c r="P1641" s="219">
        <f t="shared" ca="1" si="105"/>
        <v>55108</v>
      </c>
      <c r="Q1641" s="115" t="e">
        <f ca="1"/>
        <v>#VALUE!</v>
      </c>
      <c r="S1641" s="219">
        <f t="shared" ca="1" si="106"/>
        <v>55108</v>
      </c>
      <c r="T1641" s="115" t="e">
        <f ca="1"/>
        <v>#VALUE!</v>
      </c>
      <c r="V1641" s="219">
        <f t="shared" ca="1" si="107"/>
        <v>55108</v>
      </c>
      <c r="W1641" s="115" t="e">
        <f ca="1"/>
        <v>#VALUE!</v>
      </c>
    </row>
    <row r="1642" spans="13:23">
      <c r="M1642" s="219">
        <f t="shared" ca="1" si="104"/>
        <v>55115</v>
      </c>
      <c r="N1642" s="115" t="e">
        <f ca="1"/>
        <v>#VALUE!</v>
      </c>
      <c r="P1642" s="219">
        <f t="shared" ca="1" si="105"/>
        <v>55115</v>
      </c>
      <c r="Q1642" s="115" t="e">
        <f ca="1"/>
        <v>#VALUE!</v>
      </c>
      <c r="S1642" s="219">
        <f t="shared" ca="1" si="106"/>
        <v>55115</v>
      </c>
      <c r="T1642" s="115" t="e">
        <f ca="1"/>
        <v>#VALUE!</v>
      </c>
      <c r="V1642" s="219">
        <f t="shared" ca="1" si="107"/>
        <v>55115</v>
      </c>
      <c r="W1642" s="115" t="e">
        <f ca="1"/>
        <v>#VALUE!</v>
      </c>
    </row>
    <row r="1643" spans="13:23">
      <c r="M1643" s="219">
        <f t="shared" ca="1" si="104"/>
        <v>55122</v>
      </c>
      <c r="N1643" s="115" t="e">
        <f ca="1"/>
        <v>#VALUE!</v>
      </c>
      <c r="P1643" s="219">
        <f t="shared" ca="1" si="105"/>
        <v>55122</v>
      </c>
      <c r="Q1643" s="115" t="e">
        <f ca="1"/>
        <v>#VALUE!</v>
      </c>
      <c r="S1643" s="219">
        <f t="shared" ca="1" si="106"/>
        <v>55122</v>
      </c>
      <c r="T1643" s="115" t="e">
        <f ca="1"/>
        <v>#VALUE!</v>
      </c>
      <c r="V1643" s="219">
        <f t="shared" ca="1" si="107"/>
        <v>55122</v>
      </c>
      <c r="W1643" s="115" t="e">
        <f ca="1"/>
        <v>#VALUE!</v>
      </c>
    </row>
    <row r="1644" spans="13:23">
      <c r="M1644" s="219">
        <f t="shared" ca="1" si="104"/>
        <v>55129</v>
      </c>
      <c r="N1644" s="115" t="e">
        <f ca="1"/>
        <v>#VALUE!</v>
      </c>
      <c r="P1644" s="219">
        <f t="shared" ca="1" si="105"/>
        <v>55129</v>
      </c>
      <c r="Q1644" s="115" t="e">
        <f ca="1"/>
        <v>#VALUE!</v>
      </c>
      <c r="S1644" s="219">
        <f t="shared" ca="1" si="106"/>
        <v>55129</v>
      </c>
      <c r="T1644" s="115" t="e">
        <f ca="1"/>
        <v>#VALUE!</v>
      </c>
      <c r="V1644" s="219">
        <f t="shared" ca="1" si="107"/>
        <v>55129</v>
      </c>
      <c r="W1644" s="115" t="e">
        <f ca="1"/>
        <v>#VALUE!</v>
      </c>
    </row>
    <row r="1645" spans="13:23">
      <c r="M1645" s="219">
        <f t="shared" ca="1" si="104"/>
        <v>55136</v>
      </c>
      <c r="N1645" s="115" t="e">
        <f ca="1"/>
        <v>#VALUE!</v>
      </c>
      <c r="P1645" s="219">
        <f t="shared" ca="1" si="105"/>
        <v>55136</v>
      </c>
      <c r="Q1645" s="115" t="e">
        <f ca="1"/>
        <v>#VALUE!</v>
      </c>
      <c r="S1645" s="219">
        <f t="shared" ca="1" si="106"/>
        <v>55136</v>
      </c>
      <c r="T1645" s="115" t="e">
        <f ca="1"/>
        <v>#VALUE!</v>
      </c>
      <c r="V1645" s="219">
        <f t="shared" ca="1" si="107"/>
        <v>55136</v>
      </c>
      <c r="W1645" s="115" t="e">
        <f ca="1"/>
        <v>#VALUE!</v>
      </c>
    </row>
    <row r="1646" spans="13:23">
      <c r="M1646" s="219">
        <f t="shared" ca="1" si="104"/>
        <v>55143</v>
      </c>
      <c r="N1646" s="115" t="e">
        <f ca="1"/>
        <v>#VALUE!</v>
      </c>
      <c r="P1646" s="219">
        <f t="shared" ca="1" si="105"/>
        <v>55143</v>
      </c>
      <c r="Q1646" s="115" t="e">
        <f ca="1"/>
        <v>#VALUE!</v>
      </c>
      <c r="S1646" s="219">
        <f t="shared" ca="1" si="106"/>
        <v>55143</v>
      </c>
      <c r="T1646" s="115" t="e">
        <f ca="1"/>
        <v>#VALUE!</v>
      </c>
      <c r="V1646" s="219">
        <f t="shared" ca="1" si="107"/>
        <v>55143</v>
      </c>
      <c r="W1646" s="115" t="e">
        <f ca="1"/>
        <v>#VALUE!</v>
      </c>
    </row>
    <row r="1647" spans="13:23">
      <c r="M1647" s="219">
        <f t="shared" ca="1" si="104"/>
        <v>55150</v>
      </c>
      <c r="N1647" s="115" t="e">
        <f ca="1"/>
        <v>#VALUE!</v>
      </c>
      <c r="P1647" s="219">
        <f t="shared" ca="1" si="105"/>
        <v>55150</v>
      </c>
      <c r="Q1647" s="115" t="e">
        <f ca="1"/>
        <v>#VALUE!</v>
      </c>
      <c r="S1647" s="219">
        <f t="shared" ca="1" si="106"/>
        <v>55150</v>
      </c>
      <c r="T1647" s="115" t="e">
        <f ca="1"/>
        <v>#VALUE!</v>
      </c>
      <c r="V1647" s="219">
        <f t="shared" ca="1" si="107"/>
        <v>55150</v>
      </c>
      <c r="W1647" s="115" t="e">
        <f ca="1"/>
        <v>#VALUE!</v>
      </c>
    </row>
    <row r="1648" spans="13:23">
      <c r="M1648" s="219">
        <f t="shared" ca="1" si="104"/>
        <v>55157</v>
      </c>
      <c r="N1648" s="115" t="e">
        <f ca="1"/>
        <v>#VALUE!</v>
      </c>
      <c r="P1648" s="219">
        <f t="shared" ca="1" si="105"/>
        <v>55157</v>
      </c>
      <c r="Q1648" s="115" t="e">
        <f ca="1"/>
        <v>#VALUE!</v>
      </c>
      <c r="S1648" s="219">
        <f t="shared" ca="1" si="106"/>
        <v>55157</v>
      </c>
      <c r="T1648" s="115" t="e">
        <f ca="1"/>
        <v>#VALUE!</v>
      </c>
      <c r="V1648" s="219">
        <f t="shared" ca="1" si="107"/>
        <v>55157</v>
      </c>
      <c r="W1648" s="115" t="e">
        <f ca="1"/>
        <v>#VALUE!</v>
      </c>
    </row>
    <row r="1649" spans="13:23">
      <c r="M1649" s="219">
        <f t="shared" ca="1" si="104"/>
        <v>55164</v>
      </c>
      <c r="N1649" s="115" t="e">
        <f ca="1"/>
        <v>#VALUE!</v>
      </c>
      <c r="P1649" s="219">
        <f t="shared" ca="1" si="105"/>
        <v>55164</v>
      </c>
      <c r="Q1649" s="115" t="e">
        <f ca="1"/>
        <v>#VALUE!</v>
      </c>
      <c r="S1649" s="219">
        <f t="shared" ca="1" si="106"/>
        <v>55164</v>
      </c>
      <c r="T1649" s="115" t="e">
        <f ca="1"/>
        <v>#VALUE!</v>
      </c>
      <c r="V1649" s="219">
        <f t="shared" ca="1" si="107"/>
        <v>55164</v>
      </c>
      <c r="W1649" s="115" t="e">
        <f ca="1"/>
        <v>#VALUE!</v>
      </c>
    </row>
    <row r="1650" spans="13:23">
      <c r="M1650" s="219">
        <f t="shared" ca="1" si="104"/>
        <v>55171</v>
      </c>
      <c r="N1650" s="115" t="e">
        <f ca="1"/>
        <v>#VALUE!</v>
      </c>
      <c r="P1650" s="219">
        <f t="shared" ca="1" si="105"/>
        <v>55171</v>
      </c>
      <c r="Q1650" s="115" t="e">
        <f ca="1"/>
        <v>#VALUE!</v>
      </c>
      <c r="S1650" s="219">
        <f t="shared" ca="1" si="106"/>
        <v>55171</v>
      </c>
      <c r="T1650" s="115" t="e">
        <f ca="1"/>
        <v>#VALUE!</v>
      </c>
      <c r="V1650" s="219">
        <f t="shared" ca="1" si="107"/>
        <v>55171</v>
      </c>
      <c r="W1650" s="115" t="e">
        <f ca="1"/>
        <v>#VALUE!</v>
      </c>
    </row>
    <row r="1651" spans="13:23">
      <c r="M1651" s="219">
        <f t="shared" ca="1" si="104"/>
        <v>55178</v>
      </c>
      <c r="N1651" s="115" t="e">
        <f ca="1"/>
        <v>#VALUE!</v>
      </c>
      <c r="P1651" s="219">
        <f t="shared" ca="1" si="105"/>
        <v>55178</v>
      </c>
      <c r="Q1651" s="115" t="e">
        <f ca="1"/>
        <v>#VALUE!</v>
      </c>
      <c r="S1651" s="219">
        <f t="shared" ca="1" si="106"/>
        <v>55178</v>
      </c>
      <c r="T1651" s="115" t="e">
        <f ca="1"/>
        <v>#VALUE!</v>
      </c>
      <c r="V1651" s="219">
        <f t="shared" ca="1" si="107"/>
        <v>55178</v>
      </c>
      <c r="W1651" s="115" t="e">
        <f ca="1"/>
        <v>#VALUE!</v>
      </c>
    </row>
    <row r="1652" spans="13:23">
      <c r="M1652" s="219">
        <f t="shared" ca="1" si="104"/>
        <v>55185</v>
      </c>
      <c r="N1652" s="115" t="e">
        <f ca="1"/>
        <v>#VALUE!</v>
      </c>
      <c r="P1652" s="219">
        <f t="shared" ca="1" si="105"/>
        <v>55185</v>
      </c>
      <c r="Q1652" s="115" t="e">
        <f ca="1"/>
        <v>#VALUE!</v>
      </c>
      <c r="S1652" s="219">
        <f t="shared" ca="1" si="106"/>
        <v>55185</v>
      </c>
      <c r="T1652" s="115" t="e">
        <f ca="1"/>
        <v>#VALUE!</v>
      </c>
      <c r="V1652" s="219">
        <f t="shared" ca="1" si="107"/>
        <v>55185</v>
      </c>
      <c r="W1652" s="115" t="e">
        <f ca="1"/>
        <v>#VALUE!</v>
      </c>
    </row>
    <row r="1653" spans="13:23">
      <c r="M1653" s="219">
        <f t="shared" ca="1" si="104"/>
        <v>55192</v>
      </c>
      <c r="N1653" s="115" t="e">
        <f ca="1"/>
        <v>#VALUE!</v>
      </c>
      <c r="P1653" s="219">
        <f t="shared" ca="1" si="105"/>
        <v>55192</v>
      </c>
      <c r="Q1653" s="115" t="e">
        <f ca="1"/>
        <v>#VALUE!</v>
      </c>
      <c r="S1653" s="219">
        <f t="shared" ca="1" si="106"/>
        <v>55192</v>
      </c>
      <c r="T1653" s="115" t="e">
        <f ca="1"/>
        <v>#VALUE!</v>
      </c>
      <c r="V1653" s="219">
        <f t="shared" ca="1" si="107"/>
        <v>55192</v>
      </c>
      <c r="W1653" s="115" t="e">
        <f ca="1"/>
        <v>#VALUE!</v>
      </c>
    </row>
    <row r="1654" spans="13:23">
      <c r="M1654" s="219">
        <f t="shared" ca="1" si="104"/>
        <v>55199</v>
      </c>
      <c r="N1654" s="115" t="e">
        <f ca="1"/>
        <v>#VALUE!</v>
      </c>
      <c r="P1654" s="219">
        <f t="shared" ca="1" si="105"/>
        <v>55199</v>
      </c>
      <c r="Q1654" s="115" t="e">
        <f ca="1"/>
        <v>#VALUE!</v>
      </c>
      <c r="S1654" s="219">
        <f t="shared" ca="1" si="106"/>
        <v>55199</v>
      </c>
      <c r="T1654" s="115" t="e">
        <f ca="1"/>
        <v>#VALUE!</v>
      </c>
      <c r="V1654" s="219">
        <f t="shared" ca="1" si="107"/>
        <v>55199</v>
      </c>
      <c r="W1654" s="115" t="e">
        <f ca="1"/>
        <v>#VALUE!</v>
      </c>
    </row>
    <row r="1655" spans="13:23">
      <c r="M1655" s="219">
        <f t="shared" ca="1" si="104"/>
        <v>55206</v>
      </c>
      <c r="N1655" s="115" t="e">
        <f ca="1"/>
        <v>#VALUE!</v>
      </c>
      <c r="P1655" s="219">
        <f t="shared" ca="1" si="105"/>
        <v>55206</v>
      </c>
      <c r="Q1655" s="115" t="e">
        <f ca="1"/>
        <v>#VALUE!</v>
      </c>
      <c r="S1655" s="219">
        <f t="shared" ca="1" si="106"/>
        <v>55206</v>
      </c>
      <c r="T1655" s="115" t="e">
        <f ca="1"/>
        <v>#VALUE!</v>
      </c>
      <c r="V1655" s="219">
        <f t="shared" ca="1" si="107"/>
        <v>55206</v>
      </c>
      <c r="W1655" s="115" t="e">
        <f ca="1"/>
        <v>#VALUE!</v>
      </c>
    </row>
    <row r="1656" spans="13:23">
      <c r="M1656" s="219">
        <f t="shared" ca="1" si="104"/>
        <v>55213</v>
      </c>
      <c r="N1656" s="115" t="e">
        <f ca="1"/>
        <v>#VALUE!</v>
      </c>
      <c r="P1656" s="219">
        <f t="shared" ca="1" si="105"/>
        <v>55213</v>
      </c>
      <c r="Q1656" s="115" t="e">
        <f ca="1"/>
        <v>#VALUE!</v>
      </c>
      <c r="S1656" s="219">
        <f t="shared" ca="1" si="106"/>
        <v>55213</v>
      </c>
      <c r="T1656" s="115" t="e">
        <f ca="1"/>
        <v>#VALUE!</v>
      </c>
      <c r="V1656" s="219">
        <f t="shared" ca="1" si="107"/>
        <v>55213</v>
      </c>
      <c r="W1656" s="115" t="e">
        <f ca="1"/>
        <v>#VALUE!</v>
      </c>
    </row>
    <row r="1657" spans="13:23">
      <c r="M1657" s="219">
        <f t="shared" ca="1" si="104"/>
        <v>55220</v>
      </c>
      <c r="N1657" s="115" t="e">
        <f ca="1"/>
        <v>#VALUE!</v>
      </c>
      <c r="P1657" s="219">
        <f t="shared" ca="1" si="105"/>
        <v>55220</v>
      </c>
      <c r="Q1657" s="115" t="e">
        <f ca="1"/>
        <v>#VALUE!</v>
      </c>
      <c r="S1657" s="219">
        <f t="shared" ca="1" si="106"/>
        <v>55220</v>
      </c>
      <c r="T1657" s="115" t="e">
        <f ca="1"/>
        <v>#VALUE!</v>
      </c>
      <c r="V1657" s="219">
        <f t="shared" ca="1" si="107"/>
        <v>55220</v>
      </c>
      <c r="W1657" s="115" t="e">
        <f ca="1"/>
        <v>#VALUE!</v>
      </c>
    </row>
    <row r="1658" spans="13:23">
      <c r="M1658" s="219">
        <f t="shared" ca="1" si="104"/>
        <v>55227</v>
      </c>
      <c r="N1658" s="115" t="e">
        <f ca="1"/>
        <v>#VALUE!</v>
      </c>
      <c r="P1658" s="219">
        <f t="shared" ca="1" si="105"/>
        <v>55227</v>
      </c>
      <c r="Q1658" s="115" t="e">
        <f ca="1"/>
        <v>#VALUE!</v>
      </c>
      <c r="S1658" s="219">
        <f t="shared" ca="1" si="106"/>
        <v>55227</v>
      </c>
      <c r="T1658" s="115" t="e">
        <f ca="1"/>
        <v>#VALUE!</v>
      </c>
      <c r="V1658" s="219">
        <f t="shared" ca="1" si="107"/>
        <v>55227</v>
      </c>
      <c r="W1658" s="115" t="e">
        <f ca="1"/>
        <v>#VALUE!</v>
      </c>
    </row>
    <row r="1659" spans="13:23">
      <c r="M1659" s="219">
        <f t="shared" ca="1" si="104"/>
        <v>55234</v>
      </c>
      <c r="N1659" s="115" t="e">
        <f ca="1"/>
        <v>#VALUE!</v>
      </c>
      <c r="P1659" s="219">
        <f t="shared" ca="1" si="105"/>
        <v>55234</v>
      </c>
      <c r="Q1659" s="115" t="e">
        <f ca="1"/>
        <v>#VALUE!</v>
      </c>
      <c r="S1659" s="219">
        <f t="shared" ca="1" si="106"/>
        <v>55234</v>
      </c>
      <c r="T1659" s="115" t="e">
        <f ca="1"/>
        <v>#VALUE!</v>
      </c>
      <c r="V1659" s="219">
        <f t="shared" ca="1" si="107"/>
        <v>55234</v>
      </c>
      <c r="W1659" s="115" t="e">
        <f ca="1"/>
        <v>#VALUE!</v>
      </c>
    </row>
    <row r="1660" spans="13:23">
      <c r="M1660" s="219">
        <f t="shared" ca="1" si="104"/>
        <v>55241</v>
      </c>
      <c r="N1660" s="115" t="e">
        <f ca="1"/>
        <v>#VALUE!</v>
      </c>
      <c r="P1660" s="219">
        <f t="shared" ca="1" si="105"/>
        <v>55241</v>
      </c>
      <c r="Q1660" s="115" t="e">
        <f ca="1"/>
        <v>#VALUE!</v>
      </c>
      <c r="S1660" s="219">
        <f t="shared" ca="1" si="106"/>
        <v>55241</v>
      </c>
      <c r="T1660" s="115" t="e">
        <f ca="1"/>
        <v>#VALUE!</v>
      </c>
      <c r="V1660" s="219">
        <f t="shared" ca="1" si="107"/>
        <v>55241</v>
      </c>
      <c r="W1660" s="115" t="e">
        <f ca="1"/>
        <v>#VALUE!</v>
      </c>
    </row>
    <row r="1661" spans="13:23">
      <c r="M1661" s="219">
        <f t="shared" ca="1" si="104"/>
        <v>55248</v>
      </c>
      <c r="N1661" s="115" t="e">
        <f ca="1"/>
        <v>#VALUE!</v>
      </c>
      <c r="P1661" s="219">
        <f t="shared" ca="1" si="105"/>
        <v>55248</v>
      </c>
      <c r="Q1661" s="115" t="e">
        <f ca="1"/>
        <v>#VALUE!</v>
      </c>
      <c r="S1661" s="219">
        <f t="shared" ca="1" si="106"/>
        <v>55248</v>
      </c>
      <c r="T1661" s="115" t="e">
        <f ca="1"/>
        <v>#VALUE!</v>
      </c>
      <c r="V1661" s="219">
        <f t="shared" ca="1" si="107"/>
        <v>55248</v>
      </c>
      <c r="W1661" s="115" t="e">
        <f ca="1"/>
        <v>#VALUE!</v>
      </c>
    </row>
    <row r="1662" spans="13:23">
      <c r="M1662" s="219">
        <f t="shared" ca="1" si="104"/>
        <v>55255</v>
      </c>
      <c r="N1662" s="115" t="e">
        <f ca="1"/>
        <v>#VALUE!</v>
      </c>
      <c r="P1662" s="219">
        <f t="shared" ca="1" si="105"/>
        <v>55255</v>
      </c>
      <c r="Q1662" s="115" t="e">
        <f ca="1"/>
        <v>#VALUE!</v>
      </c>
      <c r="S1662" s="219">
        <f t="shared" ca="1" si="106"/>
        <v>55255</v>
      </c>
      <c r="T1662" s="115" t="e">
        <f ca="1"/>
        <v>#VALUE!</v>
      </c>
      <c r="V1662" s="219">
        <f t="shared" ca="1" si="107"/>
        <v>55255</v>
      </c>
      <c r="W1662" s="115" t="e">
        <f ca="1"/>
        <v>#VALUE!</v>
      </c>
    </row>
    <row r="1663" spans="13:23">
      <c r="M1663" s="219">
        <f t="shared" ca="1" si="104"/>
        <v>55262</v>
      </c>
      <c r="N1663" s="115" t="e">
        <f ca="1"/>
        <v>#VALUE!</v>
      </c>
      <c r="P1663" s="219">
        <f t="shared" ca="1" si="105"/>
        <v>55262</v>
      </c>
      <c r="Q1663" s="115" t="e">
        <f ca="1"/>
        <v>#VALUE!</v>
      </c>
      <c r="S1663" s="219">
        <f t="shared" ca="1" si="106"/>
        <v>55262</v>
      </c>
      <c r="T1663" s="115" t="e">
        <f ca="1"/>
        <v>#VALUE!</v>
      </c>
      <c r="V1663" s="219">
        <f t="shared" ca="1" si="107"/>
        <v>55262</v>
      </c>
      <c r="W1663" s="115" t="e">
        <f ca="1"/>
        <v>#VALUE!</v>
      </c>
    </row>
    <row r="1664" spans="13:23">
      <c r="M1664" s="219">
        <f t="shared" ca="1" si="104"/>
        <v>55269</v>
      </c>
      <c r="N1664" s="115" t="e">
        <f ca="1"/>
        <v>#VALUE!</v>
      </c>
      <c r="P1664" s="219">
        <f t="shared" ca="1" si="105"/>
        <v>55269</v>
      </c>
      <c r="Q1664" s="115" t="e">
        <f ca="1"/>
        <v>#VALUE!</v>
      </c>
      <c r="S1664" s="219">
        <f t="shared" ca="1" si="106"/>
        <v>55269</v>
      </c>
      <c r="T1664" s="115" t="e">
        <f ca="1"/>
        <v>#VALUE!</v>
      </c>
      <c r="V1664" s="219">
        <f t="shared" ca="1" si="107"/>
        <v>55269</v>
      </c>
      <c r="W1664" s="115" t="e">
        <f ca="1"/>
        <v>#VALUE!</v>
      </c>
    </row>
    <row r="1665" spans="13:23">
      <c r="M1665" s="219">
        <f t="shared" ca="1" si="104"/>
        <v>55276</v>
      </c>
      <c r="N1665" s="115" t="e">
        <f ca="1"/>
        <v>#VALUE!</v>
      </c>
      <c r="P1665" s="219">
        <f t="shared" ca="1" si="105"/>
        <v>55276</v>
      </c>
      <c r="Q1665" s="115" t="e">
        <f ca="1"/>
        <v>#VALUE!</v>
      </c>
      <c r="S1665" s="219">
        <f t="shared" ca="1" si="106"/>
        <v>55276</v>
      </c>
      <c r="T1665" s="115" t="e">
        <f ca="1"/>
        <v>#VALUE!</v>
      </c>
      <c r="V1665" s="219">
        <f t="shared" ca="1" si="107"/>
        <v>55276</v>
      </c>
      <c r="W1665" s="115" t="e">
        <f ca="1"/>
        <v>#VALUE!</v>
      </c>
    </row>
    <row r="1666" spans="13:23">
      <c r="M1666" s="219">
        <f t="shared" ca="1" si="104"/>
        <v>55283</v>
      </c>
      <c r="N1666" s="115" t="e">
        <f ca="1"/>
        <v>#VALUE!</v>
      </c>
      <c r="P1666" s="219">
        <f t="shared" ca="1" si="105"/>
        <v>55283</v>
      </c>
      <c r="Q1666" s="115" t="e">
        <f ca="1"/>
        <v>#VALUE!</v>
      </c>
      <c r="S1666" s="219">
        <f t="shared" ca="1" si="106"/>
        <v>55283</v>
      </c>
      <c r="T1666" s="115" t="e">
        <f ca="1"/>
        <v>#VALUE!</v>
      </c>
      <c r="V1666" s="219">
        <f t="shared" ca="1" si="107"/>
        <v>55283</v>
      </c>
      <c r="W1666" s="115" t="e">
        <f ca="1"/>
        <v>#VALUE!</v>
      </c>
    </row>
    <row r="1667" spans="13:23">
      <c r="M1667" s="219">
        <f t="shared" ca="1" si="104"/>
        <v>55290</v>
      </c>
      <c r="N1667" s="115" t="e">
        <f ca="1"/>
        <v>#VALUE!</v>
      </c>
      <c r="P1667" s="219">
        <f t="shared" ca="1" si="105"/>
        <v>55290</v>
      </c>
      <c r="Q1667" s="115" t="e">
        <f ca="1"/>
        <v>#VALUE!</v>
      </c>
      <c r="S1667" s="219">
        <f t="shared" ca="1" si="106"/>
        <v>55290</v>
      </c>
      <c r="T1667" s="115" t="e">
        <f ca="1"/>
        <v>#VALUE!</v>
      </c>
      <c r="V1667" s="219">
        <f t="shared" ca="1" si="107"/>
        <v>55290</v>
      </c>
      <c r="W1667" s="115" t="e">
        <f ca="1"/>
        <v>#VALUE!</v>
      </c>
    </row>
    <row r="1668" spans="13:23">
      <c r="M1668" s="219">
        <f t="shared" ca="1" si="104"/>
        <v>55297</v>
      </c>
      <c r="N1668" s="115" t="e">
        <f ca="1"/>
        <v>#VALUE!</v>
      </c>
      <c r="P1668" s="219">
        <f t="shared" ca="1" si="105"/>
        <v>55297</v>
      </c>
      <c r="Q1668" s="115" t="e">
        <f ca="1"/>
        <v>#VALUE!</v>
      </c>
      <c r="S1668" s="219">
        <f t="shared" ca="1" si="106"/>
        <v>55297</v>
      </c>
      <c r="T1668" s="115" t="e">
        <f ca="1"/>
        <v>#VALUE!</v>
      </c>
      <c r="V1668" s="219">
        <f t="shared" ca="1" si="107"/>
        <v>55297</v>
      </c>
      <c r="W1668" s="115" t="e">
        <f ca="1"/>
        <v>#VALUE!</v>
      </c>
    </row>
    <row r="1669" spans="13:23">
      <c r="M1669" s="219">
        <f t="shared" ca="1" si="104"/>
        <v>55304</v>
      </c>
      <c r="N1669" s="115" t="e">
        <f ca="1"/>
        <v>#VALUE!</v>
      </c>
      <c r="P1669" s="219">
        <f t="shared" ca="1" si="105"/>
        <v>55304</v>
      </c>
      <c r="Q1669" s="115" t="e">
        <f ca="1"/>
        <v>#VALUE!</v>
      </c>
      <c r="S1669" s="219">
        <f t="shared" ca="1" si="106"/>
        <v>55304</v>
      </c>
      <c r="T1669" s="115" t="e">
        <f ca="1"/>
        <v>#VALUE!</v>
      </c>
      <c r="V1669" s="219">
        <f t="shared" ca="1" si="107"/>
        <v>55304</v>
      </c>
      <c r="W1669" s="115" t="e">
        <f ca="1"/>
        <v>#VALUE!</v>
      </c>
    </row>
    <row r="1670" spans="13:23">
      <c r="M1670" s="219">
        <f t="shared" ca="1" si="104"/>
        <v>55311</v>
      </c>
      <c r="N1670" s="115" t="e">
        <f ca="1"/>
        <v>#VALUE!</v>
      </c>
      <c r="P1670" s="219">
        <f t="shared" ca="1" si="105"/>
        <v>55311</v>
      </c>
      <c r="Q1670" s="115" t="e">
        <f ca="1"/>
        <v>#VALUE!</v>
      </c>
      <c r="S1670" s="219">
        <f t="shared" ca="1" si="106"/>
        <v>55311</v>
      </c>
      <c r="T1670" s="115" t="e">
        <f ca="1"/>
        <v>#VALUE!</v>
      </c>
      <c r="V1670" s="219">
        <f t="shared" ca="1" si="107"/>
        <v>55311</v>
      </c>
      <c r="W1670" s="115" t="e">
        <f ca="1"/>
        <v>#VALUE!</v>
      </c>
    </row>
    <row r="1671" spans="13:23">
      <c r="M1671" s="219">
        <f t="shared" ca="1" si="104"/>
        <v>55318</v>
      </c>
      <c r="N1671" s="115" t="e">
        <f ca="1"/>
        <v>#VALUE!</v>
      </c>
      <c r="P1671" s="219">
        <f t="shared" ca="1" si="105"/>
        <v>55318</v>
      </c>
      <c r="Q1671" s="115" t="e">
        <f ca="1"/>
        <v>#VALUE!</v>
      </c>
      <c r="S1671" s="219">
        <f t="shared" ca="1" si="106"/>
        <v>55318</v>
      </c>
      <c r="T1671" s="115" t="e">
        <f ca="1"/>
        <v>#VALUE!</v>
      </c>
      <c r="V1671" s="219">
        <f t="shared" ca="1" si="107"/>
        <v>55318</v>
      </c>
      <c r="W1671" s="115" t="e">
        <f ca="1"/>
        <v>#VALUE!</v>
      </c>
    </row>
    <row r="1672" spans="13:23">
      <c r="M1672" s="219">
        <f t="shared" ca="1" si="104"/>
        <v>55325</v>
      </c>
      <c r="N1672" s="115" t="e">
        <f ca="1"/>
        <v>#VALUE!</v>
      </c>
      <c r="P1672" s="219">
        <f t="shared" ca="1" si="105"/>
        <v>55325</v>
      </c>
      <c r="Q1672" s="115" t="e">
        <f ca="1"/>
        <v>#VALUE!</v>
      </c>
      <c r="S1672" s="219">
        <f t="shared" ca="1" si="106"/>
        <v>55325</v>
      </c>
      <c r="T1672" s="115" t="e">
        <f ca="1"/>
        <v>#VALUE!</v>
      </c>
      <c r="V1672" s="219">
        <f t="shared" ca="1" si="107"/>
        <v>55325</v>
      </c>
      <c r="W1672" s="115" t="e">
        <f ca="1"/>
        <v>#VALUE!</v>
      </c>
    </row>
    <row r="1673" spans="13:23">
      <c r="M1673" s="219">
        <f t="shared" ca="1" si="104"/>
        <v>55332</v>
      </c>
      <c r="N1673" s="115" t="e">
        <f ca="1"/>
        <v>#VALUE!</v>
      </c>
      <c r="P1673" s="219">
        <f t="shared" ca="1" si="105"/>
        <v>55332</v>
      </c>
      <c r="Q1673" s="115" t="e">
        <f ca="1"/>
        <v>#VALUE!</v>
      </c>
      <c r="S1673" s="219">
        <f t="shared" ca="1" si="106"/>
        <v>55332</v>
      </c>
      <c r="T1673" s="115" t="e">
        <f ca="1"/>
        <v>#VALUE!</v>
      </c>
      <c r="V1673" s="219">
        <f t="shared" ca="1" si="107"/>
        <v>55332</v>
      </c>
      <c r="W1673" s="115" t="e">
        <f ca="1"/>
        <v>#VALUE!</v>
      </c>
    </row>
    <row r="1674" spans="13:23">
      <c r="M1674" s="219">
        <f t="shared" ca="1" si="104"/>
        <v>55339</v>
      </c>
      <c r="N1674" s="115" t="e">
        <f ca="1"/>
        <v>#VALUE!</v>
      </c>
      <c r="P1674" s="219">
        <f t="shared" ca="1" si="105"/>
        <v>55339</v>
      </c>
      <c r="Q1674" s="115" t="e">
        <f ca="1"/>
        <v>#VALUE!</v>
      </c>
      <c r="S1674" s="219">
        <f t="shared" ca="1" si="106"/>
        <v>55339</v>
      </c>
      <c r="T1674" s="115" t="e">
        <f ca="1"/>
        <v>#VALUE!</v>
      </c>
      <c r="V1674" s="219">
        <f t="shared" ca="1" si="107"/>
        <v>55339</v>
      </c>
      <c r="W1674" s="115" t="e">
        <f ca="1"/>
        <v>#VALUE!</v>
      </c>
    </row>
    <row r="1675" spans="13:23">
      <c r="M1675" s="219">
        <f t="shared" ca="1" si="104"/>
        <v>55346</v>
      </c>
      <c r="N1675" s="115" t="e">
        <f ca="1"/>
        <v>#VALUE!</v>
      </c>
      <c r="P1675" s="219">
        <f t="shared" ca="1" si="105"/>
        <v>55346</v>
      </c>
      <c r="Q1675" s="115" t="e">
        <f ca="1"/>
        <v>#VALUE!</v>
      </c>
      <c r="S1675" s="219">
        <f t="shared" ca="1" si="106"/>
        <v>55346</v>
      </c>
      <c r="T1675" s="115" t="e">
        <f ca="1"/>
        <v>#VALUE!</v>
      </c>
      <c r="V1675" s="219">
        <f t="shared" ca="1" si="107"/>
        <v>55346</v>
      </c>
      <c r="W1675" s="115" t="e">
        <f ca="1"/>
        <v>#VALUE!</v>
      </c>
    </row>
    <row r="1676" spans="13:23">
      <c r="M1676" s="219">
        <f t="shared" ca="1" si="104"/>
        <v>55353</v>
      </c>
      <c r="N1676" s="115" t="e">
        <f ca="1"/>
        <v>#VALUE!</v>
      </c>
      <c r="P1676" s="219">
        <f t="shared" ca="1" si="105"/>
        <v>55353</v>
      </c>
      <c r="Q1676" s="115" t="e">
        <f ca="1"/>
        <v>#VALUE!</v>
      </c>
      <c r="S1676" s="219">
        <f t="shared" ca="1" si="106"/>
        <v>55353</v>
      </c>
      <c r="T1676" s="115" t="e">
        <f ca="1"/>
        <v>#VALUE!</v>
      </c>
      <c r="V1676" s="219">
        <f t="shared" ca="1" si="107"/>
        <v>55353</v>
      </c>
      <c r="W1676" s="115" t="e">
        <f ca="1"/>
        <v>#VALUE!</v>
      </c>
    </row>
    <row r="1677" spans="13:23">
      <c r="M1677" s="219">
        <f t="shared" ref="M1677:M1740" ca="1" si="108">M1676+7</f>
        <v>55360</v>
      </c>
      <c r="N1677" s="115" t="e">
        <f ca="1"/>
        <v>#VALUE!</v>
      </c>
      <c r="P1677" s="219">
        <f t="shared" ca="1" si="105"/>
        <v>55360</v>
      </c>
      <c r="Q1677" s="115" t="e">
        <f ca="1"/>
        <v>#VALUE!</v>
      </c>
      <c r="S1677" s="219">
        <f t="shared" ca="1" si="106"/>
        <v>55360</v>
      </c>
      <c r="T1677" s="115" t="e">
        <f ca="1"/>
        <v>#VALUE!</v>
      </c>
      <c r="V1677" s="219">
        <f t="shared" ca="1" si="107"/>
        <v>55360</v>
      </c>
      <c r="W1677" s="115" t="e">
        <f ca="1"/>
        <v>#VALUE!</v>
      </c>
    </row>
    <row r="1678" spans="13:23">
      <c r="M1678" s="219">
        <f t="shared" ca="1" si="108"/>
        <v>55367</v>
      </c>
      <c r="N1678" s="115" t="e">
        <f ca="1"/>
        <v>#VALUE!</v>
      </c>
      <c r="P1678" s="219">
        <f t="shared" ca="1" si="105"/>
        <v>55367</v>
      </c>
      <c r="Q1678" s="115" t="e">
        <f ca="1"/>
        <v>#VALUE!</v>
      </c>
      <c r="S1678" s="219">
        <f t="shared" ca="1" si="106"/>
        <v>55367</v>
      </c>
      <c r="T1678" s="115" t="e">
        <f ca="1"/>
        <v>#VALUE!</v>
      </c>
      <c r="V1678" s="219">
        <f t="shared" ca="1" si="107"/>
        <v>55367</v>
      </c>
      <c r="W1678" s="115" t="e">
        <f ca="1"/>
        <v>#VALUE!</v>
      </c>
    </row>
    <row r="1679" spans="13:23">
      <c r="M1679" s="219">
        <f t="shared" ca="1" si="108"/>
        <v>55374</v>
      </c>
      <c r="N1679" s="115" t="e">
        <f ca="1"/>
        <v>#VALUE!</v>
      </c>
      <c r="P1679" s="219">
        <f t="shared" ca="1" si="105"/>
        <v>55374</v>
      </c>
      <c r="Q1679" s="115" t="e">
        <f ca="1"/>
        <v>#VALUE!</v>
      </c>
      <c r="S1679" s="219">
        <f t="shared" ca="1" si="106"/>
        <v>55374</v>
      </c>
      <c r="T1679" s="115" t="e">
        <f ca="1"/>
        <v>#VALUE!</v>
      </c>
      <c r="V1679" s="219">
        <f t="shared" ca="1" si="107"/>
        <v>55374</v>
      </c>
      <c r="W1679" s="115" t="e">
        <f ca="1"/>
        <v>#VALUE!</v>
      </c>
    </row>
    <row r="1680" spans="13:23">
      <c r="M1680" s="219">
        <f t="shared" ca="1" si="108"/>
        <v>55381</v>
      </c>
      <c r="N1680" s="115" t="e">
        <f ca="1"/>
        <v>#VALUE!</v>
      </c>
      <c r="P1680" s="219">
        <f t="shared" ca="1" si="105"/>
        <v>55381</v>
      </c>
      <c r="Q1680" s="115" t="e">
        <f ca="1"/>
        <v>#VALUE!</v>
      </c>
      <c r="S1680" s="219">
        <f t="shared" ca="1" si="106"/>
        <v>55381</v>
      </c>
      <c r="T1680" s="115" t="e">
        <f ca="1"/>
        <v>#VALUE!</v>
      </c>
      <c r="V1680" s="219">
        <f t="shared" ca="1" si="107"/>
        <v>55381</v>
      </c>
      <c r="W1680" s="115" t="e">
        <f ca="1"/>
        <v>#VALUE!</v>
      </c>
    </row>
    <row r="1681" spans="13:23">
      <c r="M1681" s="219">
        <f t="shared" ca="1" si="108"/>
        <v>55388</v>
      </c>
      <c r="N1681" s="115" t="e">
        <f ca="1"/>
        <v>#VALUE!</v>
      </c>
      <c r="P1681" s="219">
        <f t="shared" ca="1" si="105"/>
        <v>55388</v>
      </c>
      <c r="Q1681" s="115" t="e">
        <f ca="1"/>
        <v>#VALUE!</v>
      </c>
      <c r="S1681" s="219">
        <f t="shared" ca="1" si="106"/>
        <v>55388</v>
      </c>
      <c r="T1681" s="115" t="e">
        <f ca="1"/>
        <v>#VALUE!</v>
      </c>
      <c r="V1681" s="219">
        <f t="shared" ca="1" si="107"/>
        <v>55388</v>
      </c>
      <c r="W1681" s="115" t="e">
        <f ca="1"/>
        <v>#VALUE!</v>
      </c>
    </row>
    <row r="1682" spans="13:23">
      <c r="M1682" s="219">
        <f t="shared" ca="1" si="108"/>
        <v>55395</v>
      </c>
      <c r="N1682" s="115" t="e">
        <f ca="1"/>
        <v>#VALUE!</v>
      </c>
      <c r="P1682" s="219">
        <f t="shared" ca="1" si="105"/>
        <v>55395</v>
      </c>
      <c r="Q1682" s="115" t="e">
        <f ca="1"/>
        <v>#VALUE!</v>
      </c>
      <c r="S1682" s="219">
        <f t="shared" ca="1" si="106"/>
        <v>55395</v>
      </c>
      <c r="T1682" s="115" t="e">
        <f ca="1"/>
        <v>#VALUE!</v>
      </c>
      <c r="V1682" s="219">
        <f t="shared" ca="1" si="107"/>
        <v>55395</v>
      </c>
      <c r="W1682" s="115" t="e">
        <f ca="1"/>
        <v>#VALUE!</v>
      </c>
    </row>
    <row r="1683" spans="13:23">
      <c r="M1683" s="219">
        <f t="shared" ca="1" si="108"/>
        <v>55402</v>
      </c>
      <c r="N1683" s="115" t="e">
        <f ca="1"/>
        <v>#VALUE!</v>
      </c>
      <c r="P1683" s="219">
        <f t="shared" ca="1" si="105"/>
        <v>55402</v>
      </c>
      <c r="Q1683" s="115" t="e">
        <f ca="1"/>
        <v>#VALUE!</v>
      </c>
      <c r="S1683" s="219">
        <f t="shared" ca="1" si="106"/>
        <v>55402</v>
      </c>
      <c r="T1683" s="115" t="e">
        <f ca="1"/>
        <v>#VALUE!</v>
      </c>
      <c r="V1683" s="219">
        <f t="shared" ca="1" si="107"/>
        <v>55402</v>
      </c>
      <c r="W1683" s="115" t="e">
        <f ca="1"/>
        <v>#VALUE!</v>
      </c>
    </row>
    <row r="1684" spans="13:23">
      <c r="M1684" s="219">
        <f t="shared" ca="1" si="108"/>
        <v>55409</v>
      </c>
      <c r="N1684" s="115" t="e">
        <f ca="1"/>
        <v>#VALUE!</v>
      </c>
      <c r="P1684" s="219">
        <f t="shared" ca="1" si="105"/>
        <v>55409</v>
      </c>
      <c r="Q1684" s="115" t="e">
        <f ca="1"/>
        <v>#VALUE!</v>
      </c>
      <c r="S1684" s="219">
        <f t="shared" ca="1" si="106"/>
        <v>55409</v>
      </c>
      <c r="T1684" s="115" t="e">
        <f ca="1"/>
        <v>#VALUE!</v>
      </c>
      <c r="V1684" s="219">
        <f t="shared" ca="1" si="107"/>
        <v>55409</v>
      </c>
      <c r="W1684" s="115" t="e">
        <f ca="1"/>
        <v>#VALUE!</v>
      </c>
    </row>
    <row r="1685" spans="13:23">
      <c r="M1685" s="219">
        <f t="shared" ca="1" si="108"/>
        <v>55416</v>
      </c>
      <c r="N1685" s="115" t="e">
        <f ca="1"/>
        <v>#VALUE!</v>
      </c>
      <c r="P1685" s="219">
        <f t="shared" ca="1" si="105"/>
        <v>55416</v>
      </c>
      <c r="Q1685" s="115" t="e">
        <f ca="1"/>
        <v>#VALUE!</v>
      </c>
      <c r="S1685" s="219">
        <f t="shared" ca="1" si="106"/>
        <v>55416</v>
      </c>
      <c r="T1685" s="115" t="e">
        <f ca="1"/>
        <v>#VALUE!</v>
      </c>
      <c r="V1685" s="219">
        <f t="shared" ca="1" si="107"/>
        <v>55416</v>
      </c>
      <c r="W1685" s="115" t="e">
        <f ca="1"/>
        <v>#VALUE!</v>
      </c>
    </row>
    <row r="1686" spans="13:23">
      <c r="M1686" s="219">
        <f t="shared" ca="1" si="108"/>
        <v>55423</v>
      </c>
      <c r="N1686" s="115" t="e">
        <f ca="1"/>
        <v>#VALUE!</v>
      </c>
      <c r="P1686" s="219">
        <f t="shared" ca="1" si="105"/>
        <v>55423</v>
      </c>
      <c r="Q1686" s="115" t="e">
        <f ca="1"/>
        <v>#VALUE!</v>
      </c>
      <c r="S1686" s="219">
        <f t="shared" ca="1" si="106"/>
        <v>55423</v>
      </c>
      <c r="T1686" s="115" t="e">
        <f ca="1"/>
        <v>#VALUE!</v>
      </c>
      <c r="V1686" s="219">
        <f t="shared" ca="1" si="107"/>
        <v>55423</v>
      </c>
      <c r="W1686" s="115" t="e">
        <f ca="1"/>
        <v>#VALUE!</v>
      </c>
    </row>
    <row r="1687" spans="13:23">
      <c r="M1687" s="219">
        <f t="shared" ca="1" si="108"/>
        <v>55430</v>
      </c>
      <c r="N1687" s="115" t="e">
        <f ca="1"/>
        <v>#VALUE!</v>
      </c>
      <c r="P1687" s="219">
        <f t="shared" ca="1" si="105"/>
        <v>55430</v>
      </c>
      <c r="Q1687" s="115" t="e">
        <f ca="1"/>
        <v>#VALUE!</v>
      </c>
      <c r="S1687" s="219">
        <f t="shared" ca="1" si="106"/>
        <v>55430</v>
      </c>
      <c r="T1687" s="115" t="e">
        <f ca="1"/>
        <v>#VALUE!</v>
      </c>
      <c r="V1687" s="219">
        <f t="shared" ca="1" si="107"/>
        <v>55430</v>
      </c>
      <c r="W1687" s="115" t="e">
        <f ca="1"/>
        <v>#VALUE!</v>
      </c>
    </row>
    <row r="1688" spans="13:23">
      <c r="M1688" s="219">
        <f t="shared" ca="1" si="108"/>
        <v>55437</v>
      </c>
      <c r="N1688" s="115" t="e">
        <f ca="1"/>
        <v>#VALUE!</v>
      </c>
      <c r="P1688" s="219">
        <f t="shared" ca="1" si="105"/>
        <v>55437</v>
      </c>
      <c r="Q1688" s="115" t="e">
        <f ca="1"/>
        <v>#VALUE!</v>
      </c>
      <c r="S1688" s="219">
        <f t="shared" ca="1" si="106"/>
        <v>55437</v>
      </c>
      <c r="T1688" s="115" t="e">
        <f ca="1"/>
        <v>#VALUE!</v>
      </c>
      <c r="V1688" s="219">
        <f t="shared" ca="1" si="107"/>
        <v>55437</v>
      </c>
      <c r="W1688" s="115" t="e">
        <f ca="1"/>
        <v>#VALUE!</v>
      </c>
    </row>
    <row r="1689" spans="13:23">
      <c r="M1689" s="219">
        <f t="shared" ca="1" si="108"/>
        <v>55444</v>
      </c>
      <c r="N1689" s="115" t="e">
        <f ca="1"/>
        <v>#VALUE!</v>
      </c>
      <c r="P1689" s="219">
        <f t="shared" ca="1" si="105"/>
        <v>55444</v>
      </c>
      <c r="Q1689" s="115" t="e">
        <f ca="1"/>
        <v>#VALUE!</v>
      </c>
      <c r="S1689" s="219">
        <f t="shared" ca="1" si="106"/>
        <v>55444</v>
      </c>
      <c r="T1689" s="115" t="e">
        <f ca="1"/>
        <v>#VALUE!</v>
      </c>
      <c r="V1689" s="219">
        <f t="shared" ca="1" si="107"/>
        <v>55444</v>
      </c>
      <c r="W1689" s="115" t="e">
        <f ca="1"/>
        <v>#VALUE!</v>
      </c>
    </row>
    <row r="1690" spans="13:23">
      <c r="M1690" s="219">
        <f t="shared" ca="1" si="108"/>
        <v>55451</v>
      </c>
      <c r="N1690" s="115" t="e">
        <f ca="1"/>
        <v>#VALUE!</v>
      </c>
      <c r="P1690" s="219">
        <f t="shared" ca="1" si="105"/>
        <v>55451</v>
      </c>
      <c r="Q1690" s="115" t="e">
        <f ca="1"/>
        <v>#VALUE!</v>
      </c>
      <c r="S1690" s="219">
        <f t="shared" ca="1" si="106"/>
        <v>55451</v>
      </c>
      <c r="T1690" s="115" t="e">
        <f ca="1"/>
        <v>#VALUE!</v>
      </c>
      <c r="V1690" s="219">
        <f t="shared" ca="1" si="107"/>
        <v>55451</v>
      </c>
      <c r="W1690" s="115" t="e">
        <f ca="1"/>
        <v>#VALUE!</v>
      </c>
    </row>
    <row r="1691" spans="13:23">
      <c r="M1691" s="219">
        <f t="shared" ca="1" si="108"/>
        <v>55458</v>
      </c>
      <c r="N1691" s="115" t="e">
        <f ca="1"/>
        <v>#VALUE!</v>
      </c>
      <c r="P1691" s="219">
        <f t="shared" ca="1" si="105"/>
        <v>55458</v>
      </c>
      <c r="Q1691" s="115" t="e">
        <f ca="1"/>
        <v>#VALUE!</v>
      </c>
      <c r="S1691" s="219">
        <f t="shared" ca="1" si="106"/>
        <v>55458</v>
      </c>
      <c r="T1691" s="115" t="e">
        <f ca="1"/>
        <v>#VALUE!</v>
      </c>
      <c r="V1691" s="219">
        <f t="shared" ca="1" si="107"/>
        <v>55458</v>
      </c>
      <c r="W1691" s="115" t="e">
        <f ca="1"/>
        <v>#VALUE!</v>
      </c>
    </row>
    <row r="1692" spans="13:23">
      <c r="M1692" s="219">
        <f t="shared" ca="1" si="108"/>
        <v>55465</v>
      </c>
      <c r="N1692" s="115" t="e">
        <f ca="1"/>
        <v>#VALUE!</v>
      </c>
      <c r="P1692" s="219">
        <f t="shared" ca="1" si="105"/>
        <v>55465</v>
      </c>
      <c r="Q1692" s="115" t="e">
        <f ca="1"/>
        <v>#VALUE!</v>
      </c>
      <c r="S1692" s="219">
        <f t="shared" ca="1" si="106"/>
        <v>55465</v>
      </c>
      <c r="T1692" s="115" t="e">
        <f ca="1"/>
        <v>#VALUE!</v>
      </c>
      <c r="V1692" s="219">
        <f t="shared" ca="1" si="107"/>
        <v>55465</v>
      </c>
      <c r="W1692" s="115" t="e">
        <f ca="1"/>
        <v>#VALUE!</v>
      </c>
    </row>
    <row r="1693" spans="13:23">
      <c r="M1693" s="219">
        <f t="shared" ca="1" si="108"/>
        <v>55472</v>
      </c>
      <c r="N1693" s="115" t="e">
        <f ca="1"/>
        <v>#VALUE!</v>
      </c>
      <c r="P1693" s="219">
        <f t="shared" ref="P1693:P1756" ca="1" si="109">P1692+7</f>
        <v>55472</v>
      </c>
      <c r="Q1693" s="115" t="e">
        <f ca="1"/>
        <v>#VALUE!</v>
      </c>
      <c r="S1693" s="219">
        <f t="shared" ref="S1693:S1756" ca="1" si="110">S1692+7</f>
        <v>55472</v>
      </c>
      <c r="T1693" s="115" t="e">
        <f ca="1"/>
        <v>#VALUE!</v>
      </c>
      <c r="V1693" s="219">
        <f t="shared" ref="V1693:V1756" ca="1" si="111">V1692+7</f>
        <v>55472</v>
      </c>
      <c r="W1693" s="115" t="e">
        <f ca="1"/>
        <v>#VALUE!</v>
      </c>
    </row>
    <row r="1694" spans="13:23">
      <c r="M1694" s="219">
        <f t="shared" ca="1" si="108"/>
        <v>55479</v>
      </c>
      <c r="N1694" s="115" t="e">
        <f ca="1"/>
        <v>#VALUE!</v>
      </c>
      <c r="P1694" s="219">
        <f t="shared" ca="1" si="109"/>
        <v>55479</v>
      </c>
      <c r="Q1694" s="115" t="e">
        <f ca="1"/>
        <v>#VALUE!</v>
      </c>
      <c r="S1694" s="219">
        <f t="shared" ca="1" si="110"/>
        <v>55479</v>
      </c>
      <c r="T1694" s="115" t="e">
        <f ca="1"/>
        <v>#VALUE!</v>
      </c>
      <c r="V1694" s="219">
        <f t="shared" ca="1" si="111"/>
        <v>55479</v>
      </c>
      <c r="W1694" s="115" t="e">
        <f ca="1"/>
        <v>#VALUE!</v>
      </c>
    </row>
    <row r="1695" spans="13:23">
      <c r="M1695" s="219">
        <f t="shared" ca="1" si="108"/>
        <v>55486</v>
      </c>
      <c r="N1695" s="115" t="e">
        <f ca="1"/>
        <v>#VALUE!</v>
      </c>
      <c r="P1695" s="219">
        <f t="shared" ca="1" si="109"/>
        <v>55486</v>
      </c>
      <c r="Q1695" s="115" t="e">
        <f ca="1"/>
        <v>#VALUE!</v>
      </c>
      <c r="S1695" s="219">
        <f t="shared" ca="1" si="110"/>
        <v>55486</v>
      </c>
      <c r="T1695" s="115" t="e">
        <f ca="1"/>
        <v>#VALUE!</v>
      </c>
      <c r="V1695" s="219">
        <f t="shared" ca="1" si="111"/>
        <v>55486</v>
      </c>
      <c r="W1695" s="115" t="e">
        <f ca="1"/>
        <v>#VALUE!</v>
      </c>
    </row>
    <row r="1696" spans="13:23">
      <c r="M1696" s="219">
        <f t="shared" ca="1" si="108"/>
        <v>55493</v>
      </c>
      <c r="N1696" s="115" t="e">
        <f ca="1"/>
        <v>#VALUE!</v>
      </c>
      <c r="P1696" s="219">
        <f t="shared" ca="1" si="109"/>
        <v>55493</v>
      </c>
      <c r="Q1696" s="115" t="e">
        <f ca="1"/>
        <v>#VALUE!</v>
      </c>
      <c r="S1696" s="219">
        <f t="shared" ca="1" si="110"/>
        <v>55493</v>
      </c>
      <c r="T1696" s="115" t="e">
        <f ca="1"/>
        <v>#VALUE!</v>
      </c>
      <c r="V1696" s="219">
        <f t="shared" ca="1" si="111"/>
        <v>55493</v>
      </c>
      <c r="W1696" s="115" t="e">
        <f ca="1"/>
        <v>#VALUE!</v>
      </c>
    </row>
    <row r="1697" spans="13:23">
      <c r="M1697" s="219">
        <f t="shared" ca="1" si="108"/>
        <v>55500</v>
      </c>
      <c r="N1697" s="115" t="e">
        <f ca="1"/>
        <v>#VALUE!</v>
      </c>
      <c r="P1697" s="219">
        <f t="shared" ca="1" si="109"/>
        <v>55500</v>
      </c>
      <c r="Q1697" s="115" t="e">
        <f ca="1"/>
        <v>#VALUE!</v>
      </c>
      <c r="S1697" s="219">
        <f t="shared" ca="1" si="110"/>
        <v>55500</v>
      </c>
      <c r="T1697" s="115" t="e">
        <f ca="1"/>
        <v>#VALUE!</v>
      </c>
      <c r="V1697" s="219">
        <f t="shared" ca="1" si="111"/>
        <v>55500</v>
      </c>
      <c r="W1697" s="115" t="e">
        <f ca="1"/>
        <v>#VALUE!</v>
      </c>
    </row>
    <row r="1698" spans="13:23">
      <c r="M1698" s="219">
        <f t="shared" ca="1" si="108"/>
        <v>55507</v>
      </c>
      <c r="N1698" s="115" t="e">
        <f ca="1"/>
        <v>#VALUE!</v>
      </c>
      <c r="P1698" s="219">
        <f t="shared" ca="1" si="109"/>
        <v>55507</v>
      </c>
      <c r="Q1698" s="115" t="e">
        <f ca="1"/>
        <v>#VALUE!</v>
      </c>
      <c r="S1698" s="219">
        <f t="shared" ca="1" si="110"/>
        <v>55507</v>
      </c>
      <c r="T1698" s="115" t="e">
        <f ca="1"/>
        <v>#VALUE!</v>
      </c>
      <c r="V1698" s="219">
        <f t="shared" ca="1" si="111"/>
        <v>55507</v>
      </c>
      <c r="W1698" s="115" t="e">
        <f ca="1"/>
        <v>#VALUE!</v>
      </c>
    </row>
    <row r="1699" spans="13:23">
      <c r="M1699" s="219">
        <f t="shared" ca="1" si="108"/>
        <v>55514</v>
      </c>
      <c r="N1699" s="115" t="e">
        <f ca="1"/>
        <v>#VALUE!</v>
      </c>
      <c r="P1699" s="219">
        <f t="shared" ca="1" si="109"/>
        <v>55514</v>
      </c>
      <c r="Q1699" s="115" t="e">
        <f ca="1"/>
        <v>#VALUE!</v>
      </c>
      <c r="S1699" s="219">
        <f t="shared" ca="1" si="110"/>
        <v>55514</v>
      </c>
      <c r="T1699" s="115" t="e">
        <f ca="1"/>
        <v>#VALUE!</v>
      </c>
      <c r="V1699" s="219">
        <f t="shared" ca="1" si="111"/>
        <v>55514</v>
      </c>
      <c r="W1699" s="115" t="e">
        <f ca="1"/>
        <v>#VALUE!</v>
      </c>
    </row>
    <row r="1700" spans="13:23">
      <c r="M1700" s="219">
        <f t="shared" ca="1" si="108"/>
        <v>55521</v>
      </c>
      <c r="N1700" s="115" t="e">
        <f ca="1"/>
        <v>#VALUE!</v>
      </c>
      <c r="P1700" s="219">
        <f t="shared" ca="1" si="109"/>
        <v>55521</v>
      </c>
      <c r="Q1700" s="115" t="e">
        <f ca="1"/>
        <v>#VALUE!</v>
      </c>
      <c r="S1700" s="219">
        <f t="shared" ca="1" si="110"/>
        <v>55521</v>
      </c>
      <c r="T1700" s="115" t="e">
        <f ca="1"/>
        <v>#VALUE!</v>
      </c>
      <c r="V1700" s="219">
        <f t="shared" ca="1" si="111"/>
        <v>55521</v>
      </c>
      <c r="W1700" s="115" t="e">
        <f ca="1"/>
        <v>#VALUE!</v>
      </c>
    </row>
    <row r="1701" spans="13:23">
      <c r="M1701" s="219">
        <f t="shared" ca="1" si="108"/>
        <v>55528</v>
      </c>
      <c r="N1701" s="115" t="e">
        <f ca="1"/>
        <v>#VALUE!</v>
      </c>
      <c r="P1701" s="219">
        <f t="shared" ca="1" si="109"/>
        <v>55528</v>
      </c>
      <c r="Q1701" s="115" t="e">
        <f ca="1"/>
        <v>#VALUE!</v>
      </c>
      <c r="S1701" s="219">
        <f t="shared" ca="1" si="110"/>
        <v>55528</v>
      </c>
      <c r="T1701" s="115" t="e">
        <f ca="1"/>
        <v>#VALUE!</v>
      </c>
      <c r="V1701" s="219">
        <f t="shared" ca="1" si="111"/>
        <v>55528</v>
      </c>
      <c r="W1701" s="115" t="e">
        <f ca="1"/>
        <v>#VALUE!</v>
      </c>
    </row>
    <row r="1702" spans="13:23">
      <c r="M1702" s="219">
        <f t="shared" ca="1" si="108"/>
        <v>55535</v>
      </c>
      <c r="N1702" s="115" t="e">
        <f ca="1"/>
        <v>#VALUE!</v>
      </c>
      <c r="P1702" s="219">
        <f t="shared" ca="1" si="109"/>
        <v>55535</v>
      </c>
      <c r="Q1702" s="115" t="e">
        <f ca="1"/>
        <v>#VALUE!</v>
      </c>
      <c r="S1702" s="219">
        <f t="shared" ca="1" si="110"/>
        <v>55535</v>
      </c>
      <c r="T1702" s="115" t="e">
        <f ca="1"/>
        <v>#VALUE!</v>
      </c>
      <c r="V1702" s="219">
        <f t="shared" ca="1" si="111"/>
        <v>55535</v>
      </c>
      <c r="W1702" s="115" t="e">
        <f ca="1"/>
        <v>#VALUE!</v>
      </c>
    </row>
    <row r="1703" spans="13:23">
      <c r="M1703" s="219">
        <f t="shared" ca="1" si="108"/>
        <v>55542</v>
      </c>
      <c r="N1703" s="115" t="e">
        <f ca="1"/>
        <v>#VALUE!</v>
      </c>
      <c r="P1703" s="219">
        <f t="shared" ca="1" si="109"/>
        <v>55542</v>
      </c>
      <c r="Q1703" s="115" t="e">
        <f ca="1"/>
        <v>#VALUE!</v>
      </c>
      <c r="S1703" s="219">
        <f t="shared" ca="1" si="110"/>
        <v>55542</v>
      </c>
      <c r="T1703" s="115" t="e">
        <f ca="1"/>
        <v>#VALUE!</v>
      </c>
      <c r="V1703" s="219">
        <f t="shared" ca="1" si="111"/>
        <v>55542</v>
      </c>
      <c r="W1703" s="115" t="e">
        <f ca="1"/>
        <v>#VALUE!</v>
      </c>
    </row>
    <row r="1704" spans="13:23">
      <c r="M1704" s="219">
        <f t="shared" ca="1" si="108"/>
        <v>55549</v>
      </c>
      <c r="N1704" s="115" t="e">
        <f ca="1"/>
        <v>#VALUE!</v>
      </c>
      <c r="P1704" s="219">
        <f t="shared" ca="1" si="109"/>
        <v>55549</v>
      </c>
      <c r="Q1704" s="115" t="e">
        <f ca="1"/>
        <v>#VALUE!</v>
      </c>
      <c r="S1704" s="219">
        <f t="shared" ca="1" si="110"/>
        <v>55549</v>
      </c>
      <c r="T1704" s="115" t="e">
        <f ca="1"/>
        <v>#VALUE!</v>
      </c>
      <c r="V1704" s="219">
        <f t="shared" ca="1" si="111"/>
        <v>55549</v>
      </c>
      <c r="W1704" s="115" t="e">
        <f ca="1"/>
        <v>#VALUE!</v>
      </c>
    </row>
    <row r="1705" spans="13:23">
      <c r="M1705" s="219">
        <f t="shared" ca="1" si="108"/>
        <v>55556</v>
      </c>
      <c r="N1705" s="115" t="e">
        <f ca="1"/>
        <v>#VALUE!</v>
      </c>
      <c r="P1705" s="219">
        <f t="shared" ca="1" si="109"/>
        <v>55556</v>
      </c>
      <c r="Q1705" s="115" t="e">
        <f ca="1"/>
        <v>#VALUE!</v>
      </c>
      <c r="S1705" s="219">
        <f t="shared" ca="1" si="110"/>
        <v>55556</v>
      </c>
      <c r="T1705" s="115" t="e">
        <f ca="1"/>
        <v>#VALUE!</v>
      </c>
      <c r="V1705" s="219">
        <f t="shared" ca="1" si="111"/>
        <v>55556</v>
      </c>
      <c r="W1705" s="115" t="e">
        <f ca="1"/>
        <v>#VALUE!</v>
      </c>
    </row>
    <row r="1706" spans="13:23">
      <c r="M1706" s="219">
        <f t="shared" ca="1" si="108"/>
        <v>55563</v>
      </c>
      <c r="N1706" s="115" t="e">
        <f ca="1"/>
        <v>#VALUE!</v>
      </c>
      <c r="P1706" s="219">
        <f t="shared" ca="1" si="109"/>
        <v>55563</v>
      </c>
      <c r="Q1706" s="115" t="e">
        <f ca="1"/>
        <v>#VALUE!</v>
      </c>
      <c r="S1706" s="219">
        <f t="shared" ca="1" si="110"/>
        <v>55563</v>
      </c>
      <c r="T1706" s="115" t="e">
        <f ca="1"/>
        <v>#VALUE!</v>
      </c>
      <c r="V1706" s="219">
        <f t="shared" ca="1" si="111"/>
        <v>55563</v>
      </c>
      <c r="W1706" s="115" t="e">
        <f ca="1"/>
        <v>#VALUE!</v>
      </c>
    </row>
    <row r="1707" spans="13:23">
      <c r="M1707" s="219">
        <f t="shared" ca="1" si="108"/>
        <v>55570</v>
      </c>
      <c r="N1707" s="115" t="e">
        <f ca="1"/>
        <v>#VALUE!</v>
      </c>
      <c r="P1707" s="219">
        <f t="shared" ca="1" si="109"/>
        <v>55570</v>
      </c>
      <c r="Q1707" s="115" t="e">
        <f ca="1"/>
        <v>#VALUE!</v>
      </c>
      <c r="S1707" s="219">
        <f t="shared" ca="1" si="110"/>
        <v>55570</v>
      </c>
      <c r="T1707" s="115" t="e">
        <f ca="1"/>
        <v>#VALUE!</v>
      </c>
      <c r="V1707" s="219">
        <f t="shared" ca="1" si="111"/>
        <v>55570</v>
      </c>
      <c r="W1707" s="115" t="e">
        <f ca="1"/>
        <v>#VALUE!</v>
      </c>
    </row>
    <row r="1708" spans="13:23">
      <c r="M1708" s="219">
        <f t="shared" ca="1" si="108"/>
        <v>55577</v>
      </c>
      <c r="N1708" s="115" t="e">
        <f ca="1"/>
        <v>#VALUE!</v>
      </c>
      <c r="P1708" s="219">
        <f t="shared" ca="1" si="109"/>
        <v>55577</v>
      </c>
      <c r="Q1708" s="115" t="e">
        <f ca="1"/>
        <v>#VALUE!</v>
      </c>
      <c r="S1708" s="219">
        <f t="shared" ca="1" si="110"/>
        <v>55577</v>
      </c>
      <c r="T1708" s="115" t="e">
        <f ca="1"/>
        <v>#VALUE!</v>
      </c>
      <c r="V1708" s="219">
        <f t="shared" ca="1" si="111"/>
        <v>55577</v>
      </c>
      <c r="W1708" s="115" t="e">
        <f ca="1"/>
        <v>#VALUE!</v>
      </c>
    </row>
    <row r="1709" spans="13:23">
      <c r="M1709" s="219">
        <f t="shared" ca="1" si="108"/>
        <v>55584</v>
      </c>
      <c r="N1709" s="115" t="e">
        <f ca="1"/>
        <v>#VALUE!</v>
      </c>
      <c r="P1709" s="219">
        <f t="shared" ca="1" si="109"/>
        <v>55584</v>
      </c>
      <c r="Q1709" s="115" t="e">
        <f ca="1"/>
        <v>#VALUE!</v>
      </c>
      <c r="S1709" s="219">
        <f t="shared" ca="1" si="110"/>
        <v>55584</v>
      </c>
      <c r="T1709" s="115" t="e">
        <f ca="1"/>
        <v>#VALUE!</v>
      </c>
      <c r="V1709" s="219">
        <f t="shared" ca="1" si="111"/>
        <v>55584</v>
      </c>
      <c r="W1709" s="115" t="e">
        <f ca="1"/>
        <v>#VALUE!</v>
      </c>
    </row>
    <row r="1710" spans="13:23">
      <c r="M1710" s="219">
        <f t="shared" ca="1" si="108"/>
        <v>55591</v>
      </c>
      <c r="N1710" s="115" t="e">
        <f ca="1"/>
        <v>#VALUE!</v>
      </c>
      <c r="P1710" s="219">
        <f t="shared" ca="1" si="109"/>
        <v>55591</v>
      </c>
      <c r="Q1710" s="115" t="e">
        <f ca="1"/>
        <v>#VALUE!</v>
      </c>
      <c r="S1710" s="219">
        <f t="shared" ca="1" si="110"/>
        <v>55591</v>
      </c>
      <c r="T1710" s="115" t="e">
        <f ca="1"/>
        <v>#VALUE!</v>
      </c>
      <c r="V1710" s="219">
        <f t="shared" ca="1" si="111"/>
        <v>55591</v>
      </c>
      <c r="W1710" s="115" t="e">
        <f ca="1"/>
        <v>#VALUE!</v>
      </c>
    </row>
    <row r="1711" spans="13:23">
      <c r="M1711" s="219">
        <f t="shared" ca="1" si="108"/>
        <v>55598</v>
      </c>
      <c r="N1711" s="115" t="e">
        <f ca="1"/>
        <v>#VALUE!</v>
      </c>
      <c r="P1711" s="219">
        <f t="shared" ca="1" si="109"/>
        <v>55598</v>
      </c>
      <c r="Q1711" s="115" t="e">
        <f ca="1"/>
        <v>#VALUE!</v>
      </c>
      <c r="S1711" s="219">
        <f t="shared" ca="1" si="110"/>
        <v>55598</v>
      </c>
      <c r="T1711" s="115" t="e">
        <f ca="1"/>
        <v>#VALUE!</v>
      </c>
      <c r="V1711" s="219">
        <f t="shared" ca="1" si="111"/>
        <v>55598</v>
      </c>
      <c r="W1711" s="115" t="e">
        <f ca="1"/>
        <v>#VALUE!</v>
      </c>
    </row>
    <row r="1712" spans="13:23">
      <c r="M1712" s="219">
        <f t="shared" ca="1" si="108"/>
        <v>55605</v>
      </c>
      <c r="N1712" s="115" t="e">
        <f ca="1"/>
        <v>#VALUE!</v>
      </c>
      <c r="P1712" s="219">
        <f t="shared" ca="1" si="109"/>
        <v>55605</v>
      </c>
      <c r="Q1712" s="115" t="e">
        <f ca="1"/>
        <v>#VALUE!</v>
      </c>
      <c r="S1712" s="219">
        <f t="shared" ca="1" si="110"/>
        <v>55605</v>
      </c>
      <c r="T1712" s="115" t="e">
        <f ca="1"/>
        <v>#VALUE!</v>
      </c>
      <c r="V1712" s="219">
        <f t="shared" ca="1" si="111"/>
        <v>55605</v>
      </c>
      <c r="W1712" s="115" t="e">
        <f ca="1"/>
        <v>#VALUE!</v>
      </c>
    </row>
    <row r="1713" spans="13:23">
      <c r="M1713" s="219">
        <f t="shared" ca="1" si="108"/>
        <v>55612</v>
      </c>
      <c r="N1713" s="115" t="e">
        <f ca="1"/>
        <v>#VALUE!</v>
      </c>
      <c r="P1713" s="219">
        <f t="shared" ca="1" si="109"/>
        <v>55612</v>
      </c>
      <c r="Q1713" s="115" t="e">
        <f ca="1"/>
        <v>#VALUE!</v>
      </c>
      <c r="S1713" s="219">
        <f t="shared" ca="1" si="110"/>
        <v>55612</v>
      </c>
      <c r="T1713" s="115" t="e">
        <f ca="1"/>
        <v>#VALUE!</v>
      </c>
      <c r="V1713" s="219">
        <f t="shared" ca="1" si="111"/>
        <v>55612</v>
      </c>
      <c r="W1713" s="115" t="e">
        <f ca="1"/>
        <v>#VALUE!</v>
      </c>
    </row>
    <row r="1714" spans="13:23">
      <c r="M1714" s="219">
        <f t="shared" ca="1" si="108"/>
        <v>55619</v>
      </c>
      <c r="N1714" s="115" t="e">
        <f ca="1"/>
        <v>#VALUE!</v>
      </c>
      <c r="P1714" s="219">
        <f t="shared" ca="1" si="109"/>
        <v>55619</v>
      </c>
      <c r="Q1714" s="115" t="e">
        <f ca="1"/>
        <v>#VALUE!</v>
      </c>
      <c r="S1714" s="219">
        <f t="shared" ca="1" si="110"/>
        <v>55619</v>
      </c>
      <c r="T1714" s="115" t="e">
        <f ca="1"/>
        <v>#VALUE!</v>
      </c>
      <c r="V1714" s="219">
        <f t="shared" ca="1" si="111"/>
        <v>55619</v>
      </c>
      <c r="W1714" s="115" t="e">
        <f ca="1"/>
        <v>#VALUE!</v>
      </c>
    </row>
    <row r="1715" spans="13:23">
      <c r="M1715" s="219">
        <f t="shared" ca="1" si="108"/>
        <v>55626</v>
      </c>
      <c r="N1715" s="115" t="e">
        <f ca="1"/>
        <v>#VALUE!</v>
      </c>
      <c r="P1715" s="219">
        <f t="shared" ca="1" si="109"/>
        <v>55626</v>
      </c>
      <c r="Q1715" s="115" t="e">
        <f ca="1"/>
        <v>#VALUE!</v>
      </c>
      <c r="S1715" s="219">
        <f t="shared" ca="1" si="110"/>
        <v>55626</v>
      </c>
      <c r="T1715" s="115" t="e">
        <f ca="1"/>
        <v>#VALUE!</v>
      </c>
      <c r="V1715" s="219">
        <f t="shared" ca="1" si="111"/>
        <v>55626</v>
      </c>
      <c r="W1715" s="115" t="e">
        <f ca="1"/>
        <v>#VALUE!</v>
      </c>
    </row>
    <row r="1716" spans="13:23">
      <c r="M1716" s="219">
        <f t="shared" ca="1" si="108"/>
        <v>55633</v>
      </c>
      <c r="N1716" s="115" t="e">
        <f ca="1"/>
        <v>#VALUE!</v>
      </c>
      <c r="P1716" s="219">
        <f t="shared" ca="1" si="109"/>
        <v>55633</v>
      </c>
      <c r="Q1716" s="115" t="e">
        <f ca="1"/>
        <v>#VALUE!</v>
      </c>
      <c r="S1716" s="219">
        <f t="shared" ca="1" si="110"/>
        <v>55633</v>
      </c>
      <c r="T1716" s="115" t="e">
        <f ca="1"/>
        <v>#VALUE!</v>
      </c>
      <c r="V1716" s="219">
        <f t="shared" ca="1" si="111"/>
        <v>55633</v>
      </c>
      <c r="W1716" s="115" t="e">
        <f ca="1"/>
        <v>#VALUE!</v>
      </c>
    </row>
    <row r="1717" spans="13:23">
      <c r="M1717" s="219">
        <f t="shared" ca="1" si="108"/>
        <v>55640</v>
      </c>
      <c r="N1717" s="115" t="e">
        <f ca="1"/>
        <v>#VALUE!</v>
      </c>
      <c r="P1717" s="219">
        <f t="shared" ca="1" si="109"/>
        <v>55640</v>
      </c>
      <c r="Q1717" s="115" t="e">
        <f ca="1"/>
        <v>#VALUE!</v>
      </c>
      <c r="S1717" s="219">
        <f t="shared" ca="1" si="110"/>
        <v>55640</v>
      </c>
      <c r="T1717" s="115" t="e">
        <f ca="1"/>
        <v>#VALUE!</v>
      </c>
      <c r="V1717" s="219">
        <f t="shared" ca="1" si="111"/>
        <v>55640</v>
      </c>
      <c r="W1717" s="115" t="e">
        <f ca="1"/>
        <v>#VALUE!</v>
      </c>
    </row>
    <row r="1718" spans="13:23">
      <c r="M1718" s="219">
        <f t="shared" ca="1" si="108"/>
        <v>55647</v>
      </c>
      <c r="N1718" s="115" t="e">
        <f ca="1"/>
        <v>#VALUE!</v>
      </c>
      <c r="P1718" s="219">
        <f t="shared" ca="1" si="109"/>
        <v>55647</v>
      </c>
      <c r="Q1718" s="115" t="e">
        <f ca="1"/>
        <v>#VALUE!</v>
      </c>
      <c r="S1718" s="219">
        <f t="shared" ca="1" si="110"/>
        <v>55647</v>
      </c>
      <c r="T1718" s="115" t="e">
        <f ca="1"/>
        <v>#VALUE!</v>
      </c>
      <c r="V1718" s="219">
        <f t="shared" ca="1" si="111"/>
        <v>55647</v>
      </c>
      <c r="W1718" s="115" t="e">
        <f ca="1"/>
        <v>#VALUE!</v>
      </c>
    </row>
    <row r="1719" spans="13:23">
      <c r="M1719" s="219">
        <f t="shared" ca="1" si="108"/>
        <v>55654</v>
      </c>
      <c r="N1719" s="115" t="e">
        <f ca="1"/>
        <v>#VALUE!</v>
      </c>
      <c r="P1719" s="219">
        <f t="shared" ca="1" si="109"/>
        <v>55654</v>
      </c>
      <c r="Q1719" s="115" t="e">
        <f ca="1"/>
        <v>#VALUE!</v>
      </c>
      <c r="S1719" s="219">
        <f t="shared" ca="1" si="110"/>
        <v>55654</v>
      </c>
      <c r="T1719" s="115" t="e">
        <f ca="1"/>
        <v>#VALUE!</v>
      </c>
      <c r="V1719" s="219">
        <f t="shared" ca="1" si="111"/>
        <v>55654</v>
      </c>
      <c r="W1719" s="115" t="e">
        <f ca="1"/>
        <v>#VALUE!</v>
      </c>
    </row>
    <row r="1720" spans="13:23">
      <c r="M1720" s="219">
        <f t="shared" ca="1" si="108"/>
        <v>55661</v>
      </c>
      <c r="N1720" s="115" t="e">
        <f ca="1"/>
        <v>#VALUE!</v>
      </c>
      <c r="P1720" s="219">
        <f t="shared" ca="1" si="109"/>
        <v>55661</v>
      </c>
      <c r="Q1720" s="115" t="e">
        <f ca="1"/>
        <v>#VALUE!</v>
      </c>
      <c r="S1720" s="219">
        <f t="shared" ca="1" si="110"/>
        <v>55661</v>
      </c>
      <c r="T1720" s="115" t="e">
        <f ca="1"/>
        <v>#VALUE!</v>
      </c>
      <c r="V1720" s="219">
        <f t="shared" ca="1" si="111"/>
        <v>55661</v>
      </c>
      <c r="W1720" s="115" t="e">
        <f ca="1"/>
        <v>#VALUE!</v>
      </c>
    </row>
    <row r="1721" spans="13:23">
      <c r="M1721" s="219">
        <f t="shared" ca="1" si="108"/>
        <v>55668</v>
      </c>
      <c r="N1721" s="115" t="e">
        <f ca="1"/>
        <v>#VALUE!</v>
      </c>
      <c r="P1721" s="219">
        <f t="shared" ca="1" si="109"/>
        <v>55668</v>
      </c>
      <c r="Q1721" s="115" t="e">
        <f ca="1"/>
        <v>#VALUE!</v>
      </c>
      <c r="S1721" s="219">
        <f t="shared" ca="1" si="110"/>
        <v>55668</v>
      </c>
      <c r="T1721" s="115" t="e">
        <f ca="1"/>
        <v>#VALUE!</v>
      </c>
      <c r="V1721" s="219">
        <f t="shared" ca="1" si="111"/>
        <v>55668</v>
      </c>
      <c r="W1721" s="115" t="e">
        <f ca="1"/>
        <v>#VALUE!</v>
      </c>
    </row>
    <row r="1722" spans="13:23">
      <c r="M1722" s="219">
        <f t="shared" ca="1" si="108"/>
        <v>55675</v>
      </c>
      <c r="N1722" s="115" t="e">
        <f ca="1"/>
        <v>#VALUE!</v>
      </c>
      <c r="P1722" s="219">
        <f t="shared" ca="1" si="109"/>
        <v>55675</v>
      </c>
      <c r="Q1722" s="115" t="e">
        <f ca="1"/>
        <v>#VALUE!</v>
      </c>
      <c r="S1722" s="219">
        <f t="shared" ca="1" si="110"/>
        <v>55675</v>
      </c>
      <c r="T1722" s="115" t="e">
        <f ca="1"/>
        <v>#VALUE!</v>
      </c>
      <c r="V1722" s="219">
        <f t="shared" ca="1" si="111"/>
        <v>55675</v>
      </c>
      <c r="W1722" s="115" t="e">
        <f ca="1"/>
        <v>#VALUE!</v>
      </c>
    </row>
    <row r="1723" spans="13:23">
      <c r="M1723" s="219">
        <f t="shared" ca="1" si="108"/>
        <v>55682</v>
      </c>
      <c r="N1723" s="115" t="e">
        <f ca="1"/>
        <v>#VALUE!</v>
      </c>
      <c r="P1723" s="219">
        <f t="shared" ca="1" si="109"/>
        <v>55682</v>
      </c>
      <c r="Q1723" s="115" t="e">
        <f ca="1"/>
        <v>#VALUE!</v>
      </c>
      <c r="S1723" s="219">
        <f t="shared" ca="1" si="110"/>
        <v>55682</v>
      </c>
      <c r="T1723" s="115" t="e">
        <f ca="1"/>
        <v>#VALUE!</v>
      </c>
      <c r="V1723" s="219">
        <f t="shared" ca="1" si="111"/>
        <v>55682</v>
      </c>
      <c r="W1723" s="115" t="e">
        <f ca="1"/>
        <v>#VALUE!</v>
      </c>
    </row>
    <row r="1724" spans="13:23">
      <c r="M1724" s="219">
        <f t="shared" ca="1" si="108"/>
        <v>55689</v>
      </c>
      <c r="N1724" s="115" t="e">
        <f ca="1"/>
        <v>#VALUE!</v>
      </c>
      <c r="P1724" s="219">
        <f t="shared" ca="1" si="109"/>
        <v>55689</v>
      </c>
      <c r="Q1724" s="115" t="e">
        <f ca="1"/>
        <v>#VALUE!</v>
      </c>
      <c r="S1724" s="219">
        <f t="shared" ca="1" si="110"/>
        <v>55689</v>
      </c>
      <c r="T1724" s="115" t="e">
        <f ca="1"/>
        <v>#VALUE!</v>
      </c>
      <c r="V1724" s="219">
        <f t="shared" ca="1" si="111"/>
        <v>55689</v>
      </c>
      <c r="W1724" s="115" t="e">
        <f ca="1"/>
        <v>#VALUE!</v>
      </c>
    </row>
    <row r="1725" spans="13:23">
      <c r="M1725" s="219">
        <f t="shared" ca="1" si="108"/>
        <v>55696</v>
      </c>
      <c r="N1725" s="115" t="e">
        <f ca="1"/>
        <v>#VALUE!</v>
      </c>
      <c r="P1725" s="219">
        <f t="shared" ca="1" si="109"/>
        <v>55696</v>
      </c>
      <c r="Q1725" s="115" t="e">
        <f ca="1"/>
        <v>#VALUE!</v>
      </c>
      <c r="S1725" s="219">
        <f t="shared" ca="1" si="110"/>
        <v>55696</v>
      </c>
      <c r="T1725" s="115" t="e">
        <f ca="1"/>
        <v>#VALUE!</v>
      </c>
      <c r="V1725" s="219">
        <f t="shared" ca="1" si="111"/>
        <v>55696</v>
      </c>
      <c r="W1725" s="115" t="e">
        <f ca="1"/>
        <v>#VALUE!</v>
      </c>
    </row>
    <row r="1726" spans="13:23">
      <c r="M1726" s="219">
        <f t="shared" ca="1" si="108"/>
        <v>55703</v>
      </c>
      <c r="N1726" s="115" t="e">
        <f ca="1"/>
        <v>#VALUE!</v>
      </c>
      <c r="P1726" s="219">
        <f t="shared" ca="1" si="109"/>
        <v>55703</v>
      </c>
      <c r="Q1726" s="115" t="e">
        <f ca="1"/>
        <v>#VALUE!</v>
      </c>
      <c r="S1726" s="219">
        <f t="shared" ca="1" si="110"/>
        <v>55703</v>
      </c>
      <c r="T1726" s="115" t="e">
        <f ca="1"/>
        <v>#VALUE!</v>
      </c>
      <c r="V1726" s="219">
        <f t="shared" ca="1" si="111"/>
        <v>55703</v>
      </c>
      <c r="W1726" s="115" t="e">
        <f ca="1"/>
        <v>#VALUE!</v>
      </c>
    </row>
    <row r="1727" spans="13:23">
      <c r="M1727" s="219">
        <f t="shared" ca="1" si="108"/>
        <v>55710</v>
      </c>
      <c r="N1727" s="115" t="e">
        <f ca="1"/>
        <v>#VALUE!</v>
      </c>
      <c r="P1727" s="219">
        <f t="shared" ca="1" si="109"/>
        <v>55710</v>
      </c>
      <c r="Q1727" s="115" t="e">
        <f ca="1"/>
        <v>#VALUE!</v>
      </c>
      <c r="S1727" s="219">
        <f t="shared" ca="1" si="110"/>
        <v>55710</v>
      </c>
      <c r="T1727" s="115" t="e">
        <f ca="1"/>
        <v>#VALUE!</v>
      </c>
      <c r="V1727" s="219">
        <f t="shared" ca="1" si="111"/>
        <v>55710</v>
      </c>
      <c r="W1727" s="115" t="e">
        <f ca="1"/>
        <v>#VALUE!</v>
      </c>
    </row>
    <row r="1728" spans="13:23">
      <c r="M1728" s="219">
        <f t="shared" ca="1" si="108"/>
        <v>55717</v>
      </c>
      <c r="N1728" s="115" t="e">
        <f ca="1"/>
        <v>#VALUE!</v>
      </c>
      <c r="P1728" s="219">
        <f t="shared" ca="1" si="109"/>
        <v>55717</v>
      </c>
      <c r="Q1728" s="115" t="e">
        <f ca="1"/>
        <v>#VALUE!</v>
      </c>
      <c r="S1728" s="219">
        <f t="shared" ca="1" si="110"/>
        <v>55717</v>
      </c>
      <c r="T1728" s="115" t="e">
        <f ca="1"/>
        <v>#VALUE!</v>
      </c>
      <c r="V1728" s="219">
        <f t="shared" ca="1" si="111"/>
        <v>55717</v>
      </c>
      <c r="W1728" s="115" t="e">
        <f ca="1"/>
        <v>#VALUE!</v>
      </c>
    </row>
    <row r="1729" spans="13:23">
      <c r="M1729" s="219">
        <f t="shared" ca="1" si="108"/>
        <v>55724</v>
      </c>
      <c r="N1729" s="115" t="e">
        <f ca="1"/>
        <v>#VALUE!</v>
      </c>
      <c r="P1729" s="219">
        <f t="shared" ca="1" si="109"/>
        <v>55724</v>
      </c>
      <c r="Q1729" s="115" t="e">
        <f ca="1"/>
        <v>#VALUE!</v>
      </c>
      <c r="S1729" s="219">
        <f t="shared" ca="1" si="110"/>
        <v>55724</v>
      </c>
      <c r="T1729" s="115" t="e">
        <f ca="1"/>
        <v>#VALUE!</v>
      </c>
      <c r="V1729" s="219">
        <f t="shared" ca="1" si="111"/>
        <v>55724</v>
      </c>
      <c r="W1729" s="115" t="e">
        <f ca="1"/>
        <v>#VALUE!</v>
      </c>
    </row>
    <row r="1730" spans="13:23">
      <c r="M1730" s="219">
        <f t="shared" ca="1" si="108"/>
        <v>55731</v>
      </c>
      <c r="N1730" s="115" t="e">
        <f ca="1"/>
        <v>#VALUE!</v>
      </c>
      <c r="P1730" s="219">
        <f t="shared" ca="1" si="109"/>
        <v>55731</v>
      </c>
      <c r="Q1730" s="115" t="e">
        <f ca="1"/>
        <v>#VALUE!</v>
      </c>
      <c r="S1730" s="219">
        <f t="shared" ca="1" si="110"/>
        <v>55731</v>
      </c>
      <c r="T1730" s="115" t="e">
        <f ca="1"/>
        <v>#VALUE!</v>
      </c>
      <c r="V1730" s="219">
        <f t="shared" ca="1" si="111"/>
        <v>55731</v>
      </c>
      <c r="W1730" s="115" t="e">
        <f ca="1"/>
        <v>#VALUE!</v>
      </c>
    </row>
    <row r="1731" spans="13:23">
      <c r="M1731" s="219">
        <f t="shared" ca="1" si="108"/>
        <v>55738</v>
      </c>
      <c r="N1731" s="115" t="e">
        <f ca="1"/>
        <v>#VALUE!</v>
      </c>
      <c r="P1731" s="219">
        <f t="shared" ca="1" si="109"/>
        <v>55738</v>
      </c>
      <c r="Q1731" s="115" t="e">
        <f ca="1"/>
        <v>#VALUE!</v>
      </c>
      <c r="S1731" s="219">
        <f t="shared" ca="1" si="110"/>
        <v>55738</v>
      </c>
      <c r="T1731" s="115" t="e">
        <f ca="1"/>
        <v>#VALUE!</v>
      </c>
      <c r="V1731" s="219">
        <f t="shared" ca="1" si="111"/>
        <v>55738</v>
      </c>
      <c r="W1731" s="115" t="e">
        <f ca="1"/>
        <v>#VALUE!</v>
      </c>
    </row>
    <row r="1732" spans="13:23">
      <c r="M1732" s="219">
        <f t="shared" ca="1" si="108"/>
        <v>55745</v>
      </c>
      <c r="N1732" s="115" t="e">
        <f ca="1"/>
        <v>#VALUE!</v>
      </c>
      <c r="P1732" s="219">
        <f t="shared" ca="1" si="109"/>
        <v>55745</v>
      </c>
      <c r="Q1732" s="115" t="e">
        <f ca="1"/>
        <v>#VALUE!</v>
      </c>
      <c r="S1732" s="219">
        <f t="shared" ca="1" si="110"/>
        <v>55745</v>
      </c>
      <c r="T1732" s="115" t="e">
        <f ca="1"/>
        <v>#VALUE!</v>
      </c>
      <c r="V1732" s="219">
        <f t="shared" ca="1" si="111"/>
        <v>55745</v>
      </c>
      <c r="W1732" s="115" t="e">
        <f ca="1"/>
        <v>#VALUE!</v>
      </c>
    </row>
    <row r="1733" spans="13:23">
      <c r="M1733" s="219">
        <f t="shared" ca="1" si="108"/>
        <v>55752</v>
      </c>
      <c r="N1733" s="115" t="e">
        <f ca="1"/>
        <v>#VALUE!</v>
      </c>
      <c r="P1733" s="219">
        <f t="shared" ca="1" si="109"/>
        <v>55752</v>
      </c>
      <c r="Q1733" s="115" t="e">
        <f ca="1"/>
        <v>#VALUE!</v>
      </c>
      <c r="S1733" s="219">
        <f t="shared" ca="1" si="110"/>
        <v>55752</v>
      </c>
      <c r="T1733" s="115" t="e">
        <f ca="1"/>
        <v>#VALUE!</v>
      </c>
      <c r="V1733" s="219">
        <f t="shared" ca="1" si="111"/>
        <v>55752</v>
      </c>
      <c r="W1733" s="115" t="e">
        <f ca="1"/>
        <v>#VALUE!</v>
      </c>
    </row>
    <row r="1734" spans="13:23">
      <c r="M1734" s="219">
        <f t="shared" ca="1" si="108"/>
        <v>55759</v>
      </c>
      <c r="N1734" s="115" t="e">
        <f ca="1"/>
        <v>#VALUE!</v>
      </c>
      <c r="P1734" s="219">
        <f t="shared" ca="1" si="109"/>
        <v>55759</v>
      </c>
      <c r="Q1734" s="115" t="e">
        <f ca="1"/>
        <v>#VALUE!</v>
      </c>
      <c r="S1734" s="219">
        <f t="shared" ca="1" si="110"/>
        <v>55759</v>
      </c>
      <c r="T1734" s="115" t="e">
        <f ca="1"/>
        <v>#VALUE!</v>
      </c>
      <c r="V1734" s="219">
        <f t="shared" ca="1" si="111"/>
        <v>55759</v>
      </c>
      <c r="W1734" s="115" t="e">
        <f ca="1"/>
        <v>#VALUE!</v>
      </c>
    </row>
    <row r="1735" spans="13:23">
      <c r="M1735" s="219">
        <f t="shared" ca="1" si="108"/>
        <v>55766</v>
      </c>
      <c r="N1735" s="115" t="e">
        <f ca="1"/>
        <v>#VALUE!</v>
      </c>
      <c r="P1735" s="219">
        <f t="shared" ca="1" si="109"/>
        <v>55766</v>
      </c>
      <c r="Q1735" s="115" t="e">
        <f ca="1"/>
        <v>#VALUE!</v>
      </c>
      <c r="S1735" s="219">
        <f t="shared" ca="1" si="110"/>
        <v>55766</v>
      </c>
      <c r="T1735" s="115" t="e">
        <f ca="1"/>
        <v>#VALUE!</v>
      </c>
      <c r="V1735" s="219">
        <f t="shared" ca="1" si="111"/>
        <v>55766</v>
      </c>
      <c r="W1735" s="115" t="e">
        <f ca="1"/>
        <v>#VALUE!</v>
      </c>
    </row>
    <row r="1736" spans="13:23">
      <c r="M1736" s="219">
        <f t="shared" ca="1" si="108"/>
        <v>55773</v>
      </c>
      <c r="N1736" s="115" t="e">
        <f ca="1"/>
        <v>#VALUE!</v>
      </c>
      <c r="P1736" s="219">
        <f t="shared" ca="1" si="109"/>
        <v>55773</v>
      </c>
      <c r="Q1736" s="115" t="e">
        <f ca="1"/>
        <v>#VALUE!</v>
      </c>
      <c r="S1736" s="219">
        <f t="shared" ca="1" si="110"/>
        <v>55773</v>
      </c>
      <c r="T1736" s="115" t="e">
        <f ca="1"/>
        <v>#VALUE!</v>
      </c>
      <c r="V1736" s="219">
        <f t="shared" ca="1" si="111"/>
        <v>55773</v>
      </c>
      <c r="W1736" s="115" t="e">
        <f ca="1"/>
        <v>#VALUE!</v>
      </c>
    </row>
    <row r="1737" spans="13:23">
      <c r="M1737" s="219">
        <f t="shared" ca="1" si="108"/>
        <v>55780</v>
      </c>
      <c r="N1737" s="115" t="e">
        <f ca="1"/>
        <v>#VALUE!</v>
      </c>
      <c r="P1737" s="219">
        <f t="shared" ca="1" si="109"/>
        <v>55780</v>
      </c>
      <c r="Q1737" s="115" t="e">
        <f ca="1"/>
        <v>#VALUE!</v>
      </c>
      <c r="S1737" s="219">
        <f t="shared" ca="1" si="110"/>
        <v>55780</v>
      </c>
      <c r="T1737" s="115" t="e">
        <f ca="1"/>
        <v>#VALUE!</v>
      </c>
      <c r="V1737" s="219">
        <f t="shared" ca="1" si="111"/>
        <v>55780</v>
      </c>
      <c r="W1737" s="115" t="e">
        <f ca="1"/>
        <v>#VALUE!</v>
      </c>
    </row>
    <row r="1738" spans="13:23">
      <c r="M1738" s="219">
        <f t="shared" ca="1" si="108"/>
        <v>55787</v>
      </c>
      <c r="N1738" s="115" t="e">
        <f ca="1"/>
        <v>#VALUE!</v>
      </c>
      <c r="P1738" s="219">
        <f t="shared" ca="1" si="109"/>
        <v>55787</v>
      </c>
      <c r="Q1738" s="115" t="e">
        <f ca="1"/>
        <v>#VALUE!</v>
      </c>
      <c r="S1738" s="219">
        <f t="shared" ca="1" si="110"/>
        <v>55787</v>
      </c>
      <c r="T1738" s="115" t="e">
        <f ca="1"/>
        <v>#VALUE!</v>
      </c>
      <c r="V1738" s="219">
        <f t="shared" ca="1" si="111"/>
        <v>55787</v>
      </c>
      <c r="W1738" s="115" t="e">
        <f ca="1"/>
        <v>#VALUE!</v>
      </c>
    </row>
    <row r="1739" spans="13:23">
      <c r="M1739" s="219">
        <f t="shared" ca="1" si="108"/>
        <v>55794</v>
      </c>
      <c r="N1739" s="115" t="e">
        <f ca="1"/>
        <v>#VALUE!</v>
      </c>
      <c r="P1739" s="219">
        <f t="shared" ca="1" si="109"/>
        <v>55794</v>
      </c>
      <c r="Q1739" s="115" t="e">
        <f ca="1"/>
        <v>#VALUE!</v>
      </c>
      <c r="S1739" s="219">
        <f t="shared" ca="1" si="110"/>
        <v>55794</v>
      </c>
      <c r="T1739" s="115" t="e">
        <f ca="1"/>
        <v>#VALUE!</v>
      </c>
      <c r="V1739" s="219">
        <f t="shared" ca="1" si="111"/>
        <v>55794</v>
      </c>
      <c r="W1739" s="115" t="e">
        <f ca="1"/>
        <v>#VALUE!</v>
      </c>
    </row>
    <row r="1740" spans="13:23">
      <c r="M1740" s="219">
        <f t="shared" ca="1" si="108"/>
        <v>55801</v>
      </c>
      <c r="N1740" s="115" t="e">
        <f ca="1"/>
        <v>#VALUE!</v>
      </c>
      <c r="P1740" s="219">
        <f t="shared" ca="1" si="109"/>
        <v>55801</v>
      </c>
      <c r="Q1740" s="115" t="e">
        <f ca="1"/>
        <v>#VALUE!</v>
      </c>
      <c r="S1740" s="219">
        <f t="shared" ca="1" si="110"/>
        <v>55801</v>
      </c>
      <c r="T1740" s="115" t="e">
        <f ca="1"/>
        <v>#VALUE!</v>
      </c>
      <c r="V1740" s="219">
        <f t="shared" ca="1" si="111"/>
        <v>55801</v>
      </c>
      <c r="W1740" s="115" t="e">
        <f ca="1"/>
        <v>#VALUE!</v>
      </c>
    </row>
    <row r="1741" spans="13:23">
      <c r="M1741" s="219">
        <f t="shared" ref="M1741:M1804" ca="1" si="112">M1740+7</f>
        <v>55808</v>
      </c>
      <c r="N1741" s="115" t="e">
        <f ca="1"/>
        <v>#VALUE!</v>
      </c>
      <c r="P1741" s="219">
        <f t="shared" ca="1" si="109"/>
        <v>55808</v>
      </c>
      <c r="Q1741" s="115" t="e">
        <f ca="1"/>
        <v>#VALUE!</v>
      </c>
      <c r="S1741" s="219">
        <f t="shared" ca="1" si="110"/>
        <v>55808</v>
      </c>
      <c r="T1741" s="115" t="e">
        <f ca="1"/>
        <v>#VALUE!</v>
      </c>
      <c r="V1741" s="219">
        <f t="shared" ca="1" si="111"/>
        <v>55808</v>
      </c>
      <c r="W1741" s="115" t="e">
        <f ca="1"/>
        <v>#VALUE!</v>
      </c>
    </row>
    <row r="1742" spans="13:23">
      <c r="M1742" s="219">
        <f t="shared" ca="1" si="112"/>
        <v>55815</v>
      </c>
      <c r="N1742" s="115" t="e">
        <f ca="1"/>
        <v>#VALUE!</v>
      </c>
      <c r="P1742" s="219">
        <f t="shared" ca="1" si="109"/>
        <v>55815</v>
      </c>
      <c r="Q1742" s="115" t="e">
        <f ca="1"/>
        <v>#VALUE!</v>
      </c>
      <c r="S1742" s="219">
        <f t="shared" ca="1" si="110"/>
        <v>55815</v>
      </c>
      <c r="T1742" s="115" t="e">
        <f ca="1"/>
        <v>#VALUE!</v>
      </c>
      <c r="V1742" s="219">
        <f t="shared" ca="1" si="111"/>
        <v>55815</v>
      </c>
      <c r="W1742" s="115" t="e">
        <f ca="1"/>
        <v>#VALUE!</v>
      </c>
    </row>
    <row r="1743" spans="13:23">
      <c r="M1743" s="219">
        <f t="shared" ca="1" si="112"/>
        <v>55822</v>
      </c>
      <c r="N1743" s="115" t="e">
        <f ca="1"/>
        <v>#VALUE!</v>
      </c>
      <c r="P1743" s="219">
        <f t="shared" ca="1" si="109"/>
        <v>55822</v>
      </c>
      <c r="Q1743" s="115" t="e">
        <f ca="1"/>
        <v>#VALUE!</v>
      </c>
      <c r="S1743" s="219">
        <f t="shared" ca="1" si="110"/>
        <v>55822</v>
      </c>
      <c r="T1743" s="115" t="e">
        <f ca="1"/>
        <v>#VALUE!</v>
      </c>
      <c r="V1743" s="219">
        <f t="shared" ca="1" si="111"/>
        <v>55822</v>
      </c>
      <c r="W1743" s="115" t="e">
        <f ca="1"/>
        <v>#VALUE!</v>
      </c>
    </row>
    <row r="1744" spans="13:23">
      <c r="M1744" s="219">
        <f t="shared" ca="1" si="112"/>
        <v>55829</v>
      </c>
      <c r="N1744" s="115" t="e">
        <f ca="1"/>
        <v>#VALUE!</v>
      </c>
      <c r="P1744" s="219">
        <f t="shared" ca="1" si="109"/>
        <v>55829</v>
      </c>
      <c r="Q1744" s="115" t="e">
        <f ca="1"/>
        <v>#VALUE!</v>
      </c>
      <c r="S1744" s="219">
        <f t="shared" ca="1" si="110"/>
        <v>55829</v>
      </c>
      <c r="T1744" s="115" t="e">
        <f ca="1"/>
        <v>#VALUE!</v>
      </c>
      <c r="V1744" s="219">
        <f t="shared" ca="1" si="111"/>
        <v>55829</v>
      </c>
      <c r="W1744" s="115" t="e">
        <f ca="1"/>
        <v>#VALUE!</v>
      </c>
    </row>
    <row r="1745" spans="13:23">
      <c r="M1745" s="219">
        <f t="shared" ca="1" si="112"/>
        <v>55836</v>
      </c>
      <c r="N1745" s="115" t="e">
        <f ca="1"/>
        <v>#VALUE!</v>
      </c>
      <c r="P1745" s="219">
        <f t="shared" ca="1" si="109"/>
        <v>55836</v>
      </c>
      <c r="Q1745" s="115" t="e">
        <f ca="1"/>
        <v>#VALUE!</v>
      </c>
      <c r="S1745" s="219">
        <f t="shared" ca="1" si="110"/>
        <v>55836</v>
      </c>
      <c r="T1745" s="115" t="e">
        <f ca="1"/>
        <v>#VALUE!</v>
      </c>
      <c r="V1745" s="219">
        <f t="shared" ca="1" si="111"/>
        <v>55836</v>
      </c>
      <c r="W1745" s="115" t="e">
        <f ca="1"/>
        <v>#VALUE!</v>
      </c>
    </row>
    <row r="1746" spans="13:23">
      <c r="M1746" s="219">
        <f t="shared" ca="1" si="112"/>
        <v>55843</v>
      </c>
      <c r="N1746" s="115" t="e">
        <f ca="1"/>
        <v>#VALUE!</v>
      </c>
      <c r="P1746" s="219">
        <f t="shared" ca="1" si="109"/>
        <v>55843</v>
      </c>
      <c r="Q1746" s="115" t="e">
        <f ca="1"/>
        <v>#VALUE!</v>
      </c>
      <c r="S1746" s="219">
        <f t="shared" ca="1" si="110"/>
        <v>55843</v>
      </c>
      <c r="T1746" s="115" t="e">
        <f ca="1"/>
        <v>#VALUE!</v>
      </c>
      <c r="V1746" s="219">
        <f t="shared" ca="1" si="111"/>
        <v>55843</v>
      </c>
      <c r="W1746" s="115" t="e">
        <f ca="1"/>
        <v>#VALUE!</v>
      </c>
    </row>
    <row r="1747" spans="13:23">
      <c r="M1747" s="219">
        <f t="shared" ca="1" si="112"/>
        <v>55850</v>
      </c>
      <c r="N1747" s="115" t="e">
        <f ca="1"/>
        <v>#VALUE!</v>
      </c>
      <c r="P1747" s="219">
        <f t="shared" ca="1" si="109"/>
        <v>55850</v>
      </c>
      <c r="Q1747" s="115" t="e">
        <f ca="1"/>
        <v>#VALUE!</v>
      </c>
      <c r="S1747" s="219">
        <f t="shared" ca="1" si="110"/>
        <v>55850</v>
      </c>
      <c r="T1747" s="115" t="e">
        <f ca="1"/>
        <v>#VALUE!</v>
      </c>
      <c r="V1747" s="219">
        <f t="shared" ca="1" si="111"/>
        <v>55850</v>
      </c>
      <c r="W1747" s="115" t="e">
        <f ca="1"/>
        <v>#VALUE!</v>
      </c>
    </row>
    <row r="1748" spans="13:23">
      <c r="M1748" s="219">
        <f t="shared" ca="1" si="112"/>
        <v>55857</v>
      </c>
      <c r="N1748" s="115" t="e">
        <f ca="1"/>
        <v>#VALUE!</v>
      </c>
      <c r="P1748" s="219">
        <f t="shared" ca="1" si="109"/>
        <v>55857</v>
      </c>
      <c r="Q1748" s="115" t="e">
        <f ca="1"/>
        <v>#VALUE!</v>
      </c>
      <c r="S1748" s="219">
        <f t="shared" ca="1" si="110"/>
        <v>55857</v>
      </c>
      <c r="T1748" s="115" t="e">
        <f ca="1"/>
        <v>#VALUE!</v>
      </c>
      <c r="V1748" s="219">
        <f t="shared" ca="1" si="111"/>
        <v>55857</v>
      </c>
      <c r="W1748" s="115" t="e">
        <f ca="1"/>
        <v>#VALUE!</v>
      </c>
    </row>
    <row r="1749" spans="13:23">
      <c r="M1749" s="219">
        <f t="shared" ca="1" si="112"/>
        <v>55864</v>
      </c>
      <c r="N1749" s="115" t="e">
        <f ca="1"/>
        <v>#VALUE!</v>
      </c>
      <c r="P1749" s="219">
        <f t="shared" ca="1" si="109"/>
        <v>55864</v>
      </c>
      <c r="Q1749" s="115" t="e">
        <f ca="1"/>
        <v>#VALUE!</v>
      </c>
      <c r="S1749" s="219">
        <f t="shared" ca="1" si="110"/>
        <v>55864</v>
      </c>
      <c r="T1749" s="115" t="e">
        <f ca="1"/>
        <v>#VALUE!</v>
      </c>
      <c r="V1749" s="219">
        <f t="shared" ca="1" si="111"/>
        <v>55864</v>
      </c>
      <c r="W1749" s="115" t="e">
        <f ca="1"/>
        <v>#VALUE!</v>
      </c>
    </row>
    <row r="1750" spans="13:23">
      <c r="M1750" s="219">
        <f t="shared" ca="1" si="112"/>
        <v>55871</v>
      </c>
      <c r="N1750" s="115" t="e">
        <f ca="1"/>
        <v>#VALUE!</v>
      </c>
      <c r="P1750" s="219">
        <f t="shared" ca="1" si="109"/>
        <v>55871</v>
      </c>
      <c r="Q1750" s="115" t="e">
        <f ca="1"/>
        <v>#VALUE!</v>
      </c>
      <c r="S1750" s="219">
        <f t="shared" ca="1" si="110"/>
        <v>55871</v>
      </c>
      <c r="T1750" s="115" t="e">
        <f ca="1"/>
        <v>#VALUE!</v>
      </c>
      <c r="V1750" s="219">
        <f t="shared" ca="1" si="111"/>
        <v>55871</v>
      </c>
      <c r="W1750" s="115" t="e">
        <f ca="1"/>
        <v>#VALUE!</v>
      </c>
    </row>
    <row r="1751" spans="13:23">
      <c r="M1751" s="219">
        <f t="shared" ca="1" si="112"/>
        <v>55878</v>
      </c>
      <c r="N1751" s="115" t="e">
        <f ca="1"/>
        <v>#VALUE!</v>
      </c>
      <c r="P1751" s="219">
        <f t="shared" ca="1" si="109"/>
        <v>55878</v>
      </c>
      <c r="Q1751" s="115" t="e">
        <f ca="1"/>
        <v>#VALUE!</v>
      </c>
      <c r="S1751" s="219">
        <f t="shared" ca="1" si="110"/>
        <v>55878</v>
      </c>
      <c r="T1751" s="115" t="e">
        <f ca="1"/>
        <v>#VALUE!</v>
      </c>
      <c r="V1751" s="219">
        <f t="shared" ca="1" si="111"/>
        <v>55878</v>
      </c>
      <c r="W1751" s="115" t="e">
        <f ca="1"/>
        <v>#VALUE!</v>
      </c>
    </row>
    <row r="1752" spans="13:23">
      <c r="M1752" s="219">
        <f t="shared" ca="1" si="112"/>
        <v>55885</v>
      </c>
      <c r="N1752" s="115" t="e">
        <f ca="1"/>
        <v>#VALUE!</v>
      </c>
      <c r="P1752" s="219">
        <f t="shared" ca="1" si="109"/>
        <v>55885</v>
      </c>
      <c r="Q1752" s="115" t="e">
        <f ca="1"/>
        <v>#VALUE!</v>
      </c>
      <c r="S1752" s="219">
        <f t="shared" ca="1" si="110"/>
        <v>55885</v>
      </c>
      <c r="T1752" s="115" t="e">
        <f ca="1"/>
        <v>#VALUE!</v>
      </c>
      <c r="V1752" s="219">
        <f t="shared" ca="1" si="111"/>
        <v>55885</v>
      </c>
      <c r="W1752" s="115" t="e">
        <f ca="1"/>
        <v>#VALUE!</v>
      </c>
    </row>
    <row r="1753" spans="13:23">
      <c r="M1753" s="219">
        <f t="shared" ca="1" si="112"/>
        <v>55892</v>
      </c>
      <c r="N1753" s="115" t="e">
        <f ca="1"/>
        <v>#VALUE!</v>
      </c>
      <c r="P1753" s="219">
        <f t="shared" ca="1" si="109"/>
        <v>55892</v>
      </c>
      <c r="Q1753" s="115" t="e">
        <f ca="1"/>
        <v>#VALUE!</v>
      </c>
      <c r="S1753" s="219">
        <f t="shared" ca="1" si="110"/>
        <v>55892</v>
      </c>
      <c r="T1753" s="115" t="e">
        <f ca="1"/>
        <v>#VALUE!</v>
      </c>
      <c r="V1753" s="219">
        <f t="shared" ca="1" si="111"/>
        <v>55892</v>
      </c>
      <c r="W1753" s="115" t="e">
        <f ca="1"/>
        <v>#VALUE!</v>
      </c>
    </row>
    <row r="1754" spans="13:23">
      <c r="M1754" s="219">
        <f t="shared" ca="1" si="112"/>
        <v>55899</v>
      </c>
      <c r="N1754" s="115" t="e">
        <f ca="1"/>
        <v>#VALUE!</v>
      </c>
      <c r="P1754" s="219">
        <f t="shared" ca="1" si="109"/>
        <v>55899</v>
      </c>
      <c r="Q1754" s="115" t="e">
        <f ca="1"/>
        <v>#VALUE!</v>
      </c>
      <c r="S1754" s="219">
        <f t="shared" ca="1" si="110"/>
        <v>55899</v>
      </c>
      <c r="T1754" s="115" t="e">
        <f ca="1"/>
        <v>#VALUE!</v>
      </c>
      <c r="V1754" s="219">
        <f t="shared" ca="1" si="111"/>
        <v>55899</v>
      </c>
      <c r="W1754" s="115" t="e">
        <f ca="1"/>
        <v>#VALUE!</v>
      </c>
    </row>
    <row r="1755" spans="13:23">
      <c r="M1755" s="219">
        <f t="shared" ca="1" si="112"/>
        <v>55906</v>
      </c>
      <c r="N1755" s="115" t="e">
        <f ca="1"/>
        <v>#VALUE!</v>
      </c>
      <c r="P1755" s="219">
        <f t="shared" ca="1" si="109"/>
        <v>55906</v>
      </c>
      <c r="Q1755" s="115" t="e">
        <f ca="1"/>
        <v>#VALUE!</v>
      </c>
      <c r="S1755" s="219">
        <f t="shared" ca="1" si="110"/>
        <v>55906</v>
      </c>
      <c r="T1755" s="115" t="e">
        <f ca="1"/>
        <v>#VALUE!</v>
      </c>
      <c r="V1755" s="219">
        <f t="shared" ca="1" si="111"/>
        <v>55906</v>
      </c>
      <c r="W1755" s="115" t="e">
        <f ca="1"/>
        <v>#VALUE!</v>
      </c>
    </row>
    <row r="1756" spans="13:23">
      <c r="M1756" s="219">
        <f t="shared" ca="1" si="112"/>
        <v>55913</v>
      </c>
      <c r="N1756" s="115" t="e">
        <f ca="1"/>
        <v>#VALUE!</v>
      </c>
      <c r="P1756" s="219">
        <f t="shared" ca="1" si="109"/>
        <v>55913</v>
      </c>
      <c r="Q1756" s="115" t="e">
        <f ca="1"/>
        <v>#VALUE!</v>
      </c>
      <c r="S1756" s="219">
        <f t="shared" ca="1" si="110"/>
        <v>55913</v>
      </c>
      <c r="T1756" s="115" t="e">
        <f ca="1"/>
        <v>#VALUE!</v>
      </c>
      <c r="V1756" s="219">
        <f t="shared" ca="1" si="111"/>
        <v>55913</v>
      </c>
      <c r="W1756" s="115" t="e">
        <f ca="1"/>
        <v>#VALUE!</v>
      </c>
    </row>
    <row r="1757" spans="13:23">
      <c r="M1757" s="219">
        <f t="shared" ca="1" si="112"/>
        <v>55920</v>
      </c>
      <c r="N1757" s="115" t="e">
        <f ca="1"/>
        <v>#VALUE!</v>
      </c>
      <c r="P1757" s="219">
        <f t="shared" ref="P1757:P1820" ca="1" si="113">P1756+7</f>
        <v>55920</v>
      </c>
      <c r="Q1757" s="115" t="e">
        <f ca="1"/>
        <v>#VALUE!</v>
      </c>
      <c r="S1757" s="219">
        <f t="shared" ref="S1757:S1820" ca="1" si="114">S1756+7</f>
        <v>55920</v>
      </c>
      <c r="T1757" s="115" t="e">
        <f ca="1"/>
        <v>#VALUE!</v>
      </c>
      <c r="V1757" s="219">
        <f t="shared" ref="V1757:V1820" ca="1" si="115">V1756+7</f>
        <v>55920</v>
      </c>
      <c r="W1757" s="115" t="e">
        <f ca="1"/>
        <v>#VALUE!</v>
      </c>
    </row>
    <row r="1758" spans="13:23">
      <c r="M1758" s="219">
        <f t="shared" ca="1" si="112"/>
        <v>55927</v>
      </c>
      <c r="N1758" s="115" t="e">
        <f ca="1"/>
        <v>#VALUE!</v>
      </c>
      <c r="P1758" s="219">
        <f t="shared" ca="1" si="113"/>
        <v>55927</v>
      </c>
      <c r="Q1758" s="115" t="e">
        <f ca="1"/>
        <v>#VALUE!</v>
      </c>
      <c r="S1758" s="219">
        <f t="shared" ca="1" si="114"/>
        <v>55927</v>
      </c>
      <c r="T1758" s="115" t="e">
        <f ca="1"/>
        <v>#VALUE!</v>
      </c>
      <c r="V1758" s="219">
        <f t="shared" ca="1" si="115"/>
        <v>55927</v>
      </c>
      <c r="W1758" s="115" t="e">
        <f ca="1"/>
        <v>#VALUE!</v>
      </c>
    </row>
    <row r="1759" spans="13:23">
      <c r="M1759" s="219">
        <f t="shared" ca="1" si="112"/>
        <v>55934</v>
      </c>
      <c r="N1759" s="115" t="e">
        <f ca="1"/>
        <v>#VALUE!</v>
      </c>
      <c r="P1759" s="219">
        <f t="shared" ca="1" si="113"/>
        <v>55934</v>
      </c>
      <c r="Q1759" s="115" t="e">
        <f ca="1"/>
        <v>#VALUE!</v>
      </c>
      <c r="S1759" s="219">
        <f t="shared" ca="1" si="114"/>
        <v>55934</v>
      </c>
      <c r="T1759" s="115" t="e">
        <f ca="1"/>
        <v>#VALUE!</v>
      </c>
      <c r="V1759" s="219">
        <f t="shared" ca="1" si="115"/>
        <v>55934</v>
      </c>
      <c r="W1759" s="115" t="e">
        <f ca="1"/>
        <v>#VALUE!</v>
      </c>
    </row>
    <row r="1760" spans="13:23">
      <c r="M1760" s="219">
        <f t="shared" ca="1" si="112"/>
        <v>55941</v>
      </c>
      <c r="N1760" s="115" t="e">
        <f ca="1"/>
        <v>#VALUE!</v>
      </c>
      <c r="P1760" s="219">
        <f t="shared" ca="1" si="113"/>
        <v>55941</v>
      </c>
      <c r="Q1760" s="115" t="e">
        <f ca="1"/>
        <v>#VALUE!</v>
      </c>
      <c r="S1760" s="219">
        <f t="shared" ca="1" si="114"/>
        <v>55941</v>
      </c>
      <c r="T1760" s="115" t="e">
        <f ca="1"/>
        <v>#VALUE!</v>
      </c>
      <c r="V1760" s="219">
        <f t="shared" ca="1" si="115"/>
        <v>55941</v>
      </c>
      <c r="W1760" s="115" t="e">
        <f ca="1"/>
        <v>#VALUE!</v>
      </c>
    </row>
    <row r="1761" spans="13:23">
      <c r="M1761" s="219">
        <f t="shared" ca="1" si="112"/>
        <v>55948</v>
      </c>
      <c r="N1761" s="115" t="e">
        <f ca="1"/>
        <v>#VALUE!</v>
      </c>
      <c r="P1761" s="219">
        <f t="shared" ca="1" si="113"/>
        <v>55948</v>
      </c>
      <c r="Q1761" s="115" t="e">
        <f ca="1"/>
        <v>#VALUE!</v>
      </c>
      <c r="S1761" s="219">
        <f t="shared" ca="1" si="114"/>
        <v>55948</v>
      </c>
      <c r="T1761" s="115" t="e">
        <f ca="1"/>
        <v>#VALUE!</v>
      </c>
      <c r="V1761" s="219">
        <f t="shared" ca="1" si="115"/>
        <v>55948</v>
      </c>
      <c r="W1761" s="115" t="e">
        <f ca="1"/>
        <v>#VALUE!</v>
      </c>
    </row>
    <row r="1762" spans="13:23">
      <c r="M1762" s="219">
        <f t="shared" ca="1" si="112"/>
        <v>55955</v>
      </c>
      <c r="N1762" s="115" t="e">
        <f ca="1"/>
        <v>#VALUE!</v>
      </c>
      <c r="P1762" s="219">
        <f t="shared" ca="1" si="113"/>
        <v>55955</v>
      </c>
      <c r="Q1762" s="115" t="e">
        <f ca="1"/>
        <v>#VALUE!</v>
      </c>
      <c r="S1762" s="219">
        <f t="shared" ca="1" si="114"/>
        <v>55955</v>
      </c>
      <c r="T1762" s="115" t="e">
        <f ca="1"/>
        <v>#VALUE!</v>
      </c>
      <c r="V1762" s="219">
        <f t="shared" ca="1" si="115"/>
        <v>55955</v>
      </c>
      <c r="W1762" s="115" t="e">
        <f ca="1"/>
        <v>#VALUE!</v>
      </c>
    </row>
    <row r="1763" spans="13:23">
      <c r="M1763" s="219">
        <f t="shared" ca="1" si="112"/>
        <v>55962</v>
      </c>
      <c r="N1763" s="115" t="e">
        <f ca="1"/>
        <v>#VALUE!</v>
      </c>
      <c r="P1763" s="219">
        <f t="shared" ca="1" si="113"/>
        <v>55962</v>
      </c>
      <c r="Q1763" s="115" t="e">
        <f ca="1"/>
        <v>#VALUE!</v>
      </c>
      <c r="S1763" s="219">
        <f t="shared" ca="1" si="114"/>
        <v>55962</v>
      </c>
      <c r="T1763" s="115" t="e">
        <f ca="1"/>
        <v>#VALUE!</v>
      </c>
      <c r="V1763" s="219">
        <f t="shared" ca="1" si="115"/>
        <v>55962</v>
      </c>
      <c r="W1763" s="115" t="e">
        <f ca="1"/>
        <v>#VALUE!</v>
      </c>
    </row>
    <row r="1764" spans="13:23">
      <c r="M1764" s="219">
        <f t="shared" ca="1" si="112"/>
        <v>55969</v>
      </c>
      <c r="N1764" s="115" t="e">
        <f ca="1"/>
        <v>#VALUE!</v>
      </c>
      <c r="P1764" s="219">
        <f t="shared" ca="1" si="113"/>
        <v>55969</v>
      </c>
      <c r="Q1764" s="115" t="e">
        <f ca="1"/>
        <v>#VALUE!</v>
      </c>
      <c r="S1764" s="219">
        <f t="shared" ca="1" si="114"/>
        <v>55969</v>
      </c>
      <c r="T1764" s="115" t="e">
        <f ca="1"/>
        <v>#VALUE!</v>
      </c>
      <c r="V1764" s="219">
        <f t="shared" ca="1" si="115"/>
        <v>55969</v>
      </c>
      <c r="W1764" s="115" t="e">
        <f ca="1"/>
        <v>#VALUE!</v>
      </c>
    </row>
    <row r="1765" spans="13:23">
      <c r="M1765" s="219">
        <f t="shared" ca="1" si="112"/>
        <v>55976</v>
      </c>
      <c r="N1765" s="115" t="e">
        <f ca="1"/>
        <v>#VALUE!</v>
      </c>
      <c r="P1765" s="219">
        <f t="shared" ca="1" si="113"/>
        <v>55976</v>
      </c>
      <c r="Q1765" s="115" t="e">
        <f ca="1"/>
        <v>#VALUE!</v>
      </c>
      <c r="S1765" s="219">
        <f t="shared" ca="1" si="114"/>
        <v>55976</v>
      </c>
      <c r="T1765" s="115" t="e">
        <f ca="1"/>
        <v>#VALUE!</v>
      </c>
      <c r="V1765" s="219">
        <f t="shared" ca="1" si="115"/>
        <v>55976</v>
      </c>
      <c r="W1765" s="115" t="e">
        <f ca="1"/>
        <v>#VALUE!</v>
      </c>
    </row>
    <row r="1766" spans="13:23">
      <c r="M1766" s="219">
        <f t="shared" ca="1" si="112"/>
        <v>55983</v>
      </c>
      <c r="N1766" s="115" t="e">
        <f ca="1"/>
        <v>#VALUE!</v>
      </c>
      <c r="P1766" s="219">
        <f t="shared" ca="1" si="113"/>
        <v>55983</v>
      </c>
      <c r="Q1766" s="115" t="e">
        <f ca="1"/>
        <v>#VALUE!</v>
      </c>
      <c r="S1766" s="219">
        <f t="shared" ca="1" si="114"/>
        <v>55983</v>
      </c>
      <c r="T1766" s="115" t="e">
        <f ca="1"/>
        <v>#VALUE!</v>
      </c>
      <c r="V1766" s="219">
        <f t="shared" ca="1" si="115"/>
        <v>55983</v>
      </c>
      <c r="W1766" s="115" t="e">
        <f ca="1"/>
        <v>#VALUE!</v>
      </c>
    </row>
    <row r="1767" spans="13:23">
      <c r="M1767" s="219">
        <f t="shared" ca="1" si="112"/>
        <v>55990</v>
      </c>
      <c r="N1767" s="115" t="e">
        <f ca="1"/>
        <v>#VALUE!</v>
      </c>
      <c r="P1767" s="219">
        <f t="shared" ca="1" si="113"/>
        <v>55990</v>
      </c>
      <c r="Q1767" s="115" t="e">
        <f ca="1"/>
        <v>#VALUE!</v>
      </c>
      <c r="S1767" s="219">
        <f t="shared" ca="1" si="114"/>
        <v>55990</v>
      </c>
      <c r="T1767" s="115" t="e">
        <f ca="1"/>
        <v>#VALUE!</v>
      </c>
      <c r="V1767" s="219">
        <f t="shared" ca="1" si="115"/>
        <v>55990</v>
      </c>
      <c r="W1767" s="115" t="e">
        <f ca="1"/>
        <v>#VALUE!</v>
      </c>
    </row>
    <row r="1768" spans="13:23">
      <c r="M1768" s="219">
        <f t="shared" ca="1" si="112"/>
        <v>55997</v>
      </c>
      <c r="N1768" s="115" t="e">
        <f ca="1"/>
        <v>#VALUE!</v>
      </c>
      <c r="P1768" s="219">
        <f t="shared" ca="1" si="113"/>
        <v>55997</v>
      </c>
      <c r="Q1768" s="115" t="e">
        <f ca="1"/>
        <v>#VALUE!</v>
      </c>
      <c r="S1768" s="219">
        <f t="shared" ca="1" si="114"/>
        <v>55997</v>
      </c>
      <c r="T1768" s="115" t="e">
        <f ca="1"/>
        <v>#VALUE!</v>
      </c>
      <c r="V1768" s="219">
        <f t="shared" ca="1" si="115"/>
        <v>55997</v>
      </c>
      <c r="W1768" s="115" t="e">
        <f ca="1"/>
        <v>#VALUE!</v>
      </c>
    </row>
    <row r="1769" spans="13:23">
      <c r="M1769" s="219">
        <f t="shared" ca="1" si="112"/>
        <v>56004</v>
      </c>
      <c r="N1769" s="115" t="e">
        <f ca="1"/>
        <v>#VALUE!</v>
      </c>
      <c r="P1769" s="219">
        <f t="shared" ca="1" si="113"/>
        <v>56004</v>
      </c>
      <c r="Q1769" s="115" t="e">
        <f ca="1"/>
        <v>#VALUE!</v>
      </c>
      <c r="S1769" s="219">
        <f t="shared" ca="1" si="114"/>
        <v>56004</v>
      </c>
      <c r="T1769" s="115" t="e">
        <f ca="1"/>
        <v>#VALUE!</v>
      </c>
      <c r="V1769" s="219">
        <f t="shared" ca="1" si="115"/>
        <v>56004</v>
      </c>
      <c r="W1769" s="115" t="e">
        <f ca="1"/>
        <v>#VALUE!</v>
      </c>
    </row>
    <row r="1770" spans="13:23">
      <c r="M1770" s="219">
        <f t="shared" ca="1" si="112"/>
        <v>56011</v>
      </c>
      <c r="N1770" s="115" t="e">
        <f ca="1"/>
        <v>#VALUE!</v>
      </c>
      <c r="P1770" s="219">
        <f t="shared" ca="1" si="113"/>
        <v>56011</v>
      </c>
      <c r="Q1770" s="115" t="e">
        <f ca="1"/>
        <v>#VALUE!</v>
      </c>
      <c r="S1770" s="219">
        <f t="shared" ca="1" si="114"/>
        <v>56011</v>
      </c>
      <c r="T1770" s="115" t="e">
        <f ca="1"/>
        <v>#VALUE!</v>
      </c>
      <c r="V1770" s="219">
        <f t="shared" ca="1" si="115"/>
        <v>56011</v>
      </c>
      <c r="W1770" s="115" t="e">
        <f ca="1"/>
        <v>#VALUE!</v>
      </c>
    </row>
    <row r="1771" spans="13:23">
      <c r="M1771" s="219">
        <f t="shared" ca="1" si="112"/>
        <v>56018</v>
      </c>
      <c r="N1771" s="115" t="e">
        <f ca="1"/>
        <v>#VALUE!</v>
      </c>
      <c r="P1771" s="219">
        <f t="shared" ca="1" si="113"/>
        <v>56018</v>
      </c>
      <c r="Q1771" s="115" t="e">
        <f ca="1"/>
        <v>#VALUE!</v>
      </c>
      <c r="S1771" s="219">
        <f t="shared" ca="1" si="114"/>
        <v>56018</v>
      </c>
      <c r="T1771" s="115" t="e">
        <f ca="1"/>
        <v>#VALUE!</v>
      </c>
      <c r="V1771" s="219">
        <f t="shared" ca="1" si="115"/>
        <v>56018</v>
      </c>
      <c r="W1771" s="115" t="e">
        <f ca="1"/>
        <v>#VALUE!</v>
      </c>
    </row>
    <row r="1772" spans="13:23">
      <c r="M1772" s="219">
        <f t="shared" ca="1" si="112"/>
        <v>56025</v>
      </c>
      <c r="N1772" s="115" t="e">
        <f ca="1"/>
        <v>#VALUE!</v>
      </c>
      <c r="P1772" s="219">
        <f t="shared" ca="1" si="113"/>
        <v>56025</v>
      </c>
      <c r="Q1772" s="115" t="e">
        <f ca="1"/>
        <v>#VALUE!</v>
      </c>
      <c r="S1772" s="219">
        <f t="shared" ca="1" si="114"/>
        <v>56025</v>
      </c>
      <c r="T1772" s="115" t="e">
        <f ca="1"/>
        <v>#VALUE!</v>
      </c>
      <c r="V1772" s="219">
        <f t="shared" ca="1" si="115"/>
        <v>56025</v>
      </c>
      <c r="W1772" s="115" t="e">
        <f ca="1"/>
        <v>#VALUE!</v>
      </c>
    </row>
    <row r="1773" spans="13:23">
      <c r="M1773" s="219">
        <f t="shared" ca="1" si="112"/>
        <v>56032</v>
      </c>
      <c r="N1773" s="115" t="e">
        <f ca="1"/>
        <v>#VALUE!</v>
      </c>
      <c r="P1773" s="219">
        <f t="shared" ca="1" si="113"/>
        <v>56032</v>
      </c>
      <c r="Q1773" s="115" t="e">
        <f ca="1"/>
        <v>#VALUE!</v>
      </c>
      <c r="S1773" s="219">
        <f t="shared" ca="1" si="114"/>
        <v>56032</v>
      </c>
      <c r="T1773" s="115" t="e">
        <f ca="1"/>
        <v>#VALUE!</v>
      </c>
      <c r="V1773" s="219">
        <f t="shared" ca="1" si="115"/>
        <v>56032</v>
      </c>
      <c r="W1773" s="115" t="e">
        <f ca="1"/>
        <v>#VALUE!</v>
      </c>
    </row>
    <row r="1774" spans="13:23">
      <c r="M1774" s="219">
        <f t="shared" ca="1" si="112"/>
        <v>56039</v>
      </c>
      <c r="N1774" s="115" t="e">
        <f ca="1"/>
        <v>#VALUE!</v>
      </c>
      <c r="P1774" s="219">
        <f t="shared" ca="1" si="113"/>
        <v>56039</v>
      </c>
      <c r="Q1774" s="115" t="e">
        <f ca="1"/>
        <v>#VALUE!</v>
      </c>
      <c r="S1774" s="219">
        <f t="shared" ca="1" si="114"/>
        <v>56039</v>
      </c>
      <c r="T1774" s="115" t="e">
        <f ca="1"/>
        <v>#VALUE!</v>
      </c>
      <c r="V1774" s="219">
        <f t="shared" ca="1" si="115"/>
        <v>56039</v>
      </c>
      <c r="W1774" s="115" t="e">
        <f ca="1"/>
        <v>#VALUE!</v>
      </c>
    </row>
    <row r="1775" spans="13:23">
      <c r="M1775" s="219">
        <f t="shared" ca="1" si="112"/>
        <v>56046</v>
      </c>
      <c r="N1775" s="115" t="e">
        <f ca="1"/>
        <v>#VALUE!</v>
      </c>
      <c r="P1775" s="219">
        <f t="shared" ca="1" si="113"/>
        <v>56046</v>
      </c>
      <c r="Q1775" s="115" t="e">
        <f ca="1"/>
        <v>#VALUE!</v>
      </c>
      <c r="S1775" s="219">
        <f t="shared" ca="1" si="114"/>
        <v>56046</v>
      </c>
      <c r="T1775" s="115" t="e">
        <f ca="1"/>
        <v>#VALUE!</v>
      </c>
      <c r="V1775" s="219">
        <f t="shared" ca="1" si="115"/>
        <v>56046</v>
      </c>
      <c r="W1775" s="115" t="e">
        <f ca="1"/>
        <v>#VALUE!</v>
      </c>
    </row>
    <row r="1776" spans="13:23">
      <c r="M1776" s="219">
        <f t="shared" ca="1" si="112"/>
        <v>56053</v>
      </c>
      <c r="N1776" s="115" t="e">
        <f ca="1"/>
        <v>#VALUE!</v>
      </c>
      <c r="P1776" s="219">
        <f t="shared" ca="1" si="113"/>
        <v>56053</v>
      </c>
      <c r="Q1776" s="115" t="e">
        <f ca="1"/>
        <v>#VALUE!</v>
      </c>
      <c r="S1776" s="219">
        <f t="shared" ca="1" si="114"/>
        <v>56053</v>
      </c>
      <c r="T1776" s="115" t="e">
        <f ca="1"/>
        <v>#VALUE!</v>
      </c>
      <c r="V1776" s="219">
        <f t="shared" ca="1" si="115"/>
        <v>56053</v>
      </c>
      <c r="W1776" s="115" t="e">
        <f ca="1"/>
        <v>#VALUE!</v>
      </c>
    </row>
    <row r="1777" spans="13:23">
      <c r="M1777" s="219">
        <f t="shared" ca="1" si="112"/>
        <v>56060</v>
      </c>
      <c r="N1777" s="115" t="e">
        <f ca="1"/>
        <v>#VALUE!</v>
      </c>
      <c r="P1777" s="219">
        <f t="shared" ca="1" si="113"/>
        <v>56060</v>
      </c>
      <c r="Q1777" s="115" t="e">
        <f ca="1"/>
        <v>#VALUE!</v>
      </c>
      <c r="S1777" s="219">
        <f t="shared" ca="1" si="114"/>
        <v>56060</v>
      </c>
      <c r="T1777" s="115" t="e">
        <f ca="1"/>
        <v>#VALUE!</v>
      </c>
      <c r="V1777" s="219">
        <f t="shared" ca="1" si="115"/>
        <v>56060</v>
      </c>
      <c r="W1777" s="115" t="e">
        <f ca="1"/>
        <v>#VALUE!</v>
      </c>
    </row>
    <row r="1778" spans="13:23">
      <c r="M1778" s="219">
        <f t="shared" ca="1" si="112"/>
        <v>56067</v>
      </c>
      <c r="N1778" s="115" t="e">
        <f ca="1"/>
        <v>#VALUE!</v>
      </c>
      <c r="P1778" s="219">
        <f t="shared" ca="1" si="113"/>
        <v>56067</v>
      </c>
      <c r="Q1778" s="115" t="e">
        <f ca="1"/>
        <v>#VALUE!</v>
      </c>
      <c r="S1778" s="219">
        <f t="shared" ca="1" si="114"/>
        <v>56067</v>
      </c>
      <c r="T1778" s="115" t="e">
        <f ca="1"/>
        <v>#VALUE!</v>
      </c>
      <c r="V1778" s="219">
        <f t="shared" ca="1" si="115"/>
        <v>56067</v>
      </c>
      <c r="W1778" s="115" t="e">
        <f ca="1"/>
        <v>#VALUE!</v>
      </c>
    </row>
    <row r="1779" spans="13:23">
      <c r="M1779" s="219">
        <f t="shared" ca="1" si="112"/>
        <v>56074</v>
      </c>
      <c r="N1779" s="115" t="e">
        <f ca="1"/>
        <v>#VALUE!</v>
      </c>
      <c r="P1779" s="219">
        <f t="shared" ca="1" si="113"/>
        <v>56074</v>
      </c>
      <c r="Q1779" s="115" t="e">
        <f ca="1"/>
        <v>#VALUE!</v>
      </c>
      <c r="S1779" s="219">
        <f t="shared" ca="1" si="114"/>
        <v>56074</v>
      </c>
      <c r="T1779" s="115" t="e">
        <f ca="1"/>
        <v>#VALUE!</v>
      </c>
      <c r="V1779" s="219">
        <f t="shared" ca="1" si="115"/>
        <v>56074</v>
      </c>
      <c r="W1779" s="115" t="e">
        <f ca="1"/>
        <v>#VALUE!</v>
      </c>
    </row>
    <row r="1780" spans="13:23">
      <c r="M1780" s="219">
        <f t="shared" ca="1" si="112"/>
        <v>56081</v>
      </c>
      <c r="N1780" s="115" t="e">
        <f ca="1"/>
        <v>#VALUE!</v>
      </c>
      <c r="P1780" s="219">
        <f t="shared" ca="1" si="113"/>
        <v>56081</v>
      </c>
      <c r="Q1780" s="115" t="e">
        <f ca="1"/>
        <v>#VALUE!</v>
      </c>
      <c r="S1780" s="219">
        <f t="shared" ca="1" si="114"/>
        <v>56081</v>
      </c>
      <c r="T1780" s="115" t="e">
        <f ca="1"/>
        <v>#VALUE!</v>
      </c>
      <c r="V1780" s="219">
        <f t="shared" ca="1" si="115"/>
        <v>56081</v>
      </c>
      <c r="W1780" s="115" t="e">
        <f ca="1"/>
        <v>#VALUE!</v>
      </c>
    </row>
    <row r="1781" spans="13:23">
      <c r="M1781" s="219">
        <f t="shared" ca="1" si="112"/>
        <v>56088</v>
      </c>
      <c r="N1781" s="115" t="e">
        <f ca="1"/>
        <v>#VALUE!</v>
      </c>
      <c r="P1781" s="219">
        <f t="shared" ca="1" si="113"/>
        <v>56088</v>
      </c>
      <c r="Q1781" s="115" t="e">
        <f ca="1"/>
        <v>#VALUE!</v>
      </c>
      <c r="S1781" s="219">
        <f t="shared" ca="1" si="114"/>
        <v>56088</v>
      </c>
      <c r="T1781" s="115" t="e">
        <f ca="1"/>
        <v>#VALUE!</v>
      </c>
      <c r="V1781" s="219">
        <f t="shared" ca="1" si="115"/>
        <v>56088</v>
      </c>
      <c r="W1781" s="115" t="e">
        <f ca="1"/>
        <v>#VALUE!</v>
      </c>
    </row>
    <row r="1782" spans="13:23">
      <c r="M1782" s="219">
        <f t="shared" ca="1" si="112"/>
        <v>56095</v>
      </c>
      <c r="N1782" s="115" t="e">
        <f ca="1"/>
        <v>#VALUE!</v>
      </c>
      <c r="P1782" s="219">
        <f t="shared" ca="1" si="113"/>
        <v>56095</v>
      </c>
      <c r="Q1782" s="115" t="e">
        <f ca="1"/>
        <v>#VALUE!</v>
      </c>
      <c r="S1782" s="219">
        <f t="shared" ca="1" si="114"/>
        <v>56095</v>
      </c>
      <c r="T1782" s="115" t="e">
        <f ca="1"/>
        <v>#VALUE!</v>
      </c>
      <c r="V1782" s="219">
        <f t="shared" ca="1" si="115"/>
        <v>56095</v>
      </c>
      <c r="W1782" s="115" t="e">
        <f ca="1"/>
        <v>#VALUE!</v>
      </c>
    </row>
    <row r="1783" spans="13:23">
      <c r="M1783" s="219">
        <f t="shared" ca="1" si="112"/>
        <v>56102</v>
      </c>
      <c r="N1783" s="115" t="e">
        <f ca="1"/>
        <v>#VALUE!</v>
      </c>
      <c r="P1783" s="219">
        <f t="shared" ca="1" si="113"/>
        <v>56102</v>
      </c>
      <c r="Q1783" s="115" t="e">
        <f ca="1"/>
        <v>#VALUE!</v>
      </c>
      <c r="S1783" s="219">
        <f t="shared" ca="1" si="114"/>
        <v>56102</v>
      </c>
      <c r="T1783" s="115" t="e">
        <f ca="1"/>
        <v>#VALUE!</v>
      </c>
      <c r="V1783" s="219">
        <f t="shared" ca="1" si="115"/>
        <v>56102</v>
      </c>
      <c r="W1783" s="115" t="e">
        <f ca="1"/>
        <v>#VALUE!</v>
      </c>
    </row>
    <row r="1784" spans="13:23">
      <c r="M1784" s="219">
        <f t="shared" ca="1" si="112"/>
        <v>56109</v>
      </c>
      <c r="N1784" s="115" t="e">
        <f ca="1"/>
        <v>#VALUE!</v>
      </c>
      <c r="P1784" s="219">
        <f t="shared" ca="1" si="113"/>
        <v>56109</v>
      </c>
      <c r="Q1784" s="115" t="e">
        <f ca="1"/>
        <v>#VALUE!</v>
      </c>
      <c r="S1784" s="219">
        <f t="shared" ca="1" si="114"/>
        <v>56109</v>
      </c>
      <c r="T1784" s="115" t="e">
        <f ca="1"/>
        <v>#VALUE!</v>
      </c>
      <c r="V1784" s="219">
        <f t="shared" ca="1" si="115"/>
        <v>56109</v>
      </c>
      <c r="W1784" s="115" t="e">
        <f ca="1"/>
        <v>#VALUE!</v>
      </c>
    </row>
    <row r="1785" spans="13:23">
      <c r="M1785" s="219">
        <f t="shared" ca="1" si="112"/>
        <v>56116</v>
      </c>
      <c r="N1785" s="115" t="e">
        <f ca="1"/>
        <v>#VALUE!</v>
      </c>
      <c r="P1785" s="219">
        <f t="shared" ca="1" si="113"/>
        <v>56116</v>
      </c>
      <c r="Q1785" s="115" t="e">
        <f ca="1"/>
        <v>#VALUE!</v>
      </c>
      <c r="S1785" s="219">
        <f t="shared" ca="1" si="114"/>
        <v>56116</v>
      </c>
      <c r="T1785" s="115" t="e">
        <f ca="1"/>
        <v>#VALUE!</v>
      </c>
      <c r="V1785" s="219">
        <f t="shared" ca="1" si="115"/>
        <v>56116</v>
      </c>
      <c r="W1785" s="115" t="e">
        <f ca="1"/>
        <v>#VALUE!</v>
      </c>
    </row>
    <row r="1786" spans="13:23">
      <c r="M1786" s="219">
        <f t="shared" ca="1" si="112"/>
        <v>56123</v>
      </c>
      <c r="N1786" s="115" t="e">
        <f ca="1"/>
        <v>#VALUE!</v>
      </c>
      <c r="P1786" s="219">
        <f t="shared" ca="1" si="113"/>
        <v>56123</v>
      </c>
      <c r="Q1786" s="115" t="e">
        <f ca="1"/>
        <v>#VALUE!</v>
      </c>
      <c r="S1786" s="219">
        <f t="shared" ca="1" si="114"/>
        <v>56123</v>
      </c>
      <c r="T1786" s="115" t="e">
        <f ca="1"/>
        <v>#VALUE!</v>
      </c>
      <c r="V1786" s="219">
        <f t="shared" ca="1" si="115"/>
        <v>56123</v>
      </c>
      <c r="W1786" s="115" t="e">
        <f ca="1"/>
        <v>#VALUE!</v>
      </c>
    </row>
    <row r="1787" spans="13:23">
      <c r="M1787" s="219">
        <f t="shared" ca="1" si="112"/>
        <v>56130</v>
      </c>
      <c r="N1787" s="115" t="e">
        <f ca="1"/>
        <v>#VALUE!</v>
      </c>
      <c r="P1787" s="219">
        <f t="shared" ca="1" si="113"/>
        <v>56130</v>
      </c>
      <c r="Q1787" s="115" t="e">
        <f ca="1"/>
        <v>#VALUE!</v>
      </c>
      <c r="S1787" s="219">
        <f t="shared" ca="1" si="114"/>
        <v>56130</v>
      </c>
      <c r="T1787" s="115" t="e">
        <f ca="1"/>
        <v>#VALUE!</v>
      </c>
      <c r="V1787" s="219">
        <f t="shared" ca="1" si="115"/>
        <v>56130</v>
      </c>
      <c r="W1787" s="115" t="e">
        <f ca="1"/>
        <v>#VALUE!</v>
      </c>
    </row>
    <row r="1788" spans="13:23">
      <c r="M1788" s="219">
        <f t="shared" ca="1" si="112"/>
        <v>56137</v>
      </c>
      <c r="N1788" s="115" t="e">
        <f ca="1"/>
        <v>#VALUE!</v>
      </c>
      <c r="P1788" s="219">
        <f t="shared" ca="1" si="113"/>
        <v>56137</v>
      </c>
      <c r="Q1788" s="115" t="e">
        <f ca="1"/>
        <v>#VALUE!</v>
      </c>
      <c r="S1788" s="219">
        <f t="shared" ca="1" si="114"/>
        <v>56137</v>
      </c>
      <c r="T1788" s="115" t="e">
        <f ca="1"/>
        <v>#VALUE!</v>
      </c>
      <c r="V1788" s="219">
        <f t="shared" ca="1" si="115"/>
        <v>56137</v>
      </c>
      <c r="W1788" s="115" t="e">
        <f ca="1"/>
        <v>#VALUE!</v>
      </c>
    </row>
    <row r="1789" spans="13:23">
      <c r="M1789" s="219">
        <f t="shared" ca="1" si="112"/>
        <v>56144</v>
      </c>
      <c r="N1789" s="115" t="e">
        <f ca="1"/>
        <v>#VALUE!</v>
      </c>
      <c r="P1789" s="219">
        <f t="shared" ca="1" si="113"/>
        <v>56144</v>
      </c>
      <c r="Q1789" s="115" t="e">
        <f ca="1"/>
        <v>#VALUE!</v>
      </c>
      <c r="S1789" s="219">
        <f t="shared" ca="1" si="114"/>
        <v>56144</v>
      </c>
      <c r="T1789" s="115" t="e">
        <f ca="1"/>
        <v>#VALUE!</v>
      </c>
      <c r="V1789" s="219">
        <f t="shared" ca="1" si="115"/>
        <v>56144</v>
      </c>
      <c r="W1789" s="115" t="e">
        <f ca="1"/>
        <v>#VALUE!</v>
      </c>
    </row>
    <row r="1790" spans="13:23">
      <c r="M1790" s="219">
        <f t="shared" ca="1" si="112"/>
        <v>56151</v>
      </c>
      <c r="N1790" s="115" t="e">
        <f ca="1"/>
        <v>#VALUE!</v>
      </c>
      <c r="P1790" s="219">
        <f t="shared" ca="1" si="113"/>
        <v>56151</v>
      </c>
      <c r="Q1790" s="115" t="e">
        <f ca="1"/>
        <v>#VALUE!</v>
      </c>
      <c r="S1790" s="219">
        <f t="shared" ca="1" si="114"/>
        <v>56151</v>
      </c>
      <c r="T1790" s="115" t="e">
        <f ca="1"/>
        <v>#VALUE!</v>
      </c>
      <c r="V1790" s="219">
        <f t="shared" ca="1" si="115"/>
        <v>56151</v>
      </c>
      <c r="W1790" s="115" t="e">
        <f ca="1"/>
        <v>#VALUE!</v>
      </c>
    </row>
    <row r="1791" spans="13:23">
      <c r="M1791" s="219">
        <f t="shared" ca="1" si="112"/>
        <v>56158</v>
      </c>
      <c r="N1791" s="115" t="e">
        <f ca="1"/>
        <v>#VALUE!</v>
      </c>
      <c r="P1791" s="219">
        <f t="shared" ca="1" si="113"/>
        <v>56158</v>
      </c>
      <c r="Q1791" s="115" t="e">
        <f ca="1"/>
        <v>#VALUE!</v>
      </c>
      <c r="S1791" s="219">
        <f t="shared" ca="1" si="114"/>
        <v>56158</v>
      </c>
      <c r="T1791" s="115" t="e">
        <f ca="1"/>
        <v>#VALUE!</v>
      </c>
      <c r="V1791" s="219">
        <f t="shared" ca="1" si="115"/>
        <v>56158</v>
      </c>
      <c r="W1791" s="115" t="e">
        <f ca="1"/>
        <v>#VALUE!</v>
      </c>
    </row>
    <row r="1792" spans="13:23">
      <c r="M1792" s="219">
        <f t="shared" ca="1" si="112"/>
        <v>56165</v>
      </c>
      <c r="N1792" s="115" t="e">
        <f ca="1"/>
        <v>#VALUE!</v>
      </c>
      <c r="P1792" s="219">
        <f t="shared" ca="1" si="113"/>
        <v>56165</v>
      </c>
      <c r="Q1792" s="115" t="e">
        <f ca="1"/>
        <v>#VALUE!</v>
      </c>
      <c r="S1792" s="219">
        <f t="shared" ca="1" si="114"/>
        <v>56165</v>
      </c>
      <c r="T1792" s="115" t="e">
        <f ca="1"/>
        <v>#VALUE!</v>
      </c>
      <c r="V1792" s="219">
        <f t="shared" ca="1" si="115"/>
        <v>56165</v>
      </c>
      <c r="W1792" s="115" t="e">
        <f ca="1"/>
        <v>#VALUE!</v>
      </c>
    </row>
    <row r="1793" spans="13:23">
      <c r="M1793" s="219">
        <f t="shared" ca="1" si="112"/>
        <v>56172</v>
      </c>
      <c r="N1793" s="115" t="e">
        <f ca="1"/>
        <v>#VALUE!</v>
      </c>
      <c r="P1793" s="219">
        <f t="shared" ca="1" si="113"/>
        <v>56172</v>
      </c>
      <c r="Q1793" s="115" t="e">
        <f ca="1"/>
        <v>#VALUE!</v>
      </c>
      <c r="S1793" s="219">
        <f t="shared" ca="1" si="114"/>
        <v>56172</v>
      </c>
      <c r="T1793" s="115" t="e">
        <f ca="1"/>
        <v>#VALUE!</v>
      </c>
      <c r="V1793" s="219">
        <f t="shared" ca="1" si="115"/>
        <v>56172</v>
      </c>
      <c r="W1793" s="115" t="e">
        <f ca="1"/>
        <v>#VALUE!</v>
      </c>
    </row>
    <row r="1794" spans="13:23">
      <c r="M1794" s="219">
        <f t="shared" ca="1" si="112"/>
        <v>56179</v>
      </c>
      <c r="N1794" s="115" t="e">
        <f ca="1"/>
        <v>#VALUE!</v>
      </c>
      <c r="P1794" s="219">
        <f t="shared" ca="1" si="113"/>
        <v>56179</v>
      </c>
      <c r="Q1794" s="115" t="e">
        <f ca="1"/>
        <v>#VALUE!</v>
      </c>
      <c r="S1794" s="219">
        <f t="shared" ca="1" si="114"/>
        <v>56179</v>
      </c>
      <c r="T1794" s="115" t="e">
        <f ca="1"/>
        <v>#VALUE!</v>
      </c>
      <c r="V1794" s="219">
        <f t="shared" ca="1" si="115"/>
        <v>56179</v>
      </c>
      <c r="W1794" s="115" t="e">
        <f ca="1"/>
        <v>#VALUE!</v>
      </c>
    </row>
    <row r="1795" spans="13:23">
      <c r="M1795" s="219">
        <f t="shared" ca="1" si="112"/>
        <v>56186</v>
      </c>
      <c r="N1795" s="115" t="e">
        <f ca="1"/>
        <v>#VALUE!</v>
      </c>
      <c r="P1795" s="219">
        <f t="shared" ca="1" si="113"/>
        <v>56186</v>
      </c>
      <c r="Q1795" s="115" t="e">
        <f ca="1"/>
        <v>#VALUE!</v>
      </c>
      <c r="S1795" s="219">
        <f t="shared" ca="1" si="114"/>
        <v>56186</v>
      </c>
      <c r="T1795" s="115" t="e">
        <f ca="1"/>
        <v>#VALUE!</v>
      </c>
      <c r="V1795" s="219">
        <f t="shared" ca="1" si="115"/>
        <v>56186</v>
      </c>
      <c r="W1795" s="115" t="e">
        <f ca="1"/>
        <v>#VALUE!</v>
      </c>
    </row>
    <row r="1796" spans="13:23">
      <c r="M1796" s="219">
        <f t="shared" ca="1" si="112"/>
        <v>56193</v>
      </c>
      <c r="N1796" s="115" t="e">
        <f ca="1"/>
        <v>#VALUE!</v>
      </c>
      <c r="P1796" s="219">
        <f t="shared" ca="1" si="113"/>
        <v>56193</v>
      </c>
      <c r="Q1796" s="115" t="e">
        <f ca="1"/>
        <v>#VALUE!</v>
      </c>
      <c r="S1796" s="219">
        <f t="shared" ca="1" si="114"/>
        <v>56193</v>
      </c>
      <c r="T1796" s="115" t="e">
        <f ca="1"/>
        <v>#VALUE!</v>
      </c>
      <c r="V1796" s="219">
        <f t="shared" ca="1" si="115"/>
        <v>56193</v>
      </c>
      <c r="W1796" s="115" t="e">
        <f ca="1"/>
        <v>#VALUE!</v>
      </c>
    </row>
    <row r="1797" spans="13:23">
      <c r="M1797" s="219">
        <f t="shared" ca="1" si="112"/>
        <v>56200</v>
      </c>
      <c r="N1797" s="115" t="e">
        <f ca="1"/>
        <v>#VALUE!</v>
      </c>
      <c r="P1797" s="219">
        <f t="shared" ca="1" si="113"/>
        <v>56200</v>
      </c>
      <c r="Q1797" s="115" t="e">
        <f ca="1"/>
        <v>#VALUE!</v>
      </c>
      <c r="S1797" s="219">
        <f t="shared" ca="1" si="114"/>
        <v>56200</v>
      </c>
      <c r="T1797" s="115" t="e">
        <f ca="1"/>
        <v>#VALUE!</v>
      </c>
      <c r="V1797" s="219">
        <f t="shared" ca="1" si="115"/>
        <v>56200</v>
      </c>
      <c r="W1797" s="115" t="e">
        <f ca="1"/>
        <v>#VALUE!</v>
      </c>
    </row>
    <row r="1798" spans="13:23">
      <c r="M1798" s="219">
        <f t="shared" ca="1" si="112"/>
        <v>56207</v>
      </c>
      <c r="N1798" s="115" t="e">
        <f ca="1"/>
        <v>#VALUE!</v>
      </c>
      <c r="P1798" s="219">
        <f t="shared" ca="1" si="113"/>
        <v>56207</v>
      </c>
      <c r="Q1798" s="115" t="e">
        <f ca="1"/>
        <v>#VALUE!</v>
      </c>
      <c r="S1798" s="219">
        <f t="shared" ca="1" si="114"/>
        <v>56207</v>
      </c>
      <c r="T1798" s="115" t="e">
        <f ca="1"/>
        <v>#VALUE!</v>
      </c>
      <c r="V1798" s="219">
        <f t="shared" ca="1" si="115"/>
        <v>56207</v>
      </c>
      <c r="W1798" s="115" t="e">
        <f ca="1"/>
        <v>#VALUE!</v>
      </c>
    </row>
    <row r="1799" spans="13:23">
      <c r="M1799" s="219">
        <f t="shared" ca="1" si="112"/>
        <v>56214</v>
      </c>
      <c r="N1799" s="115" t="e">
        <f ca="1"/>
        <v>#VALUE!</v>
      </c>
      <c r="P1799" s="219">
        <f t="shared" ca="1" si="113"/>
        <v>56214</v>
      </c>
      <c r="Q1799" s="115" t="e">
        <f ca="1"/>
        <v>#VALUE!</v>
      </c>
      <c r="S1799" s="219">
        <f t="shared" ca="1" si="114"/>
        <v>56214</v>
      </c>
      <c r="T1799" s="115" t="e">
        <f ca="1"/>
        <v>#VALUE!</v>
      </c>
      <c r="V1799" s="219">
        <f t="shared" ca="1" si="115"/>
        <v>56214</v>
      </c>
      <c r="W1799" s="115" t="e">
        <f ca="1"/>
        <v>#VALUE!</v>
      </c>
    </row>
    <row r="1800" spans="13:23">
      <c r="M1800" s="219">
        <f t="shared" ca="1" si="112"/>
        <v>56221</v>
      </c>
      <c r="N1800" s="115" t="e">
        <f ca="1"/>
        <v>#VALUE!</v>
      </c>
      <c r="P1800" s="219">
        <f t="shared" ca="1" si="113"/>
        <v>56221</v>
      </c>
      <c r="Q1800" s="115" t="e">
        <f ca="1"/>
        <v>#VALUE!</v>
      </c>
      <c r="S1800" s="219">
        <f t="shared" ca="1" si="114"/>
        <v>56221</v>
      </c>
      <c r="T1800" s="115" t="e">
        <f ca="1"/>
        <v>#VALUE!</v>
      </c>
      <c r="V1800" s="219">
        <f t="shared" ca="1" si="115"/>
        <v>56221</v>
      </c>
      <c r="W1800" s="115" t="e">
        <f ca="1"/>
        <v>#VALUE!</v>
      </c>
    </row>
    <row r="1801" spans="13:23">
      <c r="M1801" s="219">
        <f t="shared" ca="1" si="112"/>
        <v>56228</v>
      </c>
      <c r="N1801" s="115" t="e">
        <f ca="1"/>
        <v>#VALUE!</v>
      </c>
      <c r="P1801" s="219">
        <f t="shared" ca="1" si="113"/>
        <v>56228</v>
      </c>
      <c r="Q1801" s="115" t="e">
        <f ca="1"/>
        <v>#VALUE!</v>
      </c>
      <c r="S1801" s="219">
        <f t="shared" ca="1" si="114"/>
        <v>56228</v>
      </c>
      <c r="T1801" s="115" t="e">
        <f ca="1"/>
        <v>#VALUE!</v>
      </c>
      <c r="V1801" s="219">
        <f t="shared" ca="1" si="115"/>
        <v>56228</v>
      </c>
      <c r="W1801" s="115" t="e">
        <f ca="1"/>
        <v>#VALUE!</v>
      </c>
    </row>
    <row r="1802" spans="13:23">
      <c r="M1802" s="219">
        <f t="shared" ca="1" si="112"/>
        <v>56235</v>
      </c>
      <c r="N1802" s="115" t="e">
        <f ca="1"/>
        <v>#VALUE!</v>
      </c>
      <c r="P1802" s="219">
        <f t="shared" ca="1" si="113"/>
        <v>56235</v>
      </c>
      <c r="Q1802" s="115" t="e">
        <f ca="1"/>
        <v>#VALUE!</v>
      </c>
      <c r="S1802" s="219">
        <f t="shared" ca="1" si="114"/>
        <v>56235</v>
      </c>
      <c r="T1802" s="115" t="e">
        <f ca="1"/>
        <v>#VALUE!</v>
      </c>
      <c r="V1802" s="219">
        <f t="shared" ca="1" si="115"/>
        <v>56235</v>
      </c>
      <c r="W1802" s="115" t="e">
        <f ca="1"/>
        <v>#VALUE!</v>
      </c>
    </row>
    <row r="1803" spans="13:23">
      <c r="M1803" s="219">
        <f t="shared" ca="1" si="112"/>
        <v>56242</v>
      </c>
      <c r="N1803" s="115" t="e">
        <f ca="1"/>
        <v>#VALUE!</v>
      </c>
      <c r="P1803" s="219">
        <f t="shared" ca="1" si="113"/>
        <v>56242</v>
      </c>
      <c r="Q1803" s="115" t="e">
        <f ca="1"/>
        <v>#VALUE!</v>
      </c>
      <c r="S1803" s="219">
        <f t="shared" ca="1" si="114"/>
        <v>56242</v>
      </c>
      <c r="T1803" s="115" t="e">
        <f ca="1"/>
        <v>#VALUE!</v>
      </c>
      <c r="V1803" s="219">
        <f t="shared" ca="1" si="115"/>
        <v>56242</v>
      </c>
      <c r="W1803" s="115" t="e">
        <f ca="1"/>
        <v>#VALUE!</v>
      </c>
    </row>
    <row r="1804" spans="13:23">
      <c r="M1804" s="219">
        <f t="shared" ca="1" si="112"/>
        <v>56249</v>
      </c>
      <c r="N1804" s="115" t="e">
        <f ca="1"/>
        <v>#VALUE!</v>
      </c>
      <c r="P1804" s="219">
        <f t="shared" ca="1" si="113"/>
        <v>56249</v>
      </c>
      <c r="Q1804" s="115" t="e">
        <f ca="1"/>
        <v>#VALUE!</v>
      </c>
      <c r="S1804" s="219">
        <f t="shared" ca="1" si="114"/>
        <v>56249</v>
      </c>
      <c r="T1804" s="115" t="e">
        <f ca="1"/>
        <v>#VALUE!</v>
      </c>
      <c r="V1804" s="219">
        <f t="shared" ca="1" si="115"/>
        <v>56249</v>
      </c>
      <c r="W1804" s="115" t="e">
        <f ca="1"/>
        <v>#VALUE!</v>
      </c>
    </row>
    <row r="1805" spans="13:23">
      <c r="M1805" s="219">
        <f t="shared" ref="M1805:M1868" ca="1" si="116">M1804+7</f>
        <v>56256</v>
      </c>
      <c r="N1805" s="115" t="e">
        <f ca="1"/>
        <v>#VALUE!</v>
      </c>
      <c r="P1805" s="219">
        <f t="shared" ca="1" si="113"/>
        <v>56256</v>
      </c>
      <c r="Q1805" s="115" t="e">
        <f ca="1"/>
        <v>#VALUE!</v>
      </c>
      <c r="S1805" s="219">
        <f t="shared" ca="1" si="114"/>
        <v>56256</v>
      </c>
      <c r="T1805" s="115" t="e">
        <f ca="1"/>
        <v>#VALUE!</v>
      </c>
      <c r="V1805" s="219">
        <f t="shared" ca="1" si="115"/>
        <v>56256</v>
      </c>
      <c r="W1805" s="115" t="e">
        <f ca="1"/>
        <v>#VALUE!</v>
      </c>
    </row>
    <row r="1806" spans="13:23">
      <c r="M1806" s="219">
        <f t="shared" ca="1" si="116"/>
        <v>56263</v>
      </c>
      <c r="N1806" s="115" t="e">
        <f ca="1"/>
        <v>#VALUE!</v>
      </c>
      <c r="P1806" s="219">
        <f t="shared" ca="1" si="113"/>
        <v>56263</v>
      </c>
      <c r="Q1806" s="115" t="e">
        <f ca="1"/>
        <v>#VALUE!</v>
      </c>
      <c r="S1806" s="219">
        <f t="shared" ca="1" si="114"/>
        <v>56263</v>
      </c>
      <c r="T1806" s="115" t="e">
        <f ca="1"/>
        <v>#VALUE!</v>
      </c>
      <c r="V1806" s="219">
        <f t="shared" ca="1" si="115"/>
        <v>56263</v>
      </c>
      <c r="W1806" s="115" t="e">
        <f ca="1"/>
        <v>#VALUE!</v>
      </c>
    </row>
    <row r="1807" spans="13:23">
      <c r="M1807" s="219">
        <f t="shared" ca="1" si="116"/>
        <v>56270</v>
      </c>
      <c r="N1807" s="115" t="e">
        <f ca="1"/>
        <v>#VALUE!</v>
      </c>
      <c r="P1807" s="219">
        <f t="shared" ca="1" si="113"/>
        <v>56270</v>
      </c>
      <c r="Q1807" s="115" t="e">
        <f ca="1"/>
        <v>#VALUE!</v>
      </c>
      <c r="S1807" s="219">
        <f t="shared" ca="1" si="114"/>
        <v>56270</v>
      </c>
      <c r="T1807" s="115" t="e">
        <f ca="1"/>
        <v>#VALUE!</v>
      </c>
      <c r="V1807" s="219">
        <f t="shared" ca="1" si="115"/>
        <v>56270</v>
      </c>
      <c r="W1807" s="115" t="e">
        <f ca="1"/>
        <v>#VALUE!</v>
      </c>
    </row>
    <row r="1808" spans="13:23">
      <c r="M1808" s="219">
        <f t="shared" ca="1" si="116"/>
        <v>56277</v>
      </c>
      <c r="N1808" s="115" t="e">
        <f ca="1"/>
        <v>#VALUE!</v>
      </c>
      <c r="P1808" s="219">
        <f t="shared" ca="1" si="113"/>
        <v>56277</v>
      </c>
      <c r="Q1808" s="115" t="e">
        <f ca="1"/>
        <v>#VALUE!</v>
      </c>
      <c r="S1808" s="219">
        <f t="shared" ca="1" si="114"/>
        <v>56277</v>
      </c>
      <c r="T1808" s="115" t="e">
        <f ca="1"/>
        <v>#VALUE!</v>
      </c>
      <c r="V1808" s="219">
        <f t="shared" ca="1" si="115"/>
        <v>56277</v>
      </c>
      <c r="W1808" s="115" t="e">
        <f ca="1"/>
        <v>#VALUE!</v>
      </c>
    </row>
    <row r="1809" spans="13:23">
      <c r="M1809" s="219">
        <f t="shared" ca="1" si="116"/>
        <v>56284</v>
      </c>
      <c r="N1809" s="115" t="e">
        <f ca="1"/>
        <v>#VALUE!</v>
      </c>
      <c r="P1809" s="219">
        <f t="shared" ca="1" si="113"/>
        <v>56284</v>
      </c>
      <c r="Q1809" s="115" t="e">
        <f ca="1"/>
        <v>#VALUE!</v>
      </c>
      <c r="S1809" s="219">
        <f t="shared" ca="1" si="114"/>
        <v>56284</v>
      </c>
      <c r="T1809" s="115" t="e">
        <f ca="1"/>
        <v>#VALUE!</v>
      </c>
      <c r="V1809" s="219">
        <f t="shared" ca="1" si="115"/>
        <v>56284</v>
      </c>
      <c r="W1809" s="115" t="e">
        <f ca="1"/>
        <v>#VALUE!</v>
      </c>
    </row>
    <row r="1810" spans="13:23">
      <c r="M1810" s="219">
        <f t="shared" ca="1" si="116"/>
        <v>56291</v>
      </c>
      <c r="N1810" s="115" t="e">
        <f ca="1"/>
        <v>#VALUE!</v>
      </c>
      <c r="P1810" s="219">
        <f t="shared" ca="1" si="113"/>
        <v>56291</v>
      </c>
      <c r="Q1810" s="115" t="e">
        <f ca="1"/>
        <v>#VALUE!</v>
      </c>
      <c r="S1810" s="219">
        <f t="shared" ca="1" si="114"/>
        <v>56291</v>
      </c>
      <c r="T1810" s="115" t="e">
        <f ca="1"/>
        <v>#VALUE!</v>
      </c>
      <c r="V1810" s="219">
        <f t="shared" ca="1" si="115"/>
        <v>56291</v>
      </c>
      <c r="W1810" s="115" t="e">
        <f ca="1"/>
        <v>#VALUE!</v>
      </c>
    </row>
    <row r="1811" spans="13:23">
      <c r="M1811" s="219">
        <f t="shared" ca="1" si="116"/>
        <v>56298</v>
      </c>
      <c r="N1811" s="115" t="e">
        <f ca="1"/>
        <v>#VALUE!</v>
      </c>
      <c r="P1811" s="219">
        <f t="shared" ca="1" si="113"/>
        <v>56298</v>
      </c>
      <c r="Q1811" s="115" t="e">
        <f ca="1"/>
        <v>#VALUE!</v>
      </c>
      <c r="S1811" s="219">
        <f t="shared" ca="1" si="114"/>
        <v>56298</v>
      </c>
      <c r="T1811" s="115" t="e">
        <f ca="1"/>
        <v>#VALUE!</v>
      </c>
      <c r="V1811" s="219">
        <f t="shared" ca="1" si="115"/>
        <v>56298</v>
      </c>
      <c r="W1811" s="115" t="e">
        <f ca="1"/>
        <v>#VALUE!</v>
      </c>
    </row>
    <row r="1812" spans="13:23">
      <c r="M1812" s="219">
        <f t="shared" ca="1" si="116"/>
        <v>56305</v>
      </c>
      <c r="N1812" s="115" t="e">
        <f ca="1"/>
        <v>#VALUE!</v>
      </c>
      <c r="P1812" s="219">
        <f t="shared" ca="1" si="113"/>
        <v>56305</v>
      </c>
      <c r="Q1812" s="115" t="e">
        <f ca="1"/>
        <v>#VALUE!</v>
      </c>
      <c r="S1812" s="219">
        <f t="shared" ca="1" si="114"/>
        <v>56305</v>
      </c>
      <c r="T1812" s="115" t="e">
        <f ca="1"/>
        <v>#VALUE!</v>
      </c>
      <c r="V1812" s="219">
        <f t="shared" ca="1" si="115"/>
        <v>56305</v>
      </c>
      <c r="W1812" s="115" t="e">
        <f ca="1"/>
        <v>#VALUE!</v>
      </c>
    </row>
    <row r="1813" spans="13:23">
      <c r="M1813" s="219">
        <f t="shared" ca="1" si="116"/>
        <v>56312</v>
      </c>
      <c r="N1813" s="115" t="e">
        <f ca="1"/>
        <v>#VALUE!</v>
      </c>
      <c r="P1813" s="219">
        <f t="shared" ca="1" si="113"/>
        <v>56312</v>
      </c>
      <c r="Q1813" s="115" t="e">
        <f ca="1"/>
        <v>#VALUE!</v>
      </c>
      <c r="S1813" s="219">
        <f t="shared" ca="1" si="114"/>
        <v>56312</v>
      </c>
      <c r="T1813" s="115" t="e">
        <f ca="1"/>
        <v>#VALUE!</v>
      </c>
      <c r="V1813" s="219">
        <f t="shared" ca="1" si="115"/>
        <v>56312</v>
      </c>
      <c r="W1813" s="115" t="e">
        <f ca="1"/>
        <v>#VALUE!</v>
      </c>
    </row>
    <row r="1814" spans="13:23">
      <c r="M1814" s="219">
        <f t="shared" ca="1" si="116"/>
        <v>56319</v>
      </c>
      <c r="N1814" s="115" t="e">
        <f ca="1"/>
        <v>#VALUE!</v>
      </c>
      <c r="P1814" s="219">
        <f t="shared" ca="1" si="113"/>
        <v>56319</v>
      </c>
      <c r="Q1814" s="115" t="e">
        <f ca="1"/>
        <v>#VALUE!</v>
      </c>
      <c r="S1814" s="219">
        <f t="shared" ca="1" si="114"/>
        <v>56319</v>
      </c>
      <c r="T1814" s="115" t="e">
        <f ca="1"/>
        <v>#VALUE!</v>
      </c>
      <c r="V1814" s="219">
        <f t="shared" ca="1" si="115"/>
        <v>56319</v>
      </c>
      <c r="W1814" s="115" t="e">
        <f ca="1"/>
        <v>#VALUE!</v>
      </c>
    </row>
    <row r="1815" spans="13:23">
      <c r="M1815" s="219">
        <f t="shared" ca="1" si="116"/>
        <v>56326</v>
      </c>
      <c r="N1815" s="115" t="e">
        <f ca="1"/>
        <v>#VALUE!</v>
      </c>
      <c r="P1815" s="219">
        <f t="shared" ca="1" si="113"/>
        <v>56326</v>
      </c>
      <c r="Q1815" s="115" t="e">
        <f ca="1"/>
        <v>#VALUE!</v>
      </c>
      <c r="S1815" s="219">
        <f t="shared" ca="1" si="114"/>
        <v>56326</v>
      </c>
      <c r="T1815" s="115" t="e">
        <f ca="1"/>
        <v>#VALUE!</v>
      </c>
      <c r="V1815" s="219">
        <f t="shared" ca="1" si="115"/>
        <v>56326</v>
      </c>
      <c r="W1815" s="115" t="e">
        <f ca="1"/>
        <v>#VALUE!</v>
      </c>
    </row>
    <row r="1816" spans="13:23">
      <c r="M1816" s="219">
        <f t="shared" ca="1" si="116"/>
        <v>56333</v>
      </c>
      <c r="N1816" s="115" t="e">
        <f ca="1"/>
        <v>#VALUE!</v>
      </c>
      <c r="P1816" s="219">
        <f t="shared" ca="1" si="113"/>
        <v>56333</v>
      </c>
      <c r="Q1816" s="115" t="e">
        <f ca="1"/>
        <v>#VALUE!</v>
      </c>
      <c r="S1816" s="219">
        <f t="shared" ca="1" si="114"/>
        <v>56333</v>
      </c>
      <c r="T1816" s="115" t="e">
        <f ca="1"/>
        <v>#VALUE!</v>
      </c>
      <c r="V1816" s="219">
        <f t="shared" ca="1" si="115"/>
        <v>56333</v>
      </c>
      <c r="W1816" s="115" t="e">
        <f ca="1"/>
        <v>#VALUE!</v>
      </c>
    </row>
    <row r="1817" spans="13:23">
      <c r="M1817" s="219">
        <f t="shared" ca="1" si="116"/>
        <v>56340</v>
      </c>
      <c r="N1817" s="115" t="e">
        <f ca="1"/>
        <v>#VALUE!</v>
      </c>
      <c r="P1817" s="219">
        <f t="shared" ca="1" si="113"/>
        <v>56340</v>
      </c>
      <c r="Q1817" s="115" t="e">
        <f ca="1"/>
        <v>#VALUE!</v>
      </c>
      <c r="S1817" s="219">
        <f t="shared" ca="1" si="114"/>
        <v>56340</v>
      </c>
      <c r="T1817" s="115" t="e">
        <f ca="1"/>
        <v>#VALUE!</v>
      </c>
      <c r="V1817" s="219">
        <f t="shared" ca="1" si="115"/>
        <v>56340</v>
      </c>
      <c r="W1817" s="115" t="e">
        <f ca="1"/>
        <v>#VALUE!</v>
      </c>
    </row>
    <row r="1818" spans="13:23">
      <c r="M1818" s="219">
        <f t="shared" ca="1" si="116"/>
        <v>56347</v>
      </c>
      <c r="N1818" s="115" t="e">
        <f ca="1"/>
        <v>#VALUE!</v>
      </c>
      <c r="P1818" s="219">
        <f t="shared" ca="1" si="113"/>
        <v>56347</v>
      </c>
      <c r="Q1818" s="115" t="e">
        <f ca="1"/>
        <v>#VALUE!</v>
      </c>
      <c r="S1818" s="219">
        <f t="shared" ca="1" si="114"/>
        <v>56347</v>
      </c>
      <c r="T1818" s="115" t="e">
        <f ca="1"/>
        <v>#VALUE!</v>
      </c>
      <c r="V1818" s="219">
        <f t="shared" ca="1" si="115"/>
        <v>56347</v>
      </c>
      <c r="W1818" s="115" t="e">
        <f ca="1"/>
        <v>#VALUE!</v>
      </c>
    </row>
    <row r="1819" spans="13:23">
      <c r="M1819" s="219">
        <f t="shared" ca="1" si="116"/>
        <v>56354</v>
      </c>
      <c r="N1819" s="115" t="e">
        <f ca="1"/>
        <v>#VALUE!</v>
      </c>
      <c r="P1819" s="219">
        <f t="shared" ca="1" si="113"/>
        <v>56354</v>
      </c>
      <c r="Q1819" s="115" t="e">
        <f ca="1"/>
        <v>#VALUE!</v>
      </c>
      <c r="S1819" s="219">
        <f t="shared" ca="1" si="114"/>
        <v>56354</v>
      </c>
      <c r="T1819" s="115" t="e">
        <f ca="1"/>
        <v>#VALUE!</v>
      </c>
      <c r="V1819" s="219">
        <f t="shared" ca="1" si="115"/>
        <v>56354</v>
      </c>
      <c r="W1819" s="115" t="e">
        <f ca="1"/>
        <v>#VALUE!</v>
      </c>
    </row>
    <row r="1820" spans="13:23">
      <c r="M1820" s="219">
        <f t="shared" ca="1" si="116"/>
        <v>56361</v>
      </c>
      <c r="N1820" s="115" t="e">
        <f ca="1"/>
        <v>#VALUE!</v>
      </c>
      <c r="P1820" s="219">
        <f t="shared" ca="1" si="113"/>
        <v>56361</v>
      </c>
      <c r="Q1820" s="115" t="e">
        <f ca="1"/>
        <v>#VALUE!</v>
      </c>
      <c r="S1820" s="219">
        <f t="shared" ca="1" si="114"/>
        <v>56361</v>
      </c>
      <c r="T1820" s="115" t="e">
        <f ca="1"/>
        <v>#VALUE!</v>
      </c>
      <c r="V1820" s="219">
        <f t="shared" ca="1" si="115"/>
        <v>56361</v>
      </c>
      <c r="W1820" s="115" t="e">
        <f ca="1"/>
        <v>#VALUE!</v>
      </c>
    </row>
    <row r="1821" spans="13:23">
      <c r="M1821" s="219">
        <f t="shared" ca="1" si="116"/>
        <v>56368</v>
      </c>
      <c r="N1821" s="115" t="e">
        <f ca="1"/>
        <v>#VALUE!</v>
      </c>
      <c r="P1821" s="219">
        <f t="shared" ref="P1821:P1884" ca="1" si="117">P1820+7</f>
        <v>56368</v>
      </c>
      <c r="Q1821" s="115" t="e">
        <f ca="1"/>
        <v>#VALUE!</v>
      </c>
      <c r="S1821" s="219">
        <f t="shared" ref="S1821:S1884" ca="1" si="118">S1820+7</f>
        <v>56368</v>
      </c>
      <c r="T1821" s="115" t="e">
        <f ca="1"/>
        <v>#VALUE!</v>
      </c>
      <c r="V1821" s="219">
        <f t="shared" ref="V1821:V1884" ca="1" si="119">V1820+7</f>
        <v>56368</v>
      </c>
      <c r="W1821" s="115" t="e">
        <f ca="1"/>
        <v>#VALUE!</v>
      </c>
    </row>
    <row r="1822" spans="13:23">
      <c r="M1822" s="219">
        <f t="shared" ca="1" si="116"/>
        <v>56375</v>
      </c>
      <c r="N1822" s="115" t="e">
        <f ca="1"/>
        <v>#VALUE!</v>
      </c>
      <c r="P1822" s="219">
        <f t="shared" ca="1" si="117"/>
        <v>56375</v>
      </c>
      <c r="Q1822" s="115" t="e">
        <f ca="1"/>
        <v>#VALUE!</v>
      </c>
      <c r="S1822" s="219">
        <f t="shared" ca="1" si="118"/>
        <v>56375</v>
      </c>
      <c r="T1822" s="115" t="e">
        <f ca="1"/>
        <v>#VALUE!</v>
      </c>
      <c r="V1822" s="219">
        <f t="shared" ca="1" si="119"/>
        <v>56375</v>
      </c>
      <c r="W1822" s="115" t="e">
        <f ca="1"/>
        <v>#VALUE!</v>
      </c>
    </row>
    <row r="1823" spans="13:23">
      <c r="M1823" s="219">
        <f t="shared" ca="1" si="116"/>
        <v>56382</v>
      </c>
      <c r="N1823" s="115" t="e">
        <f ca="1"/>
        <v>#VALUE!</v>
      </c>
      <c r="P1823" s="219">
        <f t="shared" ca="1" si="117"/>
        <v>56382</v>
      </c>
      <c r="Q1823" s="115" t="e">
        <f ca="1"/>
        <v>#VALUE!</v>
      </c>
      <c r="S1823" s="219">
        <f t="shared" ca="1" si="118"/>
        <v>56382</v>
      </c>
      <c r="T1823" s="115" t="e">
        <f ca="1"/>
        <v>#VALUE!</v>
      </c>
      <c r="V1823" s="219">
        <f t="shared" ca="1" si="119"/>
        <v>56382</v>
      </c>
      <c r="W1823" s="115" t="e">
        <f ca="1"/>
        <v>#VALUE!</v>
      </c>
    </row>
    <row r="1824" spans="13:23">
      <c r="M1824" s="219">
        <f t="shared" ca="1" si="116"/>
        <v>56389</v>
      </c>
      <c r="N1824" s="115" t="e">
        <f ca="1"/>
        <v>#VALUE!</v>
      </c>
      <c r="P1824" s="219">
        <f t="shared" ca="1" si="117"/>
        <v>56389</v>
      </c>
      <c r="Q1824" s="115" t="e">
        <f ca="1"/>
        <v>#VALUE!</v>
      </c>
      <c r="S1824" s="219">
        <f t="shared" ca="1" si="118"/>
        <v>56389</v>
      </c>
      <c r="T1824" s="115" t="e">
        <f ca="1"/>
        <v>#VALUE!</v>
      </c>
      <c r="V1824" s="219">
        <f t="shared" ca="1" si="119"/>
        <v>56389</v>
      </c>
      <c r="W1824" s="115" t="e">
        <f ca="1"/>
        <v>#VALUE!</v>
      </c>
    </row>
    <row r="1825" spans="13:23">
      <c r="M1825" s="219">
        <f t="shared" ca="1" si="116"/>
        <v>56396</v>
      </c>
      <c r="N1825" s="115" t="e">
        <f ca="1"/>
        <v>#VALUE!</v>
      </c>
      <c r="P1825" s="219">
        <f t="shared" ca="1" si="117"/>
        <v>56396</v>
      </c>
      <c r="Q1825" s="115" t="e">
        <f ca="1"/>
        <v>#VALUE!</v>
      </c>
      <c r="S1825" s="219">
        <f t="shared" ca="1" si="118"/>
        <v>56396</v>
      </c>
      <c r="T1825" s="115" t="e">
        <f ca="1"/>
        <v>#VALUE!</v>
      </c>
      <c r="V1825" s="219">
        <f t="shared" ca="1" si="119"/>
        <v>56396</v>
      </c>
      <c r="W1825" s="115" t="e">
        <f ca="1"/>
        <v>#VALUE!</v>
      </c>
    </row>
    <row r="1826" spans="13:23">
      <c r="M1826" s="219">
        <f t="shared" ca="1" si="116"/>
        <v>56403</v>
      </c>
      <c r="N1826" s="115" t="e">
        <f ca="1"/>
        <v>#VALUE!</v>
      </c>
      <c r="P1826" s="219">
        <f t="shared" ca="1" si="117"/>
        <v>56403</v>
      </c>
      <c r="Q1826" s="115" t="e">
        <f ca="1"/>
        <v>#VALUE!</v>
      </c>
      <c r="S1826" s="219">
        <f t="shared" ca="1" si="118"/>
        <v>56403</v>
      </c>
      <c r="T1826" s="115" t="e">
        <f ca="1"/>
        <v>#VALUE!</v>
      </c>
      <c r="V1826" s="219">
        <f t="shared" ca="1" si="119"/>
        <v>56403</v>
      </c>
      <c r="W1826" s="115" t="e">
        <f ca="1"/>
        <v>#VALUE!</v>
      </c>
    </row>
    <row r="1827" spans="13:23">
      <c r="M1827" s="219">
        <f t="shared" ca="1" si="116"/>
        <v>56410</v>
      </c>
      <c r="N1827" s="115" t="e">
        <f ca="1"/>
        <v>#VALUE!</v>
      </c>
      <c r="P1827" s="219">
        <f t="shared" ca="1" si="117"/>
        <v>56410</v>
      </c>
      <c r="Q1827" s="115" t="e">
        <f ca="1"/>
        <v>#VALUE!</v>
      </c>
      <c r="S1827" s="219">
        <f t="shared" ca="1" si="118"/>
        <v>56410</v>
      </c>
      <c r="T1827" s="115" t="e">
        <f ca="1"/>
        <v>#VALUE!</v>
      </c>
      <c r="V1827" s="219">
        <f t="shared" ca="1" si="119"/>
        <v>56410</v>
      </c>
      <c r="W1827" s="115" t="e">
        <f ca="1"/>
        <v>#VALUE!</v>
      </c>
    </row>
    <row r="1828" spans="13:23">
      <c r="M1828" s="219">
        <f t="shared" ca="1" si="116"/>
        <v>56417</v>
      </c>
      <c r="N1828" s="115" t="e">
        <f ca="1"/>
        <v>#VALUE!</v>
      </c>
      <c r="P1828" s="219">
        <f t="shared" ca="1" si="117"/>
        <v>56417</v>
      </c>
      <c r="Q1828" s="115" t="e">
        <f ca="1"/>
        <v>#VALUE!</v>
      </c>
      <c r="S1828" s="219">
        <f t="shared" ca="1" si="118"/>
        <v>56417</v>
      </c>
      <c r="T1828" s="115" t="e">
        <f ca="1"/>
        <v>#VALUE!</v>
      </c>
      <c r="V1828" s="219">
        <f t="shared" ca="1" si="119"/>
        <v>56417</v>
      </c>
      <c r="W1828" s="115" t="e">
        <f ca="1"/>
        <v>#VALUE!</v>
      </c>
    </row>
    <row r="1829" spans="13:23">
      <c r="M1829" s="219">
        <f t="shared" ca="1" si="116"/>
        <v>56424</v>
      </c>
      <c r="N1829" s="115" t="e">
        <f ca="1"/>
        <v>#VALUE!</v>
      </c>
      <c r="P1829" s="219">
        <f t="shared" ca="1" si="117"/>
        <v>56424</v>
      </c>
      <c r="Q1829" s="115" t="e">
        <f ca="1"/>
        <v>#VALUE!</v>
      </c>
      <c r="S1829" s="219">
        <f t="shared" ca="1" si="118"/>
        <v>56424</v>
      </c>
      <c r="T1829" s="115" t="e">
        <f ca="1"/>
        <v>#VALUE!</v>
      </c>
      <c r="V1829" s="219">
        <f t="shared" ca="1" si="119"/>
        <v>56424</v>
      </c>
      <c r="W1829" s="115" t="e">
        <f ca="1"/>
        <v>#VALUE!</v>
      </c>
    </row>
    <row r="1830" spans="13:23">
      <c r="M1830" s="219">
        <f t="shared" ca="1" si="116"/>
        <v>56431</v>
      </c>
      <c r="N1830" s="115" t="e">
        <f ca="1"/>
        <v>#VALUE!</v>
      </c>
      <c r="P1830" s="219">
        <f t="shared" ca="1" si="117"/>
        <v>56431</v>
      </c>
      <c r="Q1830" s="115" t="e">
        <f ca="1"/>
        <v>#VALUE!</v>
      </c>
      <c r="S1830" s="219">
        <f t="shared" ca="1" si="118"/>
        <v>56431</v>
      </c>
      <c r="T1830" s="115" t="e">
        <f ca="1"/>
        <v>#VALUE!</v>
      </c>
      <c r="V1830" s="219">
        <f t="shared" ca="1" si="119"/>
        <v>56431</v>
      </c>
      <c r="W1830" s="115" t="e">
        <f ca="1"/>
        <v>#VALUE!</v>
      </c>
    </row>
    <row r="1831" spans="13:23">
      <c r="M1831" s="219">
        <f t="shared" ca="1" si="116"/>
        <v>56438</v>
      </c>
      <c r="N1831" s="115" t="e">
        <f ca="1"/>
        <v>#VALUE!</v>
      </c>
      <c r="P1831" s="219">
        <f t="shared" ca="1" si="117"/>
        <v>56438</v>
      </c>
      <c r="Q1831" s="115" t="e">
        <f ca="1"/>
        <v>#VALUE!</v>
      </c>
      <c r="S1831" s="219">
        <f t="shared" ca="1" si="118"/>
        <v>56438</v>
      </c>
      <c r="T1831" s="115" t="e">
        <f ca="1"/>
        <v>#VALUE!</v>
      </c>
      <c r="V1831" s="219">
        <f t="shared" ca="1" si="119"/>
        <v>56438</v>
      </c>
      <c r="W1831" s="115" t="e">
        <f ca="1"/>
        <v>#VALUE!</v>
      </c>
    </row>
    <row r="1832" spans="13:23">
      <c r="M1832" s="219">
        <f t="shared" ca="1" si="116"/>
        <v>56445</v>
      </c>
      <c r="N1832" s="115" t="e">
        <f ca="1"/>
        <v>#VALUE!</v>
      </c>
      <c r="P1832" s="219">
        <f t="shared" ca="1" si="117"/>
        <v>56445</v>
      </c>
      <c r="Q1832" s="115" t="e">
        <f ca="1"/>
        <v>#VALUE!</v>
      </c>
      <c r="S1832" s="219">
        <f t="shared" ca="1" si="118"/>
        <v>56445</v>
      </c>
      <c r="T1832" s="115" t="e">
        <f ca="1"/>
        <v>#VALUE!</v>
      </c>
      <c r="V1832" s="219">
        <f t="shared" ca="1" si="119"/>
        <v>56445</v>
      </c>
      <c r="W1832" s="115" t="e">
        <f ca="1"/>
        <v>#VALUE!</v>
      </c>
    </row>
    <row r="1833" spans="13:23">
      <c r="M1833" s="219">
        <f t="shared" ca="1" si="116"/>
        <v>56452</v>
      </c>
      <c r="N1833" s="115" t="e">
        <f ca="1"/>
        <v>#VALUE!</v>
      </c>
      <c r="P1833" s="219">
        <f t="shared" ca="1" si="117"/>
        <v>56452</v>
      </c>
      <c r="Q1833" s="115" t="e">
        <f ca="1"/>
        <v>#VALUE!</v>
      </c>
      <c r="S1833" s="219">
        <f t="shared" ca="1" si="118"/>
        <v>56452</v>
      </c>
      <c r="T1833" s="115" t="e">
        <f ca="1"/>
        <v>#VALUE!</v>
      </c>
      <c r="V1833" s="219">
        <f t="shared" ca="1" si="119"/>
        <v>56452</v>
      </c>
      <c r="W1833" s="115" t="e">
        <f ca="1"/>
        <v>#VALUE!</v>
      </c>
    </row>
    <row r="1834" spans="13:23">
      <c r="M1834" s="219">
        <f t="shared" ca="1" si="116"/>
        <v>56459</v>
      </c>
      <c r="N1834" s="115" t="e">
        <f ca="1"/>
        <v>#VALUE!</v>
      </c>
      <c r="P1834" s="219">
        <f t="shared" ca="1" si="117"/>
        <v>56459</v>
      </c>
      <c r="Q1834" s="115" t="e">
        <f ca="1"/>
        <v>#VALUE!</v>
      </c>
      <c r="S1834" s="219">
        <f t="shared" ca="1" si="118"/>
        <v>56459</v>
      </c>
      <c r="T1834" s="115" t="e">
        <f ca="1"/>
        <v>#VALUE!</v>
      </c>
      <c r="V1834" s="219">
        <f t="shared" ca="1" si="119"/>
        <v>56459</v>
      </c>
      <c r="W1834" s="115" t="e">
        <f ca="1"/>
        <v>#VALUE!</v>
      </c>
    </row>
    <row r="1835" spans="13:23">
      <c r="M1835" s="219">
        <f t="shared" ca="1" si="116"/>
        <v>56466</v>
      </c>
      <c r="N1835" s="115" t="e">
        <f ca="1"/>
        <v>#VALUE!</v>
      </c>
      <c r="P1835" s="219">
        <f t="shared" ca="1" si="117"/>
        <v>56466</v>
      </c>
      <c r="Q1835" s="115" t="e">
        <f ca="1"/>
        <v>#VALUE!</v>
      </c>
      <c r="S1835" s="219">
        <f t="shared" ca="1" si="118"/>
        <v>56466</v>
      </c>
      <c r="T1835" s="115" t="e">
        <f ca="1"/>
        <v>#VALUE!</v>
      </c>
      <c r="V1835" s="219">
        <f t="shared" ca="1" si="119"/>
        <v>56466</v>
      </c>
      <c r="W1835" s="115" t="e">
        <f ca="1"/>
        <v>#VALUE!</v>
      </c>
    </row>
    <row r="1836" spans="13:23">
      <c r="M1836" s="219">
        <f t="shared" ca="1" si="116"/>
        <v>56473</v>
      </c>
      <c r="N1836" s="115" t="e">
        <f ca="1"/>
        <v>#VALUE!</v>
      </c>
      <c r="P1836" s="219">
        <f t="shared" ca="1" si="117"/>
        <v>56473</v>
      </c>
      <c r="Q1836" s="115" t="e">
        <f ca="1"/>
        <v>#VALUE!</v>
      </c>
      <c r="S1836" s="219">
        <f t="shared" ca="1" si="118"/>
        <v>56473</v>
      </c>
      <c r="T1836" s="115" t="e">
        <f ca="1"/>
        <v>#VALUE!</v>
      </c>
      <c r="V1836" s="219">
        <f t="shared" ca="1" si="119"/>
        <v>56473</v>
      </c>
      <c r="W1836" s="115" t="e">
        <f ca="1"/>
        <v>#VALUE!</v>
      </c>
    </row>
    <row r="1837" spans="13:23">
      <c r="M1837" s="219">
        <f t="shared" ca="1" si="116"/>
        <v>56480</v>
      </c>
      <c r="N1837" s="115" t="e">
        <f ca="1"/>
        <v>#VALUE!</v>
      </c>
      <c r="P1837" s="219">
        <f t="shared" ca="1" si="117"/>
        <v>56480</v>
      </c>
      <c r="Q1837" s="115" t="e">
        <f ca="1"/>
        <v>#VALUE!</v>
      </c>
      <c r="S1837" s="219">
        <f t="shared" ca="1" si="118"/>
        <v>56480</v>
      </c>
      <c r="T1837" s="115" t="e">
        <f ca="1"/>
        <v>#VALUE!</v>
      </c>
      <c r="V1837" s="219">
        <f t="shared" ca="1" si="119"/>
        <v>56480</v>
      </c>
      <c r="W1837" s="115" t="e">
        <f ca="1"/>
        <v>#VALUE!</v>
      </c>
    </row>
    <row r="1838" spans="13:23">
      <c r="M1838" s="219">
        <f t="shared" ca="1" si="116"/>
        <v>56487</v>
      </c>
      <c r="N1838" s="115" t="e">
        <f ca="1"/>
        <v>#VALUE!</v>
      </c>
      <c r="P1838" s="219">
        <f t="shared" ca="1" si="117"/>
        <v>56487</v>
      </c>
      <c r="Q1838" s="115" t="e">
        <f ca="1"/>
        <v>#VALUE!</v>
      </c>
      <c r="S1838" s="219">
        <f t="shared" ca="1" si="118"/>
        <v>56487</v>
      </c>
      <c r="T1838" s="115" t="e">
        <f ca="1"/>
        <v>#VALUE!</v>
      </c>
      <c r="V1838" s="219">
        <f t="shared" ca="1" si="119"/>
        <v>56487</v>
      </c>
      <c r="W1838" s="115" t="e">
        <f ca="1"/>
        <v>#VALUE!</v>
      </c>
    </row>
    <row r="1839" spans="13:23">
      <c r="M1839" s="219">
        <f t="shared" ca="1" si="116"/>
        <v>56494</v>
      </c>
      <c r="N1839" s="115" t="e">
        <f ca="1"/>
        <v>#VALUE!</v>
      </c>
      <c r="P1839" s="219">
        <f t="shared" ca="1" si="117"/>
        <v>56494</v>
      </c>
      <c r="Q1839" s="115" t="e">
        <f ca="1"/>
        <v>#VALUE!</v>
      </c>
      <c r="S1839" s="219">
        <f t="shared" ca="1" si="118"/>
        <v>56494</v>
      </c>
      <c r="T1839" s="115" t="e">
        <f ca="1"/>
        <v>#VALUE!</v>
      </c>
      <c r="V1839" s="219">
        <f t="shared" ca="1" si="119"/>
        <v>56494</v>
      </c>
      <c r="W1839" s="115" t="e">
        <f ca="1"/>
        <v>#VALUE!</v>
      </c>
    </row>
    <row r="1840" spans="13:23">
      <c r="M1840" s="219">
        <f t="shared" ca="1" si="116"/>
        <v>56501</v>
      </c>
      <c r="N1840" s="115" t="e">
        <f ca="1"/>
        <v>#VALUE!</v>
      </c>
      <c r="P1840" s="219">
        <f t="shared" ca="1" si="117"/>
        <v>56501</v>
      </c>
      <c r="Q1840" s="115" t="e">
        <f ca="1"/>
        <v>#VALUE!</v>
      </c>
      <c r="S1840" s="219">
        <f t="shared" ca="1" si="118"/>
        <v>56501</v>
      </c>
      <c r="T1840" s="115" t="e">
        <f ca="1"/>
        <v>#VALUE!</v>
      </c>
      <c r="V1840" s="219">
        <f t="shared" ca="1" si="119"/>
        <v>56501</v>
      </c>
      <c r="W1840" s="115" t="e">
        <f ca="1"/>
        <v>#VALUE!</v>
      </c>
    </row>
    <row r="1841" spans="13:23">
      <c r="M1841" s="219">
        <f t="shared" ca="1" si="116"/>
        <v>56508</v>
      </c>
      <c r="N1841" s="115" t="e">
        <f ca="1"/>
        <v>#VALUE!</v>
      </c>
      <c r="P1841" s="219">
        <f t="shared" ca="1" si="117"/>
        <v>56508</v>
      </c>
      <c r="Q1841" s="115" t="e">
        <f ca="1"/>
        <v>#VALUE!</v>
      </c>
      <c r="S1841" s="219">
        <f t="shared" ca="1" si="118"/>
        <v>56508</v>
      </c>
      <c r="T1841" s="115" t="e">
        <f ca="1"/>
        <v>#VALUE!</v>
      </c>
      <c r="V1841" s="219">
        <f t="shared" ca="1" si="119"/>
        <v>56508</v>
      </c>
      <c r="W1841" s="115" t="e">
        <f ca="1"/>
        <v>#VALUE!</v>
      </c>
    </row>
    <row r="1842" spans="13:23">
      <c r="M1842" s="219">
        <f t="shared" ca="1" si="116"/>
        <v>56515</v>
      </c>
      <c r="N1842" s="115" t="e">
        <f ca="1"/>
        <v>#VALUE!</v>
      </c>
      <c r="P1842" s="219">
        <f t="shared" ca="1" si="117"/>
        <v>56515</v>
      </c>
      <c r="Q1842" s="115" t="e">
        <f ca="1"/>
        <v>#VALUE!</v>
      </c>
      <c r="S1842" s="219">
        <f t="shared" ca="1" si="118"/>
        <v>56515</v>
      </c>
      <c r="T1842" s="115" t="e">
        <f ca="1"/>
        <v>#VALUE!</v>
      </c>
      <c r="V1842" s="219">
        <f t="shared" ca="1" si="119"/>
        <v>56515</v>
      </c>
      <c r="W1842" s="115" t="e">
        <f ca="1"/>
        <v>#VALUE!</v>
      </c>
    </row>
    <row r="1843" spans="13:23">
      <c r="M1843" s="219">
        <f t="shared" ca="1" si="116"/>
        <v>56522</v>
      </c>
      <c r="N1843" s="115" t="e">
        <f ca="1"/>
        <v>#VALUE!</v>
      </c>
      <c r="P1843" s="219">
        <f t="shared" ca="1" si="117"/>
        <v>56522</v>
      </c>
      <c r="Q1843" s="115" t="e">
        <f ca="1"/>
        <v>#VALUE!</v>
      </c>
      <c r="S1843" s="219">
        <f t="shared" ca="1" si="118"/>
        <v>56522</v>
      </c>
      <c r="T1843" s="115" t="e">
        <f ca="1"/>
        <v>#VALUE!</v>
      </c>
      <c r="V1843" s="219">
        <f t="shared" ca="1" si="119"/>
        <v>56522</v>
      </c>
      <c r="W1843" s="115" t="e">
        <f ca="1"/>
        <v>#VALUE!</v>
      </c>
    </row>
    <row r="1844" spans="13:23">
      <c r="M1844" s="219">
        <f t="shared" ca="1" si="116"/>
        <v>56529</v>
      </c>
      <c r="N1844" s="115" t="e">
        <f ca="1"/>
        <v>#VALUE!</v>
      </c>
      <c r="P1844" s="219">
        <f t="shared" ca="1" si="117"/>
        <v>56529</v>
      </c>
      <c r="Q1844" s="115" t="e">
        <f ca="1"/>
        <v>#VALUE!</v>
      </c>
      <c r="S1844" s="219">
        <f t="shared" ca="1" si="118"/>
        <v>56529</v>
      </c>
      <c r="T1844" s="115" t="e">
        <f ca="1"/>
        <v>#VALUE!</v>
      </c>
      <c r="V1844" s="219">
        <f t="shared" ca="1" si="119"/>
        <v>56529</v>
      </c>
      <c r="W1844" s="115" t="e">
        <f ca="1"/>
        <v>#VALUE!</v>
      </c>
    </row>
    <row r="1845" spans="13:23">
      <c r="M1845" s="219">
        <f t="shared" ca="1" si="116"/>
        <v>56536</v>
      </c>
      <c r="N1845" s="115" t="e">
        <f ca="1"/>
        <v>#VALUE!</v>
      </c>
      <c r="P1845" s="219">
        <f t="shared" ca="1" si="117"/>
        <v>56536</v>
      </c>
      <c r="Q1845" s="115" t="e">
        <f ca="1"/>
        <v>#VALUE!</v>
      </c>
      <c r="S1845" s="219">
        <f t="shared" ca="1" si="118"/>
        <v>56536</v>
      </c>
      <c r="T1845" s="115" t="e">
        <f ca="1"/>
        <v>#VALUE!</v>
      </c>
      <c r="V1845" s="219">
        <f t="shared" ca="1" si="119"/>
        <v>56536</v>
      </c>
      <c r="W1845" s="115" t="e">
        <f ca="1"/>
        <v>#VALUE!</v>
      </c>
    </row>
    <row r="1846" spans="13:23">
      <c r="M1846" s="219">
        <f t="shared" ca="1" si="116"/>
        <v>56543</v>
      </c>
      <c r="N1846" s="115" t="e">
        <f ca="1"/>
        <v>#VALUE!</v>
      </c>
      <c r="P1846" s="219">
        <f t="shared" ca="1" si="117"/>
        <v>56543</v>
      </c>
      <c r="Q1846" s="115" t="e">
        <f ca="1"/>
        <v>#VALUE!</v>
      </c>
      <c r="S1846" s="219">
        <f t="shared" ca="1" si="118"/>
        <v>56543</v>
      </c>
      <c r="T1846" s="115" t="e">
        <f ca="1"/>
        <v>#VALUE!</v>
      </c>
      <c r="V1846" s="219">
        <f t="shared" ca="1" si="119"/>
        <v>56543</v>
      </c>
      <c r="W1846" s="115" t="e">
        <f ca="1"/>
        <v>#VALUE!</v>
      </c>
    </row>
    <row r="1847" spans="13:23">
      <c r="M1847" s="219">
        <f t="shared" ca="1" si="116"/>
        <v>56550</v>
      </c>
      <c r="N1847" s="115" t="e">
        <f ca="1"/>
        <v>#VALUE!</v>
      </c>
      <c r="P1847" s="219">
        <f t="shared" ca="1" si="117"/>
        <v>56550</v>
      </c>
      <c r="Q1847" s="115" t="e">
        <f ca="1"/>
        <v>#VALUE!</v>
      </c>
      <c r="S1847" s="219">
        <f t="shared" ca="1" si="118"/>
        <v>56550</v>
      </c>
      <c r="T1847" s="115" t="e">
        <f ca="1"/>
        <v>#VALUE!</v>
      </c>
      <c r="V1847" s="219">
        <f t="shared" ca="1" si="119"/>
        <v>56550</v>
      </c>
      <c r="W1847" s="115" t="e">
        <f ca="1"/>
        <v>#VALUE!</v>
      </c>
    </row>
    <row r="1848" spans="13:23">
      <c r="M1848" s="219">
        <f t="shared" ca="1" si="116"/>
        <v>56557</v>
      </c>
      <c r="N1848" s="115" t="e">
        <f ca="1"/>
        <v>#VALUE!</v>
      </c>
      <c r="P1848" s="219">
        <f t="shared" ca="1" si="117"/>
        <v>56557</v>
      </c>
      <c r="Q1848" s="115" t="e">
        <f ca="1"/>
        <v>#VALUE!</v>
      </c>
      <c r="S1848" s="219">
        <f t="shared" ca="1" si="118"/>
        <v>56557</v>
      </c>
      <c r="T1848" s="115" t="e">
        <f ca="1"/>
        <v>#VALUE!</v>
      </c>
      <c r="V1848" s="219">
        <f t="shared" ca="1" si="119"/>
        <v>56557</v>
      </c>
      <c r="W1848" s="115" t="e">
        <f ca="1"/>
        <v>#VALUE!</v>
      </c>
    </row>
    <row r="1849" spans="13:23">
      <c r="M1849" s="219">
        <f t="shared" ca="1" si="116"/>
        <v>56564</v>
      </c>
      <c r="N1849" s="115" t="e">
        <f ca="1"/>
        <v>#VALUE!</v>
      </c>
      <c r="P1849" s="219">
        <f t="shared" ca="1" si="117"/>
        <v>56564</v>
      </c>
      <c r="Q1849" s="115" t="e">
        <f ca="1"/>
        <v>#VALUE!</v>
      </c>
      <c r="S1849" s="219">
        <f t="shared" ca="1" si="118"/>
        <v>56564</v>
      </c>
      <c r="T1849" s="115" t="e">
        <f ca="1"/>
        <v>#VALUE!</v>
      </c>
      <c r="V1849" s="219">
        <f t="shared" ca="1" si="119"/>
        <v>56564</v>
      </c>
      <c r="W1849" s="115" t="e">
        <f ca="1"/>
        <v>#VALUE!</v>
      </c>
    </row>
    <row r="1850" spans="13:23">
      <c r="M1850" s="219">
        <f t="shared" ca="1" si="116"/>
        <v>56571</v>
      </c>
      <c r="N1850" s="115" t="e">
        <f ca="1"/>
        <v>#VALUE!</v>
      </c>
      <c r="P1850" s="219">
        <f t="shared" ca="1" si="117"/>
        <v>56571</v>
      </c>
      <c r="Q1850" s="115" t="e">
        <f ca="1"/>
        <v>#VALUE!</v>
      </c>
      <c r="S1850" s="219">
        <f t="shared" ca="1" si="118"/>
        <v>56571</v>
      </c>
      <c r="T1850" s="115" t="e">
        <f ca="1"/>
        <v>#VALUE!</v>
      </c>
      <c r="V1850" s="219">
        <f t="shared" ca="1" si="119"/>
        <v>56571</v>
      </c>
      <c r="W1850" s="115" t="e">
        <f ca="1"/>
        <v>#VALUE!</v>
      </c>
    </row>
    <row r="1851" spans="13:23">
      <c r="M1851" s="219">
        <f t="shared" ca="1" si="116"/>
        <v>56578</v>
      </c>
      <c r="N1851" s="115" t="e">
        <f ca="1"/>
        <v>#VALUE!</v>
      </c>
      <c r="P1851" s="219">
        <f t="shared" ca="1" si="117"/>
        <v>56578</v>
      </c>
      <c r="Q1851" s="115" t="e">
        <f ca="1"/>
        <v>#VALUE!</v>
      </c>
      <c r="S1851" s="219">
        <f t="shared" ca="1" si="118"/>
        <v>56578</v>
      </c>
      <c r="T1851" s="115" t="e">
        <f ca="1"/>
        <v>#VALUE!</v>
      </c>
      <c r="V1851" s="219">
        <f t="shared" ca="1" si="119"/>
        <v>56578</v>
      </c>
      <c r="W1851" s="115" t="e">
        <f ca="1"/>
        <v>#VALUE!</v>
      </c>
    </row>
    <row r="1852" spans="13:23">
      <c r="M1852" s="219">
        <f t="shared" ca="1" si="116"/>
        <v>56585</v>
      </c>
      <c r="N1852" s="115" t="e">
        <f ca="1"/>
        <v>#VALUE!</v>
      </c>
      <c r="P1852" s="219">
        <f t="shared" ca="1" si="117"/>
        <v>56585</v>
      </c>
      <c r="Q1852" s="115" t="e">
        <f ca="1"/>
        <v>#VALUE!</v>
      </c>
      <c r="S1852" s="219">
        <f t="shared" ca="1" si="118"/>
        <v>56585</v>
      </c>
      <c r="T1852" s="115" t="e">
        <f ca="1"/>
        <v>#VALUE!</v>
      </c>
      <c r="V1852" s="219">
        <f t="shared" ca="1" si="119"/>
        <v>56585</v>
      </c>
      <c r="W1852" s="115" t="e">
        <f ca="1"/>
        <v>#VALUE!</v>
      </c>
    </row>
    <row r="1853" spans="13:23">
      <c r="M1853" s="219">
        <f t="shared" ca="1" si="116"/>
        <v>56592</v>
      </c>
      <c r="N1853" s="115" t="e">
        <f ca="1"/>
        <v>#VALUE!</v>
      </c>
      <c r="P1853" s="219">
        <f t="shared" ca="1" si="117"/>
        <v>56592</v>
      </c>
      <c r="Q1853" s="115" t="e">
        <f ca="1"/>
        <v>#VALUE!</v>
      </c>
      <c r="S1853" s="219">
        <f t="shared" ca="1" si="118"/>
        <v>56592</v>
      </c>
      <c r="T1853" s="115" t="e">
        <f ca="1"/>
        <v>#VALUE!</v>
      </c>
      <c r="V1853" s="219">
        <f t="shared" ca="1" si="119"/>
        <v>56592</v>
      </c>
      <c r="W1853" s="115" t="e">
        <f ca="1"/>
        <v>#VALUE!</v>
      </c>
    </row>
    <row r="1854" spans="13:23">
      <c r="M1854" s="219">
        <f t="shared" ca="1" si="116"/>
        <v>56599</v>
      </c>
      <c r="N1854" s="115" t="e">
        <f ca="1"/>
        <v>#VALUE!</v>
      </c>
      <c r="P1854" s="219">
        <f t="shared" ca="1" si="117"/>
        <v>56599</v>
      </c>
      <c r="Q1854" s="115" t="e">
        <f ca="1"/>
        <v>#VALUE!</v>
      </c>
      <c r="S1854" s="219">
        <f t="shared" ca="1" si="118"/>
        <v>56599</v>
      </c>
      <c r="T1854" s="115" t="e">
        <f ca="1"/>
        <v>#VALUE!</v>
      </c>
      <c r="V1854" s="219">
        <f t="shared" ca="1" si="119"/>
        <v>56599</v>
      </c>
      <c r="W1854" s="115" t="e">
        <f ca="1"/>
        <v>#VALUE!</v>
      </c>
    </row>
    <row r="1855" spans="13:23">
      <c r="M1855" s="219">
        <f t="shared" ca="1" si="116"/>
        <v>56606</v>
      </c>
      <c r="N1855" s="115" t="e">
        <f ca="1"/>
        <v>#VALUE!</v>
      </c>
      <c r="P1855" s="219">
        <f t="shared" ca="1" si="117"/>
        <v>56606</v>
      </c>
      <c r="Q1855" s="115" t="e">
        <f ca="1"/>
        <v>#VALUE!</v>
      </c>
      <c r="S1855" s="219">
        <f t="shared" ca="1" si="118"/>
        <v>56606</v>
      </c>
      <c r="T1855" s="115" t="e">
        <f ca="1"/>
        <v>#VALUE!</v>
      </c>
      <c r="V1855" s="219">
        <f t="shared" ca="1" si="119"/>
        <v>56606</v>
      </c>
      <c r="W1855" s="115" t="e">
        <f ca="1"/>
        <v>#VALUE!</v>
      </c>
    </row>
    <row r="1856" spans="13:23">
      <c r="M1856" s="219">
        <f t="shared" ca="1" si="116"/>
        <v>56613</v>
      </c>
      <c r="N1856" s="115" t="e">
        <f ca="1"/>
        <v>#VALUE!</v>
      </c>
      <c r="P1856" s="219">
        <f t="shared" ca="1" si="117"/>
        <v>56613</v>
      </c>
      <c r="Q1856" s="115" t="e">
        <f ca="1"/>
        <v>#VALUE!</v>
      </c>
      <c r="S1856" s="219">
        <f t="shared" ca="1" si="118"/>
        <v>56613</v>
      </c>
      <c r="T1856" s="115" t="e">
        <f ca="1"/>
        <v>#VALUE!</v>
      </c>
      <c r="V1856" s="219">
        <f t="shared" ca="1" si="119"/>
        <v>56613</v>
      </c>
      <c r="W1856" s="115" t="e">
        <f ca="1"/>
        <v>#VALUE!</v>
      </c>
    </row>
    <row r="1857" spans="13:23">
      <c r="M1857" s="219">
        <f t="shared" ca="1" si="116"/>
        <v>56620</v>
      </c>
      <c r="N1857" s="115" t="e">
        <f ca="1"/>
        <v>#VALUE!</v>
      </c>
      <c r="P1857" s="219">
        <f t="shared" ca="1" si="117"/>
        <v>56620</v>
      </c>
      <c r="Q1857" s="115" t="e">
        <f ca="1"/>
        <v>#VALUE!</v>
      </c>
      <c r="S1857" s="219">
        <f t="shared" ca="1" si="118"/>
        <v>56620</v>
      </c>
      <c r="T1857" s="115" t="e">
        <f ca="1"/>
        <v>#VALUE!</v>
      </c>
      <c r="V1857" s="219">
        <f t="shared" ca="1" si="119"/>
        <v>56620</v>
      </c>
      <c r="W1857" s="115" t="e">
        <f ca="1"/>
        <v>#VALUE!</v>
      </c>
    </row>
    <row r="1858" spans="13:23">
      <c r="M1858" s="219">
        <f t="shared" ca="1" si="116"/>
        <v>56627</v>
      </c>
      <c r="N1858" s="115" t="e">
        <f ca="1"/>
        <v>#VALUE!</v>
      </c>
      <c r="P1858" s="219">
        <f t="shared" ca="1" si="117"/>
        <v>56627</v>
      </c>
      <c r="Q1858" s="115" t="e">
        <f ca="1"/>
        <v>#VALUE!</v>
      </c>
      <c r="S1858" s="219">
        <f t="shared" ca="1" si="118"/>
        <v>56627</v>
      </c>
      <c r="T1858" s="115" t="e">
        <f ca="1"/>
        <v>#VALUE!</v>
      </c>
      <c r="V1858" s="219">
        <f t="shared" ca="1" si="119"/>
        <v>56627</v>
      </c>
      <c r="W1858" s="115" t="e">
        <f ca="1"/>
        <v>#VALUE!</v>
      </c>
    </row>
    <row r="1859" spans="13:23">
      <c r="M1859" s="219">
        <f t="shared" ca="1" si="116"/>
        <v>56634</v>
      </c>
      <c r="N1859" s="115" t="e">
        <f ca="1"/>
        <v>#VALUE!</v>
      </c>
      <c r="P1859" s="219">
        <f t="shared" ca="1" si="117"/>
        <v>56634</v>
      </c>
      <c r="Q1859" s="115" t="e">
        <f ca="1"/>
        <v>#VALUE!</v>
      </c>
      <c r="S1859" s="219">
        <f t="shared" ca="1" si="118"/>
        <v>56634</v>
      </c>
      <c r="T1859" s="115" t="e">
        <f ca="1"/>
        <v>#VALUE!</v>
      </c>
      <c r="V1859" s="219">
        <f t="shared" ca="1" si="119"/>
        <v>56634</v>
      </c>
      <c r="W1859" s="115" t="e">
        <f ca="1"/>
        <v>#VALUE!</v>
      </c>
    </row>
    <row r="1860" spans="13:23">
      <c r="M1860" s="219">
        <f t="shared" ca="1" si="116"/>
        <v>56641</v>
      </c>
      <c r="N1860" s="115" t="e">
        <f ca="1"/>
        <v>#VALUE!</v>
      </c>
      <c r="P1860" s="219">
        <f t="shared" ca="1" si="117"/>
        <v>56641</v>
      </c>
      <c r="Q1860" s="115" t="e">
        <f ca="1"/>
        <v>#VALUE!</v>
      </c>
      <c r="S1860" s="219">
        <f t="shared" ca="1" si="118"/>
        <v>56641</v>
      </c>
      <c r="T1860" s="115" t="e">
        <f ca="1"/>
        <v>#VALUE!</v>
      </c>
      <c r="V1860" s="219">
        <f t="shared" ca="1" si="119"/>
        <v>56641</v>
      </c>
      <c r="W1860" s="115" t="e">
        <f ca="1"/>
        <v>#VALUE!</v>
      </c>
    </row>
    <row r="1861" spans="13:23">
      <c r="M1861" s="219">
        <f t="shared" ca="1" si="116"/>
        <v>56648</v>
      </c>
      <c r="N1861" s="115" t="e">
        <f ca="1"/>
        <v>#VALUE!</v>
      </c>
      <c r="P1861" s="219">
        <f t="shared" ca="1" si="117"/>
        <v>56648</v>
      </c>
      <c r="Q1861" s="115" t="e">
        <f ca="1"/>
        <v>#VALUE!</v>
      </c>
      <c r="S1861" s="219">
        <f t="shared" ca="1" si="118"/>
        <v>56648</v>
      </c>
      <c r="T1861" s="115" t="e">
        <f ca="1"/>
        <v>#VALUE!</v>
      </c>
      <c r="V1861" s="219">
        <f t="shared" ca="1" si="119"/>
        <v>56648</v>
      </c>
      <c r="W1861" s="115" t="e">
        <f ca="1"/>
        <v>#VALUE!</v>
      </c>
    </row>
    <row r="1862" spans="13:23">
      <c r="M1862" s="219">
        <f t="shared" ca="1" si="116"/>
        <v>56655</v>
      </c>
      <c r="N1862" s="115" t="e">
        <f ca="1"/>
        <v>#VALUE!</v>
      </c>
      <c r="P1862" s="219">
        <f t="shared" ca="1" si="117"/>
        <v>56655</v>
      </c>
      <c r="Q1862" s="115" t="e">
        <f ca="1"/>
        <v>#VALUE!</v>
      </c>
      <c r="S1862" s="219">
        <f t="shared" ca="1" si="118"/>
        <v>56655</v>
      </c>
      <c r="T1862" s="115" t="e">
        <f ca="1"/>
        <v>#VALUE!</v>
      </c>
      <c r="V1862" s="219">
        <f t="shared" ca="1" si="119"/>
        <v>56655</v>
      </c>
      <c r="W1862" s="115" t="e">
        <f ca="1"/>
        <v>#VALUE!</v>
      </c>
    </row>
    <row r="1863" spans="13:23">
      <c r="M1863" s="219">
        <f t="shared" ca="1" si="116"/>
        <v>56662</v>
      </c>
      <c r="N1863" s="115" t="e">
        <f ca="1"/>
        <v>#VALUE!</v>
      </c>
      <c r="P1863" s="219">
        <f t="shared" ca="1" si="117"/>
        <v>56662</v>
      </c>
      <c r="Q1863" s="115" t="e">
        <f ca="1"/>
        <v>#VALUE!</v>
      </c>
      <c r="S1863" s="219">
        <f t="shared" ca="1" si="118"/>
        <v>56662</v>
      </c>
      <c r="T1863" s="115" t="e">
        <f ca="1"/>
        <v>#VALUE!</v>
      </c>
      <c r="V1863" s="219">
        <f t="shared" ca="1" si="119"/>
        <v>56662</v>
      </c>
      <c r="W1863" s="115" t="e">
        <f ca="1"/>
        <v>#VALUE!</v>
      </c>
    </row>
    <row r="1864" spans="13:23">
      <c r="M1864" s="219">
        <f t="shared" ca="1" si="116"/>
        <v>56669</v>
      </c>
      <c r="N1864" s="115" t="e">
        <f ca="1"/>
        <v>#VALUE!</v>
      </c>
      <c r="P1864" s="219">
        <f t="shared" ca="1" si="117"/>
        <v>56669</v>
      </c>
      <c r="Q1864" s="115" t="e">
        <f ca="1"/>
        <v>#VALUE!</v>
      </c>
      <c r="S1864" s="219">
        <f t="shared" ca="1" si="118"/>
        <v>56669</v>
      </c>
      <c r="T1864" s="115" t="e">
        <f ca="1"/>
        <v>#VALUE!</v>
      </c>
      <c r="V1864" s="219">
        <f t="shared" ca="1" si="119"/>
        <v>56669</v>
      </c>
      <c r="W1864" s="115" t="e">
        <f ca="1"/>
        <v>#VALUE!</v>
      </c>
    </row>
    <row r="1865" spans="13:23">
      <c r="M1865" s="219">
        <f t="shared" ca="1" si="116"/>
        <v>56676</v>
      </c>
      <c r="N1865" s="115" t="e">
        <f ca="1"/>
        <v>#VALUE!</v>
      </c>
      <c r="P1865" s="219">
        <f t="shared" ca="1" si="117"/>
        <v>56676</v>
      </c>
      <c r="Q1865" s="115" t="e">
        <f ca="1"/>
        <v>#VALUE!</v>
      </c>
      <c r="S1865" s="219">
        <f t="shared" ca="1" si="118"/>
        <v>56676</v>
      </c>
      <c r="T1865" s="115" t="e">
        <f ca="1"/>
        <v>#VALUE!</v>
      </c>
      <c r="V1865" s="219">
        <f t="shared" ca="1" si="119"/>
        <v>56676</v>
      </c>
      <c r="W1865" s="115" t="e">
        <f ca="1"/>
        <v>#VALUE!</v>
      </c>
    </row>
    <row r="1866" spans="13:23">
      <c r="M1866" s="219">
        <f t="shared" ca="1" si="116"/>
        <v>56683</v>
      </c>
      <c r="N1866" s="115" t="e">
        <f ca="1"/>
        <v>#VALUE!</v>
      </c>
      <c r="P1866" s="219">
        <f t="shared" ca="1" si="117"/>
        <v>56683</v>
      </c>
      <c r="Q1866" s="115" t="e">
        <f ca="1"/>
        <v>#VALUE!</v>
      </c>
      <c r="S1866" s="219">
        <f t="shared" ca="1" si="118"/>
        <v>56683</v>
      </c>
      <c r="T1866" s="115" t="e">
        <f ca="1"/>
        <v>#VALUE!</v>
      </c>
      <c r="V1866" s="219">
        <f t="shared" ca="1" si="119"/>
        <v>56683</v>
      </c>
      <c r="W1866" s="115" t="e">
        <f ca="1"/>
        <v>#VALUE!</v>
      </c>
    </row>
    <row r="1867" spans="13:23">
      <c r="M1867" s="219">
        <f t="shared" ca="1" si="116"/>
        <v>56690</v>
      </c>
      <c r="N1867" s="115" t="e">
        <f ca="1"/>
        <v>#VALUE!</v>
      </c>
      <c r="P1867" s="219">
        <f t="shared" ca="1" si="117"/>
        <v>56690</v>
      </c>
      <c r="Q1867" s="115" t="e">
        <f ca="1"/>
        <v>#VALUE!</v>
      </c>
      <c r="S1867" s="219">
        <f t="shared" ca="1" si="118"/>
        <v>56690</v>
      </c>
      <c r="T1867" s="115" t="e">
        <f ca="1"/>
        <v>#VALUE!</v>
      </c>
      <c r="V1867" s="219">
        <f t="shared" ca="1" si="119"/>
        <v>56690</v>
      </c>
      <c r="W1867" s="115" t="e">
        <f ca="1"/>
        <v>#VALUE!</v>
      </c>
    </row>
    <row r="1868" spans="13:23">
      <c r="M1868" s="219">
        <f t="shared" ca="1" si="116"/>
        <v>56697</v>
      </c>
      <c r="N1868" s="115" t="e">
        <f ca="1"/>
        <v>#VALUE!</v>
      </c>
      <c r="P1868" s="219">
        <f t="shared" ca="1" si="117"/>
        <v>56697</v>
      </c>
      <c r="Q1868" s="115" t="e">
        <f ca="1"/>
        <v>#VALUE!</v>
      </c>
      <c r="S1868" s="219">
        <f t="shared" ca="1" si="118"/>
        <v>56697</v>
      </c>
      <c r="T1868" s="115" t="e">
        <f ca="1"/>
        <v>#VALUE!</v>
      </c>
      <c r="V1868" s="219">
        <f t="shared" ca="1" si="119"/>
        <v>56697</v>
      </c>
      <c r="W1868" s="115" t="e">
        <f ca="1"/>
        <v>#VALUE!</v>
      </c>
    </row>
    <row r="1869" spans="13:23">
      <c r="M1869" s="219">
        <f t="shared" ref="M1869:M1932" ca="1" si="120">M1868+7</f>
        <v>56704</v>
      </c>
      <c r="N1869" s="115" t="e">
        <f ca="1"/>
        <v>#VALUE!</v>
      </c>
      <c r="P1869" s="219">
        <f t="shared" ca="1" si="117"/>
        <v>56704</v>
      </c>
      <c r="Q1869" s="115" t="e">
        <f ca="1"/>
        <v>#VALUE!</v>
      </c>
      <c r="S1869" s="219">
        <f t="shared" ca="1" si="118"/>
        <v>56704</v>
      </c>
      <c r="T1869" s="115" t="e">
        <f ca="1"/>
        <v>#VALUE!</v>
      </c>
      <c r="V1869" s="219">
        <f t="shared" ca="1" si="119"/>
        <v>56704</v>
      </c>
      <c r="W1869" s="115" t="e">
        <f ca="1"/>
        <v>#VALUE!</v>
      </c>
    </row>
    <row r="1870" spans="13:23">
      <c r="M1870" s="219">
        <f t="shared" ca="1" si="120"/>
        <v>56711</v>
      </c>
      <c r="N1870" s="115" t="e">
        <f ca="1"/>
        <v>#VALUE!</v>
      </c>
      <c r="P1870" s="219">
        <f t="shared" ca="1" si="117"/>
        <v>56711</v>
      </c>
      <c r="Q1870" s="115" t="e">
        <f ca="1"/>
        <v>#VALUE!</v>
      </c>
      <c r="S1870" s="219">
        <f t="shared" ca="1" si="118"/>
        <v>56711</v>
      </c>
      <c r="T1870" s="115" t="e">
        <f ca="1"/>
        <v>#VALUE!</v>
      </c>
      <c r="V1870" s="219">
        <f t="shared" ca="1" si="119"/>
        <v>56711</v>
      </c>
      <c r="W1870" s="115" t="e">
        <f ca="1"/>
        <v>#VALUE!</v>
      </c>
    </row>
    <row r="1871" spans="13:23">
      <c r="M1871" s="219">
        <f t="shared" ca="1" si="120"/>
        <v>56718</v>
      </c>
      <c r="N1871" s="115" t="e">
        <f ca="1"/>
        <v>#VALUE!</v>
      </c>
      <c r="P1871" s="219">
        <f t="shared" ca="1" si="117"/>
        <v>56718</v>
      </c>
      <c r="Q1871" s="115" t="e">
        <f ca="1"/>
        <v>#VALUE!</v>
      </c>
      <c r="S1871" s="219">
        <f t="shared" ca="1" si="118"/>
        <v>56718</v>
      </c>
      <c r="T1871" s="115" t="e">
        <f ca="1"/>
        <v>#VALUE!</v>
      </c>
      <c r="V1871" s="219">
        <f t="shared" ca="1" si="119"/>
        <v>56718</v>
      </c>
      <c r="W1871" s="115" t="e">
        <f ca="1"/>
        <v>#VALUE!</v>
      </c>
    </row>
    <row r="1872" spans="13:23">
      <c r="M1872" s="219">
        <f t="shared" ca="1" si="120"/>
        <v>56725</v>
      </c>
      <c r="N1872" s="115" t="e">
        <f ca="1"/>
        <v>#VALUE!</v>
      </c>
      <c r="P1872" s="219">
        <f t="shared" ca="1" si="117"/>
        <v>56725</v>
      </c>
      <c r="Q1872" s="115" t="e">
        <f ca="1"/>
        <v>#VALUE!</v>
      </c>
      <c r="S1872" s="219">
        <f t="shared" ca="1" si="118"/>
        <v>56725</v>
      </c>
      <c r="T1872" s="115" t="e">
        <f ca="1"/>
        <v>#VALUE!</v>
      </c>
      <c r="V1872" s="219">
        <f t="shared" ca="1" si="119"/>
        <v>56725</v>
      </c>
      <c r="W1872" s="115" t="e">
        <f ca="1"/>
        <v>#VALUE!</v>
      </c>
    </row>
    <row r="1873" spans="13:23">
      <c r="M1873" s="219">
        <f t="shared" ca="1" si="120"/>
        <v>56732</v>
      </c>
      <c r="N1873" s="115" t="e">
        <f ca="1"/>
        <v>#VALUE!</v>
      </c>
      <c r="P1873" s="219">
        <f t="shared" ca="1" si="117"/>
        <v>56732</v>
      </c>
      <c r="Q1873" s="115" t="e">
        <f ca="1"/>
        <v>#VALUE!</v>
      </c>
      <c r="S1873" s="219">
        <f t="shared" ca="1" si="118"/>
        <v>56732</v>
      </c>
      <c r="T1873" s="115" t="e">
        <f ca="1"/>
        <v>#VALUE!</v>
      </c>
      <c r="V1873" s="219">
        <f t="shared" ca="1" si="119"/>
        <v>56732</v>
      </c>
      <c r="W1873" s="115" t="e">
        <f ca="1"/>
        <v>#VALUE!</v>
      </c>
    </row>
    <row r="1874" spans="13:23">
      <c r="M1874" s="219">
        <f t="shared" ca="1" si="120"/>
        <v>56739</v>
      </c>
      <c r="N1874" s="115" t="e">
        <f ca="1"/>
        <v>#VALUE!</v>
      </c>
      <c r="P1874" s="219">
        <f t="shared" ca="1" si="117"/>
        <v>56739</v>
      </c>
      <c r="Q1874" s="115" t="e">
        <f ca="1"/>
        <v>#VALUE!</v>
      </c>
      <c r="S1874" s="219">
        <f t="shared" ca="1" si="118"/>
        <v>56739</v>
      </c>
      <c r="T1874" s="115" t="e">
        <f ca="1"/>
        <v>#VALUE!</v>
      </c>
      <c r="V1874" s="219">
        <f t="shared" ca="1" si="119"/>
        <v>56739</v>
      </c>
      <c r="W1874" s="115" t="e">
        <f ca="1"/>
        <v>#VALUE!</v>
      </c>
    </row>
    <row r="1875" spans="13:23">
      <c r="M1875" s="219">
        <f t="shared" ca="1" si="120"/>
        <v>56746</v>
      </c>
      <c r="N1875" s="115" t="e">
        <f ca="1"/>
        <v>#VALUE!</v>
      </c>
      <c r="P1875" s="219">
        <f t="shared" ca="1" si="117"/>
        <v>56746</v>
      </c>
      <c r="Q1875" s="115" t="e">
        <f ca="1"/>
        <v>#VALUE!</v>
      </c>
      <c r="S1875" s="219">
        <f t="shared" ca="1" si="118"/>
        <v>56746</v>
      </c>
      <c r="T1875" s="115" t="e">
        <f ca="1"/>
        <v>#VALUE!</v>
      </c>
      <c r="V1875" s="219">
        <f t="shared" ca="1" si="119"/>
        <v>56746</v>
      </c>
      <c r="W1875" s="115" t="e">
        <f ca="1"/>
        <v>#VALUE!</v>
      </c>
    </row>
    <row r="1876" spans="13:23">
      <c r="M1876" s="219">
        <f t="shared" ca="1" si="120"/>
        <v>56753</v>
      </c>
      <c r="N1876" s="115" t="e">
        <f ca="1"/>
        <v>#VALUE!</v>
      </c>
      <c r="P1876" s="219">
        <f t="shared" ca="1" si="117"/>
        <v>56753</v>
      </c>
      <c r="Q1876" s="115" t="e">
        <f ca="1"/>
        <v>#VALUE!</v>
      </c>
      <c r="S1876" s="219">
        <f t="shared" ca="1" si="118"/>
        <v>56753</v>
      </c>
      <c r="T1876" s="115" t="e">
        <f ca="1"/>
        <v>#VALUE!</v>
      </c>
      <c r="V1876" s="219">
        <f t="shared" ca="1" si="119"/>
        <v>56753</v>
      </c>
      <c r="W1876" s="115" t="e">
        <f ca="1"/>
        <v>#VALUE!</v>
      </c>
    </row>
    <row r="1877" spans="13:23">
      <c r="M1877" s="219">
        <f t="shared" ca="1" si="120"/>
        <v>56760</v>
      </c>
      <c r="N1877" s="115" t="e">
        <f ca="1"/>
        <v>#VALUE!</v>
      </c>
      <c r="P1877" s="219">
        <f t="shared" ca="1" si="117"/>
        <v>56760</v>
      </c>
      <c r="Q1877" s="115" t="e">
        <f ca="1"/>
        <v>#VALUE!</v>
      </c>
      <c r="S1877" s="219">
        <f t="shared" ca="1" si="118"/>
        <v>56760</v>
      </c>
      <c r="T1877" s="115" t="e">
        <f ca="1"/>
        <v>#VALUE!</v>
      </c>
      <c r="V1877" s="219">
        <f t="shared" ca="1" si="119"/>
        <v>56760</v>
      </c>
      <c r="W1877" s="115" t="e">
        <f ca="1"/>
        <v>#VALUE!</v>
      </c>
    </row>
    <row r="1878" spans="13:23">
      <c r="M1878" s="219">
        <f t="shared" ca="1" si="120"/>
        <v>56767</v>
      </c>
      <c r="N1878" s="115" t="e">
        <f ca="1"/>
        <v>#VALUE!</v>
      </c>
      <c r="P1878" s="219">
        <f t="shared" ca="1" si="117"/>
        <v>56767</v>
      </c>
      <c r="Q1878" s="115" t="e">
        <f ca="1"/>
        <v>#VALUE!</v>
      </c>
      <c r="S1878" s="219">
        <f t="shared" ca="1" si="118"/>
        <v>56767</v>
      </c>
      <c r="T1878" s="115" t="e">
        <f ca="1"/>
        <v>#VALUE!</v>
      </c>
      <c r="V1878" s="219">
        <f t="shared" ca="1" si="119"/>
        <v>56767</v>
      </c>
      <c r="W1878" s="115" t="e">
        <f ca="1"/>
        <v>#VALUE!</v>
      </c>
    </row>
    <row r="1879" spans="13:23">
      <c r="M1879" s="219">
        <f t="shared" ca="1" si="120"/>
        <v>56774</v>
      </c>
      <c r="N1879" s="115" t="e">
        <f ca="1"/>
        <v>#VALUE!</v>
      </c>
      <c r="P1879" s="219">
        <f t="shared" ca="1" si="117"/>
        <v>56774</v>
      </c>
      <c r="Q1879" s="115" t="e">
        <f ca="1"/>
        <v>#VALUE!</v>
      </c>
      <c r="S1879" s="219">
        <f t="shared" ca="1" si="118"/>
        <v>56774</v>
      </c>
      <c r="T1879" s="115" t="e">
        <f ca="1"/>
        <v>#VALUE!</v>
      </c>
      <c r="V1879" s="219">
        <f t="shared" ca="1" si="119"/>
        <v>56774</v>
      </c>
      <c r="W1879" s="115" t="e">
        <f ca="1"/>
        <v>#VALUE!</v>
      </c>
    </row>
    <row r="1880" spans="13:23">
      <c r="M1880" s="219">
        <f t="shared" ca="1" si="120"/>
        <v>56781</v>
      </c>
      <c r="N1880" s="115" t="e">
        <f ca="1"/>
        <v>#VALUE!</v>
      </c>
      <c r="P1880" s="219">
        <f t="shared" ca="1" si="117"/>
        <v>56781</v>
      </c>
      <c r="Q1880" s="115" t="e">
        <f ca="1"/>
        <v>#VALUE!</v>
      </c>
      <c r="S1880" s="219">
        <f t="shared" ca="1" si="118"/>
        <v>56781</v>
      </c>
      <c r="T1880" s="115" t="e">
        <f ca="1"/>
        <v>#VALUE!</v>
      </c>
      <c r="V1880" s="219">
        <f t="shared" ca="1" si="119"/>
        <v>56781</v>
      </c>
      <c r="W1880" s="115" t="e">
        <f ca="1"/>
        <v>#VALUE!</v>
      </c>
    </row>
    <row r="1881" spans="13:23">
      <c r="M1881" s="219">
        <f t="shared" ca="1" si="120"/>
        <v>56788</v>
      </c>
      <c r="N1881" s="115" t="e">
        <f ca="1"/>
        <v>#VALUE!</v>
      </c>
      <c r="P1881" s="219">
        <f t="shared" ca="1" si="117"/>
        <v>56788</v>
      </c>
      <c r="Q1881" s="115" t="e">
        <f ca="1"/>
        <v>#VALUE!</v>
      </c>
      <c r="S1881" s="219">
        <f t="shared" ca="1" si="118"/>
        <v>56788</v>
      </c>
      <c r="T1881" s="115" t="e">
        <f ca="1"/>
        <v>#VALUE!</v>
      </c>
      <c r="V1881" s="219">
        <f t="shared" ca="1" si="119"/>
        <v>56788</v>
      </c>
      <c r="W1881" s="115" t="e">
        <f ca="1"/>
        <v>#VALUE!</v>
      </c>
    </row>
    <row r="1882" spans="13:23">
      <c r="M1882" s="219">
        <f t="shared" ca="1" si="120"/>
        <v>56795</v>
      </c>
      <c r="N1882" s="115" t="e">
        <f ca="1"/>
        <v>#VALUE!</v>
      </c>
      <c r="P1882" s="219">
        <f t="shared" ca="1" si="117"/>
        <v>56795</v>
      </c>
      <c r="Q1882" s="115" t="e">
        <f ca="1"/>
        <v>#VALUE!</v>
      </c>
      <c r="S1882" s="219">
        <f t="shared" ca="1" si="118"/>
        <v>56795</v>
      </c>
      <c r="T1882" s="115" t="e">
        <f ca="1"/>
        <v>#VALUE!</v>
      </c>
      <c r="V1882" s="219">
        <f t="shared" ca="1" si="119"/>
        <v>56795</v>
      </c>
      <c r="W1882" s="115" t="e">
        <f ca="1"/>
        <v>#VALUE!</v>
      </c>
    </row>
    <row r="1883" spans="13:23">
      <c r="M1883" s="219">
        <f t="shared" ca="1" si="120"/>
        <v>56802</v>
      </c>
      <c r="N1883" s="115" t="e">
        <f ca="1"/>
        <v>#VALUE!</v>
      </c>
      <c r="P1883" s="219">
        <f t="shared" ca="1" si="117"/>
        <v>56802</v>
      </c>
      <c r="Q1883" s="115" t="e">
        <f ca="1"/>
        <v>#VALUE!</v>
      </c>
      <c r="S1883" s="219">
        <f t="shared" ca="1" si="118"/>
        <v>56802</v>
      </c>
      <c r="T1883" s="115" t="e">
        <f ca="1"/>
        <v>#VALUE!</v>
      </c>
      <c r="V1883" s="219">
        <f t="shared" ca="1" si="119"/>
        <v>56802</v>
      </c>
      <c r="W1883" s="115" t="e">
        <f ca="1"/>
        <v>#VALUE!</v>
      </c>
    </row>
    <row r="1884" spans="13:23">
      <c r="M1884" s="219">
        <f t="shared" ca="1" si="120"/>
        <v>56809</v>
      </c>
      <c r="N1884" s="115" t="e">
        <f ca="1"/>
        <v>#VALUE!</v>
      </c>
      <c r="P1884" s="219">
        <f t="shared" ca="1" si="117"/>
        <v>56809</v>
      </c>
      <c r="Q1884" s="115" t="e">
        <f ca="1"/>
        <v>#VALUE!</v>
      </c>
      <c r="S1884" s="219">
        <f t="shared" ca="1" si="118"/>
        <v>56809</v>
      </c>
      <c r="T1884" s="115" t="e">
        <f ca="1"/>
        <v>#VALUE!</v>
      </c>
      <c r="V1884" s="219">
        <f t="shared" ca="1" si="119"/>
        <v>56809</v>
      </c>
      <c r="W1884" s="115" t="e">
        <f ca="1"/>
        <v>#VALUE!</v>
      </c>
    </row>
    <row r="1885" spans="13:23">
      <c r="M1885" s="219">
        <f t="shared" ca="1" si="120"/>
        <v>56816</v>
      </c>
      <c r="N1885" s="115" t="e">
        <f ca="1"/>
        <v>#VALUE!</v>
      </c>
      <c r="P1885" s="219">
        <f t="shared" ref="P1885:P1948" ca="1" si="121">P1884+7</f>
        <v>56816</v>
      </c>
      <c r="Q1885" s="115" t="e">
        <f ca="1"/>
        <v>#VALUE!</v>
      </c>
      <c r="S1885" s="219">
        <f t="shared" ref="S1885:S1948" ca="1" si="122">S1884+7</f>
        <v>56816</v>
      </c>
      <c r="T1885" s="115" t="e">
        <f ca="1"/>
        <v>#VALUE!</v>
      </c>
      <c r="V1885" s="219">
        <f t="shared" ref="V1885:V1948" ca="1" si="123">V1884+7</f>
        <v>56816</v>
      </c>
      <c r="W1885" s="115" t="e">
        <f ca="1"/>
        <v>#VALUE!</v>
      </c>
    </row>
    <row r="1886" spans="13:23">
      <c r="M1886" s="219">
        <f t="shared" ca="1" si="120"/>
        <v>56823</v>
      </c>
      <c r="N1886" s="115" t="e">
        <f ca="1"/>
        <v>#VALUE!</v>
      </c>
      <c r="P1886" s="219">
        <f t="shared" ca="1" si="121"/>
        <v>56823</v>
      </c>
      <c r="Q1886" s="115" t="e">
        <f ca="1"/>
        <v>#VALUE!</v>
      </c>
      <c r="S1886" s="219">
        <f t="shared" ca="1" si="122"/>
        <v>56823</v>
      </c>
      <c r="T1886" s="115" t="e">
        <f ca="1"/>
        <v>#VALUE!</v>
      </c>
      <c r="V1886" s="219">
        <f t="shared" ca="1" si="123"/>
        <v>56823</v>
      </c>
      <c r="W1886" s="115" t="e">
        <f ca="1"/>
        <v>#VALUE!</v>
      </c>
    </row>
    <row r="1887" spans="13:23">
      <c r="M1887" s="219">
        <f t="shared" ca="1" si="120"/>
        <v>56830</v>
      </c>
      <c r="N1887" s="115" t="e">
        <f ca="1"/>
        <v>#VALUE!</v>
      </c>
      <c r="P1887" s="219">
        <f t="shared" ca="1" si="121"/>
        <v>56830</v>
      </c>
      <c r="Q1887" s="115" t="e">
        <f ca="1"/>
        <v>#VALUE!</v>
      </c>
      <c r="S1887" s="219">
        <f t="shared" ca="1" si="122"/>
        <v>56830</v>
      </c>
      <c r="T1887" s="115" t="e">
        <f ca="1"/>
        <v>#VALUE!</v>
      </c>
      <c r="V1887" s="219">
        <f t="shared" ca="1" si="123"/>
        <v>56830</v>
      </c>
      <c r="W1887" s="115" t="e">
        <f ca="1"/>
        <v>#VALUE!</v>
      </c>
    </row>
    <row r="1888" spans="13:23">
      <c r="M1888" s="219">
        <f t="shared" ca="1" si="120"/>
        <v>56837</v>
      </c>
      <c r="N1888" s="115" t="e">
        <f ca="1"/>
        <v>#VALUE!</v>
      </c>
      <c r="P1888" s="219">
        <f t="shared" ca="1" si="121"/>
        <v>56837</v>
      </c>
      <c r="Q1888" s="115" t="e">
        <f ca="1"/>
        <v>#VALUE!</v>
      </c>
      <c r="S1888" s="219">
        <f t="shared" ca="1" si="122"/>
        <v>56837</v>
      </c>
      <c r="T1888" s="115" t="e">
        <f ca="1"/>
        <v>#VALUE!</v>
      </c>
      <c r="V1888" s="219">
        <f t="shared" ca="1" si="123"/>
        <v>56837</v>
      </c>
      <c r="W1888" s="115" t="e">
        <f ca="1"/>
        <v>#VALUE!</v>
      </c>
    </row>
    <row r="1889" spans="13:23">
      <c r="M1889" s="219">
        <f t="shared" ca="1" si="120"/>
        <v>56844</v>
      </c>
      <c r="N1889" s="115" t="e">
        <f ca="1"/>
        <v>#VALUE!</v>
      </c>
      <c r="P1889" s="219">
        <f t="shared" ca="1" si="121"/>
        <v>56844</v>
      </c>
      <c r="Q1889" s="115" t="e">
        <f ca="1"/>
        <v>#VALUE!</v>
      </c>
      <c r="S1889" s="219">
        <f t="shared" ca="1" si="122"/>
        <v>56844</v>
      </c>
      <c r="T1889" s="115" t="e">
        <f ca="1"/>
        <v>#VALUE!</v>
      </c>
      <c r="V1889" s="219">
        <f t="shared" ca="1" si="123"/>
        <v>56844</v>
      </c>
      <c r="W1889" s="115" t="e">
        <f ca="1"/>
        <v>#VALUE!</v>
      </c>
    </row>
    <row r="1890" spans="13:23">
      <c r="M1890" s="219">
        <f t="shared" ca="1" si="120"/>
        <v>56851</v>
      </c>
      <c r="N1890" s="115" t="e">
        <f ca="1"/>
        <v>#VALUE!</v>
      </c>
      <c r="P1890" s="219">
        <f t="shared" ca="1" si="121"/>
        <v>56851</v>
      </c>
      <c r="Q1890" s="115" t="e">
        <f ca="1"/>
        <v>#VALUE!</v>
      </c>
      <c r="S1890" s="219">
        <f t="shared" ca="1" si="122"/>
        <v>56851</v>
      </c>
      <c r="T1890" s="115" t="e">
        <f ca="1"/>
        <v>#VALUE!</v>
      </c>
      <c r="V1890" s="219">
        <f t="shared" ca="1" si="123"/>
        <v>56851</v>
      </c>
      <c r="W1890" s="115" t="e">
        <f ca="1"/>
        <v>#VALUE!</v>
      </c>
    </row>
    <row r="1891" spans="13:23">
      <c r="M1891" s="219">
        <f t="shared" ca="1" si="120"/>
        <v>56858</v>
      </c>
      <c r="N1891" s="115" t="e">
        <f ca="1"/>
        <v>#VALUE!</v>
      </c>
      <c r="P1891" s="219">
        <f t="shared" ca="1" si="121"/>
        <v>56858</v>
      </c>
      <c r="Q1891" s="115" t="e">
        <f ca="1"/>
        <v>#VALUE!</v>
      </c>
      <c r="S1891" s="219">
        <f t="shared" ca="1" si="122"/>
        <v>56858</v>
      </c>
      <c r="T1891" s="115" t="e">
        <f ca="1"/>
        <v>#VALUE!</v>
      </c>
      <c r="V1891" s="219">
        <f t="shared" ca="1" si="123"/>
        <v>56858</v>
      </c>
      <c r="W1891" s="115" t="e">
        <f ca="1"/>
        <v>#VALUE!</v>
      </c>
    </row>
    <row r="1892" spans="13:23">
      <c r="M1892" s="219">
        <f t="shared" ca="1" si="120"/>
        <v>56865</v>
      </c>
      <c r="N1892" s="115" t="e">
        <f ca="1"/>
        <v>#VALUE!</v>
      </c>
      <c r="P1892" s="219">
        <f t="shared" ca="1" si="121"/>
        <v>56865</v>
      </c>
      <c r="Q1892" s="115" t="e">
        <f ca="1"/>
        <v>#VALUE!</v>
      </c>
      <c r="S1892" s="219">
        <f t="shared" ca="1" si="122"/>
        <v>56865</v>
      </c>
      <c r="T1892" s="115" t="e">
        <f ca="1"/>
        <v>#VALUE!</v>
      </c>
      <c r="V1892" s="219">
        <f t="shared" ca="1" si="123"/>
        <v>56865</v>
      </c>
      <c r="W1892" s="115" t="e">
        <f ca="1"/>
        <v>#VALUE!</v>
      </c>
    </row>
    <row r="1893" spans="13:23">
      <c r="M1893" s="219">
        <f t="shared" ca="1" si="120"/>
        <v>56872</v>
      </c>
      <c r="N1893" s="115" t="e">
        <f ca="1"/>
        <v>#VALUE!</v>
      </c>
      <c r="P1893" s="219">
        <f t="shared" ca="1" si="121"/>
        <v>56872</v>
      </c>
      <c r="Q1893" s="115" t="e">
        <f ca="1"/>
        <v>#VALUE!</v>
      </c>
      <c r="S1893" s="219">
        <f t="shared" ca="1" si="122"/>
        <v>56872</v>
      </c>
      <c r="T1893" s="115" t="e">
        <f ca="1"/>
        <v>#VALUE!</v>
      </c>
      <c r="V1893" s="219">
        <f t="shared" ca="1" si="123"/>
        <v>56872</v>
      </c>
      <c r="W1893" s="115" t="e">
        <f ca="1"/>
        <v>#VALUE!</v>
      </c>
    </row>
    <row r="1894" spans="13:23">
      <c r="M1894" s="219">
        <f t="shared" ca="1" si="120"/>
        <v>56879</v>
      </c>
      <c r="N1894" s="115" t="e">
        <f ca="1"/>
        <v>#VALUE!</v>
      </c>
      <c r="P1894" s="219">
        <f t="shared" ca="1" si="121"/>
        <v>56879</v>
      </c>
      <c r="Q1894" s="115" t="e">
        <f ca="1"/>
        <v>#VALUE!</v>
      </c>
      <c r="S1894" s="219">
        <f t="shared" ca="1" si="122"/>
        <v>56879</v>
      </c>
      <c r="T1894" s="115" t="e">
        <f ca="1"/>
        <v>#VALUE!</v>
      </c>
      <c r="V1894" s="219">
        <f t="shared" ca="1" si="123"/>
        <v>56879</v>
      </c>
      <c r="W1894" s="115" t="e">
        <f ca="1"/>
        <v>#VALUE!</v>
      </c>
    </row>
    <row r="1895" spans="13:23">
      <c r="M1895" s="219">
        <f t="shared" ca="1" si="120"/>
        <v>56886</v>
      </c>
      <c r="N1895" s="115" t="e">
        <f ca="1"/>
        <v>#VALUE!</v>
      </c>
      <c r="P1895" s="219">
        <f t="shared" ca="1" si="121"/>
        <v>56886</v>
      </c>
      <c r="Q1895" s="115" t="e">
        <f ca="1"/>
        <v>#VALUE!</v>
      </c>
      <c r="S1895" s="219">
        <f t="shared" ca="1" si="122"/>
        <v>56886</v>
      </c>
      <c r="T1895" s="115" t="e">
        <f ca="1"/>
        <v>#VALUE!</v>
      </c>
      <c r="V1895" s="219">
        <f t="shared" ca="1" si="123"/>
        <v>56886</v>
      </c>
      <c r="W1895" s="115" t="e">
        <f ca="1"/>
        <v>#VALUE!</v>
      </c>
    </row>
    <row r="1896" spans="13:23">
      <c r="M1896" s="219">
        <f t="shared" ca="1" si="120"/>
        <v>56893</v>
      </c>
      <c r="N1896" s="115" t="e">
        <f ca="1"/>
        <v>#VALUE!</v>
      </c>
      <c r="P1896" s="219">
        <f t="shared" ca="1" si="121"/>
        <v>56893</v>
      </c>
      <c r="Q1896" s="115" t="e">
        <f ca="1"/>
        <v>#VALUE!</v>
      </c>
      <c r="S1896" s="219">
        <f t="shared" ca="1" si="122"/>
        <v>56893</v>
      </c>
      <c r="T1896" s="115" t="e">
        <f ca="1"/>
        <v>#VALUE!</v>
      </c>
      <c r="V1896" s="219">
        <f t="shared" ca="1" si="123"/>
        <v>56893</v>
      </c>
      <c r="W1896" s="115" t="e">
        <f ca="1"/>
        <v>#VALUE!</v>
      </c>
    </row>
    <row r="1897" spans="13:23">
      <c r="M1897" s="219">
        <f t="shared" ca="1" si="120"/>
        <v>56900</v>
      </c>
      <c r="N1897" s="115" t="e">
        <f ca="1"/>
        <v>#VALUE!</v>
      </c>
      <c r="P1897" s="219">
        <f t="shared" ca="1" si="121"/>
        <v>56900</v>
      </c>
      <c r="Q1897" s="115" t="e">
        <f ca="1"/>
        <v>#VALUE!</v>
      </c>
      <c r="S1897" s="219">
        <f t="shared" ca="1" si="122"/>
        <v>56900</v>
      </c>
      <c r="T1897" s="115" t="e">
        <f ca="1"/>
        <v>#VALUE!</v>
      </c>
      <c r="V1897" s="219">
        <f t="shared" ca="1" si="123"/>
        <v>56900</v>
      </c>
      <c r="W1897" s="115" t="e">
        <f ca="1"/>
        <v>#VALUE!</v>
      </c>
    </row>
    <row r="1898" spans="13:23">
      <c r="M1898" s="219">
        <f t="shared" ca="1" si="120"/>
        <v>56907</v>
      </c>
      <c r="N1898" s="115" t="e">
        <f ca="1"/>
        <v>#VALUE!</v>
      </c>
      <c r="P1898" s="219">
        <f t="shared" ca="1" si="121"/>
        <v>56907</v>
      </c>
      <c r="Q1898" s="115" t="e">
        <f ca="1"/>
        <v>#VALUE!</v>
      </c>
      <c r="S1898" s="219">
        <f t="shared" ca="1" si="122"/>
        <v>56907</v>
      </c>
      <c r="T1898" s="115" t="e">
        <f ca="1"/>
        <v>#VALUE!</v>
      </c>
      <c r="V1898" s="219">
        <f t="shared" ca="1" si="123"/>
        <v>56907</v>
      </c>
      <c r="W1898" s="115" t="e">
        <f ca="1"/>
        <v>#VALUE!</v>
      </c>
    </row>
    <row r="1899" spans="13:23">
      <c r="M1899" s="219">
        <f t="shared" ca="1" si="120"/>
        <v>56914</v>
      </c>
      <c r="N1899" s="115" t="e">
        <f ca="1"/>
        <v>#VALUE!</v>
      </c>
      <c r="P1899" s="219">
        <f t="shared" ca="1" si="121"/>
        <v>56914</v>
      </c>
      <c r="Q1899" s="115" t="e">
        <f ca="1"/>
        <v>#VALUE!</v>
      </c>
      <c r="S1899" s="219">
        <f t="shared" ca="1" si="122"/>
        <v>56914</v>
      </c>
      <c r="T1899" s="115" t="e">
        <f ca="1"/>
        <v>#VALUE!</v>
      </c>
      <c r="V1899" s="219">
        <f t="shared" ca="1" si="123"/>
        <v>56914</v>
      </c>
      <c r="W1899" s="115" t="e">
        <f ca="1"/>
        <v>#VALUE!</v>
      </c>
    </row>
    <row r="1900" spans="13:23">
      <c r="M1900" s="219">
        <f t="shared" ca="1" si="120"/>
        <v>56921</v>
      </c>
      <c r="N1900" s="115" t="e">
        <f ca="1"/>
        <v>#VALUE!</v>
      </c>
      <c r="P1900" s="219">
        <f t="shared" ca="1" si="121"/>
        <v>56921</v>
      </c>
      <c r="Q1900" s="115" t="e">
        <f ca="1"/>
        <v>#VALUE!</v>
      </c>
      <c r="S1900" s="219">
        <f t="shared" ca="1" si="122"/>
        <v>56921</v>
      </c>
      <c r="T1900" s="115" t="e">
        <f ca="1"/>
        <v>#VALUE!</v>
      </c>
      <c r="V1900" s="219">
        <f t="shared" ca="1" si="123"/>
        <v>56921</v>
      </c>
      <c r="W1900" s="115" t="e">
        <f ca="1"/>
        <v>#VALUE!</v>
      </c>
    </row>
    <row r="1901" spans="13:23">
      <c r="M1901" s="219">
        <f t="shared" ca="1" si="120"/>
        <v>56928</v>
      </c>
      <c r="N1901" s="115" t="e">
        <f ca="1"/>
        <v>#VALUE!</v>
      </c>
      <c r="P1901" s="219">
        <f t="shared" ca="1" si="121"/>
        <v>56928</v>
      </c>
      <c r="Q1901" s="115" t="e">
        <f ca="1"/>
        <v>#VALUE!</v>
      </c>
      <c r="S1901" s="219">
        <f t="shared" ca="1" si="122"/>
        <v>56928</v>
      </c>
      <c r="T1901" s="115" t="e">
        <f ca="1"/>
        <v>#VALUE!</v>
      </c>
      <c r="V1901" s="219">
        <f t="shared" ca="1" si="123"/>
        <v>56928</v>
      </c>
      <c r="W1901" s="115" t="e">
        <f ca="1"/>
        <v>#VALUE!</v>
      </c>
    </row>
    <row r="1902" spans="13:23">
      <c r="M1902" s="219">
        <f t="shared" ca="1" si="120"/>
        <v>56935</v>
      </c>
      <c r="N1902" s="115" t="e">
        <f ca="1"/>
        <v>#VALUE!</v>
      </c>
      <c r="P1902" s="219">
        <f t="shared" ca="1" si="121"/>
        <v>56935</v>
      </c>
      <c r="Q1902" s="115" t="e">
        <f ca="1"/>
        <v>#VALUE!</v>
      </c>
      <c r="S1902" s="219">
        <f t="shared" ca="1" si="122"/>
        <v>56935</v>
      </c>
      <c r="T1902" s="115" t="e">
        <f ca="1"/>
        <v>#VALUE!</v>
      </c>
      <c r="V1902" s="219">
        <f t="shared" ca="1" si="123"/>
        <v>56935</v>
      </c>
      <c r="W1902" s="115" t="e">
        <f ca="1"/>
        <v>#VALUE!</v>
      </c>
    </row>
    <row r="1903" spans="13:23">
      <c r="M1903" s="219">
        <f t="shared" ca="1" si="120"/>
        <v>56942</v>
      </c>
      <c r="N1903" s="115" t="e">
        <f ca="1"/>
        <v>#VALUE!</v>
      </c>
      <c r="P1903" s="219">
        <f t="shared" ca="1" si="121"/>
        <v>56942</v>
      </c>
      <c r="Q1903" s="115" t="e">
        <f ca="1"/>
        <v>#VALUE!</v>
      </c>
      <c r="S1903" s="219">
        <f t="shared" ca="1" si="122"/>
        <v>56942</v>
      </c>
      <c r="T1903" s="115" t="e">
        <f ca="1"/>
        <v>#VALUE!</v>
      </c>
      <c r="V1903" s="219">
        <f t="shared" ca="1" si="123"/>
        <v>56942</v>
      </c>
      <c r="W1903" s="115" t="e">
        <f ca="1"/>
        <v>#VALUE!</v>
      </c>
    </row>
    <row r="1904" spans="13:23">
      <c r="M1904" s="219">
        <f t="shared" ca="1" si="120"/>
        <v>56949</v>
      </c>
      <c r="N1904" s="115" t="e">
        <f ca="1"/>
        <v>#VALUE!</v>
      </c>
      <c r="P1904" s="219">
        <f t="shared" ca="1" si="121"/>
        <v>56949</v>
      </c>
      <c r="Q1904" s="115" t="e">
        <f ca="1"/>
        <v>#VALUE!</v>
      </c>
      <c r="S1904" s="219">
        <f t="shared" ca="1" si="122"/>
        <v>56949</v>
      </c>
      <c r="T1904" s="115" t="e">
        <f ca="1"/>
        <v>#VALUE!</v>
      </c>
      <c r="V1904" s="219">
        <f t="shared" ca="1" si="123"/>
        <v>56949</v>
      </c>
      <c r="W1904" s="115" t="e">
        <f ca="1"/>
        <v>#VALUE!</v>
      </c>
    </row>
    <row r="1905" spans="13:23">
      <c r="M1905" s="219">
        <f t="shared" ca="1" si="120"/>
        <v>56956</v>
      </c>
      <c r="N1905" s="115" t="e">
        <f ca="1"/>
        <v>#VALUE!</v>
      </c>
      <c r="P1905" s="219">
        <f t="shared" ca="1" si="121"/>
        <v>56956</v>
      </c>
      <c r="Q1905" s="115" t="e">
        <f ca="1"/>
        <v>#VALUE!</v>
      </c>
      <c r="S1905" s="219">
        <f t="shared" ca="1" si="122"/>
        <v>56956</v>
      </c>
      <c r="T1905" s="115" t="e">
        <f ca="1"/>
        <v>#VALUE!</v>
      </c>
      <c r="V1905" s="219">
        <f t="shared" ca="1" si="123"/>
        <v>56956</v>
      </c>
      <c r="W1905" s="115" t="e">
        <f ca="1"/>
        <v>#VALUE!</v>
      </c>
    </row>
    <row r="1906" spans="13:23">
      <c r="M1906" s="219">
        <f t="shared" ca="1" si="120"/>
        <v>56963</v>
      </c>
      <c r="N1906" s="115" t="e">
        <f ca="1"/>
        <v>#VALUE!</v>
      </c>
      <c r="P1906" s="219">
        <f t="shared" ca="1" si="121"/>
        <v>56963</v>
      </c>
      <c r="Q1906" s="115" t="e">
        <f ca="1"/>
        <v>#VALUE!</v>
      </c>
      <c r="S1906" s="219">
        <f t="shared" ca="1" si="122"/>
        <v>56963</v>
      </c>
      <c r="T1906" s="115" t="e">
        <f ca="1"/>
        <v>#VALUE!</v>
      </c>
      <c r="V1906" s="219">
        <f t="shared" ca="1" si="123"/>
        <v>56963</v>
      </c>
      <c r="W1906" s="115" t="e">
        <f ca="1"/>
        <v>#VALUE!</v>
      </c>
    </row>
    <row r="1907" spans="13:23">
      <c r="M1907" s="219">
        <f t="shared" ca="1" si="120"/>
        <v>56970</v>
      </c>
      <c r="N1907" s="115" t="e">
        <f ca="1"/>
        <v>#VALUE!</v>
      </c>
      <c r="P1907" s="219">
        <f t="shared" ca="1" si="121"/>
        <v>56970</v>
      </c>
      <c r="Q1907" s="115" t="e">
        <f ca="1"/>
        <v>#VALUE!</v>
      </c>
      <c r="S1907" s="219">
        <f t="shared" ca="1" si="122"/>
        <v>56970</v>
      </c>
      <c r="T1907" s="115" t="e">
        <f ca="1"/>
        <v>#VALUE!</v>
      </c>
      <c r="V1907" s="219">
        <f t="shared" ca="1" si="123"/>
        <v>56970</v>
      </c>
      <c r="W1907" s="115" t="e">
        <f ca="1"/>
        <v>#VALUE!</v>
      </c>
    </row>
    <row r="1908" spans="13:23">
      <c r="M1908" s="219">
        <f t="shared" ca="1" si="120"/>
        <v>56977</v>
      </c>
      <c r="N1908" s="115" t="e">
        <f ca="1"/>
        <v>#VALUE!</v>
      </c>
      <c r="P1908" s="219">
        <f t="shared" ca="1" si="121"/>
        <v>56977</v>
      </c>
      <c r="Q1908" s="115" t="e">
        <f ca="1"/>
        <v>#VALUE!</v>
      </c>
      <c r="S1908" s="219">
        <f t="shared" ca="1" si="122"/>
        <v>56977</v>
      </c>
      <c r="T1908" s="115" t="e">
        <f ca="1"/>
        <v>#VALUE!</v>
      </c>
      <c r="V1908" s="219">
        <f t="shared" ca="1" si="123"/>
        <v>56977</v>
      </c>
      <c r="W1908" s="115" t="e">
        <f ca="1"/>
        <v>#VALUE!</v>
      </c>
    </row>
    <row r="1909" spans="13:23">
      <c r="M1909" s="219">
        <f t="shared" ca="1" si="120"/>
        <v>56984</v>
      </c>
      <c r="N1909" s="115" t="e">
        <f ca="1"/>
        <v>#VALUE!</v>
      </c>
      <c r="P1909" s="219">
        <f t="shared" ca="1" si="121"/>
        <v>56984</v>
      </c>
      <c r="Q1909" s="115" t="e">
        <f ca="1"/>
        <v>#VALUE!</v>
      </c>
      <c r="S1909" s="219">
        <f t="shared" ca="1" si="122"/>
        <v>56984</v>
      </c>
      <c r="T1909" s="115" t="e">
        <f ca="1"/>
        <v>#VALUE!</v>
      </c>
      <c r="V1909" s="219">
        <f t="shared" ca="1" si="123"/>
        <v>56984</v>
      </c>
      <c r="W1909" s="115" t="e">
        <f ca="1"/>
        <v>#VALUE!</v>
      </c>
    </row>
    <row r="1910" spans="13:23">
      <c r="M1910" s="219">
        <f t="shared" ca="1" si="120"/>
        <v>56991</v>
      </c>
      <c r="N1910" s="115" t="e">
        <f ca="1"/>
        <v>#VALUE!</v>
      </c>
      <c r="P1910" s="219">
        <f t="shared" ca="1" si="121"/>
        <v>56991</v>
      </c>
      <c r="Q1910" s="115" t="e">
        <f ca="1"/>
        <v>#VALUE!</v>
      </c>
      <c r="S1910" s="219">
        <f t="shared" ca="1" si="122"/>
        <v>56991</v>
      </c>
      <c r="T1910" s="115" t="e">
        <f ca="1"/>
        <v>#VALUE!</v>
      </c>
      <c r="V1910" s="219">
        <f t="shared" ca="1" si="123"/>
        <v>56991</v>
      </c>
      <c r="W1910" s="115" t="e">
        <f ca="1"/>
        <v>#VALUE!</v>
      </c>
    </row>
    <row r="1911" spans="13:23">
      <c r="M1911" s="219">
        <f t="shared" ca="1" si="120"/>
        <v>56998</v>
      </c>
      <c r="N1911" s="115" t="e">
        <f ca="1"/>
        <v>#VALUE!</v>
      </c>
      <c r="P1911" s="219">
        <f t="shared" ca="1" si="121"/>
        <v>56998</v>
      </c>
      <c r="Q1911" s="115" t="e">
        <f ca="1"/>
        <v>#VALUE!</v>
      </c>
      <c r="S1911" s="219">
        <f t="shared" ca="1" si="122"/>
        <v>56998</v>
      </c>
      <c r="T1911" s="115" t="e">
        <f ca="1"/>
        <v>#VALUE!</v>
      </c>
      <c r="V1911" s="219">
        <f t="shared" ca="1" si="123"/>
        <v>56998</v>
      </c>
      <c r="W1911" s="115" t="e">
        <f ca="1"/>
        <v>#VALUE!</v>
      </c>
    </row>
    <row r="1912" spans="13:23">
      <c r="M1912" s="219">
        <f t="shared" ca="1" si="120"/>
        <v>57005</v>
      </c>
      <c r="N1912" s="115" t="e">
        <f ca="1"/>
        <v>#VALUE!</v>
      </c>
      <c r="P1912" s="219">
        <f t="shared" ca="1" si="121"/>
        <v>57005</v>
      </c>
      <c r="Q1912" s="115" t="e">
        <f ca="1"/>
        <v>#VALUE!</v>
      </c>
      <c r="S1912" s="219">
        <f t="shared" ca="1" si="122"/>
        <v>57005</v>
      </c>
      <c r="T1912" s="115" t="e">
        <f ca="1"/>
        <v>#VALUE!</v>
      </c>
      <c r="V1912" s="219">
        <f t="shared" ca="1" si="123"/>
        <v>57005</v>
      </c>
      <c r="W1912" s="115" t="e">
        <f ca="1"/>
        <v>#VALUE!</v>
      </c>
    </row>
    <row r="1913" spans="13:23">
      <c r="M1913" s="219">
        <f t="shared" ca="1" si="120"/>
        <v>57012</v>
      </c>
      <c r="N1913" s="115" t="e">
        <f ca="1"/>
        <v>#VALUE!</v>
      </c>
      <c r="P1913" s="219">
        <f t="shared" ca="1" si="121"/>
        <v>57012</v>
      </c>
      <c r="Q1913" s="115" t="e">
        <f ca="1"/>
        <v>#VALUE!</v>
      </c>
      <c r="S1913" s="219">
        <f t="shared" ca="1" si="122"/>
        <v>57012</v>
      </c>
      <c r="T1913" s="115" t="e">
        <f ca="1"/>
        <v>#VALUE!</v>
      </c>
      <c r="V1913" s="219">
        <f t="shared" ca="1" si="123"/>
        <v>57012</v>
      </c>
      <c r="W1913" s="115" t="e">
        <f ca="1"/>
        <v>#VALUE!</v>
      </c>
    </row>
    <row r="1914" spans="13:23">
      <c r="M1914" s="219">
        <f t="shared" ca="1" si="120"/>
        <v>57019</v>
      </c>
      <c r="N1914" s="115" t="e">
        <f ca="1"/>
        <v>#VALUE!</v>
      </c>
      <c r="P1914" s="219">
        <f t="shared" ca="1" si="121"/>
        <v>57019</v>
      </c>
      <c r="Q1914" s="115" t="e">
        <f ca="1"/>
        <v>#VALUE!</v>
      </c>
      <c r="S1914" s="219">
        <f t="shared" ca="1" si="122"/>
        <v>57019</v>
      </c>
      <c r="T1914" s="115" t="e">
        <f ca="1"/>
        <v>#VALUE!</v>
      </c>
      <c r="V1914" s="219">
        <f t="shared" ca="1" si="123"/>
        <v>57019</v>
      </c>
      <c r="W1914" s="115" t="e">
        <f ca="1"/>
        <v>#VALUE!</v>
      </c>
    </row>
    <row r="1915" spans="13:23">
      <c r="M1915" s="219">
        <f t="shared" ca="1" si="120"/>
        <v>57026</v>
      </c>
      <c r="N1915" s="115" t="e">
        <f ca="1"/>
        <v>#VALUE!</v>
      </c>
      <c r="P1915" s="219">
        <f t="shared" ca="1" si="121"/>
        <v>57026</v>
      </c>
      <c r="Q1915" s="115" t="e">
        <f ca="1"/>
        <v>#VALUE!</v>
      </c>
      <c r="S1915" s="219">
        <f t="shared" ca="1" si="122"/>
        <v>57026</v>
      </c>
      <c r="T1915" s="115" t="e">
        <f ca="1"/>
        <v>#VALUE!</v>
      </c>
      <c r="V1915" s="219">
        <f t="shared" ca="1" si="123"/>
        <v>57026</v>
      </c>
      <c r="W1915" s="115" t="e">
        <f ca="1"/>
        <v>#VALUE!</v>
      </c>
    </row>
    <row r="1916" spans="13:23">
      <c r="M1916" s="219">
        <f t="shared" ca="1" si="120"/>
        <v>57033</v>
      </c>
      <c r="N1916" s="115" t="e">
        <f ca="1"/>
        <v>#VALUE!</v>
      </c>
      <c r="P1916" s="219">
        <f t="shared" ca="1" si="121"/>
        <v>57033</v>
      </c>
      <c r="Q1916" s="115" t="e">
        <f ca="1"/>
        <v>#VALUE!</v>
      </c>
      <c r="S1916" s="219">
        <f t="shared" ca="1" si="122"/>
        <v>57033</v>
      </c>
      <c r="T1916" s="115" t="e">
        <f ca="1"/>
        <v>#VALUE!</v>
      </c>
      <c r="V1916" s="219">
        <f t="shared" ca="1" si="123"/>
        <v>57033</v>
      </c>
      <c r="W1916" s="115" t="e">
        <f ca="1"/>
        <v>#VALUE!</v>
      </c>
    </row>
    <row r="1917" spans="13:23">
      <c r="M1917" s="219">
        <f t="shared" ca="1" si="120"/>
        <v>57040</v>
      </c>
      <c r="N1917" s="115" t="e">
        <f ca="1"/>
        <v>#VALUE!</v>
      </c>
      <c r="P1917" s="219">
        <f t="shared" ca="1" si="121"/>
        <v>57040</v>
      </c>
      <c r="Q1917" s="115" t="e">
        <f ca="1"/>
        <v>#VALUE!</v>
      </c>
      <c r="S1917" s="219">
        <f t="shared" ca="1" si="122"/>
        <v>57040</v>
      </c>
      <c r="T1917" s="115" t="e">
        <f ca="1"/>
        <v>#VALUE!</v>
      </c>
      <c r="V1917" s="219">
        <f t="shared" ca="1" si="123"/>
        <v>57040</v>
      </c>
      <c r="W1917" s="115" t="e">
        <f ca="1"/>
        <v>#VALUE!</v>
      </c>
    </row>
    <row r="1918" spans="13:23">
      <c r="M1918" s="219">
        <f t="shared" ca="1" si="120"/>
        <v>57047</v>
      </c>
      <c r="N1918" s="115" t="e">
        <f ca="1"/>
        <v>#VALUE!</v>
      </c>
      <c r="P1918" s="219">
        <f t="shared" ca="1" si="121"/>
        <v>57047</v>
      </c>
      <c r="Q1918" s="115" t="e">
        <f ca="1"/>
        <v>#VALUE!</v>
      </c>
      <c r="S1918" s="219">
        <f t="shared" ca="1" si="122"/>
        <v>57047</v>
      </c>
      <c r="T1918" s="115" t="e">
        <f ca="1"/>
        <v>#VALUE!</v>
      </c>
      <c r="V1918" s="219">
        <f t="shared" ca="1" si="123"/>
        <v>57047</v>
      </c>
      <c r="W1918" s="115" t="e">
        <f ca="1"/>
        <v>#VALUE!</v>
      </c>
    </row>
    <row r="1919" spans="13:23">
      <c r="M1919" s="219">
        <f t="shared" ca="1" si="120"/>
        <v>57054</v>
      </c>
      <c r="N1919" s="115" t="e">
        <f ca="1"/>
        <v>#VALUE!</v>
      </c>
      <c r="P1919" s="219">
        <f t="shared" ca="1" si="121"/>
        <v>57054</v>
      </c>
      <c r="Q1919" s="115" t="e">
        <f ca="1"/>
        <v>#VALUE!</v>
      </c>
      <c r="S1919" s="219">
        <f t="shared" ca="1" si="122"/>
        <v>57054</v>
      </c>
      <c r="T1919" s="115" t="e">
        <f ca="1"/>
        <v>#VALUE!</v>
      </c>
      <c r="V1919" s="219">
        <f t="shared" ca="1" si="123"/>
        <v>57054</v>
      </c>
      <c r="W1919" s="115" t="e">
        <f ca="1"/>
        <v>#VALUE!</v>
      </c>
    </row>
    <row r="1920" spans="13:23">
      <c r="M1920" s="219">
        <f t="shared" ca="1" si="120"/>
        <v>57061</v>
      </c>
      <c r="N1920" s="115" t="e">
        <f ca="1"/>
        <v>#VALUE!</v>
      </c>
      <c r="P1920" s="219">
        <f t="shared" ca="1" si="121"/>
        <v>57061</v>
      </c>
      <c r="Q1920" s="115" t="e">
        <f ca="1"/>
        <v>#VALUE!</v>
      </c>
      <c r="S1920" s="219">
        <f t="shared" ca="1" si="122"/>
        <v>57061</v>
      </c>
      <c r="T1920" s="115" t="e">
        <f ca="1"/>
        <v>#VALUE!</v>
      </c>
      <c r="V1920" s="219">
        <f t="shared" ca="1" si="123"/>
        <v>57061</v>
      </c>
      <c r="W1920" s="115" t="e">
        <f ca="1"/>
        <v>#VALUE!</v>
      </c>
    </row>
    <row r="1921" spans="13:23">
      <c r="M1921" s="219">
        <f t="shared" ca="1" si="120"/>
        <v>57068</v>
      </c>
      <c r="N1921" s="115" t="e">
        <f ca="1"/>
        <v>#VALUE!</v>
      </c>
      <c r="P1921" s="219">
        <f t="shared" ca="1" si="121"/>
        <v>57068</v>
      </c>
      <c r="Q1921" s="115" t="e">
        <f ca="1"/>
        <v>#VALUE!</v>
      </c>
      <c r="S1921" s="219">
        <f t="shared" ca="1" si="122"/>
        <v>57068</v>
      </c>
      <c r="T1921" s="115" t="e">
        <f ca="1"/>
        <v>#VALUE!</v>
      </c>
      <c r="V1921" s="219">
        <f t="shared" ca="1" si="123"/>
        <v>57068</v>
      </c>
      <c r="W1921" s="115" t="e">
        <f ca="1"/>
        <v>#VALUE!</v>
      </c>
    </row>
    <row r="1922" spans="13:23">
      <c r="M1922" s="219">
        <f t="shared" ca="1" si="120"/>
        <v>57075</v>
      </c>
      <c r="N1922" s="115" t="e">
        <f ca="1"/>
        <v>#VALUE!</v>
      </c>
      <c r="P1922" s="219">
        <f t="shared" ca="1" si="121"/>
        <v>57075</v>
      </c>
      <c r="Q1922" s="115" t="e">
        <f ca="1"/>
        <v>#VALUE!</v>
      </c>
      <c r="S1922" s="219">
        <f t="shared" ca="1" si="122"/>
        <v>57075</v>
      </c>
      <c r="T1922" s="115" t="e">
        <f ca="1"/>
        <v>#VALUE!</v>
      </c>
      <c r="V1922" s="219">
        <f t="shared" ca="1" si="123"/>
        <v>57075</v>
      </c>
      <c r="W1922" s="115" t="e">
        <f ca="1"/>
        <v>#VALUE!</v>
      </c>
    </row>
    <row r="1923" spans="13:23">
      <c r="M1923" s="219">
        <f t="shared" ca="1" si="120"/>
        <v>57082</v>
      </c>
      <c r="N1923" s="115" t="e">
        <f ca="1"/>
        <v>#VALUE!</v>
      </c>
      <c r="P1923" s="219">
        <f t="shared" ca="1" si="121"/>
        <v>57082</v>
      </c>
      <c r="Q1923" s="115" t="e">
        <f ca="1"/>
        <v>#VALUE!</v>
      </c>
      <c r="S1923" s="219">
        <f t="shared" ca="1" si="122"/>
        <v>57082</v>
      </c>
      <c r="T1923" s="115" t="e">
        <f ca="1"/>
        <v>#VALUE!</v>
      </c>
      <c r="V1923" s="219">
        <f t="shared" ca="1" si="123"/>
        <v>57082</v>
      </c>
      <c r="W1923" s="115" t="e">
        <f ca="1"/>
        <v>#VALUE!</v>
      </c>
    </row>
    <row r="1924" spans="13:23">
      <c r="M1924" s="219">
        <f t="shared" ca="1" si="120"/>
        <v>57089</v>
      </c>
      <c r="N1924" s="115" t="e">
        <f ca="1"/>
        <v>#VALUE!</v>
      </c>
      <c r="P1924" s="219">
        <f t="shared" ca="1" si="121"/>
        <v>57089</v>
      </c>
      <c r="Q1924" s="115" t="e">
        <f ca="1"/>
        <v>#VALUE!</v>
      </c>
      <c r="S1924" s="219">
        <f t="shared" ca="1" si="122"/>
        <v>57089</v>
      </c>
      <c r="T1924" s="115" t="e">
        <f ca="1"/>
        <v>#VALUE!</v>
      </c>
      <c r="V1924" s="219">
        <f t="shared" ca="1" si="123"/>
        <v>57089</v>
      </c>
      <c r="W1924" s="115" t="e">
        <f ca="1"/>
        <v>#VALUE!</v>
      </c>
    </row>
    <row r="1925" spans="13:23">
      <c r="M1925" s="219">
        <f t="shared" ca="1" si="120"/>
        <v>57096</v>
      </c>
      <c r="N1925" s="115" t="e">
        <f ca="1"/>
        <v>#VALUE!</v>
      </c>
      <c r="P1925" s="219">
        <f t="shared" ca="1" si="121"/>
        <v>57096</v>
      </c>
      <c r="Q1925" s="115" t="e">
        <f ca="1"/>
        <v>#VALUE!</v>
      </c>
      <c r="S1925" s="219">
        <f t="shared" ca="1" si="122"/>
        <v>57096</v>
      </c>
      <c r="T1925" s="115" t="e">
        <f ca="1"/>
        <v>#VALUE!</v>
      </c>
      <c r="V1925" s="219">
        <f t="shared" ca="1" si="123"/>
        <v>57096</v>
      </c>
      <c r="W1925" s="115" t="e">
        <f ca="1"/>
        <v>#VALUE!</v>
      </c>
    </row>
    <row r="1926" spans="13:23">
      <c r="M1926" s="219">
        <f t="shared" ca="1" si="120"/>
        <v>57103</v>
      </c>
      <c r="N1926" s="115" t="e">
        <f ca="1"/>
        <v>#VALUE!</v>
      </c>
      <c r="P1926" s="219">
        <f t="shared" ca="1" si="121"/>
        <v>57103</v>
      </c>
      <c r="Q1926" s="115" t="e">
        <f ca="1"/>
        <v>#VALUE!</v>
      </c>
      <c r="S1926" s="219">
        <f t="shared" ca="1" si="122"/>
        <v>57103</v>
      </c>
      <c r="T1926" s="115" t="e">
        <f ca="1"/>
        <v>#VALUE!</v>
      </c>
      <c r="V1926" s="219">
        <f t="shared" ca="1" si="123"/>
        <v>57103</v>
      </c>
      <c r="W1926" s="115" t="e">
        <f ca="1"/>
        <v>#VALUE!</v>
      </c>
    </row>
    <row r="1927" spans="13:23">
      <c r="M1927" s="219">
        <f t="shared" ca="1" si="120"/>
        <v>57110</v>
      </c>
      <c r="N1927" s="115" t="e">
        <f ca="1"/>
        <v>#VALUE!</v>
      </c>
      <c r="P1927" s="219">
        <f t="shared" ca="1" si="121"/>
        <v>57110</v>
      </c>
      <c r="Q1927" s="115" t="e">
        <f ca="1"/>
        <v>#VALUE!</v>
      </c>
      <c r="S1927" s="219">
        <f t="shared" ca="1" si="122"/>
        <v>57110</v>
      </c>
      <c r="T1927" s="115" t="e">
        <f ca="1"/>
        <v>#VALUE!</v>
      </c>
      <c r="V1927" s="219">
        <f t="shared" ca="1" si="123"/>
        <v>57110</v>
      </c>
      <c r="W1927" s="115" t="e">
        <f ca="1"/>
        <v>#VALUE!</v>
      </c>
    </row>
    <row r="1928" spans="13:23">
      <c r="M1928" s="219">
        <f t="shared" ca="1" si="120"/>
        <v>57117</v>
      </c>
      <c r="N1928" s="115" t="e">
        <f ca="1"/>
        <v>#VALUE!</v>
      </c>
      <c r="P1928" s="219">
        <f t="shared" ca="1" si="121"/>
        <v>57117</v>
      </c>
      <c r="Q1928" s="115" t="e">
        <f ca="1"/>
        <v>#VALUE!</v>
      </c>
      <c r="S1928" s="219">
        <f t="shared" ca="1" si="122"/>
        <v>57117</v>
      </c>
      <c r="T1928" s="115" t="e">
        <f ca="1"/>
        <v>#VALUE!</v>
      </c>
      <c r="V1928" s="219">
        <f t="shared" ca="1" si="123"/>
        <v>57117</v>
      </c>
      <c r="W1928" s="115" t="e">
        <f ca="1"/>
        <v>#VALUE!</v>
      </c>
    </row>
    <row r="1929" spans="13:23">
      <c r="M1929" s="219">
        <f t="shared" ca="1" si="120"/>
        <v>57124</v>
      </c>
      <c r="N1929" s="115" t="e">
        <f ca="1"/>
        <v>#VALUE!</v>
      </c>
      <c r="P1929" s="219">
        <f t="shared" ca="1" si="121"/>
        <v>57124</v>
      </c>
      <c r="Q1929" s="115" t="e">
        <f ca="1"/>
        <v>#VALUE!</v>
      </c>
      <c r="S1929" s="219">
        <f t="shared" ca="1" si="122"/>
        <v>57124</v>
      </c>
      <c r="T1929" s="115" t="e">
        <f ca="1"/>
        <v>#VALUE!</v>
      </c>
      <c r="V1929" s="219">
        <f t="shared" ca="1" si="123"/>
        <v>57124</v>
      </c>
      <c r="W1929" s="115" t="e">
        <f ca="1"/>
        <v>#VALUE!</v>
      </c>
    </row>
    <row r="1930" spans="13:23">
      <c r="M1930" s="219">
        <f t="shared" ca="1" si="120"/>
        <v>57131</v>
      </c>
      <c r="N1930" s="115" t="e">
        <f ca="1"/>
        <v>#VALUE!</v>
      </c>
      <c r="P1930" s="219">
        <f t="shared" ca="1" si="121"/>
        <v>57131</v>
      </c>
      <c r="Q1930" s="115" t="e">
        <f ca="1"/>
        <v>#VALUE!</v>
      </c>
      <c r="S1930" s="219">
        <f t="shared" ca="1" si="122"/>
        <v>57131</v>
      </c>
      <c r="T1930" s="115" t="e">
        <f ca="1"/>
        <v>#VALUE!</v>
      </c>
      <c r="V1930" s="219">
        <f t="shared" ca="1" si="123"/>
        <v>57131</v>
      </c>
      <c r="W1930" s="115" t="e">
        <f ca="1"/>
        <v>#VALUE!</v>
      </c>
    </row>
    <row r="1931" spans="13:23">
      <c r="M1931" s="219">
        <f t="shared" ca="1" si="120"/>
        <v>57138</v>
      </c>
      <c r="N1931" s="115" t="e">
        <f ca="1"/>
        <v>#VALUE!</v>
      </c>
      <c r="P1931" s="219">
        <f t="shared" ca="1" si="121"/>
        <v>57138</v>
      </c>
      <c r="Q1931" s="115" t="e">
        <f ca="1"/>
        <v>#VALUE!</v>
      </c>
      <c r="S1931" s="219">
        <f t="shared" ca="1" si="122"/>
        <v>57138</v>
      </c>
      <c r="T1931" s="115" t="e">
        <f ca="1"/>
        <v>#VALUE!</v>
      </c>
      <c r="V1931" s="219">
        <f t="shared" ca="1" si="123"/>
        <v>57138</v>
      </c>
      <c r="W1931" s="115" t="e">
        <f ca="1"/>
        <v>#VALUE!</v>
      </c>
    </row>
    <row r="1932" spans="13:23">
      <c r="M1932" s="219">
        <f t="shared" ca="1" si="120"/>
        <v>57145</v>
      </c>
      <c r="N1932" s="115" t="e">
        <f ca="1"/>
        <v>#VALUE!</v>
      </c>
      <c r="P1932" s="219">
        <f t="shared" ca="1" si="121"/>
        <v>57145</v>
      </c>
      <c r="Q1932" s="115" t="e">
        <f ca="1"/>
        <v>#VALUE!</v>
      </c>
      <c r="S1932" s="219">
        <f t="shared" ca="1" si="122"/>
        <v>57145</v>
      </c>
      <c r="T1932" s="115" t="e">
        <f ca="1"/>
        <v>#VALUE!</v>
      </c>
      <c r="V1932" s="219">
        <f t="shared" ca="1" si="123"/>
        <v>57145</v>
      </c>
      <c r="W1932" s="115" t="e">
        <f ca="1"/>
        <v>#VALUE!</v>
      </c>
    </row>
    <row r="1933" spans="13:23">
      <c r="M1933" s="219">
        <f t="shared" ref="M1933:M1996" ca="1" si="124">M1932+7</f>
        <v>57152</v>
      </c>
      <c r="N1933" s="115" t="e">
        <f ca="1"/>
        <v>#VALUE!</v>
      </c>
      <c r="P1933" s="219">
        <f t="shared" ca="1" si="121"/>
        <v>57152</v>
      </c>
      <c r="Q1933" s="115" t="e">
        <f ca="1"/>
        <v>#VALUE!</v>
      </c>
      <c r="S1933" s="219">
        <f t="shared" ca="1" si="122"/>
        <v>57152</v>
      </c>
      <c r="T1933" s="115" t="e">
        <f ca="1"/>
        <v>#VALUE!</v>
      </c>
      <c r="V1933" s="219">
        <f t="shared" ca="1" si="123"/>
        <v>57152</v>
      </c>
      <c r="W1933" s="115" t="e">
        <f ca="1"/>
        <v>#VALUE!</v>
      </c>
    </row>
    <row r="1934" spans="13:23">
      <c r="M1934" s="219">
        <f t="shared" ca="1" si="124"/>
        <v>57159</v>
      </c>
      <c r="N1934" s="115" t="e">
        <f ca="1"/>
        <v>#VALUE!</v>
      </c>
      <c r="P1934" s="219">
        <f t="shared" ca="1" si="121"/>
        <v>57159</v>
      </c>
      <c r="Q1934" s="115" t="e">
        <f ca="1"/>
        <v>#VALUE!</v>
      </c>
      <c r="S1934" s="219">
        <f t="shared" ca="1" si="122"/>
        <v>57159</v>
      </c>
      <c r="T1934" s="115" t="e">
        <f ca="1"/>
        <v>#VALUE!</v>
      </c>
      <c r="V1934" s="219">
        <f t="shared" ca="1" si="123"/>
        <v>57159</v>
      </c>
      <c r="W1934" s="115" t="e">
        <f ca="1"/>
        <v>#VALUE!</v>
      </c>
    </row>
    <row r="1935" spans="13:23">
      <c r="M1935" s="219">
        <f t="shared" ca="1" si="124"/>
        <v>57166</v>
      </c>
      <c r="N1935" s="115" t="e">
        <f ca="1"/>
        <v>#VALUE!</v>
      </c>
      <c r="P1935" s="219">
        <f t="shared" ca="1" si="121"/>
        <v>57166</v>
      </c>
      <c r="Q1935" s="115" t="e">
        <f ca="1"/>
        <v>#VALUE!</v>
      </c>
      <c r="S1935" s="219">
        <f t="shared" ca="1" si="122"/>
        <v>57166</v>
      </c>
      <c r="T1935" s="115" t="e">
        <f ca="1"/>
        <v>#VALUE!</v>
      </c>
      <c r="V1935" s="219">
        <f t="shared" ca="1" si="123"/>
        <v>57166</v>
      </c>
      <c r="W1935" s="115" t="e">
        <f ca="1"/>
        <v>#VALUE!</v>
      </c>
    </row>
    <row r="1936" spans="13:23">
      <c r="M1936" s="219">
        <f t="shared" ca="1" si="124"/>
        <v>57173</v>
      </c>
      <c r="N1936" s="115" t="e">
        <f ca="1"/>
        <v>#VALUE!</v>
      </c>
      <c r="P1936" s="219">
        <f t="shared" ca="1" si="121"/>
        <v>57173</v>
      </c>
      <c r="Q1936" s="115" t="e">
        <f ca="1"/>
        <v>#VALUE!</v>
      </c>
      <c r="S1936" s="219">
        <f t="shared" ca="1" si="122"/>
        <v>57173</v>
      </c>
      <c r="T1936" s="115" t="e">
        <f ca="1"/>
        <v>#VALUE!</v>
      </c>
      <c r="V1936" s="219">
        <f t="shared" ca="1" si="123"/>
        <v>57173</v>
      </c>
      <c r="W1936" s="115" t="e">
        <f ca="1"/>
        <v>#VALUE!</v>
      </c>
    </row>
    <row r="1937" spans="13:23">
      <c r="M1937" s="219">
        <f t="shared" ca="1" si="124"/>
        <v>57180</v>
      </c>
      <c r="N1937" s="115" t="e">
        <f ca="1"/>
        <v>#VALUE!</v>
      </c>
      <c r="P1937" s="219">
        <f t="shared" ca="1" si="121"/>
        <v>57180</v>
      </c>
      <c r="Q1937" s="115" t="e">
        <f ca="1"/>
        <v>#VALUE!</v>
      </c>
      <c r="S1937" s="219">
        <f t="shared" ca="1" si="122"/>
        <v>57180</v>
      </c>
      <c r="T1937" s="115" t="e">
        <f ca="1"/>
        <v>#VALUE!</v>
      </c>
      <c r="V1937" s="219">
        <f t="shared" ca="1" si="123"/>
        <v>57180</v>
      </c>
      <c r="W1937" s="115" t="e">
        <f ca="1"/>
        <v>#VALUE!</v>
      </c>
    </row>
    <row r="1938" spans="13:23">
      <c r="M1938" s="219">
        <f t="shared" ca="1" si="124"/>
        <v>57187</v>
      </c>
      <c r="N1938" s="115" t="e">
        <f ca="1"/>
        <v>#VALUE!</v>
      </c>
      <c r="P1938" s="219">
        <f t="shared" ca="1" si="121"/>
        <v>57187</v>
      </c>
      <c r="Q1938" s="115" t="e">
        <f ca="1"/>
        <v>#VALUE!</v>
      </c>
      <c r="S1938" s="219">
        <f t="shared" ca="1" si="122"/>
        <v>57187</v>
      </c>
      <c r="T1938" s="115" t="e">
        <f ca="1"/>
        <v>#VALUE!</v>
      </c>
      <c r="V1938" s="219">
        <f t="shared" ca="1" si="123"/>
        <v>57187</v>
      </c>
      <c r="W1938" s="115" t="e">
        <f ca="1"/>
        <v>#VALUE!</v>
      </c>
    </row>
    <row r="1939" spans="13:23">
      <c r="M1939" s="219">
        <f t="shared" ca="1" si="124"/>
        <v>57194</v>
      </c>
      <c r="N1939" s="115" t="e">
        <f ca="1"/>
        <v>#VALUE!</v>
      </c>
      <c r="P1939" s="219">
        <f t="shared" ca="1" si="121"/>
        <v>57194</v>
      </c>
      <c r="Q1939" s="115" t="e">
        <f ca="1"/>
        <v>#VALUE!</v>
      </c>
      <c r="S1939" s="219">
        <f t="shared" ca="1" si="122"/>
        <v>57194</v>
      </c>
      <c r="T1939" s="115" t="e">
        <f ca="1"/>
        <v>#VALUE!</v>
      </c>
      <c r="V1939" s="219">
        <f t="shared" ca="1" si="123"/>
        <v>57194</v>
      </c>
      <c r="W1939" s="115" t="e">
        <f ca="1"/>
        <v>#VALUE!</v>
      </c>
    </row>
    <row r="1940" spans="13:23">
      <c r="M1940" s="219">
        <f t="shared" ca="1" si="124"/>
        <v>57201</v>
      </c>
      <c r="N1940" s="115" t="e">
        <f ca="1"/>
        <v>#VALUE!</v>
      </c>
      <c r="P1940" s="219">
        <f t="shared" ca="1" si="121"/>
        <v>57201</v>
      </c>
      <c r="Q1940" s="115" t="e">
        <f ca="1"/>
        <v>#VALUE!</v>
      </c>
      <c r="S1940" s="219">
        <f t="shared" ca="1" si="122"/>
        <v>57201</v>
      </c>
      <c r="T1940" s="115" t="e">
        <f ca="1"/>
        <v>#VALUE!</v>
      </c>
      <c r="V1940" s="219">
        <f t="shared" ca="1" si="123"/>
        <v>57201</v>
      </c>
      <c r="W1940" s="115" t="e">
        <f ca="1"/>
        <v>#VALUE!</v>
      </c>
    </row>
    <row r="1941" spans="13:23">
      <c r="M1941" s="219">
        <f t="shared" ca="1" si="124"/>
        <v>57208</v>
      </c>
      <c r="N1941" s="115" t="e">
        <f ca="1"/>
        <v>#VALUE!</v>
      </c>
      <c r="P1941" s="219">
        <f t="shared" ca="1" si="121"/>
        <v>57208</v>
      </c>
      <c r="Q1941" s="115" t="e">
        <f ca="1"/>
        <v>#VALUE!</v>
      </c>
      <c r="S1941" s="219">
        <f t="shared" ca="1" si="122"/>
        <v>57208</v>
      </c>
      <c r="T1941" s="115" t="e">
        <f ca="1"/>
        <v>#VALUE!</v>
      </c>
      <c r="V1941" s="219">
        <f t="shared" ca="1" si="123"/>
        <v>57208</v>
      </c>
      <c r="W1941" s="115" t="e">
        <f ca="1"/>
        <v>#VALUE!</v>
      </c>
    </row>
    <row r="1942" spans="13:23">
      <c r="M1942" s="219">
        <f t="shared" ca="1" si="124"/>
        <v>57215</v>
      </c>
      <c r="N1942" s="115" t="e">
        <f ca="1"/>
        <v>#VALUE!</v>
      </c>
      <c r="P1942" s="219">
        <f t="shared" ca="1" si="121"/>
        <v>57215</v>
      </c>
      <c r="Q1942" s="115" t="e">
        <f ca="1"/>
        <v>#VALUE!</v>
      </c>
      <c r="S1942" s="219">
        <f t="shared" ca="1" si="122"/>
        <v>57215</v>
      </c>
      <c r="T1942" s="115" t="e">
        <f ca="1"/>
        <v>#VALUE!</v>
      </c>
      <c r="V1942" s="219">
        <f t="shared" ca="1" si="123"/>
        <v>57215</v>
      </c>
      <c r="W1942" s="115" t="e">
        <f ca="1"/>
        <v>#VALUE!</v>
      </c>
    </row>
    <row r="1943" spans="13:23">
      <c r="M1943" s="219">
        <f t="shared" ca="1" si="124"/>
        <v>57222</v>
      </c>
      <c r="N1943" s="115" t="e">
        <f ca="1"/>
        <v>#VALUE!</v>
      </c>
      <c r="P1943" s="219">
        <f t="shared" ca="1" si="121"/>
        <v>57222</v>
      </c>
      <c r="Q1943" s="115" t="e">
        <f ca="1"/>
        <v>#VALUE!</v>
      </c>
      <c r="S1943" s="219">
        <f t="shared" ca="1" si="122"/>
        <v>57222</v>
      </c>
      <c r="T1943" s="115" t="e">
        <f ca="1"/>
        <v>#VALUE!</v>
      </c>
      <c r="V1943" s="219">
        <f t="shared" ca="1" si="123"/>
        <v>57222</v>
      </c>
      <c r="W1943" s="115" t="e">
        <f ca="1"/>
        <v>#VALUE!</v>
      </c>
    </row>
    <row r="1944" spans="13:23">
      <c r="M1944" s="219">
        <f t="shared" ca="1" si="124"/>
        <v>57229</v>
      </c>
      <c r="N1944" s="115" t="e">
        <f ca="1"/>
        <v>#VALUE!</v>
      </c>
      <c r="P1944" s="219">
        <f t="shared" ca="1" si="121"/>
        <v>57229</v>
      </c>
      <c r="Q1944" s="115" t="e">
        <f ca="1"/>
        <v>#VALUE!</v>
      </c>
      <c r="S1944" s="219">
        <f t="shared" ca="1" si="122"/>
        <v>57229</v>
      </c>
      <c r="T1944" s="115" t="e">
        <f ca="1"/>
        <v>#VALUE!</v>
      </c>
      <c r="V1944" s="219">
        <f t="shared" ca="1" si="123"/>
        <v>57229</v>
      </c>
      <c r="W1944" s="115" t="e">
        <f ca="1"/>
        <v>#VALUE!</v>
      </c>
    </row>
    <row r="1945" spans="13:23">
      <c r="M1945" s="219">
        <f t="shared" ca="1" si="124"/>
        <v>57236</v>
      </c>
      <c r="N1945" s="115" t="e">
        <f ca="1"/>
        <v>#VALUE!</v>
      </c>
      <c r="P1945" s="219">
        <f t="shared" ca="1" si="121"/>
        <v>57236</v>
      </c>
      <c r="Q1945" s="115" t="e">
        <f ca="1"/>
        <v>#VALUE!</v>
      </c>
      <c r="S1945" s="219">
        <f t="shared" ca="1" si="122"/>
        <v>57236</v>
      </c>
      <c r="T1945" s="115" t="e">
        <f ca="1"/>
        <v>#VALUE!</v>
      </c>
      <c r="V1945" s="219">
        <f t="shared" ca="1" si="123"/>
        <v>57236</v>
      </c>
      <c r="W1945" s="115" t="e">
        <f ca="1"/>
        <v>#VALUE!</v>
      </c>
    </row>
    <row r="1946" spans="13:23">
      <c r="M1946" s="219">
        <f t="shared" ca="1" si="124"/>
        <v>57243</v>
      </c>
      <c r="N1946" s="115" t="e">
        <f ca="1"/>
        <v>#VALUE!</v>
      </c>
      <c r="P1946" s="219">
        <f t="shared" ca="1" si="121"/>
        <v>57243</v>
      </c>
      <c r="Q1946" s="115" t="e">
        <f ca="1"/>
        <v>#VALUE!</v>
      </c>
      <c r="S1946" s="219">
        <f t="shared" ca="1" si="122"/>
        <v>57243</v>
      </c>
      <c r="T1946" s="115" t="e">
        <f ca="1"/>
        <v>#VALUE!</v>
      </c>
      <c r="V1946" s="219">
        <f t="shared" ca="1" si="123"/>
        <v>57243</v>
      </c>
      <c r="W1946" s="115" t="e">
        <f ca="1"/>
        <v>#VALUE!</v>
      </c>
    </row>
    <row r="1947" spans="13:23">
      <c r="M1947" s="219">
        <f t="shared" ca="1" si="124"/>
        <v>57250</v>
      </c>
      <c r="N1947" s="115" t="e">
        <f ca="1"/>
        <v>#VALUE!</v>
      </c>
      <c r="P1947" s="219">
        <f t="shared" ca="1" si="121"/>
        <v>57250</v>
      </c>
      <c r="Q1947" s="115" t="e">
        <f ca="1"/>
        <v>#VALUE!</v>
      </c>
      <c r="S1947" s="219">
        <f t="shared" ca="1" si="122"/>
        <v>57250</v>
      </c>
      <c r="T1947" s="115" t="e">
        <f ca="1"/>
        <v>#VALUE!</v>
      </c>
      <c r="V1947" s="219">
        <f t="shared" ca="1" si="123"/>
        <v>57250</v>
      </c>
      <c r="W1947" s="115" t="e">
        <f ca="1"/>
        <v>#VALUE!</v>
      </c>
    </row>
    <row r="1948" spans="13:23">
      <c r="M1948" s="219">
        <f t="shared" ca="1" si="124"/>
        <v>57257</v>
      </c>
      <c r="N1948" s="115" t="e">
        <f ca="1"/>
        <v>#VALUE!</v>
      </c>
      <c r="P1948" s="219">
        <f t="shared" ca="1" si="121"/>
        <v>57257</v>
      </c>
      <c r="Q1948" s="115" t="e">
        <f ca="1"/>
        <v>#VALUE!</v>
      </c>
      <c r="S1948" s="219">
        <f t="shared" ca="1" si="122"/>
        <v>57257</v>
      </c>
      <c r="T1948" s="115" t="e">
        <f ca="1"/>
        <v>#VALUE!</v>
      </c>
      <c r="V1948" s="219">
        <f t="shared" ca="1" si="123"/>
        <v>57257</v>
      </c>
      <c r="W1948" s="115" t="e">
        <f ca="1"/>
        <v>#VALUE!</v>
      </c>
    </row>
    <row r="1949" spans="13:23">
      <c r="M1949" s="219">
        <f t="shared" ca="1" si="124"/>
        <v>57264</v>
      </c>
      <c r="N1949" s="115" t="e">
        <f ca="1"/>
        <v>#VALUE!</v>
      </c>
      <c r="P1949" s="219">
        <f t="shared" ref="P1949:P2012" ca="1" si="125">P1948+7</f>
        <v>57264</v>
      </c>
      <c r="Q1949" s="115" t="e">
        <f ca="1"/>
        <v>#VALUE!</v>
      </c>
      <c r="S1949" s="219">
        <f t="shared" ref="S1949:S2012" ca="1" si="126">S1948+7</f>
        <v>57264</v>
      </c>
      <c r="T1949" s="115" t="e">
        <f ca="1"/>
        <v>#VALUE!</v>
      </c>
      <c r="V1949" s="219">
        <f t="shared" ref="V1949:V2012" ca="1" si="127">V1948+7</f>
        <v>57264</v>
      </c>
      <c r="W1949" s="115" t="e">
        <f ca="1"/>
        <v>#VALUE!</v>
      </c>
    </row>
    <row r="1950" spans="13:23">
      <c r="M1950" s="219">
        <f t="shared" ca="1" si="124"/>
        <v>57271</v>
      </c>
      <c r="N1950" s="115" t="e">
        <f ca="1"/>
        <v>#VALUE!</v>
      </c>
      <c r="P1950" s="219">
        <f t="shared" ca="1" si="125"/>
        <v>57271</v>
      </c>
      <c r="Q1950" s="115" t="e">
        <f ca="1"/>
        <v>#VALUE!</v>
      </c>
      <c r="S1950" s="219">
        <f t="shared" ca="1" si="126"/>
        <v>57271</v>
      </c>
      <c r="T1950" s="115" t="e">
        <f ca="1"/>
        <v>#VALUE!</v>
      </c>
      <c r="V1950" s="219">
        <f t="shared" ca="1" si="127"/>
        <v>57271</v>
      </c>
      <c r="W1950" s="115" t="e">
        <f ca="1"/>
        <v>#VALUE!</v>
      </c>
    </row>
    <row r="1951" spans="13:23">
      <c r="M1951" s="219">
        <f t="shared" ca="1" si="124"/>
        <v>57278</v>
      </c>
      <c r="N1951" s="115" t="e">
        <f ca="1"/>
        <v>#VALUE!</v>
      </c>
      <c r="P1951" s="219">
        <f t="shared" ca="1" si="125"/>
        <v>57278</v>
      </c>
      <c r="Q1951" s="115" t="e">
        <f ca="1"/>
        <v>#VALUE!</v>
      </c>
      <c r="S1951" s="219">
        <f t="shared" ca="1" si="126"/>
        <v>57278</v>
      </c>
      <c r="T1951" s="115" t="e">
        <f ca="1"/>
        <v>#VALUE!</v>
      </c>
      <c r="V1951" s="219">
        <f t="shared" ca="1" si="127"/>
        <v>57278</v>
      </c>
      <c r="W1951" s="115" t="e">
        <f ca="1"/>
        <v>#VALUE!</v>
      </c>
    </row>
    <row r="1952" spans="13:23">
      <c r="M1952" s="219">
        <f t="shared" ca="1" si="124"/>
        <v>57285</v>
      </c>
      <c r="N1952" s="115" t="e">
        <f ca="1"/>
        <v>#VALUE!</v>
      </c>
      <c r="P1952" s="219">
        <f t="shared" ca="1" si="125"/>
        <v>57285</v>
      </c>
      <c r="Q1952" s="115" t="e">
        <f ca="1"/>
        <v>#VALUE!</v>
      </c>
      <c r="S1952" s="219">
        <f t="shared" ca="1" si="126"/>
        <v>57285</v>
      </c>
      <c r="T1952" s="115" t="e">
        <f ca="1"/>
        <v>#VALUE!</v>
      </c>
      <c r="V1952" s="219">
        <f t="shared" ca="1" si="127"/>
        <v>57285</v>
      </c>
      <c r="W1952" s="115" t="e">
        <f ca="1"/>
        <v>#VALUE!</v>
      </c>
    </row>
    <row r="1953" spans="13:23">
      <c r="M1953" s="219">
        <f t="shared" ca="1" si="124"/>
        <v>57292</v>
      </c>
      <c r="N1953" s="115" t="e">
        <f ca="1"/>
        <v>#VALUE!</v>
      </c>
      <c r="P1953" s="219">
        <f t="shared" ca="1" si="125"/>
        <v>57292</v>
      </c>
      <c r="Q1953" s="115" t="e">
        <f ca="1"/>
        <v>#VALUE!</v>
      </c>
      <c r="S1953" s="219">
        <f t="shared" ca="1" si="126"/>
        <v>57292</v>
      </c>
      <c r="T1953" s="115" t="e">
        <f ca="1"/>
        <v>#VALUE!</v>
      </c>
      <c r="V1953" s="219">
        <f t="shared" ca="1" si="127"/>
        <v>57292</v>
      </c>
      <c r="W1953" s="115" t="e">
        <f ca="1"/>
        <v>#VALUE!</v>
      </c>
    </row>
    <row r="1954" spans="13:23">
      <c r="M1954" s="219">
        <f t="shared" ca="1" si="124"/>
        <v>57299</v>
      </c>
      <c r="N1954" s="115" t="e">
        <f ca="1"/>
        <v>#VALUE!</v>
      </c>
      <c r="P1954" s="219">
        <f t="shared" ca="1" si="125"/>
        <v>57299</v>
      </c>
      <c r="Q1954" s="115" t="e">
        <f ca="1"/>
        <v>#VALUE!</v>
      </c>
      <c r="S1954" s="219">
        <f t="shared" ca="1" si="126"/>
        <v>57299</v>
      </c>
      <c r="T1954" s="115" t="e">
        <f ca="1"/>
        <v>#VALUE!</v>
      </c>
      <c r="V1954" s="219">
        <f t="shared" ca="1" si="127"/>
        <v>57299</v>
      </c>
      <c r="W1954" s="115" t="e">
        <f ca="1"/>
        <v>#VALUE!</v>
      </c>
    </row>
    <row r="1955" spans="13:23">
      <c r="M1955" s="219">
        <f t="shared" ca="1" si="124"/>
        <v>57306</v>
      </c>
      <c r="N1955" s="115" t="e">
        <f ca="1"/>
        <v>#VALUE!</v>
      </c>
      <c r="P1955" s="219">
        <f t="shared" ca="1" si="125"/>
        <v>57306</v>
      </c>
      <c r="Q1955" s="115" t="e">
        <f ca="1"/>
        <v>#VALUE!</v>
      </c>
      <c r="S1955" s="219">
        <f t="shared" ca="1" si="126"/>
        <v>57306</v>
      </c>
      <c r="T1955" s="115" t="e">
        <f ca="1"/>
        <v>#VALUE!</v>
      </c>
      <c r="V1955" s="219">
        <f t="shared" ca="1" si="127"/>
        <v>57306</v>
      </c>
      <c r="W1955" s="115" t="e">
        <f ca="1"/>
        <v>#VALUE!</v>
      </c>
    </row>
    <row r="1956" spans="13:23">
      <c r="M1956" s="219">
        <f t="shared" ca="1" si="124"/>
        <v>57313</v>
      </c>
      <c r="N1956" s="115" t="e">
        <f ca="1"/>
        <v>#VALUE!</v>
      </c>
      <c r="P1956" s="219">
        <f t="shared" ca="1" si="125"/>
        <v>57313</v>
      </c>
      <c r="Q1956" s="115" t="e">
        <f ca="1"/>
        <v>#VALUE!</v>
      </c>
      <c r="S1956" s="219">
        <f t="shared" ca="1" si="126"/>
        <v>57313</v>
      </c>
      <c r="T1956" s="115" t="e">
        <f ca="1"/>
        <v>#VALUE!</v>
      </c>
      <c r="V1956" s="219">
        <f t="shared" ca="1" si="127"/>
        <v>57313</v>
      </c>
      <c r="W1956" s="115" t="e">
        <f ca="1"/>
        <v>#VALUE!</v>
      </c>
    </row>
    <row r="1957" spans="13:23">
      <c r="M1957" s="219">
        <f t="shared" ca="1" si="124"/>
        <v>57320</v>
      </c>
      <c r="N1957" s="115" t="e">
        <f ca="1"/>
        <v>#VALUE!</v>
      </c>
      <c r="P1957" s="219">
        <f t="shared" ca="1" si="125"/>
        <v>57320</v>
      </c>
      <c r="Q1957" s="115" t="e">
        <f ca="1"/>
        <v>#VALUE!</v>
      </c>
      <c r="S1957" s="219">
        <f t="shared" ca="1" si="126"/>
        <v>57320</v>
      </c>
      <c r="T1957" s="115" t="e">
        <f ca="1"/>
        <v>#VALUE!</v>
      </c>
      <c r="V1957" s="219">
        <f t="shared" ca="1" si="127"/>
        <v>57320</v>
      </c>
      <c r="W1957" s="115" t="e">
        <f ca="1"/>
        <v>#VALUE!</v>
      </c>
    </row>
    <row r="1958" spans="13:23">
      <c r="M1958" s="219">
        <f t="shared" ca="1" si="124"/>
        <v>57327</v>
      </c>
      <c r="N1958" s="115" t="e">
        <f ca="1"/>
        <v>#VALUE!</v>
      </c>
      <c r="P1958" s="219">
        <f t="shared" ca="1" si="125"/>
        <v>57327</v>
      </c>
      <c r="Q1958" s="115" t="e">
        <f ca="1"/>
        <v>#VALUE!</v>
      </c>
      <c r="S1958" s="219">
        <f t="shared" ca="1" si="126"/>
        <v>57327</v>
      </c>
      <c r="T1958" s="115" t="e">
        <f ca="1"/>
        <v>#VALUE!</v>
      </c>
      <c r="V1958" s="219">
        <f t="shared" ca="1" si="127"/>
        <v>57327</v>
      </c>
      <c r="W1958" s="115" t="e">
        <f ca="1"/>
        <v>#VALUE!</v>
      </c>
    </row>
    <row r="1959" spans="13:23">
      <c r="M1959" s="219">
        <f t="shared" ca="1" si="124"/>
        <v>57334</v>
      </c>
      <c r="N1959" s="115" t="e">
        <f ca="1"/>
        <v>#VALUE!</v>
      </c>
      <c r="P1959" s="219">
        <f t="shared" ca="1" si="125"/>
        <v>57334</v>
      </c>
      <c r="Q1959" s="115" t="e">
        <f ca="1"/>
        <v>#VALUE!</v>
      </c>
      <c r="S1959" s="219">
        <f t="shared" ca="1" si="126"/>
        <v>57334</v>
      </c>
      <c r="T1959" s="115" t="e">
        <f ca="1"/>
        <v>#VALUE!</v>
      </c>
      <c r="V1959" s="219">
        <f t="shared" ca="1" si="127"/>
        <v>57334</v>
      </c>
      <c r="W1959" s="115" t="e">
        <f ca="1"/>
        <v>#VALUE!</v>
      </c>
    </row>
    <row r="1960" spans="13:23">
      <c r="M1960" s="219">
        <f t="shared" ca="1" si="124"/>
        <v>57341</v>
      </c>
      <c r="N1960" s="115" t="e">
        <f ca="1"/>
        <v>#VALUE!</v>
      </c>
      <c r="P1960" s="219">
        <f t="shared" ca="1" si="125"/>
        <v>57341</v>
      </c>
      <c r="Q1960" s="115" t="e">
        <f ca="1"/>
        <v>#VALUE!</v>
      </c>
      <c r="S1960" s="219">
        <f t="shared" ca="1" si="126"/>
        <v>57341</v>
      </c>
      <c r="T1960" s="115" t="e">
        <f ca="1"/>
        <v>#VALUE!</v>
      </c>
      <c r="V1960" s="219">
        <f t="shared" ca="1" si="127"/>
        <v>57341</v>
      </c>
      <c r="W1960" s="115" t="e">
        <f ca="1"/>
        <v>#VALUE!</v>
      </c>
    </row>
    <row r="1961" spans="13:23">
      <c r="M1961" s="219">
        <f t="shared" ca="1" si="124"/>
        <v>57348</v>
      </c>
      <c r="N1961" s="115" t="e">
        <f ca="1"/>
        <v>#VALUE!</v>
      </c>
      <c r="P1961" s="219">
        <f t="shared" ca="1" si="125"/>
        <v>57348</v>
      </c>
      <c r="Q1961" s="115" t="e">
        <f ca="1"/>
        <v>#VALUE!</v>
      </c>
      <c r="S1961" s="219">
        <f t="shared" ca="1" si="126"/>
        <v>57348</v>
      </c>
      <c r="T1961" s="115" t="e">
        <f ca="1"/>
        <v>#VALUE!</v>
      </c>
      <c r="V1961" s="219">
        <f t="shared" ca="1" si="127"/>
        <v>57348</v>
      </c>
      <c r="W1961" s="115" t="e">
        <f ca="1"/>
        <v>#VALUE!</v>
      </c>
    </row>
    <row r="1962" spans="13:23">
      <c r="M1962" s="219">
        <f t="shared" ca="1" si="124"/>
        <v>57355</v>
      </c>
      <c r="N1962" s="115" t="e">
        <f ca="1"/>
        <v>#VALUE!</v>
      </c>
      <c r="P1962" s="219">
        <f t="shared" ca="1" si="125"/>
        <v>57355</v>
      </c>
      <c r="Q1962" s="115" t="e">
        <f ca="1"/>
        <v>#VALUE!</v>
      </c>
      <c r="S1962" s="219">
        <f t="shared" ca="1" si="126"/>
        <v>57355</v>
      </c>
      <c r="T1962" s="115" t="e">
        <f ca="1"/>
        <v>#VALUE!</v>
      </c>
      <c r="V1962" s="219">
        <f t="shared" ca="1" si="127"/>
        <v>57355</v>
      </c>
      <c r="W1962" s="115" t="e">
        <f ca="1"/>
        <v>#VALUE!</v>
      </c>
    </row>
    <row r="1963" spans="13:23">
      <c r="M1963" s="219">
        <f t="shared" ca="1" si="124"/>
        <v>57362</v>
      </c>
      <c r="N1963" s="115" t="e">
        <f ca="1"/>
        <v>#VALUE!</v>
      </c>
      <c r="P1963" s="219">
        <f t="shared" ca="1" si="125"/>
        <v>57362</v>
      </c>
      <c r="Q1963" s="115" t="e">
        <f ca="1"/>
        <v>#VALUE!</v>
      </c>
      <c r="S1963" s="219">
        <f t="shared" ca="1" si="126"/>
        <v>57362</v>
      </c>
      <c r="T1963" s="115" t="e">
        <f ca="1"/>
        <v>#VALUE!</v>
      </c>
      <c r="V1963" s="219">
        <f t="shared" ca="1" si="127"/>
        <v>57362</v>
      </c>
      <c r="W1963" s="115" t="e">
        <f ca="1"/>
        <v>#VALUE!</v>
      </c>
    </row>
    <row r="1964" spans="13:23">
      <c r="M1964" s="219">
        <f t="shared" ca="1" si="124"/>
        <v>57369</v>
      </c>
      <c r="N1964" s="115" t="e">
        <f ca="1"/>
        <v>#VALUE!</v>
      </c>
      <c r="P1964" s="219">
        <f t="shared" ca="1" si="125"/>
        <v>57369</v>
      </c>
      <c r="Q1964" s="115" t="e">
        <f ca="1"/>
        <v>#VALUE!</v>
      </c>
      <c r="S1964" s="219">
        <f t="shared" ca="1" si="126"/>
        <v>57369</v>
      </c>
      <c r="T1964" s="115" t="e">
        <f ca="1"/>
        <v>#VALUE!</v>
      </c>
      <c r="V1964" s="219">
        <f t="shared" ca="1" si="127"/>
        <v>57369</v>
      </c>
      <c r="W1964" s="115" t="e">
        <f ca="1"/>
        <v>#VALUE!</v>
      </c>
    </row>
    <row r="1965" spans="13:23">
      <c r="M1965" s="219">
        <f t="shared" ca="1" si="124"/>
        <v>57376</v>
      </c>
      <c r="N1965" s="115" t="e">
        <f ca="1"/>
        <v>#VALUE!</v>
      </c>
      <c r="P1965" s="219">
        <f t="shared" ca="1" si="125"/>
        <v>57376</v>
      </c>
      <c r="Q1965" s="115" t="e">
        <f ca="1"/>
        <v>#VALUE!</v>
      </c>
      <c r="S1965" s="219">
        <f t="shared" ca="1" si="126"/>
        <v>57376</v>
      </c>
      <c r="T1965" s="115" t="e">
        <f ca="1"/>
        <v>#VALUE!</v>
      </c>
      <c r="V1965" s="219">
        <f t="shared" ca="1" si="127"/>
        <v>57376</v>
      </c>
      <c r="W1965" s="115" t="e">
        <f ca="1"/>
        <v>#VALUE!</v>
      </c>
    </row>
    <row r="1966" spans="13:23">
      <c r="M1966" s="219">
        <f t="shared" ca="1" si="124"/>
        <v>57383</v>
      </c>
      <c r="N1966" s="115" t="e">
        <f ca="1"/>
        <v>#VALUE!</v>
      </c>
      <c r="P1966" s="219">
        <f t="shared" ca="1" si="125"/>
        <v>57383</v>
      </c>
      <c r="Q1966" s="115" t="e">
        <f ca="1"/>
        <v>#VALUE!</v>
      </c>
      <c r="S1966" s="219">
        <f t="shared" ca="1" si="126"/>
        <v>57383</v>
      </c>
      <c r="T1966" s="115" t="e">
        <f ca="1"/>
        <v>#VALUE!</v>
      </c>
      <c r="V1966" s="219">
        <f t="shared" ca="1" si="127"/>
        <v>57383</v>
      </c>
      <c r="W1966" s="115" t="e">
        <f ca="1"/>
        <v>#VALUE!</v>
      </c>
    </row>
    <row r="1967" spans="13:23">
      <c r="M1967" s="219">
        <f t="shared" ca="1" si="124"/>
        <v>57390</v>
      </c>
      <c r="N1967" s="115" t="e">
        <f ca="1"/>
        <v>#VALUE!</v>
      </c>
      <c r="P1967" s="219">
        <f t="shared" ca="1" si="125"/>
        <v>57390</v>
      </c>
      <c r="Q1967" s="115" t="e">
        <f ca="1"/>
        <v>#VALUE!</v>
      </c>
      <c r="S1967" s="219">
        <f t="shared" ca="1" si="126"/>
        <v>57390</v>
      </c>
      <c r="T1967" s="115" t="e">
        <f ca="1"/>
        <v>#VALUE!</v>
      </c>
      <c r="V1967" s="219">
        <f t="shared" ca="1" si="127"/>
        <v>57390</v>
      </c>
      <c r="W1967" s="115" t="e">
        <f ca="1"/>
        <v>#VALUE!</v>
      </c>
    </row>
    <row r="1968" spans="13:23">
      <c r="M1968" s="219">
        <f t="shared" ca="1" si="124"/>
        <v>57397</v>
      </c>
      <c r="N1968" s="115" t="e">
        <f ca="1"/>
        <v>#VALUE!</v>
      </c>
      <c r="P1968" s="219">
        <f t="shared" ca="1" si="125"/>
        <v>57397</v>
      </c>
      <c r="Q1968" s="115" t="e">
        <f ca="1"/>
        <v>#VALUE!</v>
      </c>
      <c r="S1968" s="219">
        <f t="shared" ca="1" si="126"/>
        <v>57397</v>
      </c>
      <c r="T1968" s="115" t="e">
        <f ca="1"/>
        <v>#VALUE!</v>
      </c>
      <c r="V1968" s="219">
        <f t="shared" ca="1" si="127"/>
        <v>57397</v>
      </c>
      <c r="W1968" s="115" t="e">
        <f ca="1"/>
        <v>#VALUE!</v>
      </c>
    </row>
    <row r="1969" spans="13:23">
      <c r="M1969" s="219">
        <f t="shared" ca="1" si="124"/>
        <v>57404</v>
      </c>
      <c r="N1969" s="115" t="e">
        <f ca="1"/>
        <v>#VALUE!</v>
      </c>
      <c r="P1969" s="219">
        <f t="shared" ca="1" si="125"/>
        <v>57404</v>
      </c>
      <c r="Q1969" s="115" t="e">
        <f ca="1"/>
        <v>#VALUE!</v>
      </c>
      <c r="S1969" s="219">
        <f t="shared" ca="1" si="126"/>
        <v>57404</v>
      </c>
      <c r="T1969" s="115" t="e">
        <f ca="1"/>
        <v>#VALUE!</v>
      </c>
      <c r="V1969" s="219">
        <f t="shared" ca="1" si="127"/>
        <v>57404</v>
      </c>
      <c r="W1969" s="115" t="e">
        <f ca="1"/>
        <v>#VALUE!</v>
      </c>
    </row>
    <row r="1970" spans="13:23">
      <c r="M1970" s="219">
        <f t="shared" ca="1" si="124"/>
        <v>57411</v>
      </c>
      <c r="N1970" s="115" t="e">
        <f ca="1"/>
        <v>#VALUE!</v>
      </c>
      <c r="P1970" s="219">
        <f t="shared" ca="1" si="125"/>
        <v>57411</v>
      </c>
      <c r="Q1970" s="115" t="e">
        <f ca="1"/>
        <v>#VALUE!</v>
      </c>
      <c r="S1970" s="219">
        <f t="shared" ca="1" si="126"/>
        <v>57411</v>
      </c>
      <c r="T1970" s="115" t="e">
        <f ca="1"/>
        <v>#VALUE!</v>
      </c>
      <c r="V1970" s="219">
        <f t="shared" ca="1" si="127"/>
        <v>57411</v>
      </c>
      <c r="W1970" s="115" t="e">
        <f ca="1"/>
        <v>#VALUE!</v>
      </c>
    </row>
    <row r="1971" spans="13:23">
      <c r="M1971" s="219">
        <f t="shared" ca="1" si="124"/>
        <v>57418</v>
      </c>
      <c r="N1971" s="115" t="e">
        <f ca="1"/>
        <v>#VALUE!</v>
      </c>
      <c r="P1971" s="219">
        <f t="shared" ca="1" si="125"/>
        <v>57418</v>
      </c>
      <c r="Q1971" s="115" t="e">
        <f ca="1"/>
        <v>#VALUE!</v>
      </c>
      <c r="S1971" s="219">
        <f t="shared" ca="1" si="126"/>
        <v>57418</v>
      </c>
      <c r="T1971" s="115" t="e">
        <f ca="1"/>
        <v>#VALUE!</v>
      </c>
      <c r="V1971" s="219">
        <f t="shared" ca="1" si="127"/>
        <v>57418</v>
      </c>
      <c r="W1971" s="115" t="e">
        <f ca="1"/>
        <v>#VALUE!</v>
      </c>
    </row>
    <row r="1972" spans="13:23">
      <c r="M1972" s="219">
        <f t="shared" ca="1" si="124"/>
        <v>57425</v>
      </c>
      <c r="N1972" s="115" t="e">
        <f ca="1"/>
        <v>#VALUE!</v>
      </c>
      <c r="P1972" s="219">
        <f t="shared" ca="1" si="125"/>
        <v>57425</v>
      </c>
      <c r="Q1972" s="115" t="e">
        <f ca="1"/>
        <v>#VALUE!</v>
      </c>
      <c r="S1972" s="219">
        <f t="shared" ca="1" si="126"/>
        <v>57425</v>
      </c>
      <c r="T1972" s="115" t="e">
        <f ca="1"/>
        <v>#VALUE!</v>
      </c>
      <c r="V1972" s="219">
        <f t="shared" ca="1" si="127"/>
        <v>57425</v>
      </c>
      <c r="W1972" s="115" t="e">
        <f ca="1"/>
        <v>#VALUE!</v>
      </c>
    </row>
    <row r="1973" spans="13:23">
      <c r="M1973" s="219">
        <f t="shared" ca="1" si="124"/>
        <v>57432</v>
      </c>
      <c r="N1973" s="115" t="e">
        <f ca="1"/>
        <v>#VALUE!</v>
      </c>
      <c r="P1973" s="219">
        <f t="shared" ca="1" si="125"/>
        <v>57432</v>
      </c>
      <c r="Q1973" s="115" t="e">
        <f ca="1"/>
        <v>#VALUE!</v>
      </c>
      <c r="S1973" s="219">
        <f t="shared" ca="1" si="126"/>
        <v>57432</v>
      </c>
      <c r="T1973" s="115" t="e">
        <f ca="1"/>
        <v>#VALUE!</v>
      </c>
      <c r="V1973" s="219">
        <f t="shared" ca="1" si="127"/>
        <v>57432</v>
      </c>
      <c r="W1973" s="115" t="e">
        <f ca="1"/>
        <v>#VALUE!</v>
      </c>
    </row>
    <row r="1974" spans="13:23">
      <c r="M1974" s="219">
        <f t="shared" ca="1" si="124"/>
        <v>57439</v>
      </c>
      <c r="N1974" s="115" t="e">
        <f ca="1"/>
        <v>#VALUE!</v>
      </c>
      <c r="P1974" s="219">
        <f t="shared" ca="1" si="125"/>
        <v>57439</v>
      </c>
      <c r="Q1974" s="115" t="e">
        <f ca="1"/>
        <v>#VALUE!</v>
      </c>
      <c r="S1974" s="219">
        <f t="shared" ca="1" si="126"/>
        <v>57439</v>
      </c>
      <c r="T1974" s="115" t="e">
        <f ca="1"/>
        <v>#VALUE!</v>
      </c>
      <c r="V1974" s="219">
        <f t="shared" ca="1" si="127"/>
        <v>57439</v>
      </c>
      <c r="W1974" s="115" t="e">
        <f ca="1"/>
        <v>#VALUE!</v>
      </c>
    </row>
    <row r="1975" spans="13:23">
      <c r="M1975" s="219">
        <f t="shared" ca="1" si="124"/>
        <v>57446</v>
      </c>
      <c r="N1975" s="115" t="e">
        <f ca="1"/>
        <v>#VALUE!</v>
      </c>
      <c r="P1975" s="219">
        <f t="shared" ca="1" si="125"/>
        <v>57446</v>
      </c>
      <c r="Q1975" s="115" t="e">
        <f ca="1"/>
        <v>#VALUE!</v>
      </c>
      <c r="S1975" s="219">
        <f t="shared" ca="1" si="126"/>
        <v>57446</v>
      </c>
      <c r="T1975" s="115" t="e">
        <f ca="1"/>
        <v>#VALUE!</v>
      </c>
      <c r="V1975" s="219">
        <f t="shared" ca="1" si="127"/>
        <v>57446</v>
      </c>
      <c r="W1975" s="115" t="e">
        <f ca="1"/>
        <v>#VALUE!</v>
      </c>
    </row>
    <row r="1976" spans="13:23">
      <c r="M1976" s="219">
        <f t="shared" ca="1" si="124"/>
        <v>57453</v>
      </c>
      <c r="N1976" s="115" t="e">
        <f ca="1"/>
        <v>#VALUE!</v>
      </c>
      <c r="P1976" s="219">
        <f t="shared" ca="1" si="125"/>
        <v>57453</v>
      </c>
      <c r="Q1976" s="115" t="e">
        <f ca="1"/>
        <v>#VALUE!</v>
      </c>
      <c r="S1976" s="219">
        <f t="shared" ca="1" si="126"/>
        <v>57453</v>
      </c>
      <c r="T1976" s="115" t="e">
        <f ca="1"/>
        <v>#VALUE!</v>
      </c>
      <c r="V1976" s="219">
        <f t="shared" ca="1" si="127"/>
        <v>57453</v>
      </c>
      <c r="W1976" s="115" t="e">
        <f ca="1"/>
        <v>#VALUE!</v>
      </c>
    </row>
    <row r="1977" spans="13:23">
      <c r="M1977" s="219">
        <f t="shared" ca="1" si="124"/>
        <v>57460</v>
      </c>
      <c r="N1977" s="115" t="e">
        <f ca="1"/>
        <v>#VALUE!</v>
      </c>
      <c r="P1977" s="219">
        <f t="shared" ca="1" si="125"/>
        <v>57460</v>
      </c>
      <c r="Q1977" s="115" t="e">
        <f ca="1"/>
        <v>#VALUE!</v>
      </c>
      <c r="S1977" s="219">
        <f t="shared" ca="1" si="126"/>
        <v>57460</v>
      </c>
      <c r="T1977" s="115" t="e">
        <f ca="1"/>
        <v>#VALUE!</v>
      </c>
      <c r="V1977" s="219">
        <f t="shared" ca="1" si="127"/>
        <v>57460</v>
      </c>
      <c r="W1977" s="115" t="e">
        <f ca="1"/>
        <v>#VALUE!</v>
      </c>
    </row>
    <row r="1978" spans="13:23">
      <c r="M1978" s="219">
        <f t="shared" ca="1" si="124"/>
        <v>57467</v>
      </c>
      <c r="N1978" s="115" t="e">
        <f ca="1"/>
        <v>#VALUE!</v>
      </c>
      <c r="P1978" s="219">
        <f t="shared" ca="1" si="125"/>
        <v>57467</v>
      </c>
      <c r="Q1978" s="115" t="e">
        <f ca="1"/>
        <v>#VALUE!</v>
      </c>
      <c r="S1978" s="219">
        <f t="shared" ca="1" si="126"/>
        <v>57467</v>
      </c>
      <c r="T1978" s="115" t="e">
        <f ca="1"/>
        <v>#VALUE!</v>
      </c>
      <c r="V1978" s="219">
        <f t="shared" ca="1" si="127"/>
        <v>57467</v>
      </c>
      <c r="W1978" s="115" t="e">
        <f ca="1"/>
        <v>#VALUE!</v>
      </c>
    </row>
    <row r="1979" spans="13:23">
      <c r="M1979" s="219">
        <f t="shared" ca="1" si="124"/>
        <v>57474</v>
      </c>
      <c r="N1979" s="115" t="e">
        <f ca="1"/>
        <v>#VALUE!</v>
      </c>
      <c r="P1979" s="219">
        <f t="shared" ca="1" si="125"/>
        <v>57474</v>
      </c>
      <c r="Q1979" s="115" t="e">
        <f ca="1"/>
        <v>#VALUE!</v>
      </c>
      <c r="S1979" s="219">
        <f t="shared" ca="1" si="126"/>
        <v>57474</v>
      </c>
      <c r="T1979" s="115" t="e">
        <f ca="1"/>
        <v>#VALUE!</v>
      </c>
      <c r="V1979" s="219">
        <f t="shared" ca="1" si="127"/>
        <v>57474</v>
      </c>
      <c r="W1979" s="115" t="e">
        <f ca="1"/>
        <v>#VALUE!</v>
      </c>
    </row>
    <row r="1980" spans="13:23">
      <c r="M1980" s="219">
        <f t="shared" ca="1" si="124"/>
        <v>57481</v>
      </c>
      <c r="N1980" s="115" t="e">
        <f ca="1"/>
        <v>#VALUE!</v>
      </c>
      <c r="P1980" s="219">
        <f t="shared" ca="1" si="125"/>
        <v>57481</v>
      </c>
      <c r="Q1980" s="115" t="e">
        <f ca="1"/>
        <v>#VALUE!</v>
      </c>
      <c r="S1980" s="219">
        <f t="shared" ca="1" si="126"/>
        <v>57481</v>
      </c>
      <c r="T1980" s="115" t="e">
        <f ca="1"/>
        <v>#VALUE!</v>
      </c>
      <c r="V1980" s="219">
        <f t="shared" ca="1" si="127"/>
        <v>57481</v>
      </c>
      <c r="W1980" s="115" t="e">
        <f ca="1"/>
        <v>#VALUE!</v>
      </c>
    </row>
    <row r="1981" spans="13:23">
      <c r="M1981" s="219">
        <f t="shared" ca="1" si="124"/>
        <v>57488</v>
      </c>
      <c r="N1981" s="115" t="e">
        <f ca="1"/>
        <v>#VALUE!</v>
      </c>
      <c r="P1981" s="219">
        <f t="shared" ca="1" si="125"/>
        <v>57488</v>
      </c>
      <c r="Q1981" s="115" t="e">
        <f ca="1"/>
        <v>#VALUE!</v>
      </c>
      <c r="S1981" s="219">
        <f t="shared" ca="1" si="126"/>
        <v>57488</v>
      </c>
      <c r="T1981" s="115" t="e">
        <f ca="1"/>
        <v>#VALUE!</v>
      </c>
      <c r="V1981" s="219">
        <f t="shared" ca="1" si="127"/>
        <v>57488</v>
      </c>
      <c r="W1981" s="115" t="e">
        <f ca="1"/>
        <v>#VALUE!</v>
      </c>
    </row>
    <row r="1982" spans="13:23">
      <c r="M1982" s="219">
        <f t="shared" ca="1" si="124"/>
        <v>57495</v>
      </c>
      <c r="N1982" s="115" t="e">
        <f ca="1"/>
        <v>#VALUE!</v>
      </c>
      <c r="P1982" s="219">
        <f t="shared" ca="1" si="125"/>
        <v>57495</v>
      </c>
      <c r="Q1982" s="115" t="e">
        <f ca="1"/>
        <v>#VALUE!</v>
      </c>
      <c r="S1982" s="219">
        <f t="shared" ca="1" si="126"/>
        <v>57495</v>
      </c>
      <c r="T1982" s="115" t="e">
        <f ca="1"/>
        <v>#VALUE!</v>
      </c>
      <c r="V1982" s="219">
        <f t="shared" ca="1" si="127"/>
        <v>57495</v>
      </c>
      <c r="W1982" s="115" t="e">
        <f ca="1"/>
        <v>#VALUE!</v>
      </c>
    </row>
    <row r="1983" spans="13:23">
      <c r="M1983" s="219">
        <f t="shared" ca="1" si="124"/>
        <v>57502</v>
      </c>
      <c r="N1983" s="115" t="e">
        <f ca="1"/>
        <v>#VALUE!</v>
      </c>
      <c r="P1983" s="219">
        <f t="shared" ca="1" si="125"/>
        <v>57502</v>
      </c>
      <c r="Q1983" s="115" t="e">
        <f ca="1"/>
        <v>#VALUE!</v>
      </c>
      <c r="S1983" s="219">
        <f t="shared" ca="1" si="126"/>
        <v>57502</v>
      </c>
      <c r="T1983" s="115" t="e">
        <f ca="1"/>
        <v>#VALUE!</v>
      </c>
      <c r="V1983" s="219">
        <f t="shared" ca="1" si="127"/>
        <v>57502</v>
      </c>
      <c r="W1983" s="115" t="e">
        <f ca="1"/>
        <v>#VALUE!</v>
      </c>
    </row>
    <row r="1984" spans="13:23">
      <c r="M1984" s="219">
        <f t="shared" ca="1" si="124"/>
        <v>57509</v>
      </c>
      <c r="N1984" s="115" t="e">
        <f ca="1"/>
        <v>#VALUE!</v>
      </c>
      <c r="P1984" s="219">
        <f t="shared" ca="1" si="125"/>
        <v>57509</v>
      </c>
      <c r="Q1984" s="115" t="e">
        <f ca="1"/>
        <v>#VALUE!</v>
      </c>
      <c r="S1984" s="219">
        <f t="shared" ca="1" si="126"/>
        <v>57509</v>
      </c>
      <c r="T1984" s="115" t="e">
        <f ca="1"/>
        <v>#VALUE!</v>
      </c>
      <c r="V1984" s="219">
        <f t="shared" ca="1" si="127"/>
        <v>57509</v>
      </c>
      <c r="W1984" s="115" t="e">
        <f ca="1"/>
        <v>#VALUE!</v>
      </c>
    </row>
    <row r="1985" spans="13:23">
      <c r="M1985" s="219">
        <f t="shared" ca="1" si="124"/>
        <v>57516</v>
      </c>
      <c r="N1985" s="115" t="e">
        <f ca="1"/>
        <v>#VALUE!</v>
      </c>
      <c r="P1985" s="219">
        <f t="shared" ca="1" si="125"/>
        <v>57516</v>
      </c>
      <c r="Q1985" s="115" t="e">
        <f ca="1"/>
        <v>#VALUE!</v>
      </c>
      <c r="S1985" s="219">
        <f t="shared" ca="1" si="126"/>
        <v>57516</v>
      </c>
      <c r="T1985" s="115" t="e">
        <f ca="1"/>
        <v>#VALUE!</v>
      </c>
      <c r="V1985" s="219">
        <f t="shared" ca="1" si="127"/>
        <v>57516</v>
      </c>
      <c r="W1985" s="115" t="e">
        <f ca="1"/>
        <v>#VALUE!</v>
      </c>
    </row>
    <row r="1986" spans="13:23">
      <c r="M1986" s="219">
        <f t="shared" ca="1" si="124"/>
        <v>57523</v>
      </c>
      <c r="N1986" s="115" t="e">
        <f ca="1"/>
        <v>#VALUE!</v>
      </c>
      <c r="P1986" s="219">
        <f t="shared" ca="1" si="125"/>
        <v>57523</v>
      </c>
      <c r="Q1986" s="115" t="e">
        <f ca="1"/>
        <v>#VALUE!</v>
      </c>
      <c r="S1986" s="219">
        <f t="shared" ca="1" si="126"/>
        <v>57523</v>
      </c>
      <c r="T1986" s="115" t="e">
        <f ca="1"/>
        <v>#VALUE!</v>
      </c>
      <c r="V1986" s="219">
        <f t="shared" ca="1" si="127"/>
        <v>57523</v>
      </c>
      <c r="W1986" s="115" t="e">
        <f ca="1"/>
        <v>#VALUE!</v>
      </c>
    </row>
    <row r="1987" spans="13:23">
      <c r="M1987" s="219">
        <f t="shared" ca="1" si="124"/>
        <v>57530</v>
      </c>
      <c r="N1987" s="115" t="e">
        <f ca="1"/>
        <v>#VALUE!</v>
      </c>
      <c r="P1987" s="219">
        <f t="shared" ca="1" si="125"/>
        <v>57530</v>
      </c>
      <c r="Q1987" s="115" t="e">
        <f ca="1"/>
        <v>#VALUE!</v>
      </c>
      <c r="S1987" s="219">
        <f t="shared" ca="1" si="126"/>
        <v>57530</v>
      </c>
      <c r="T1987" s="115" t="e">
        <f ca="1"/>
        <v>#VALUE!</v>
      </c>
      <c r="V1987" s="219">
        <f t="shared" ca="1" si="127"/>
        <v>57530</v>
      </c>
      <c r="W1987" s="115" t="e">
        <f ca="1"/>
        <v>#VALUE!</v>
      </c>
    </row>
    <row r="1988" spans="13:23">
      <c r="M1988" s="219">
        <f t="shared" ca="1" si="124"/>
        <v>57537</v>
      </c>
      <c r="N1988" s="115" t="e">
        <f ca="1"/>
        <v>#VALUE!</v>
      </c>
      <c r="P1988" s="219">
        <f t="shared" ca="1" si="125"/>
        <v>57537</v>
      </c>
      <c r="Q1988" s="115" t="e">
        <f ca="1"/>
        <v>#VALUE!</v>
      </c>
      <c r="S1988" s="219">
        <f t="shared" ca="1" si="126"/>
        <v>57537</v>
      </c>
      <c r="T1988" s="115" t="e">
        <f ca="1"/>
        <v>#VALUE!</v>
      </c>
      <c r="V1988" s="219">
        <f t="shared" ca="1" si="127"/>
        <v>57537</v>
      </c>
      <c r="W1988" s="115" t="e">
        <f ca="1"/>
        <v>#VALUE!</v>
      </c>
    </row>
    <row r="1989" spans="13:23">
      <c r="M1989" s="219">
        <f t="shared" ca="1" si="124"/>
        <v>57544</v>
      </c>
      <c r="N1989" s="115" t="e">
        <f ca="1"/>
        <v>#VALUE!</v>
      </c>
      <c r="P1989" s="219">
        <f t="shared" ca="1" si="125"/>
        <v>57544</v>
      </c>
      <c r="Q1989" s="115" t="e">
        <f ca="1"/>
        <v>#VALUE!</v>
      </c>
      <c r="S1989" s="219">
        <f t="shared" ca="1" si="126"/>
        <v>57544</v>
      </c>
      <c r="T1989" s="115" t="e">
        <f ca="1"/>
        <v>#VALUE!</v>
      </c>
      <c r="V1989" s="219">
        <f t="shared" ca="1" si="127"/>
        <v>57544</v>
      </c>
      <c r="W1989" s="115" t="e">
        <f ca="1"/>
        <v>#VALUE!</v>
      </c>
    </row>
    <row r="1990" spans="13:23">
      <c r="M1990" s="219">
        <f t="shared" ca="1" si="124"/>
        <v>57551</v>
      </c>
      <c r="N1990" s="115" t="e">
        <f ca="1"/>
        <v>#VALUE!</v>
      </c>
      <c r="P1990" s="219">
        <f t="shared" ca="1" si="125"/>
        <v>57551</v>
      </c>
      <c r="Q1990" s="115" t="e">
        <f ca="1"/>
        <v>#VALUE!</v>
      </c>
      <c r="S1990" s="219">
        <f t="shared" ca="1" si="126"/>
        <v>57551</v>
      </c>
      <c r="T1990" s="115" t="e">
        <f ca="1"/>
        <v>#VALUE!</v>
      </c>
      <c r="V1990" s="219">
        <f t="shared" ca="1" si="127"/>
        <v>57551</v>
      </c>
      <c r="W1990" s="115" t="e">
        <f ca="1"/>
        <v>#VALUE!</v>
      </c>
    </row>
    <row r="1991" spans="13:23">
      <c r="M1991" s="219">
        <f t="shared" ca="1" si="124"/>
        <v>57558</v>
      </c>
      <c r="N1991" s="115" t="e">
        <f ca="1"/>
        <v>#VALUE!</v>
      </c>
      <c r="P1991" s="219">
        <f t="shared" ca="1" si="125"/>
        <v>57558</v>
      </c>
      <c r="Q1991" s="115" t="e">
        <f ca="1"/>
        <v>#VALUE!</v>
      </c>
      <c r="S1991" s="219">
        <f t="shared" ca="1" si="126"/>
        <v>57558</v>
      </c>
      <c r="T1991" s="115" t="e">
        <f ca="1"/>
        <v>#VALUE!</v>
      </c>
      <c r="V1991" s="219">
        <f t="shared" ca="1" si="127"/>
        <v>57558</v>
      </c>
      <c r="W1991" s="115" t="e">
        <f ca="1"/>
        <v>#VALUE!</v>
      </c>
    </row>
    <row r="1992" spans="13:23">
      <c r="M1992" s="219">
        <f t="shared" ca="1" si="124"/>
        <v>57565</v>
      </c>
      <c r="N1992" s="115" t="e">
        <f ca="1"/>
        <v>#VALUE!</v>
      </c>
      <c r="P1992" s="219">
        <f t="shared" ca="1" si="125"/>
        <v>57565</v>
      </c>
      <c r="Q1992" s="115" t="e">
        <f ca="1"/>
        <v>#VALUE!</v>
      </c>
      <c r="S1992" s="219">
        <f t="shared" ca="1" si="126"/>
        <v>57565</v>
      </c>
      <c r="T1992" s="115" t="e">
        <f ca="1"/>
        <v>#VALUE!</v>
      </c>
      <c r="V1992" s="219">
        <f t="shared" ca="1" si="127"/>
        <v>57565</v>
      </c>
      <c r="W1992" s="115" t="e">
        <f ca="1"/>
        <v>#VALUE!</v>
      </c>
    </row>
    <row r="1993" spans="13:23">
      <c r="M1993" s="219">
        <f t="shared" ca="1" si="124"/>
        <v>57572</v>
      </c>
      <c r="N1993" s="115" t="e">
        <f ca="1"/>
        <v>#VALUE!</v>
      </c>
      <c r="P1993" s="219">
        <f t="shared" ca="1" si="125"/>
        <v>57572</v>
      </c>
      <c r="Q1993" s="115" t="e">
        <f ca="1"/>
        <v>#VALUE!</v>
      </c>
      <c r="S1993" s="219">
        <f t="shared" ca="1" si="126"/>
        <v>57572</v>
      </c>
      <c r="T1993" s="115" t="e">
        <f ca="1"/>
        <v>#VALUE!</v>
      </c>
      <c r="V1993" s="219">
        <f t="shared" ca="1" si="127"/>
        <v>57572</v>
      </c>
      <c r="W1993" s="115" t="e">
        <f ca="1"/>
        <v>#VALUE!</v>
      </c>
    </row>
    <row r="1994" spans="13:23">
      <c r="M1994" s="219">
        <f t="shared" ca="1" si="124"/>
        <v>57579</v>
      </c>
      <c r="N1994" s="115" t="e">
        <f ca="1"/>
        <v>#VALUE!</v>
      </c>
      <c r="P1994" s="219">
        <f t="shared" ca="1" si="125"/>
        <v>57579</v>
      </c>
      <c r="Q1994" s="115" t="e">
        <f ca="1"/>
        <v>#VALUE!</v>
      </c>
      <c r="S1994" s="219">
        <f t="shared" ca="1" si="126"/>
        <v>57579</v>
      </c>
      <c r="T1994" s="115" t="e">
        <f ca="1"/>
        <v>#VALUE!</v>
      </c>
      <c r="V1994" s="219">
        <f t="shared" ca="1" si="127"/>
        <v>57579</v>
      </c>
      <c r="W1994" s="115" t="e">
        <f ca="1"/>
        <v>#VALUE!</v>
      </c>
    </row>
    <row r="1995" spans="13:23">
      <c r="M1995" s="219">
        <f t="shared" ca="1" si="124"/>
        <v>57586</v>
      </c>
      <c r="N1995" s="115" t="e">
        <f ca="1"/>
        <v>#VALUE!</v>
      </c>
      <c r="P1995" s="219">
        <f t="shared" ca="1" si="125"/>
        <v>57586</v>
      </c>
      <c r="Q1995" s="115" t="e">
        <f ca="1"/>
        <v>#VALUE!</v>
      </c>
      <c r="S1995" s="219">
        <f t="shared" ca="1" si="126"/>
        <v>57586</v>
      </c>
      <c r="T1995" s="115" t="e">
        <f ca="1"/>
        <v>#VALUE!</v>
      </c>
      <c r="V1995" s="219">
        <f t="shared" ca="1" si="127"/>
        <v>57586</v>
      </c>
      <c r="W1995" s="115" t="e">
        <f ca="1"/>
        <v>#VALUE!</v>
      </c>
    </row>
    <row r="1996" spans="13:23">
      <c r="M1996" s="219">
        <f t="shared" ca="1" si="124"/>
        <v>57593</v>
      </c>
      <c r="N1996" s="115" t="e">
        <f ca="1"/>
        <v>#VALUE!</v>
      </c>
      <c r="P1996" s="219">
        <f t="shared" ca="1" si="125"/>
        <v>57593</v>
      </c>
      <c r="Q1996" s="115" t="e">
        <f ca="1"/>
        <v>#VALUE!</v>
      </c>
      <c r="S1996" s="219">
        <f t="shared" ca="1" si="126"/>
        <v>57593</v>
      </c>
      <c r="T1996" s="115" t="e">
        <f ca="1"/>
        <v>#VALUE!</v>
      </c>
      <c r="V1996" s="219">
        <f t="shared" ca="1" si="127"/>
        <v>57593</v>
      </c>
      <c r="W1996" s="115" t="e">
        <f ca="1"/>
        <v>#VALUE!</v>
      </c>
    </row>
    <row r="1997" spans="13:23">
      <c r="M1997" s="219">
        <f t="shared" ref="M1997:M2060" ca="1" si="128">M1996+7</f>
        <v>57600</v>
      </c>
      <c r="N1997" s="115" t="e">
        <f ca="1"/>
        <v>#VALUE!</v>
      </c>
      <c r="P1997" s="219">
        <f t="shared" ca="1" si="125"/>
        <v>57600</v>
      </c>
      <c r="Q1997" s="115" t="e">
        <f ca="1"/>
        <v>#VALUE!</v>
      </c>
      <c r="S1997" s="219">
        <f t="shared" ca="1" si="126"/>
        <v>57600</v>
      </c>
      <c r="T1997" s="115" t="e">
        <f ca="1"/>
        <v>#VALUE!</v>
      </c>
      <c r="V1997" s="219">
        <f t="shared" ca="1" si="127"/>
        <v>57600</v>
      </c>
      <c r="W1997" s="115" t="e">
        <f ca="1"/>
        <v>#VALUE!</v>
      </c>
    </row>
    <row r="1998" spans="13:23">
      <c r="M1998" s="219">
        <f t="shared" ca="1" si="128"/>
        <v>57607</v>
      </c>
      <c r="N1998" s="115" t="e">
        <f ca="1"/>
        <v>#VALUE!</v>
      </c>
      <c r="P1998" s="219">
        <f t="shared" ca="1" si="125"/>
        <v>57607</v>
      </c>
      <c r="Q1998" s="115" t="e">
        <f ca="1"/>
        <v>#VALUE!</v>
      </c>
      <c r="S1998" s="219">
        <f t="shared" ca="1" si="126"/>
        <v>57607</v>
      </c>
      <c r="T1998" s="115" t="e">
        <f ca="1"/>
        <v>#VALUE!</v>
      </c>
      <c r="V1998" s="219">
        <f t="shared" ca="1" si="127"/>
        <v>57607</v>
      </c>
      <c r="W1998" s="115" t="e">
        <f ca="1"/>
        <v>#VALUE!</v>
      </c>
    </row>
    <row r="1999" spans="13:23">
      <c r="M1999" s="219">
        <f t="shared" ca="1" si="128"/>
        <v>57614</v>
      </c>
      <c r="N1999" s="115" t="e">
        <f ca="1"/>
        <v>#VALUE!</v>
      </c>
      <c r="P1999" s="219">
        <f t="shared" ca="1" si="125"/>
        <v>57614</v>
      </c>
      <c r="Q1999" s="115" t="e">
        <f ca="1"/>
        <v>#VALUE!</v>
      </c>
      <c r="S1999" s="219">
        <f t="shared" ca="1" si="126"/>
        <v>57614</v>
      </c>
      <c r="T1999" s="115" t="e">
        <f ca="1"/>
        <v>#VALUE!</v>
      </c>
      <c r="V1999" s="219">
        <f t="shared" ca="1" si="127"/>
        <v>57614</v>
      </c>
      <c r="W1999" s="115" t="e">
        <f ca="1"/>
        <v>#VALUE!</v>
      </c>
    </row>
    <row r="2000" spans="13:23">
      <c r="M2000" s="219">
        <f t="shared" ca="1" si="128"/>
        <v>57621</v>
      </c>
      <c r="N2000" s="115" t="e">
        <f ca="1"/>
        <v>#VALUE!</v>
      </c>
      <c r="P2000" s="219">
        <f t="shared" ca="1" si="125"/>
        <v>57621</v>
      </c>
      <c r="Q2000" s="115" t="e">
        <f ca="1"/>
        <v>#VALUE!</v>
      </c>
      <c r="S2000" s="219">
        <f t="shared" ca="1" si="126"/>
        <v>57621</v>
      </c>
      <c r="T2000" s="115" t="e">
        <f ca="1"/>
        <v>#VALUE!</v>
      </c>
      <c r="V2000" s="219">
        <f t="shared" ca="1" si="127"/>
        <v>57621</v>
      </c>
      <c r="W2000" s="115" t="e">
        <f ca="1"/>
        <v>#VALUE!</v>
      </c>
    </row>
    <row r="2001" spans="13:23">
      <c r="M2001" s="219">
        <f t="shared" ca="1" si="128"/>
        <v>57628</v>
      </c>
      <c r="N2001" s="115" t="e">
        <f ca="1"/>
        <v>#VALUE!</v>
      </c>
      <c r="P2001" s="219">
        <f t="shared" ca="1" si="125"/>
        <v>57628</v>
      </c>
      <c r="Q2001" s="115" t="e">
        <f ca="1"/>
        <v>#VALUE!</v>
      </c>
      <c r="S2001" s="219">
        <f t="shared" ca="1" si="126"/>
        <v>57628</v>
      </c>
      <c r="T2001" s="115" t="e">
        <f ca="1"/>
        <v>#VALUE!</v>
      </c>
      <c r="V2001" s="219">
        <f t="shared" ca="1" si="127"/>
        <v>57628</v>
      </c>
      <c r="W2001" s="115" t="e">
        <f ca="1"/>
        <v>#VALUE!</v>
      </c>
    </row>
    <row r="2002" spans="13:23">
      <c r="M2002" s="219">
        <f t="shared" ca="1" si="128"/>
        <v>57635</v>
      </c>
      <c r="N2002" s="115" t="e">
        <f ca="1"/>
        <v>#VALUE!</v>
      </c>
      <c r="P2002" s="219">
        <f t="shared" ca="1" si="125"/>
        <v>57635</v>
      </c>
      <c r="Q2002" s="115" t="e">
        <f ca="1"/>
        <v>#VALUE!</v>
      </c>
      <c r="S2002" s="219">
        <f t="shared" ca="1" si="126"/>
        <v>57635</v>
      </c>
      <c r="T2002" s="115" t="e">
        <f ca="1"/>
        <v>#VALUE!</v>
      </c>
      <c r="V2002" s="219">
        <f t="shared" ca="1" si="127"/>
        <v>57635</v>
      </c>
      <c r="W2002" s="115" t="e">
        <f ca="1"/>
        <v>#VALUE!</v>
      </c>
    </row>
    <row r="2003" spans="13:23">
      <c r="M2003" s="219">
        <f t="shared" ca="1" si="128"/>
        <v>57642</v>
      </c>
      <c r="N2003" s="115" t="e">
        <f ca="1"/>
        <v>#VALUE!</v>
      </c>
      <c r="P2003" s="219">
        <f t="shared" ca="1" si="125"/>
        <v>57642</v>
      </c>
      <c r="Q2003" s="115" t="e">
        <f ca="1"/>
        <v>#VALUE!</v>
      </c>
      <c r="S2003" s="219">
        <f t="shared" ca="1" si="126"/>
        <v>57642</v>
      </c>
      <c r="T2003" s="115" t="e">
        <f ca="1"/>
        <v>#VALUE!</v>
      </c>
      <c r="V2003" s="219">
        <f t="shared" ca="1" si="127"/>
        <v>57642</v>
      </c>
      <c r="W2003" s="115" t="e">
        <f ca="1"/>
        <v>#VALUE!</v>
      </c>
    </row>
    <row r="2004" spans="13:23">
      <c r="M2004" s="219">
        <f t="shared" ca="1" si="128"/>
        <v>57649</v>
      </c>
      <c r="N2004" s="115" t="e">
        <f ca="1"/>
        <v>#VALUE!</v>
      </c>
      <c r="P2004" s="219">
        <f t="shared" ca="1" si="125"/>
        <v>57649</v>
      </c>
      <c r="Q2004" s="115" t="e">
        <f ca="1"/>
        <v>#VALUE!</v>
      </c>
      <c r="S2004" s="219">
        <f t="shared" ca="1" si="126"/>
        <v>57649</v>
      </c>
      <c r="T2004" s="115" t="e">
        <f ca="1"/>
        <v>#VALUE!</v>
      </c>
      <c r="V2004" s="219">
        <f t="shared" ca="1" si="127"/>
        <v>57649</v>
      </c>
      <c r="W2004" s="115" t="e">
        <f ca="1"/>
        <v>#VALUE!</v>
      </c>
    </row>
    <row r="2005" spans="13:23">
      <c r="M2005" s="219">
        <f t="shared" ca="1" si="128"/>
        <v>57656</v>
      </c>
      <c r="N2005" s="115" t="e">
        <f ca="1"/>
        <v>#VALUE!</v>
      </c>
      <c r="P2005" s="219">
        <f t="shared" ca="1" si="125"/>
        <v>57656</v>
      </c>
      <c r="Q2005" s="115" t="e">
        <f ca="1"/>
        <v>#VALUE!</v>
      </c>
      <c r="S2005" s="219">
        <f t="shared" ca="1" si="126"/>
        <v>57656</v>
      </c>
      <c r="T2005" s="115" t="e">
        <f ca="1"/>
        <v>#VALUE!</v>
      </c>
      <c r="V2005" s="219">
        <f t="shared" ca="1" si="127"/>
        <v>57656</v>
      </c>
      <c r="W2005" s="115" t="e">
        <f ca="1"/>
        <v>#VALUE!</v>
      </c>
    </row>
    <row r="2006" spans="13:23">
      <c r="M2006" s="219">
        <f t="shared" ca="1" si="128"/>
        <v>57663</v>
      </c>
      <c r="N2006" s="115" t="e">
        <f ca="1"/>
        <v>#VALUE!</v>
      </c>
      <c r="P2006" s="219">
        <f t="shared" ca="1" si="125"/>
        <v>57663</v>
      </c>
      <c r="Q2006" s="115" t="e">
        <f ca="1"/>
        <v>#VALUE!</v>
      </c>
      <c r="S2006" s="219">
        <f t="shared" ca="1" si="126"/>
        <v>57663</v>
      </c>
      <c r="T2006" s="115" t="e">
        <f ca="1"/>
        <v>#VALUE!</v>
      </c>
      <c r="V2006" s="219">
        <f t="shared" ca="1" si="127"/>
        <v>57663</v>
      </c>
      <c r="W2006" s="115" t="e">
        <f ca="1"/>
        <v>#VALUE!</v>
      </c>
    </row>
    <row r="2007" spans="13:23">
      <c r="M2007" s="219">
        <f t="shared" ca="1" si="128"/>
        <v>57670</v>
      </c>
      <c r="N2007" s="115" t="e">
        <f ca="1"/>
        <v>#VALUE!</v>
      </c>
      <c r="P2007" s="219">
        <f t="shared" ca="1" si="125"/>
        <v>57670</v>
      </c>
      <c r="Q2007" s="115" t="e">
        <f ca="1"/>
        <v>#VALUE!</v>
      </c>
      <c r="S2007" s="219">
        <f t="shared" ca="1" si="126"/>
        <v>57670</v>
      </c>
      <c r="T2007" s="115" t="e">
        <f ca="1"/>
        <v>#VALUE!</v>
      </c>
      <c r="V2007" s="219">
        <f t="shared" ca="1" si="127"/>
        <v>57670</v>
      </c>
      <c r="W2007" s="115" t="e">
        <f ca="1"/>
        <v>#VALUE!</v>
      </c>
    </row>
    <row r="2008" spans="13:23">
      <c r="M2008" s="219">
        <f t="shared" ca="1" si="128"/>
        <v>57677</v>
      </c>
      <c r="N2008" s="115" t="e">
        <f ca="1"/>
        <v>#VALUE!</v>
      </c>
      <c r="P2008" s="219">
        <f t="shared" ca="1" si="125"/>
        <v>57677</v>
      </c>
      <c r="Q2008" s="115" t="e">
        <f ca="1"/>
        <v>#VALUE!</v>
      </c>
      <c r="S2008" s="219">
        <f t="shared" ca="1" si="126"/>
        <v>57677</v>
      </c>
      <c r="T2008" s="115" t="e">
        <f ca="1"/>
        <v>#VALUE!</v>
      </c>
      <c r="V2008" s="219">
        <f t="shared" ca="1" si="127"/>
        <v>57677</v>
      </c>
      <c r="W2008" s="115" t="e">
        <f ca="1"/>
        <v>#VALUE!</v>
      </c>
    </row>
    <row r="2009" spans="13:23">
      <c r="M2009" s="219">
        <f t="shared" ca="1" si="128"/>
        <v>57684</v>
      </c>
      <c r="N2009" s="115" t="e">
        <f ca="1"/>
        <v>#VALUE!</v>
      </c>
      <c r="P2009" s="219">
        <f t="shared" ca="1" si="125"/>
        <v>57684</v>
      </c>
      <c r="Q2009" s="115" t="e">
        <f ca="1"/>
        <v>#VALUE!</v>
      </c>
      <c r="S2009" s="219">
        <f t="shared" ca="1" si="126"/>
        <v>57684</v>
      </c>
      <c r="T2009" s="115" t="e">
        <f ca="1"/>
        <v>#VALUE!</v>
      </c>
      <c r="V2009" s="219">
        <f t="shared" ca="1" si="127"/>
        <v>57684</v>
      </c>
      <c r="W2009" s="115" t="e">
        <f ca="1"/>
        <v>#VALUE!</v>
      </c>
    </row>
    <row r="2010" spans="13:23">
      <c r="M2010" s="219">
        <f t="shared" ca="1" si="128"/>
        <v>57691</v>
      </c>
      <c r="N2010" s="115" t="e">
        <f ca="1"/>
        <v>#VALUE!</v>
      </c>
      <c r="P2010" s="219">
        <f t="shared" ca="1" si="125"/>
        <v>57691</v>
      </c>
      <c r="Q2010" s="115" t="e">
        <f ca="1"/>
        <v>#VALUE!</v>
      </c>
      <c r="S2010" s="219">
        <f t="shared" ca="1" si="126"/>
        <v>57691</v>
      </c>
      <c r="T2010" s="115" t="e">
        <f ca="1"/>
        <v>#VALUE!</v>
      </c>
      <c r="V2010" s="219">
        <f t="shared" ca="1" si="127"/>
        <v>57691</v>
      </c>
      <c r="W2010" s="115" t="e">
        <f ca="1"/>
        <v>#VALUE!</v>
      </c>
    </row>
    <row r="2011" spans="13:23">
      <c r="M2011" s="219">
        <f t="shared" ca="1" si="128"/>
        <v>57698</v>
      </c>
      <c r="N2011" s="115" t="e">
        <f ca="1"/>
        <v>#VALUE!</v>
      </c>
      <c r="P2011" s="219">
        <f t="shared" ca="1" si="125"/>
        <v>57698</v>
      </c>
      <c r="Q2011" s="115" t="e">
        <f ca="1"/>
        <v>#VALUE!</v>
      </c>
      <c r="S2011" s="219">
        <f t="shared" ca="1" si="126"/>
        <v>57698</v>
      </c>
      <c r="T2011" s="115" t="e">
        <f ca="1"/>
        <v>#VALUE!</v>
      </c>
      <c r="V2011" s="219">
        <f t="shared" ca="1" si="127"/>
        <v>57698</v>
      </c>
      <c r="W2011" s="115" t="e">
        <f ca="1"/>
        <v>#VALUE!</v>
      </c>
    </row>
    <row r="2012" spans="13:23">
      <c r="M2012" s="219">
        <f t="shared" ca="1" si="128"/>
        <v>57705</v>
      </c>
      <c r="N2012" s="115" t="e">
        <f ca="1"/>
        <v>#VALUE!</v>
      </c>
      <c r="P2012" s="219">
        <f t="shared" ca="1" si="125"/>
        <v>57705</v>
      </c>
      <c r="Q2012" s="115" t="e">
        <f ca="1"/>
        <v>#VALUE!</v>
      </c>
      <c r="S2012" s="219">
        <f t="shared" ca="1" si="126"/>
        <v>57705</v>
      </c>
      <c r="T2012" s="115" t="e">
        <f ca="1"/>
        <v>#VALUE!</v>
      </c>
      <c r="V2012" s="219">
        <f t="shared" ca="1" si="127"/>
        <v>57705</v>
      </c>
      <c r="W2012" s="115" t="e">
        <f ca="1"/>
        <v>#VALUE!</v>
      </c>
    </row>
    <row r="2013" spans="13:23">
      <c r="M2013" s="219">
        <f t="shared" ca="1" si="128"/>
        <v>57712</v>
      </c>
      <c r="N2013" s="115" t="e">
        <f ca="1"/>
        <v>#VALUE!</v>
      </c>
      <c r="P2013" s="219">
        <f t="shared" ref="P2013:P2076" ca="1" si="129">P2012+7</f>
        <v>57712</v>
      </c>
      <c r="Q2013" s="115" t="e">
        <f ca="1"/>
        <v>#VALUE!</v>
      </c>
      <c r="S2013" s="219">
        <f t="shared" ref="S2013:S2076" ca="1" si="130">S2012+7</f>
        <v>57712</v>
      </c>
      <c r="T2013" s="115" t="e">
        <f ca="1"/>
        <v>#VALUE!</v>
      </c>
      <c r="V2013" s="219">
        <f t="shared" ref="V2013:V2076" ca="1" si="131">V2012+7</f>
        <v>57712</v>
      </c>
      <c r="W2013" s="115" t="e">
        <f ca="1"/>
        <v>#VALUE!</v>
      </c>
    </row>
    <row r="2014" spans="13:23">
      <c r="M2014" s="219">
        <f t="shared" ca="1" si="128"/>
        <v>57719</v>
      </c>
      <c r="N2014" s="115" t="e">
        <f ca="1"/>
        <v>#VALUE!</v>
      </c>
      <c r="P2014" s="219">
        <f t="shared" ca="1" si="129"/>
        <v>57719</v>
      </c>
      <c r="Q2014" s="115" t="e">
        <f ca="1"/>
        <v>#VALUE!</v>
      </c>
      <c r="S2014" s="219">
        <f t="shared" ca="1" si="130"/>
        <v>57719</v>
      </c>
      <c r="T2014" s="115" t="e">
        <f ca="1"/>
        <v>#VALUE!</v>
      </c>
      <c r="V2014" s="219">
        <f t="shared" ca="1" si="131"/>
        <v>57719</v>
      </c>
      <c r="W2014" s="115" t="e">
        <f ca="1"/>
        <v>#VALUE!</v>
      </c>
    </row>
    <row r="2015" spans="13:23">
      <c r="M2015" s="219">
        <f t="shared" ca="1" si="128"/>
        <v>57726</v>
      </c>
      <c r="N2015" s="115" t="e">
        <f ca="1"/>
        <v>#VALUE!</v>
      </c>
      <c r="P2015" s="219">
        <f t="shared" ca="1" si="129"/>
        <v>57726</v>
      </c>
      <c r="Q2015" s="115" t="e">
        <f ca="1"/>
        <v>#VALUE!</v>
      </c>
      <c r="S2015" s="219">
        <f t="shared" ca="1" si="130"/>
        <v>57726</v>
      </c>
      <c r="T2015" s="115" t="e">
        <f ca="1"/>
        <v>#VALUE!</v>
      </c>
      <c r="V2015" s="219">
        <f t="shared" ca="1" si="131"/>
        <v>57726</v>
      </c>
      <c r="W2015" s="115" t="e">
        <f ca="1"/>
        <v>#VALUE!</v>
      </c>
    </row>
    <row r="2016" spans="13:23">
      <c r="M2016" s="219">
        <f t="shared" ca="1" si="128"/>
        <v>57733</v>
      </c>
      <c r="N2016" s="115" t="e">
        <f ca="1"/>
        <v>#VALUE!</v>
      </c>
      <c r="P2016" s="219">
        <f t="shared" ca="1" si="129"/>
        <v>57733</v>
      </c>
      <c r="Q2016" s="115" t="e">
        <f ca="1"/>
        <v>#VALUE!</v>
      </c>
      <c r="S2016" s="219">
        <f t="shared" ca="1" si="130"/>
        <v>57733</v>
      </c>
      <c r="T2016" s="115" t="e">
        <f ca="1"/>
        <v>#VALUE!</v>
      </c>
      <c r="V2016" s="219">
        <f t="shared" ca="1" si="131"/>
        <v>57733</v>
      </c>
      <c r="W2016" s="115" t="e">
        <f ca="1"/>
        <v>#VALUE!</v>
      </c>
    </row>
    <row r="2017" spans="13:23">
      <c r="M2017" s="219">
        <f t="shared" ca="1" si="128"/>
        <v>57740</v>
      </c>
      <c r="N2017" s="115" t="e">
        <f ca="1"/>
        <v>#VALUE!</v>
      </c>
      <c r="P2017" s="219">
        <f t="shared" ca="1" si="129"/>
        <v>57740</v>
      </c>
      <c r="Q2017" s="115" t="e">
        <f ca="1"/>
        <v>#VALUE!</v>
      </c>
      <c r="S2017" s="219">
        <f t="shared" ca="1" si="130"/>
        <v>57740</v>
      </c>
      <c r="T2017" s="115" t="e">
        <f ca="1"/>
        <v>#VALUE!</v>
      </c>
      <c r="V2017" s="219">
        <f t="shared" ca="1" si="131"/>
        <v>57740</v>
      </c>
      <c r="W2017" s="115" t="e">
        <f ca="1"/>
        <v>#VALUE!</v>
      </c>
    </row>
    <row r="2018" spans="13:23">
      <c r="M2018" s="219">
        <f t="shared" ca="1" si="128"/>
        <v>57747</v>
      </c>
      <c r="N2018" s="115" t="e">
        <f ca="1"/>
        <v>#VALUE!</v>
      </c>
      <c r="P2018" s="219">
        <f t="shared" ca="1" si="129"/>
        <v>57747</v>
      </c>
      <c r="Q2018" s="115" t="e">
        <f ca="1"/>
        <v>#VALUE!</v>
      </c>
      <c r="S2018" s="219">
        <f t="shared" ca="1" si="130"/>
        <v>57747</v>
      </c>
      <c r="T2018" s="115" t="e">
        <f ca="1"/>
        <v>#VALUE!</v>
      </c>
      <c r="V2018" s="219">
        <f t="shared" ca="1" si="131"/>
        <v>57747</v>
      </c>
      <c r="W2018" s="115" t="e">
        <f ca="1"/>
        <v>#VALUE!</v>
      </c>
    </row>
    <row r="2019" spans="13:23">
      <c r="M2019" s="219">
        <f t="shared" ca="1" si="128"/>
        <v>57754</v>
      </c>
      <c r="N2019" s="115" t="e">
        <f ca="1"/>
        <v>#VALUE!</v>
      </c>
      <c r="P2019" s="219">
        <f t="shared" ca="1" si="129"/>
        <v>57754</v>
      </c>
      <c r="Q2019" s="115" t="e">
        <f ca="1"/>
        <v>#VALUE!</v>
      </c>
      <c r="S2019" s="219">
        <f t="shared" ca="1" si="130"/>
        <v>57754</v>
      </c>
      <c r="T2019" s="115" t="e">
        <f ca="1"/>
        <v>#VALUE!</v>
      </c>
      <c r="V2019" s="219">
        <f t="shared" ca="1" si="131"/>
        <v>57754</v>
      </c>
      <c r="W2019" s="115" t="e">
        <f ca="1"/>
        <v>#VALUE!</v>
      </c>
    </row>
    <row r="2020" spans="13:23">
      <c r="M2020" s="219">
        <f t="shared" ca="1" si="128"/>
        <v>57761</v>
      </c>
      <c r="N2020" s="115" t="e">
        <f ca="1"/>
        <v>#VALUE!</v>
      </c>
      <c r="P2020" s="219">
        <f t="shared" ca="1" si="129"/>
        <v>57761</v>
      </c>
      <c r="Q2020" s="115" t="e">
        <f ca="1"/>
        <v>#VALUE!</v>
      </c>
      <c r="S2020" s="219">
        <f t="shared" ca="1" si="130"/>
        <v>57761</v>
      </c>
      <c r="T2020" s="115" t="e">
        <f ca="1"/>
        <v>#VALUE!</v>
      </c>
      <c r="V2020" s="219">
        <f t="shared" ca="1" si="131"/>
        <v>57761</v>
      </c>
      <c r="W2020" s="115" t="e">
        <f ca="1"/>
        <v>#VALUE!</v>
      </c>
    </row>
    <row r="2021" spans="13:23">
      <c r="M2021" s="219">
        <f t="shared" ca="1" si="128"/>
        <v>57768</v>
      </c>
      <c r="N2021" s="115" t="e">
        <f ca="1"/>
        <v>#VALUE!</v>
      </c>
      <c r="P2021" s="219">
        <f t="shared" ca="1" si="129"/>
        <v>57768</v>
      </c>
      <c r="Q2021" s="115" t="e">
        <f ca="1"/>
        <v>#VALUE!</v>
      </c>
      <c r="S2021" s="219">
        <f t="shared" ca="1" si="130"/>
        <v>57768</v>
      </c>
      <c r="T2021" s="115" t="e">
        <f ca="1"/>
        <v>#VALUE!</v>
      </c>
      <c r="V2021" s="219">
        <f t="shared" ca="1" si="131"/>
        <v>57768</v>
      </c>
      <c r="W2021" s="115" t="e">
        <f ca="1"/>
        <v>#VALUE!</v>
      </c>
    </row>
    <row r="2022" spans="13:23">
      <c r="M2022" s="219">
        <f t="shared" ca="1" si="128"/>
        <v>57775</v>
      </c>
      <c r="N2022" s="115" t="e">
        <f ca="1"/>
        <v>#VALUE!</v>
      </c>
      <c r="P2022" s="219">
        <f t="shared" ca="1" si="129"/>
        <v>57775</v>
      </c>
      <c r="Q2022" s="115" t="e">
        <f ca="1"/>
        <v>#VALUE!</v>
      </c>
      <c r="S2022" s="219">
        <f t="shared" ca="1" si="130"/>
        <v>57775</v>
      </c>
      <c r="T2022" s="115" t="e">
        <f ca="1"/>
        <v>#VALUE!</v>
      </c>
      <c r="V2022" s="219">
        <f t="shared" ca="1" si="131"/>
        <v>57775</v>
      </c>
      <c r="W2022" s="115" t="e">
        <f ca="1"/>
        <v>#VALUE!</v>
      </c>
    </row>
    <row r="2023" spans="13:23">
      <c r="M2023" s="219">
        <f t="shared" ca="1" si="128"/>
        <v>57782</v>
      </c>
      <c r="N2023" s="115" t="e">
        <f ca="1"/>
        <v>#VALUE!</v>
      </c>
      <c r="P2023" s="219">
        <f t="shared" ca="1" si="129"/>
        <v>57782</v>
      </c>
      <c r="Q2023" s="115" t="e">
        <f ca="1"/>
        <v>#VALUE!</v>
      </c>
      <c r="S2023" s="219">
        <f t="shared" ca="1" si="130"/>
        <v>57782</v>
      </c>
      <c r="T2023" s="115" t="e">
        <f ca="1"/>
        <v>#VALUE!</v>
      </c>
      <c r="V2023" s="219">
        <f t="shared" ca="1" si="131"/>
        <v>57782</v>
      </c>
      <c r="W2023" s="115" t="e">
        <f ca="1"/>
        <v>#VALUE!</v>
      </c>
    </row>
    <row r="2024" spans="13:23">
      <c r="M2024" s="219">
        <f t="shared" ca="1" si="128"/>
        <v>57789</v>
      </c>
      <c r="N2024" s="115" t="e">
        <f ca="1"/>
        <v>#VALUE!</v>
      </c>
      <c r="P2024" s="219">
        <f t="shared" ca="1" si="129"/>
        <v>57789</v>
      </c>
      <c r="Q2024" s="115" t="e">
        <f ca="1"/>
        <v>#VALUE!</v>
      </c>
      <c r="S2024" s="219">
        <f t="shared" ca="1" si="130"/>
        <v>57789</v>
      </c>
      <c r="T2024" s="115" t="e">
        <f ca="1"/>
        <v>#VALUE!</v>
      </c>
      <c r="V2024" s="219">
        <f t="shared" ca="1" si="131"/>
        <v>57789</v>
      </c>
      <c r="W2024" s="115" t="e">
        <f ca="1"/>
        <v>#VALUE!</v>
      </c>
    </row>
    <row r="2025" spans="13:23">
      <c r="M2025" s="219">
        <f t="shared" ca="1" si="128"/>
        <v>57796</v>
      </c>
      <c r="N2025" s="115" t="e">
        <f ca="1"/>
        <v>#VALUE!</v>
      </c>
      <c r="P2025" s="219">
        <f t="shared" ca="1" si="129"/>
        <v>57796</v>
      </c>
      <c r="Q2025" s="115" t="e">
        <f ca="1"/>
        <v>#VALUE!</v>
      </c>
      <c r="S2025" s="219">
        <f t="shared" ca="1" si="130"/>
        <v>57796</v>
      </c>
      <c r="T2025" s="115" t="e">
        <f ca="1"/>
        <v>#VALUE!</v>
      </c>
      <c r="V2025" s="219">
        <f t="shared" ca="1" si="131"/>
        <v>57796</v>
      </c>
      <c r="W2025" s="115" t="e">
        <f ca="1"/>
        <v>#VALUE!</v>
      </c>
    </row>
    <row r="2026" spans="13:23">
      <c r="M2026" s="219">
        <f t="shared" ca="1" si="128"/>
        <v>57803</v>
      </c>
      <c r="N2026" s="115" t="e">
        <f ca="1"/>
        <v>#VALUE!</v>
      </c>
      <c r="P2026" s="219">
        <f t="shared" ca="1" si="129"/>
        <v>57803</v>
      </c>
      <c r="Q2026" s="115" t="e">
        <f ca="1"/>
        <v>#VALUE!</v>
      </c>
      <c r="S2026" s="219">
        <f t="shared" ca="1" si="130"/>
        <v>57803</v>
      </c>
      <c r="T2026" s="115" t="e">
        <f ca="1"/>
        <v>#VALUE!</v>
      </c>
      <c r="V2026" s="219">
        <f t="shared" ca="1" si="131"/>
        <v>57803</v>
      </c>
      <c r="W2026" s="115" t="e">
        <f ca="1"/>
        <v>#VALUE!</v>
      </c>
    </row>
    <row r="2027" spans="13:23">
      <c r="M2027" s="219">
        <f t="shared" ca="1" si="128"/>
        <v>57810</v>
      </c>
      <c r="N2027" s="115" t="e">
        <f ca="1"/>
        <v>#VALUE!</v>
      </c>
      <c r="P2027" s="219">
        <f t="shared" ca="1" si="129"/>
        <v>57810</v>
      </c>
      <c r="Q2027" s="115" t="e">
        <f ca="1"/>
        <v>#VALUE!</v>
      </c>
      <c r="S2027" s="219">
        <f t="shared" ca="1" si="130"/>
        <v>57810</v>
      </c>
      <c r="T2027" s="115" t="e">
        <f ca="1"/>
        <v>#VALUE!</v>
      </c>
      <c r="V2027" s="219">
        <f t="shared" ca="1" si="131"/>
        <v>57810</v>
      </c>
      <c r="W2027" s="115" t="e">
        <f ca="1"/>
        <v>#VALUE!</v>
      </c>
    </row>
    <row r="2028" spans="13:23">
      <c r="M2028" s="219">
        <f t="shared" ca="1" si="128"/>
        <v>57817</v>
      </c>
      <c r="N2028" s="115" t="e">
        <f ca="1"/>
        <v>#VALUE!</v>
      </c>
      <c r="P2028" s="219">
        <f t="shared" ca="1" si="129"/>
        <v>57817</v>
      </c>
      <c r="Q2028" s="115" t="e">
        <f ca="1"/>
        <v>#VALUE!</v>
      </c>
      <c r="S2028" s="219">
        <f t="shared" ca="1" si="130"/>
        <v>57817</v>
      </c>
      <c r="T2028" s="115" t="e">
        <f ca="1"/>
        <v>#VALUE!</v>
      </c>
      <c r="V2028" s="219">
        <f t="shared" ca="1" si="131"/>
        <v>57817</v>
      </c>
      <c r="W2028" s="115" t="e">
        <f ca="1"/>
        <v>#VALUE!</v>
      </c>
    </row>
    <row r="2029" spans="13:23">
      <c r="M2029" s="219">
        <f t="shared" ca="1" si="128"/>
        <v>57824</v>
      </c>
      <c r="N2029" s="115" t="e">
        <f ca="1"/>
        <v>#VALUE!</v>
      </c>
      <c r="P2029" s="219">
        <f t="shared" ca="1" si="129"/>
        <v>57824</v>
      </c>
      <c r="Q2029" s="115" t="e">
        <f ca="1"/>
        <v>#VALUE!</v>
      </c>
      <c r="S2029" s="219">
        <f t="shared" ca="1" si="130"/>
        <v>57824</v>
      </c>
      <c r="T2029" s="115" t="e">
        <f ca="1"/>
        <v>#VALUE!</v>
      </c>
      <c r="V2029" s="219">
        <f t="shared" ca="1" si="131"/>
        <v>57824</v>
      </c>
      <c r="W2029" s="115" t="e">
        <f ca="1"/>
        <v>#VALUE!</v>
      </c>
    </row>
    <row r="2030" spans="13:23">
      <c r="M2030" s="219">
        <f t="shared" ca="1" si="128"/>
        <v>57831</v>
      </c>
      <c r="N2030" s="115" t="e">
        <f ca="1"/>
        <v>#VALUE!</v>
      </c>
      <c r="P2030" s="219">
        <f t="shared" ca="1" si="129"/>
        <v>57831</v>
      </c>
      <c r="Q2030" s="115" t="e">
        <f ca="1"/>
        <v>#VALUE!</v>
      </c>
      <c r="S2030" s="219">
        <f t="shared" ca="1" si="130"/>
        <v>57831</v>
      </c>
      <c r="T2030" s="115" t="e">
        <f ca="1"/>
        <v>#VALUE!</v>
      </c>
      <c r="V2030" s="219">
        <f t="shared" ca="1" si="131"/>
        <v>57831</v>
      </c>
      <c r="W2030" s="115" t="e">
        <f ca="1"/>
        <v>#VALUE!</v>
      </c>
    </row>
    <row r="2031" spans="13:23">
      <c r="M2031" s="219">
        <f t="shared" ca="1" si="128"/>
        <v>57838</v>
      </c>
      <c r="N2031" s="115" t="e">
        <f ca="1"/>
        <v>#VALUE!</v>
      </c>
      <c r="P2031" s="219">
        <f t="shared" ca="1" si="129"/>
        <v>57838</v>
      </c>
      <c r="Q2031" s="115" t="e">
        <f ca="1"/>
        <v>#VALUE!</v>
      </c>
      <c r="S2031" s="219">
        <f t="shared" ca="1" si="130"/>
        <v>57838</v>
      </c>
      <c r="T2031" s="115" t="e">
        <f ca="1"/>
        <v>#VALUE!</v>
      </c>
      <c r="V2031" s="219">
        <f t="shared" ca="1" si="131"/>
        <v>57838</v>
      </c>
      <c r="W2031" s="115" t="e">
        <f ca="1"/>
        <v>#VALUE!</v>
      </c>
    </row>
    <row r="2032" spans="13:23">
      <c r="M2032" s="219">
        <f t="shared" ca="1" si="128"/>
        <v>57845</v>
      </c>
      <c r="N2032" s="115" t="e">
        <f ca="1"/>
        <v>#VALUE!</v>
      </c>
      <c r="P2032" s="219">
        <f t="shared" ca="1" si="129"/>
        <v>57845</v>
      </c>
      <c r="Q2032" s="115" t="e">
        <f ca="1"/>
        <v>#VALUE!</v>
      </c>
      <c r="S2032" s="219">
        <f t="shared" ca="1" si="130"/>
        <v>57845</v>
      </c>
      <c r="T2032" s="115" t="e">
        <f ca="1"/>
        <v>#VALUE!</v>
      </c>
      <c r="V2032" s="219">
        <f t="shared" ca="1" si="131"/>
        <v>57845</v>
      </c>
      <c r="W2032" s="115" t="e">
        <f ca="1"/>
        <v>#VALUE!</v>
      </c>
    </row>
    <row r="2033" spans="13:23">
      <c r="M2033" s="219">
        <f t="shared" ca="1" si="128"/>
        <v>57852</v>
      </c>
      <c r="N2033" s="115" t="e">
        <f ca="1"/>
        <v>#VALUE!</v>
      </c>
      <c r="P2033" s="219">
        <f t="shared" ca="1" si="129"/>
        <v>57852</v>
      </c>
      <c r="Q2033" s="115" t="e">
        <f ca="1"/>
        <v>#VALUE!</v>
      </c>
      <c r="S2033" s="219">
        <f t="shared" ca="1" si="130"/>
        <v>57852</v>
      </c>
      <c r="T2033" s="115" t="e">
        <f ca="1"/>
        <v>#VALUE!</v>
      </c>
      <c r="V2033" s="219">
        <f t="shared" ca="1" si="131"/>
        <v>57852</v>
      </c>
      <c r="W2033" s="115" t="e">
        <f ca="1"/>
        <v>#VALUE!</v>
      </c>
    </row>
    <row r="2034" spans="13:23">
      <c r="M2034" s="219">
        <f t="shared" ca="1" si="128"/>
        <v>57859</v>
      </c>
      <c r="N2034" s="115" t="e">
        <f ca="1"/>
        <v>#VALUE!</v>
      </c>
      <c r="P2034" s="219">
        <f t="shared" ca="1" si="129"/>
        <v>57859</v>
      </c>
      <c r="Q2034" s="115" t="e">
        <f ca="1"/>
        <v>#VALUE!</v>
      </c>
      <c r="S2034" s="219">
        <f t="shared" ca="1" si="130"/>
        <v>57859</v>
      </c>
      <c r="T2034" s="115" t="e">
        <f ca="1"/>
        <v>#VALUE!</v>
      </c>
      <c r="V2034" s="219">
        <f t="shared" ca="1" si="131"/>
        <v>57859</v>
      </c>
      <c r="W2034" s="115" t="e">
        <f ca="1"/>
        <v>#VALUE!</v>
      </c>
    </row>
    <row r="2035" spans="13:23">
      <c r="M2035" s="219">
        <f t="shared" ca="1" si="128"/>
        <v>57866</v>
      </c>
      <c r="N2035" s="115" t="e">
        <f ca="1"/>
        <v>#VALUE!</v>
      </c>
      <c r="P2035" s="219">
        <f t="shared" ca="1" si="129"/>
        <v>57866</v>
      </c>
      <c r="Q2035" s="115" t="e">
        <f ca="1"/>
        <v>#VALUE!</v>
      </c>
      <c r="S2035" s="219">
        <f t="shared" ca="1" si="130"/>
        <v>57866</v>
      </c>
      <c r="T2035" s="115" t="e">
        <f ca="1"/>
        <v>#VALUE!</v>
      </c>
      <c r="V2035" s="219">
        <f t="shared" ca="1" si="131"/>
        <v>57866</v>
      </c>
      <c r="W2035" s="115" t="e">
        <f ca="1"/>
        <v>#VALUE!</v>
      </c>
    </row>
    <row r="2036" spans="13:23">
      <c r="M2036" s="219">
        <f t="shared" ca="1" si="128"/>
        <v>57873</v>
      </c>
      <c r="N2036" s="115" t="e">
        <f ca="1"/>
        <v>#VALUE!</v>
      </c>
      <c r="P2036" s="219">
        <f t="shared" ca="1" si="129"/>
        <v>57873</v>
      </c>
      <c r="Q2036" s="115" t="e">
        <f ca="1"/>
        <v>#VALUE!</v>
      </c>
      <c r="S2036" s="219">
        <f t="shared" ca="1" si="130"/>
        <v>57873</v>
      </c>
      <c r="T2036" s="115" t="e">
        <f ca="1"/>
        <v>#VALUE!</v>
      </c>
      <c r="V2036" s="219">
        <f t="shared" ca="1" si="131"/>
        <v>57873</v>
      </c>
      <c r="W2036" s="115" t="e">
        <f ca="1"/>
        <v>#VALUE!</v>
      </c>
    </row>
    <row r="2037" spans="13:23">
      <c r="M2037" s="219">
        <f t="shared" ca="1" si="128"/>
        <v>57880</v>
      </c>
      <c r="N2037" s="115" t="e">
        <f ca="1"/>
        <v>#VALUE!</v>
      </c>
      <c r="P2037" s="219">
        <f t="shared" ca="1" si="129"/>
        <v>57880</v>
      </c>
      <c r="Q2037" s="115" t="e">
        <f ca="1"/>
        <v>#VALUE!</v>
      </c>
      <c r="S2037" s="219">
        <f t="shared" ca="1" si="130"/>
        <v>57880</v>
      </c>
      <c r="T2037" s="115" t="e">
        <f ca="1"/>
        <v>#VALUE!</v>
      </c>
      <c r="V2037" s="219">
        <f t="shared" ca="1" si="131"/>
        <v>57880</v>
      </c>
      <c r="W2037" s="115" t="e">
        <f ca="1"/>
        <v>#VALUE!</v>
      </c>
    </row>
    <row r="2038" spans="13:23">
      <c r="M2038" s="219">
        <f t="shared" ca="1" si="128"/>
        <v>57887</v>
      </c>
      <c r="N2038" s="115" t="e">
        <f ca="1"/>
        <v>#VALUE!</v>
      </c>
      <c r="P2038" s="219">
        <f t="shared" ca="1" si="129"/>
        <v>57887</v>
      </c>
      <c r="Q2038" s="115" t="e">
        <f ca="1"/>
        <v>#VALUE!</v>
      </c>
      <c r="S2038" s="219">
        <f t="shared" ca="1" si="130"/>
        <v>57887</v>
      </c>
      <c r="T2038" s="115" t="e">
        <f ca="1"/>
        <v>#VALUE!</v>
      </c>
      <c r="V2038" s="219">
        <f t="shared" ca="1" si="131"/>
        <v>57887</v>
      </c>
      <c r="W2038" s="115" t="e">
        <f ca="1"/>
        <v>#VALUE!</v>
      </c>
    </row>
    <row r="2039" spans="13:23">
      <c r="M2039" s="219">
        <f t="shared" ca="1" si="128"/>
        <v>57894</v>
      </c>
      <c r="N2039" s="115" t="e">
        <f ca="1"/>
        <v>#VALUE!</v>
      </c>
      <c r="P2039" s="219">
        <f t="shared" ca="1" si="129"/>
        <v>57894</v>
      </c>
      <c r="Q2039" s="115" t="e">
        <f ca="1"/>
        <v>#VALUE!</v>
      </c>
      <c r="S2039" s="219">
        <f t="shared" ca="1" si="130"/>
        <v>57894</v>
      </c>
      <c r="T2039" s="115" t="e">
        <f ca="1"/>
        <v>#VALUE!</v>
      </c>
      <c r="V2039" s="219">
        <f t="shared" ca="1" si="131"/>
        <v>57894</v>
      </c>
      <c r="W2039" s="115" t="e">
        <f ca="1"/>
        <v>#VALUE!</v>
      </c>
    </row>
    <row r="2040" spans="13:23">
      <c r="M2040" s="219">
        <f t="shared" ca="1" si="128"/>
        <v>57901</v>
      </c>
      <c r="N2040" s="115" t="e">
        <f ca="1"/>
        <v>#VALUE!</v>
      </c>
      <c r="P2040" s="219">
        <f t="shared" ca="1" si="129"/>
        <v>57901</v>
      </c>
      <c r="Q2040" s="115" t="e">
        <f ca="1"/>
        <v>#VALUE!</v>
      </c>
      <c r="S2040" s="219">
        <f t="shared" ca="1" si="130"/>
        <v>57901</v>
      </c>
      <c r="T2040" s="115" t="e">
        <f ca="1"/>
        <v>#VALUE!</v>
      </c>
      <c r="V2040" s="219">
        <f t="shared" ca="1" si="131"/>
        <v>57901</v>
      </c>
      <c r="W2040" s="115" t="e">
        <f ca="1"/>
        <v>#VALUE!</v>
      </c>
    </row>
    <row r="2041" spans="13:23">
      <c r="M2041" s="219">
        <f t="shared" ca="1" si="128"/>
        <v>57908</v>
      </c>
      <c r="N2041" s="115" t="e">
        <f ca="1"/>
        <v>#VALUE!</v>
      </c>
      <c r="P2041" s="219">
        <f t="shared" ca="1" si="129"/>
        <v>57908</v>
      </c>
      <c r="Q2041" s="115" t="e">
        <f ca="1"/>
        <v>#VALUE!</v>
      </c>
      <c r="S2041" s="219">
        <f t="shared" ca="1" si="130"/>
        <v>57908</v>
      </c>
      <c r="T2041" s="115" t="e">
        <f ca="1"/>
        <v>#VALUE!</v>
      </c>
      <c r="V2041" s="219">
        <f t="shared" ca="1" si="131"/>
        <v>57908</v>
      </c>
      <c r="W2041" s="115" t="e">
        <f ca="1"/>
        <v>#VALUE!</v>
      </c>
    </row>
    <row r="2042" spans="13:23">
      <c r="M2042" s="219">
        <f t="shared" ca="1" si="128"/>
        <v>57915</v>
      </c>
      <c r="N2042" s="115" t="e">
        <f ca="1"/>
        <v>#VALUE!</v>
      </c>
      <c r="P2042" s="219">
        <f t="shared" ca="1" si="129"/>
        <v>57915</v>
      </c>
      <c r="Q2042" s="115" t="e">
        <f ca="1"/>
        <v>#VALUE!</v>
      </c>
      <c r="S2042" s="219">
        <f t="shared" ca="1" si="130"/>
        <v>57915</v>
      </c>
      <c r="T2042" s="115" t="e">
        <f ca="1"/>
        <v>#VALUE!</v>
      </c>
      <c r="V2042" s="219">
        <f t="shared" ca="1" si="131"/>
        <v>57915</v>
      </c>
      <c r="W2042" s="115" t="e">
        <f ca="1"/>
        <v>#VALUE!</v>
      </c>
    </row>
    <row r="2043" spans="13:23">
      <c r="M2043" s="219">
        <f t="shared" ca="1" si="128"/>
        <v>57922</v>
      </c>
      <c r="N2043" s="115" t="e">
        <f ca="1"/>
        <v>#VALUE!</v>
      </c>
      <c r="P2043" s="219">
        <f t="shared" ca="1" si="129"/>
        <v>57922</v>
      </c>
      <c r="Q2043" s="115" t="e">
        <f ca="1"/>
        <v>#VALUE!</v>
      </c>
      <c r="S2043" s="219">
        <f t="shared" ca="1" si="130"/>
        <v>57922</v>
      </c>
      <c r="T2043" s="115" t="e">
        <f ca="1"/>
        <v>#VALUE!</v>
      </c>
      <c r="V2043" s="219">
        <f t="shared" ca="1" si="131"/>
        <v>57922</v>
      </c>
      <c r="W2043" s="115" t="e">
        <f ca="1"/>
        <v>#VALUE!</v>
      </c>
    </row>
    <row r="2044" spans="13:23">
      <c r="M2044" s="219">
        <f t="shared" ca="1" si="128"/>
        <v>57929</v>
      </c>
      <c r="N2044" s="115" t="e">
        <f ca="1"/>
        <v>#VALUE!</v>
      </c>
      <c r="P2044" s="219">
        <f t="shared" ca="1" si="129"/>
        <v>57929</v>
      </c>
      <c r="Q2044" s="115" t="e">
        <f ca="1"/>
        <v>#VALUE!</v>
      </c>
      <c r="S2044" s="219">
        <f t="shared" ca="1" si="130"/>
        <v>57929</v>
      </c>
      <c r="T2044" s="115" t="e">
        <f ca="1"/>
        <v>#VALUE!</v>
      </c>
      <c r="V2044" s="219">
        <f t="shared" ca="1" si="131"/>
        <v>57929</v>
      </c>
      <c r="W2044" s="115" t="e">
        <f ca="1"/>
        <v>#VALUE!</v>
      </c>
    </row>
    <row r="2045" spans="13:23">
      <c r="M2045" s="219">
        <f t="shared" ca="1" si="128"/>
        <v>57936</v>
      </c>
      <c r="N2045" s="115" t="e">
        <f ca="1"/>
        <v>#VALUE!</v>
      </c>
      <c r="P2045" s="219">
        <f t="shared" ca="1" si="129"/>
        <v>57936</v>
      </c>
      <c r="Q2045" s="115" t="e">
        <f ca="1"/>
        <v>#VALUE!</v>
      </c>
      <c r="S2045" s="219">
        <f t="shared" ca="1" si="130"/>
        <v>57936</v>
      </c>
      <c r="T2045" s="115" t="e">
        <f ca="1"/>
        <v>#VALUE!</v>
      </c>
      <c r="V2045" s="219">
        <f t="shared" ca="1" si="131"/>
        <v>57936</v>
      </c>
      <c r="W2045" s="115" t="e">
        <f ca="1"/>
        <v>#VALUE!</v>
      </c>
    </row>
    <row r="2046" spans="13:23">
      <c r="M2046" s="219">
        <f t="shared" ca="1" si="128"/>
        <v>57943</v>
      </c>
      <c r="N2046" s="115" t="e">
        <f ca="1"/>
        <v>#VALUE!</v>
      </c>
      <c r="P2046" s="219">
        <f t="shared" ca="1" si="129"/>
        <v>57943</v>
      </c>
      <c r="Q2046" s="115" t="e">
        <f ca="1"/>
        <v>#VALUE!</v>
      </c>
      <c r="S2046" s="219">
        <f t="shared" ca="1" si="130"/>
        <v>57943</v>
      </c>
      <c r="T2046" s="115" t="e">
        <f ca="1"/>
        <v>#VALUE!</v>
      </c>
      <c r="V2046" s="219">
        <f t="shared" ca="1" si="131"/>
        <v>57943</v>
      </c>
      <c r="W2046" s="115" t="e">
        <f ca="1"/>
        <v>#VALUE!</v>
      </c>
    </row>
    <row r="2047" spans="13:23">
      <c r="M2047" s="219">
        <f t="shared" ca="1" si="128"/>
        <v>57950</v>
      </c>
      <c r="N2047" s="115" t="e">
        <f ca="1"/>
        <v>#VALUE!</v>
      </c>
      <c r="P2047" s="219">
        <f t="shared" ca="1" si="129"/>
        <v>57950</v>
      </c>
      <c r="Q2047" s="115" t="e">
        <f ca="1"/>
        <v>#VALUE!</v>
      </c>
      <c r="S2047" s="219">
        <f t="shared" ca="1" si="130"/>
        <v>57950</v>
      </c>
      <c r="T2047" s="115" t="e">
        <f ca="1"/>
        <v>#VALUE!</v>
      </c>
      <c r="V2047" s="219">
        <f t="shared" ca="1" si="131"/>
        <v>57950</v>
      </c>
      <c r="W2047" s="115" t="e">
        <f ca="1"/>
        <v>#VALUE!</v>
      </c>
    </row>
    <row r="2048" spans="13:23">
      <c r="M2048" s="219">
        <f t="shared" ca="1" si="128"/>
        <v>57957</v>
      </c>
      <c r="N2048" s="115" t="e">
        <f ca="1"/>
        <v>#VALUE!</v>
      </c>
      <c r="P2048" s="219">
        <f t="shared" ca="1" si="129"/>
        <v>57957</v>
      </c>
      <c r="Q2048" s="115" t="e">
        <f ca="1"/>
        <v>#VALUE!</v>
      </c>
      <c r="S2048" s="219">
        <f t="shared" ca="1" si="130"/>
        <v>57957</v>
      </c>
      <c r="T2048" s="115" t="e">
        <f ca="1"/>
        <v>#VALUE!</v>
      </c>
      <c r="V2048" s="219">
        <f t="shared" ca="1" si="131"/>
        <v>57957</v>
      </c>
      <c r="W2048" s="115" t="e">
        <f ca="1"/>
        <v>#VALUE!</v>
      </c>
    </row>
    <row r="2049" spans="13:23">
      <c r="M2049" s="219">
        <f t="shared" ca="1" si="128"/>
        <v>57964</v>
      </c>
      <c r="N2049" s="115" t="e">
        <f ca="1"/>
        <v>#VALUE!</v>
      </c>
      <c r="P2049" s="219">
        <f t="shared" ca="1" si="129"/>
        <v>57964</v>
      </c>
      <c r="Q2049" s="115" t="e">
        <f ca="1"/>
        <v>#VALUE!</v>
      </c>
      <c r="S2049" s="219">
        <f t="shared" ca="1" si="130"/>
        <v>57964</v>
      </c>
      <c r="T2049" s="115" t="e">
        <f ca="1"/>
        <v>#VALUE!</v>
      </c>
      <c r="V2049" s="219">
        <f t="shared" ca="1" si="131"/>
        <v>57964</v>
      </c>
      <c r="W2049" s="115" t="e">
        <f ca="1"/>
        <v>#VALUE!</v>
      </c>
    </row>
    <row r="2050" spans="13:23">
      <c r="M2050" s="219">
        <f t="shared" ca="1" si="128"/>
        <v>57971</v>
      </c>
      <c r="N2050" s="115" t="e">
        <f ca="1"/>
        <v>#VALUE!</v>
      </c>
      <c r="P2050" s="219">
        <f t="shared" ca="1" si="129"/>
        <v>57971</v>
      </c>
      <c r="Q2050" s="115" t="e">
        <f ca="1"/>
        <v>#VALUE!</v>
      </c>
      <c r="S2050" s="219">
        <f t="shared" ca="1" si="130"/>
        <v>57971</v>
      </c>
      <c r="T2050" s="115" t="e">
        <f ca="1"/>
        <v>#VALUE!</v>
      </c>
      <c r="V2050" s="219">
        <f t="shared" ca="1" si="131"/>
        <v>57971</v>
      </c>
      <c r="W2050" s="115" t="e">
        <f ca="1"/>
        <v>#VALUE!</v>
      </c>
    </row>
    <row r="2051" spans="13:23">
      <c r="M2051" s="219">
        <f t="shared" ca="1" si="128"/>
        <v>57978</v>
      </c>
      <c r="N2051" s="115" t="e">
        <f ca="1"/>
        <v>#VALUE!</v>
      </c>
      <c r="P2051" s="219">
        <f t="shared" ca="1" si="129"/>
        <v>57978</v>
      </c>
      <c r="Q2051" s="115" t="e">
        <f ca="1"/>
        <v>#VALUE!</v>
      </c>
      <c r="S2051" s="219">
        <f t="shared" ca="1" si="130"/>
        <v>57978</v>
      </c>
      <c r="T2051" s="115" t="e">
        <f ca="1"/>
        <v>#VALUE!</v>
      </c>
      <c r="V2051" s="219">
        <f t="shared" ca="1" si="131"/>
        <v>57978</v>
      </c>
      <c r="W2051" s="115" t="e">
        <f ca="1"/>
        <v>#VALUE!</v>
      </c>
    </row>
    <row r="2052" spans="13:23">
      <c r="M2052" s="219">
        <f t="shared" ca="1" si="128"/>
        <v>57985</v>
      </c>
      <c r="N2052" s="115" t="e">
        <f ca="1"/>
        <v>#VALUE!</v>
      </c>
      <c r="P2052" s="219">
        <f t="shared" ca="1" si="129"/>
        <v>57985</v>
      </c>
      <c r="Q2052" s="115" t="e">
        <f ca="1"/>
        <v>#VALUE!</v>
      </c>
      <c r="S2052" s="219">
        <f t="shared" ca="1" si="130"/>
        <v>57985</v>
      </c>
      <c r="T2052" s="115" t="e">
        <f ca="1"/>
        <v>#VALUE!</v>
      </c>
      <c r="V2052" s="219">
        <f t="shared" ca="1" si="131"/>
        <v>57985</v>
      </c>
      <c r="W2052" s="115" t="e">
        <f ca="1"/>
        <v>#VALUE!</v>
      </c>
    </row>
    <row r="2053" spans="13:23">
      <c r="M2053" s="219">
        <f t="shared" ca="1" si="128"/>
        <v>57992</v>
      </c>
      <c r="N2053" s="115" t="e">
        <f ca="1"/>
        <v>#VALUE!</v>
      </c>
      <c r="P2053" s="219">
        <f t="shared" ca="1" si="129"/>
        <v>57992</v>
      </c>
      <c r="Q2053" s="115" t="e">
        <f ca="1"/>
        <v>#VALUE!</v>
      </c>
      <c r="S2053" s="219">
        <f t="shared" ca="1" si="130"/>
        <v>57992</v>
      </c>
      <c r="T2053" s="115" t="e">
        <f ca="1"/>
        <v>#VALUE!</v>
      </c>
      <c r="V2053" s="219">
        <f t="shared" ca="1" si="131"/>
        <v>57992</v>
      </c>
      <c r="W2053" s="115" t="e">
        <f ca="1"/>
        <v>#VALUE!</v>
      </c>
    </row>
    <row r="2054" spans="13:23">
      <c r="M2054" s="219">
        <f t="shared" ca="1" si="128"/>
        <v>57999</v>
      </c>
      <c r="N2054" s="115" t="e">
        <f ca="1"/>
        <v>#VALUE!</v>
      </c>
      <c r="P2054" s="219">
        <f t="shared" ca="1" si="129"/>
        <v>57999</v>
      </c>
      <c r="Q2054" s="115" t="e">
        <f ca="1"/>
        <v>#VALUE!</v>
      </c>
      <c r="S2054" s="219">
        <f t="shared" ca="1" si="130"/>
        <v>57999</v>
      </c>
      <c r="T2054" s="115" t="e">
        <f ca="1"/>
        <v>#VALUE!</v>
      </c>
      <c r="V2054" s="219">
        <f t="shared" ca="1" si="131"/>
        <v>57999</v>
      </c>
      <c r="W2054" s="115" t="e">
        <f ca="1"/>
        <v>#VALUE!</v>
      </c>
    </row>
    <row r="2055" spans="13:23">
      <c r="M2055" s="219">
        <f t="shared" ca="1" si="128"/>
        <v>58006</v>
      </c>
      <c r="N2055" s="115" t="e">
        <f ca="1"/>
        <v>#VALUE!</v>
      </c>
      <c r="P2055" s="219">
        <f t="shared" ca="1" si="129"/>
        <v>58006</v>
      </c>
      <c r="Q2055" s="115" t="e">
        <f ca="1"/>
        <v>#VALUE!</v>
      </c>
      <c r="S2055" s="219">
        <f t="shared" ca="1" si="130"/>
        <v>58006</v>
      </c>
      <c r="T2055" s="115" t="e">
        <f ca="1"/>
        <v>#VALUE!</v>
      </c>
      <c r="V2055" s="219">
        <f t="shared" ca="1" si="131"/>
        <v>58006</v>
      </c>
      <c r="W2055" s="115" t="e">
        <f ca="1"/>
        <v>#VALUE!</v>
      </c>
    </row>
    <row r="2056" spans="13:23">
      <c r="M2056" s="219">
        <f t="shared" ca="1" si="128"/>
        <v>58013</v>
      </c>
      <c r="N2056" s="115" t="e">
        <f ca="1"/>
        <v>#VALUE!</v>
      </c>
      <c r="P2056" s="219">
        <f t="shared" ca="1" si="129"/>
        <v>58013</v>
      </c>
      <c r="Q2056" s="115" t="e">
        <f ca="1"/>
        <v>#VALUE!</v>
      </c>
      <c r="S2056" s="219">
        <f t="shared" ca="1" si="130"/>
        <v>58013</v>
      </c>
      <c r="T2056" s="115" t="e">
        <f ca="1"/>
        <v>#VALUE!</v>
      </c>
      <c r="V2056" s="219">
        <f t="shared" ca="1" si="131"/>
        <v>58013</v>
      </c>
      <c r="W2056" s="115" t="e">
        <f ca="1"/>
        <v>#VALUE!</v>
      </c>
    </row>
    <row r="2057" spans="13:23">
      <c r="M2057" s="219">
        <f t="shared" ca="1" si="128"/>
        <v>58020</v>
      </c>
      <c r="N2057" s="115" t="e">
        <f ca="1"/>
        <v>#VALUE!</v>
      </c>
      <c r="P2057" s="219">
        <f t="shared" ca="1" si="129"/>
        <v>58020</v>
      </c>
      <c r="Q2057" s="115" t="e">
        <f ca="1"/>
        <v>#VALUE!</v>
      </c>
      <c r="S2057" s="219">
        <f t="shared" ca="1" si="130"/>
        <v>58020</v>
      </c>
      <c r="T2057" s="115" t="e">
        <f ca="1"/>
        <v>#VALUE!</v>
      </c>
      <c r="V2057" s="219">
        <f t="shared" ca="1" si="131"/>
        <v>58020</v>
      </c>
      <c r="W2057" s="115" t="e">
        <f ca="1"/>
        <v>#VALUE!</v>
      </c>
    </row>
    <row r="2058" spans="13:23">
      <c r="M2058" s="219">
        <f t="shared" ca="1" si="128"/>
        <v>58027</v>
      </c>
      <c r="N2058" s="115" t="e">
        <f ca="1"/>
        <v>#VALUE!</v>
      </c>
      <c r="P2058" s="219">
        <f t="shared" ca="1" si="129"/>
        <v>58027</v>
      </c>
      <c r="Q2058" s="115" t="e">
        <f ca="1"/>
        <v>#VALUE!</v>
      </c>
      <c r="S2058" s="219">
        <f t="shared" ca="1" si="130"/>
        <v>58027</v>
      </c>
      <c r="T2058" s="115" t="e">
        <f ca="1"/>
        <v>#VALUE!</v>
      </c>
      <c r="V2058" s="219">
        <f t="shared" ca="1" si="131"/>
        <v>58027</v>
      </c>
      <c r="W2058" s="115" t="e">
        <f ca="1"/>
        <v>#VALUE!</v>
      </c>
    </row>
    <row r="2059" spans="13:23">
      <c r="M2059" s="219">
        <f t="shared" ca="1" si="128"/>
        <v>58034</v>
      </c>
      <c r="N2059" s="115" t="e">
        <f ca="1"/>
        <v>#VALUE!</v>
      </c>
      <c r="P2059" s="219">
        <f t="shared" ca="1" si="129"/>
        <v>58034</v>
      </c>
      <c r="Q2059" s="115" t="e">
        <f ca="1"/>
        <v>#VALUE!</v>
      </c>
      <c r="S2059" s="219">
        <f t="shared" ca="1" si="130"/>
        <v>58034</v>
      </c>
      <c r="T2059" s="115" t="e">
        <f ca="1"/>
        <v>#VALUE!</v>
      </c>
      <c r="V2059" s="219">
        <f t="shared" ca="1" si="131"/>
        <v>58034</v>
      </c>
      <c r="W2059" s="115" t="e">
        <f ca="1"/>
        <v>#VALUE!</v>
      </c>
    </row>
    <row r="2060" spans="13:23">
      <c r="M2060" s="219">
        <f t="shared" ca="1" si="128"/>
        <v>58041</v>
      </c>
      <c r="N2060" s="115" t="e">
        <f ca="1"/>
        <v>#VALUE!</v>
      </c>
      <c r="P2060" s="219">
        <f t="shared" ca="1" si="129"/>
        <v>58041</v>
      </c>
      <c r="Q2060" s="115" t="e">
        <f ca="1"/>
        <v>#VALUE!</v>
      </c>
      <c r="S2060" s="219">
        <f t="shared" ca="1" si="130"/>
        <v>58041</v>
      </c>
      <c r="T2060" s="115" t="e">
        <f ca="1"/>
        <v>#VALUE!</v>
      </c>
      <c r="V2060" s="219">
        <f t="shared" ca="1" si="131"/>
        <v>58041</v>
      </c>
      <c r="W2060" s="115" t="e">
        <f ca="1"/>
        <v>#VALUE!</v>
      </c>
    </row>
    <row r="2061" spans="13:23">
      <c r="M2061" s="219">
        <f t="shared" ref="M2061:M2124" ca="1" si="132">M2060+7</f>
        <v>58048</v>
      </c>
      <c r="N2061" s="115" t="e">
        <f ca="1"/>
        <v>#VALUE!</v>
      </c>
      <c r="P2061" s="219">
        <f t="shared" ca="1" si="129"/>
        <v>58048</v>
      </c>
      <c r="Q2061" s="115" t="e">
        <f ca="1"/>
        <v>#VALUE!</v>
      </c>
      <c r="S2061" s="219">
        <f t="shared" ca="1" si="130"/>
        <v>58048</v>
      </c>
      <c r="T2061" s="115" t="e">
        <f ca="1"/>
        <v>#VALUE!</v>
      </c>
      <c r="V2061" s="219">
        <f t="shared" ca="1" si="131"/>
        <v>58048</v>
      </c>
      <c r="W2061" s="115" t="e">
        <f ca="1"/>
        <v>#VALUE!</v>
      </c>
    </row>
    <row r="2062" spans="13:23">
      <c r="M2062" s="219">
        <f t="shared" ca="1" si="132"/>
        <v>58055</v>
      </c>
      <c r="N2062" s="115" t="e">
        <f ca="1"/>
        <v>#VALUE!</v>
      </c>
      <c r="P2062" s="219">
        <f t="shared" ca="1" si="129"/>
        <v>58055</v>
      </c>
      <c r="Q2062" s="115" t="e">
        <f ca="1"/>
        <v>#VALUE!</v>
      </c>
      <c r="S2062" s="219">
        <f t="shared" ca="1" si="130"/>
        <v>58055</v>
      </c>
      <c r="T2062" s="115" t="e">
        <f ca="1"/>
        <v>#VALUE!</v>
      </c>
      <c r="V2062" s="219">
        <f t="shared" ca="1" si="131"/>
        <v>58055</v>
      </c>
      <c r="W2062" s="115" t="e">
        <f ca="1"/>
        <v>#VALUE!</v>
      </c>
    </row>
    <row r="2063" spans="13:23">
      <c r="M2063" s="219">
        <f t="shared" ca="1" si="132"/>
        <v>58062</v>
      </c>
      <c r="N2063" s="115" t="e">
        <f ca="1"/>
        <v>#VALUE!</v>
      </c>
      <c r="P2063" s="219">
        <f t="shared" ca="1" si="129"/>
        <v>58062</v>
      </c>
      <c r="Q2063" s="115" t="e">
        <f ca="1"/>
        <v>#VALUE!</v>
      </c>
      <c r="S2063" s="219">
        <f t="shared" ca="1" si="130"/>
        <v>58062</v>
      </c>
      <c r="T2063" s="115" t="e">
        <f ca="1"/>
        <v>#VALUE!</v>
      </c>
      <c r="V2063" s="219">
        <f t="shared" ca="1" si="131"/>
        <v>58062</v>
      </c>
      <c r="W2063" s="115" t="e">
        <f ca="1"/>
        <v>#VALUE!</v>
      </c>
    </row>
    <row r="2064" spans="13:23">
      <c r="M2064" s="219">
        <f t="shared" ca="1" si="132"/>
        <v>58069</v>
      </c>
      <c r="N2064" s="115" t="e">
        <f ca="1"/>
        <v>#VALUE!</v>
      </c>
      <c r="P2064" s="219">
        <f t="shared" ca="1" si="129"/>
        <v>58069</v>
      </c>
      <c r="Q2064" s="115" t="e">
        <f ca="1"/>
        <v>#VALUE!</v>
      </c>
      <c r="S2064" s="219">
        <f t="shared" ca="1" si="130"/>
        <v>58069</v>
      </c>
      <c r="T2064" s="115" t="e">
        <f ca="1"/>
        <v>#VALUE!</v>
      </c>
      <c r="V2064" s="219">
        <f t="shared" ca="1" si="131"/>
        <v>58069</v>
      </c>
      <c r="W2064" s="115" t="e">
        <f ca="1"/>
        <v>#VALUE!</v>
      </c>
    </row>
    <row r="2065" spans="13:23">
      <c r="M2065" s="219">
        <f t="shared" ca="1" si="132"/>
        <v>58076</v>
      </c>
      <c r="N2065" s="115" t="e">
        <f ca="1"/>
        <v>#VALUE!</v>
      </c>
      <c r="P2065" s="219">
        <f t="shared" ca="1" si="129"/>
        <v>58076</v>
      </c>
      <c r="Q2065" s="115" t="e">
        <f ca="1"/>
        <v>#VALUE!</v>
      </c>
      <c r="S2065" s="219">
        <f t="shared" ca="1" si="130"/>
        <v>58076</v>
      </c>
      <c r="T2065" s="115" t="e">
        <f ca="1"/>
        <v>#VALUE!</v>
      </c>
      <c r="V2065" s="219">
        <f t="shared" ca="1" si="131"/>
        <v>58076</v>
      </c>
      <c r="W2065" s="115" t="e">
        <f ca="1"/>
        <v>#VALUE!</v>
      </c>
    </row>
    <row r="2066" spans="13:23">
      <c r="M2066" s="219">
        <f t="shared" ca="1" si="132"/>
        <v>58083</v>
      </c>
      <c r="N2066" s="115" t="e">
        <f ca="1"/>
        <v>#VALUE!</v>
      </c>
      <c r="P2066" s="219">
        <f t="shared" ca="1" si="129"/>
        <v>58083</v>
      </c>
      <c r="Q2066" s="115" t="e">
        <f ca="1"/>
        <v>#VALUE!</v>
      </c>
      <c r="S2066" s="219">
        <f t="shared" ca="1" si="130"/>
        <v>58083</v>
      </c>
      <c r="T2066" s="115" t="e">
        <f ca="1"/>
        <v>#VALUE!</v>
      </c>
      <c r="V2066" s="219">
        <f t="shared" ca="1" si="131"/>
        <v>58083</v>
      </c>
      <c r="W2066" s="115" t="e">
        <f ca="1"/>
        <v>#VALUE!</v>
      </c>
    </row>
    <row r="2067" spans="13:23">
      <c r="M2067" s="219">
        <f t="shared" ca="1" si="132"/>
        <v>58090</v>
      </c>
      <c r="N2067" s="115" t="e">
        <f ca="1"/>
        <v>#VALUE!</v>
      </c>
      <c r="P2067" s="219">
        <f t="shared" ca="1" si="129"/>
        <v>58090</v>
      </c>
      <c r="Q2067" s="115" t="e">
        <f ca="1"/>
        <v>#VALUE!</v>
      </c>
      <c r="S2067" s="219">
        <f t="shared" ca="1" si="130"/>
        <v>58090</v>
      </c>
      <c r="T2067" s="115" t="e">
        <f ca="1"/>
        <v>#VALUE!</v>
      </c>
      <c r="V2067" s="219">
        <f t="shared" ca="1" si="131"/>
        <v>58090</v>
      </c>
      <c r="W2067" s="115" t="e">
        <f ca="1"/>
        <v>#VALUE!</v>
      </c>
    </row>
    <row r="2068" spans="13:23">
      <c r="M2068" s="219">
        <f t="shared" ca="1" si="132"/>
        <v>58097</v>
      </c>
      <c r="N2068" s="115" t="e">
        <f ca="1"/>
        <v>#VALUE!</v>
      </c>
      <c r="P2068" s="219">
        <f t="shared" ca="1" si="129"/>
        <v>58097</v>
      </c>
      <c r="Q2068" s="115" t="e">
        <f ca="1"/>
        <v>#VALUE!</v>
      </c>
      <c r="S2068" s="219">
        <f t="shared" ca="1" si="130"/>
        <v>58097</v>
      </c>
      <c r="T2068" s="115" t="e">
        <f ca="1"/>
        <v>#VALUE!</v>
      </c>
      <c r="V2068" s="219">
        <f t="shared" ca="1" si="131"/>
        <v>58097</v>
      </c>
      <c r="W2068" s="115" t="e">
        <f ca="1"/>
        <v>#VALUE!</v>
      </c>
    </row>
    <row r="2069" spans="13:23">
      <c r="M2069" s="219">
        <f t="shared" ca="1" si="132"/>
        <v>58104</v>
      </c>
      <c r="N2069" s="115" t="e">
        <f ca="1"/>
        <v>#VALUE!</v>
      </c>
      <c r="P2069" s="219">
        <f t="shared" ca="1" si="129"/>
        <v>58104</v>
      </c>
      <c r="Q2069" s="115" t="e">
        <f ca="1"/>
        <v>#VALUE!</v>
      </c>
      <c r="S2069" s="219">
        <f t="shared" ca="1" si="130"/>
        <v>58104</v>
      </c>
      <c r="T2069" s="115" t="e">
        <f ca="1"/>
        <v>#VALUE!</v>
      </c>
      <c r="V2069" s="219">
        <f t="shared" ca="1" si="131"/>
        <v>58104</v>
      </c>
      <c r="W2069" s="115" t="e">
        <f ca="1"/>
        <v>#VALUE!</v>
      </c>
    </row>
    <row r="2070" spans="13:23">
      <c r="M2070" s="219">
        <f t="shared" ca="1" si="132"/>
        <v>58111</v>
      </c>
      <c r="N2070" s="115" t="e">
        <f ca="1"/>
        <v>#VALUE!</v>
      </c>
      <c r="P2070" s="219">
        <f t="shared" ca="1" si="129"/>
        <v>58111</v>
      </c>
      <c r="Q2070" s="115" t="e">
        <f ca="1"/>
        <v>#VALUE!</v>
      </c>
      <c r="S2070" s="219">
        <f t="shared" ca="1" si="130"/>
        <v>58111</v>
      </c>
      <c r="T2070" s="115" t="e">
        <f ca="1"/>
        <v>#VALUE!</v>
      </c>
      <c r="V2070" s="219">
        <f t="shared" ca="1" si="131"/>
        <v>58111</v>
      </c>
      <c r="W2070" s="115" t="e">
        <f ca="1"/>
        <v>#VALUE!</v>
      </c>
    </row>
    <row r="2071" spans="13:23">
      <c r="M2071" s="219">
        <f t="shared" ca="1" si="132"/>
        <v>58118</v>
      </c>
      <c r="N2071" s="115" t="e">
        <f ca="1"/>
        <v>#VALUE!</v>
      </c>
      <c r="P2071" s="219">
        <f t="shared" ca="1" si="129"/>
        <v>58118</v>
      </c>
      <c r="Q2071" s="115" t="e">
        <f ca="1"/>
        <v>#VALUE!</v>
      </c>
      <c r="S2071" s="219">
        <f t="shared" ca="1" si="130"/>
        <v>58118</v>
      </c>
      <c r="T2071" s="115" t="e">
        <f ca="1"/>
        <v>#VALUE!</v>
      </c>
      <c r="V2071" s="219">
        <f t="shared" ca="1" si="131"/>
        <v>58118</v>
      </c>
      <c r="W2071" s="115" t="e">
        <f ca="1"/>
        <v>#VALUE!</v>
      </c>
    </row>
    <row r="2072" spans="13:23">
      <c r="M2072" s="219">
        <f t="shared" ca="1" si="132"/>
        <v>58125</v>
      </c>
      <c r="N2072" s="115" t="e">
        <f ca="1"/>
        <v>#VALUE!</v>
      </c>
      <c r="P2072" s="219">
        <f t="shared" ca="1" si="129"/>
        <v>58125</v>
      </c>
      <c r="Q2072" s="115" t="e">
        <f ca="1"/>
        <v>#VALUE!</v>
      </c>
      <c r="S2072" s="219">
        <f t="shared" ca="1" si="130"/>
        <v>58125</v>
      </c>
      <c r="T2072" s="115" t="e">
        <f ca="1"/>
        <v>#VALUE!</v>
      </c>
      <c r="V2072" s="219">
        <f t="shared" ca="1" si="131"/>
        <v>58125</v>
      </c>
      <c r="W2072" s="115" t="e">
        <f ca="1"/>
        <v>#VALUE!</v>
      </c>
    </row>
    <row r="2073" spans="13:23">
      <c r="M2073" s="219">
        <f t="shared" ca="1" si="132"/>
        <v>58132</v>
      </c>
      <c r="N2073" s="115" t="e">
        <f ca="1"/>
        <v>#VALUE!</v>
      </c>
      <c r="P2073" s="219">
        <f t="shared" ca="1" si="129"/>
        <v>58132</v>
      </c>
      <c r="Q2073" s="115" t="e">
        <f ca="1"/>
        <v>#VALUE!</v>
      </c>
      <c r="S2073" s="219">
        <f t="shared" ca="1" si="130"/>
        <v>58132</v>
      </c>
      <c r="T2073" s="115" t="e">
        <f ca="1"/>
        <v>#VALUE!</v>
      </c>
      <c r="V2073" s="219">
        <f t="shared" ca="1" si="131"/>
        <v>58132</v>
      </c>
      <c r="W2073" s="115" t="e">
        <f ca="1"/>
        <v>#VALUE!</v>
      </c>
    </row>
    <row r="2074" spans="13:23">
      <c r="M2074" s="219">
        <f t="shared" ca="1" si="132"/>
        <v>58139</v>
      </c>
      <c r="N2074" s="115" t="e">
        <f ca="1"/>
        <v>#VALUE!</v>
      </c>
      <c r="P2074" s="219">
        <f t="shared" ca="1" si="129"/>
        <v>58139</v>
      </c>
      <c r="Q2074" s="115" t="e">
        <f ca="1"/>
        <v>#VALUE!</v>
      </c>
      <c r="S2074" s="219">
        <f t="shared" ca="1" si="130"/>
        <v>58139</v>
      </c>
      <c r="T2074" s="115" t="e">
        <f ca="1"/>
        <v>#VALUE!</v>
      </c>
      <c r="V2074" s="219">
        <f t="shared" ca="1" si="131"/>
        <v>58139</v>
      </c>
      <c r="W2074" s="115" t="e">
        <f ca="1"/>
        <v>#VALUE!</v>
      </c>
    </row>
    <row r="2075" spans="13:23">
      <c r="M2075" s="219">
        <f t="shared" ca="1" si="132"/>
        <v>58146</v>
      </c>
      <c r="N2075" s="115" t="e">
        <f ca="1"/>
        <v>#VALUE!</v>
      </c>
      <c r="P2075" s="219">
        <f t="shared" ca="1" si="129"/>
        <v>58146</v>
      </c>
      <c r="Q2075" s="115" t="e">
        <f ca="1"/>
        <v>#VALUE!</v>
      </c>
      <c r="S2075" s="219">
        <f t="shared" ca="1" si="130"/>
        <v>58146</v>
      </c>
      <c r="T2075" s="115" t="e">
        <f ca="1"/>
        <v>#VALUE!</v>
      </c>
      <c r="V2075" s="219">
        <f t="shared" ca="1" si="131"/>
        <v>58146</v>
      </c>
      <c r="W2075" s="115" t="e">
        <f ca="1"/>
        <v>#VALUE!</v>
      </c>
    </row>
    <row r="2076" spans="13:23">
      <c r="M2076" s="219">
        <f t="shared" ca="1" si="132"/>
        <v>58153</v>
      </c>
      <c r="N2076" s="115" t="e">
        <f ca="1"/>
        <v>#VALUE!</v>
      </c>
      <c r="P2076" s="219">
        <f t="shared" ca="1" si="129"/>
        <v>58153</v>
      </c>
      <c r="Q2076" s="115" t="e">
        <f ca="1"/>
        <v>#VALUE!</v>
      </c>
      <c r="S2076" s="219">
        <f t="shared" ca="1" si="130"/>
        <v>58153</v>
      </c>
      <c r="T2076" s="115" t="e">
        <f ca="1"/>
        <v>#VALUE!</v>
      </c>
      <c r="V2076" s="219">
        <f t="shared" ca="1" si="131"/>
        <v>58153</v>
      </c>
      <c r="W2076" s="115" t="e">
        <f ca="1"/>
        <v>#VALUE!</v>
      </c>
    </row>
    <row r="2077" spans="13:23">
      <c r="M2077" s="219">
        <f t="shared" ca="1" si="132"/>
        <v>58160</v>
      </c>
      <c r="N2077" s="115" t="e">
        <f ca="1"/>
        <v>#VALUE!</v>
      </c>
      <c r="P2077" s="219">
        <f t="shared" ref="P2077:P2140" ca="1" si="133">P2076+7</f>
        <v>58160</v>
      </c>
      <c r="Q2077" s="115" t="e">
        <f ca="1"/>
        <v>#VALUE!</v>
      </c>
      <c r="S2077" s="219">
        <f t="shared" ref="S2077:S2140" ca="1" si="134">S2076+7</f>
        <v>58160</v>
      </c>
      <c r="T2077" s="115" t="e">
        <f ca="1"/>
        <v>#VALUE!</v>
      </c>
      <c r="V2077" s="219">
        <f t="shared" ref="V2077:V2140" ca="1" si="135">V2076+7</f>
        <v>58160</v>
      </c>
      <c r="W2077" s="115" t="e">
        <f ca="1"/>
        <v>#VALUE!</v>
      </c>
    </row>
    <row r="2078" spans="13:23">
      <c r="M2078" s="219">
        <f t="shared" ca="1" si="132"/>
        <v>58167</v>
      </c>
      <c r="N2078" s="115" t="e">
        <f ca="1"/>
        <v>#VALUE!</v>
      </c>
      <c r="P2078" s="219">
        <f t="shared" ca="1" si="133"/>
        <v>58167</v>
      </c>
      <c r="Q2078" s="115" t="e">
        <f ca="1"/>
        <v>#VALUE!</v>
      </c>
      <c r="S2078" s="219">
        <f t="shared" ca="1" si="134"/>
        <v>58167</v>
      </c>
      <c r="T2078" s="115" t="e">
        <f ca="1"/>
        <v>#VALUE!</v>
      </c>
      <c r="V2078" s="219">
        <f t="shared" ca="1" si="135"/>
        <v>58167</v>
      </c>
      <c r="W2078" s="115" t="e">
        <f ca="1"/>
        <v>#VALUE!</v>
      </c>
    </row>
    <row r="2079" spans="13:23">
      <c r="M2079" s="219">
        <f t="shared" ca="1" si="132"/>
        <v>58174</v>
      </c>
      <c r="N2079" s="115" t="e">
        <f ca="1"/>
        <v>#VALUE!</v>
      </c>
      <c r="P2079" s="219">
        <f t="shared" ca="1" si="133"/>
        <v>58174</v>
      </c>
      <c r="Q2079" s="115" t="e">
        <f ca="1"/>
        <v>#VALUE!</v>
      </c>
      <c r="S2079" s="219">
        <f t="shared" ca="1" si="134"/>
        <v>58174</v>
      </c>
      <c r="T2079" s="115" t="e">
        <f ca="1"/>
        <v>#VALUE!</v>
      </c>
      <c r="V2079" s="219">
        <f t="shared" ca="1" si="135"/>
        <v>58174</v>
      </c>
      <c r="W2079" s="115" t="e">
        <f ca="1"/>
        <v>#VALUE!</v>
      </c>
    </row>
    <row r="2080" spans="13:23">
      <c r="M2080" s="219">
        <f t="shared" ca="1" si="132"/>
        <v>58181</v>
      </c>
      <c r="N2080" s="115" t="e">
        <f ca="1"/>
        <v>#VALUE!</v>
      </c>
      <c r="P2080" s="219">
        <f t="shared" ca="1" si="133"/>
        <v>58181</v>
      </c>
      <c r="Q2080" s="115" t="e">
        <f ca="1"/>
        <v>#VALUE!</v>
      </c>
      <c r="S2080" s="219">
        <f t="shared" ca="1" si="134"/>
        <v>58181</v>
      </c>
      <c r="T2080" s="115" t="e">
        <f ca="1"/>
        <v>#VALUE!</v>
      </c>
      <c r="V2080" s="219">
        <f t="shared" ca="1" si="135"/>
        <v>58181</v>
      </c>
      <c r="W2080" s="115" t="e">
        <f ca="1"/>
        <v>#VALUE!</v>
      </c>
    </row>
    <row r="2081" spans="13:23">
      <c r="M2081" s="219">
        <f t="shared" ca="1" si="132"/>
        <v>58188</v>
      </c>
      <c r="N2081" s="115" t="e">
        <f ca="1"/>
        <v>#VALUE!</v>
      </c>
      <c r="P2081" s="219">
        <f t="shared" ca="1" si="133"/>
        <v>58188</v>
      </c>
      <c r="Q2081" s="115" t="e">
        <f ca="1"/>
        <v>#VALUE!</v>
      </c>
      <c r="S2081" s="219">
        <f t="shared" ca="1" si="134"/>
        <v>58188</v>
      </c>
      <c r="T2081" s="115" t="e">
        <f ca="1"/>
        <v>#VALUE!</v>
      </c>
      <c r="V2081" s="219">
        <f t="shared" ca="1" si="135"/>
        <v>58188</v>
      </c>
      <c r="W2081" s="115" t="e">
        <f ca="1"/>
        <v>#VALUE!</v>
      </c>
    </row>
    <row r="2082" spans="13:23">
      <c r="M2082" s="219">
        <f t="shared" ca="1" si="132"/>
        <v>58195</v>
      </c>
      <c r="N2082" s="115" t="e">
        <f ca="1"/>
        <v>#VALUE!</v>
      </c>
      <c r="P2082" s="219">
        <f t="shared" ca="1" si="133"/>
        <v>58195</v>
      </c>
      <c r="Q2082" s="115" t="e">
        <f ca="1"/>
        <v>#VALUE!</v>
      </c>
      <c r="S2082" s="219">
        <f t="shared" ca="1" si="134"/>
        <v>58195</v>
      </c>
      <c r="T2082" s="115" t="e">
        <f ca="1"/>
        <v>#VALUE!</v>
      </c>
      <c r="V2082" s="219">
        <f t="shared" ca="1" si="135"/>
        <v>58195</v>
      </c>
      <c r="W2082" s="115" t="e">
        <f ca="1"/>
        <v>#VALUE!</v>
      </c>
    </row>
    <row r="2083" spans="13:23">
      <c r="M2083" s="219">
        <f t="shared" ca="1" si="132"/>
        <v>58202</v>
      </c>
      <c r="N2083" s="115" t="e">
        <f ca="1"/>
        <v>#VALUE!</v>
      </c>
      <c r="P2083" s="219">
        <f t="shared" ca="1" si="133"/>
        <v>58202</v>
      </c>
      <c r="Q2083" s="115" t="e">
        <f ca="1"/>
        <v>#VALUE!</v>
      </c>
      <c r="S2083" s="219">
        <f t="shared" ca="1" si="134"/>
        <v>58202</v>
      </c>
      <c r="T2083" s="115" t="e">
        <f ca="1"/>
        <v>#VALUE!</v>
      </c>
      <c r="V2083" s="219">
        <f t="shared" ca="1" si="135"/>
        <v>58202</v>
      </c>
      <c r="W2083" s="115" t="e">
        <f ca="1"/>
        <v>#VALUE!</v>
      </c>
    </row>
    <row r="2084" spans="13:23">
      <c r="M2084" s="219">
        <f t="shared" ca="1" si="132"/>
        <v>58209</v>
      </c>
      <c r="N2084" s="115" t="e">
        <f ca="1"/>
        <v>#VALUE!</v>
      </c>
      <c r="P2084" s="219">
        <f t="shared" ca="1" si="133"/>
        <v>58209</v>
      </c>
      <c r="Q2084" s="115" t="e">
        <f ca="1"/>
        <v>#VALUE!</v>
      </c>
      <c r="S2084" s="219">
        <f t="shared" ca="1" si="134"/>
        <v>58209</v>
      </c>
      <c r="T2084" s="115" t="e">
        <f ca="1"/>
        <v>#VALUE!</v>
      </c>
      <c r="V2084" s="219">
        <f t="shared" ca="1" si="135"/>
        <v>58209</v>
      </c>
      <c r="W2084" s="115" t="e">
        <f ca="1"/>
        <v>#VALUE!</v>
      </c>
    </row>
    <row r="2085" spans="13:23">
      <c r="M2085" s="219">
        <f t="shared" ca="1" si="132"/>
        <v>58216</v>
      </c>
      <c r="N2085" s="115" t="e">
        <f ca="1"/>
        <v>#VALUE!</v>
      </c>
      <c r="P2085" s="219">
        <f t="shared" ca="1" si="133"/>
        <v>58216</v>
      </c>
      <c r="Q2085" s="115" t="e">
        <f ca="1"/>
        <v>#VALUE!</v>
      </c>
      <c r="S2085" s="219">
        <f t="shared" ca="1" si="134"/>
        <v>58216</v>
      </c>
      <c r="T2085" s="115" t="e">
        <f ca="1"/>
        <v>#VALUE!</v>
      </c>
      <c r="V2085" s="219">
        <f t="shared" ca="1" si="135"/>
        <v>58216</v>
      </c>
      <c r="W2085" s="115" t="e">
        <f ca="1"/>
        <v>#VALUE!</v>
      </c>
    </row>
    <row r="2086" spans="13:23">
      <c r="M2086" s="219">
        <f t="shared" ca="1" si="132"/>
        <v>58223</v>
      </c>
      <c r="N2086" s="115" t="e">
        <f ca="1"/>
        <v>#VALUE!</v>
      </c>
      <c r="P2086" s="219">
        <f t="shared" ca="1" si="133"/>
        <v>58223</v>
      </c>
      <c r="Q2086" s="115" t="e">
        <f ca="1"/>
        <v>#VALUE!</v>
      </c>
      <c r="S2086" s="219">
        <f t="shared" ca="1" si="134"/>
        <v>58223</v>
      </c>
      <c r="T2086" s="115" t="e">
        <f ca="1"/>
        <v>#VALUE!</v>
      </c>
      <c r="V2086" s="219">
        <f t="shared" ca="1" si="135"/>
        <v>58223</v>
      </c>
      <c r="W2086" s="115" t="e">
        <f ca="1"/>
        <v>#VALUE!</v>
      </c>
    </row>
    <row r="2087" spans="13:23">
      <c r="M2087" s="219">
        <f t="shared" ca="1" si="132"/>
        <v>58230</v>
      </c>
      <c r="N2087" s="115" t="e">
        <f ca="1"/>
        <v>#VALUE!</v>
      </c>
      <c r="P2087" s="219">
        <f t="shared" ca="1" si="133"/>
        <v>58230</v>
      </c>
      <c r="Q2087" s="115" t="e">
        <f ca="1"/>
        <v>#VALUE!</v>
      </c>
      <c r="S2087" s="219">
        <f t="shared" ca="1" si="134"/>
        <v>58230</v>
      </c>
      <c r="T2087" s="115" t="e">
        <f ca="1"/>
        <v>#VALUE!</v>
      </c>
      <c r="V2087" s="219">
        <f t="shared" ca="1" si="135"/>
        <v>58230</v>
      </c>
      <c r="W2087" s="115" t="e">
        <f ca="1"/>
        <v>#VALUE!</v>
      </c>
    </row>
    <row r="2088" spans="13:23">
      <c r="M2088" s="219">
        <f t="shared" ca="1" si="132"/>
        <v>58237</v>
      </c>
      <c r="N2088" s="115" t="e">
        <f ca="1"/>
        <v>#VALUE!</v>
      </c>
      <c r="P2088" s="219">
        <f t="shared" ca="1" si="133"/>
        <v>58237</v>
      </c>
      <c r="Q2088" s="115" t="e">
        <f ca="1"/>
        <v>#VALUE!</v>
      </c>
      <c r="S2088" s="219">
        <f t="shared" ca="1" si="134"/>
        <v>58237</v>
      </c>
      <c r="T2088" s="115" t="e">
        <f ca="1"/>
        <v>#VALUE!</v>
      </c>
      <c r="V2088" s="219">
        <f t="shared" ca="1" si="135"/>
        <v>58237</v>
      </c>
      <c r="W2088" s="115" t="e">
        <f ca="1"/>
        <v>#VALUE!</v>
      </c>
    </row>
    <row r="2089" spans="13:23">
      <c r="M2089" s="219">
        <f t="shared" ca="1" si="132"/>
        <v>58244</v>
      </c>
      <c r="N2089" s="115" t="e">
        <f ca="1"/>
        <v>#VALUE!</v>
      </c>
      <c r="P2089" s="219">
        <f t="shared" ca="1" si="133"/>
        <v>58244</v>
      </c>
      <c r="Q2089" s="115" t="e">
        <f ca="1"/>
        <v>#VALUE!</v>
      </c>
      <c r="S2089" s="219">
        <f t="shared" ca="1" si="134"/>
        <v>58244</v>
      </c>
      <c r="T2089" s="115" t="e">
        <f ca="1"/>
        <v>#VALUE!</v>
      </c>
      <c r="V2089" s="219">
        <f t="shared" ca="1" si="135"/>
        <v>58244</v>
      </c>
      <c r="W2089" s="115" t="e">
        <f ca="1"/>
        <v>#VALUE!</v>
      </c>
    </row>
    <row r="2090" spans="13:23">
      <c r="M2090" s="219">
        <f t="shared" ca="1" si="132"/>
        <v>58251</v>
      </c>
      <c r="N2090" s="115" t="e">
        <f ca="1"/>
        <v>#VALUE!</v>
      </c>
      <c r="P2090" s="219">
        <f t="shared" ca="1" si="133"/>
        <v>58251</v>
      </c>
      <c r="Q2090" s="115" t="e">
        <f ca="1"/>
        <v>#VALUE!</v>
      </c>
      <c r="S2090" s="219">
        <f t="shared" ca="1" si="134"/>
        <v>58251</v>
      </c>
      <c r="T2090" s="115" t="e">
        <f ca="1"/>
        <v>#VALUE!</v>
      </c>
      <c r="V2090" s="219">
        <f t="shared" ca="1" si="135"/>
        <v>58251</v>
      </c>
      <c r="W2090" s="115" t="e">
        <f ca="1"/>
        <v>#VALUE!</v>
      </c>
    </row>
    <row r="2091" spans="13:23">
      <c r="M2091" s="219">
        <f t="shared" ca="1" si="132"/>
        <v>58258</v>
      </c>
      <c r="N2091" s="115" t="e">
        <f ca="1"/>
        <v>#VALUE!</v>
      </c>
      <c r="P2091" s="219">
        <f t="shared" ca="1" si="133"/>
        <v>58258</v>
      </c>
      <c r="Q2091" s="115" t="e">
        <f ca="1"/>
        <v>#VALUE!</v>
      </c>
      <c r="S2091" s="219">
        <f t="shared" ca="1" si="134"/>
        <v>58258</v>
      </c>
      <c r="T2091" s="115" t="e">
        <f ca="1"/>
        <v>#VALUE!</v>
      </c>
      <c r="V2091" s="219">
        <f t="shared" ca="1" si="135"/>
        <v>58258</v>
      </c>
      <c r="W2091" s="115" t="e">
        <f ca="1"/>
        <v>#VALUE!</v>
      </c>
    </row>
    <row r="2092" spans="13:23">
      <c r="M2092" s="219">
        <f t="shared" ca="1" si="132"/>
        <v>58265</v>
      </c>
      <c r="N2092" s="115" t="e">
        <f ca="1"/>
        <v>#VALUE!</v>
      </c>
      <c r="P2092" s="219">
        <f t="shared" ca="1" si="133"/>
        <v>58265</v>
      </c>
      <c r="Q2092" s="115" t="e">
        <f ca="1"/>
        <v>#VALUE!</v>
      </c>
      <c r="S2092" s="219">
        <f t="shared" ca="1" si="134"/>
        <v>58265</v>
      </c>
      <c r="T2092" s="115" t="e">
        <f ca="1"/>
        <v>#VALUE!</v>
      </c>
      <c r="V2092" s="219">
        <f t="shared" ca="1" si="135"/>
        <v>58265</v>
      </c>
      <c r="W2092" s="115" t="e">
        <f ca="1"/>
        <v>#VALUE!</v>
      </c>
    </row>
    <row r="2093" spans="13:23">
      <c r="M2093" s="219">
        <f t="shared" ca="1" si="132"/>
        <v>58272</v>
      </c>
      <c r="N2093" s="115" t="e">
        <f ca="1"/>
        <v>#VALUE!</v>
      </c>
      <c r="P2093" s="219">
        <f t="shared" ca="1" si="133"/>
        <v>58272</v>
      </c>
      <c r="Q2093" s="115" t="e">
        <f ca="1"/>
        <v>#VALUE!</v>
      </c>
      <c r="S2093" s="219">
        <f t="shared" ca="1" si="134"/>
        <v>58272</v>
      </c>
      <c r="T2093" s="115" t="e">
        <f ca="1"/>
        <v>#VALUE!</v>
      </c>
      <c r="V2093" s="219">
        <f t="shared" ca="1" si="135"/>
        <v>58272</v>
      </c>
      <c r="W2093" s="115" t="e">
        <f ca="1"/>
        <v>#VALUE!</v>
      </c>
    </row>
    <row r="2094" spans="13:23">
      <c r="M2094" s="219">
        <f t="shared" ca="1" si="132"/>
        <v>58279</v>
      </c>
      <c r="N2094" s="115" t="e">
        <f ca="1"/>
        <v>#VALUE!</v>
      </c>
      <c r="P2094" s="219">
        <f t="shared" ca="1" si="133"/>
        <v>58279</v>
      </c>
      <c r="Q2094" s="115" t="e">
        <f ca="1"/>
        <v>#VALUE!</v>
      </c>
      <c r="S2094" s="219">
        <f t="shared" ca="1" si="134"/>
        <v>58279</v>
      </c>
      <c r="T2094" s="115" t="e">
        <f ca="1"/>
        <v>#VALUE!</v>
      </c>
      <c r="V2094" s="219">
        <f t="shared" ca="1" si="135"/>
        <v>58279</v>
      </c>
      <c r="W2094" s="115" t="e">
        <f ca="1"/>
        <v>#VALUE!</v>
      </c>
    </row>
    <row r="2095" spans="13:23">
      <c r="M2095" s="219">
        <f t="shared" ca="1" si="132"/>
        <v>58286</v>
      </c>
      <c r="N2095" s="115" t="e">
        <f ca="1"/>
        <v>#VALUE!</v>
      </c>
      <c r="P2095" s="219">
        <f t="shared" ca="1" si="133"/>
        <v>58286</v>
      </c>
      <c r="Q2095" s="115" t="e">
        <f ca="1"/>
        <v>#VALUE!</v>
      </c>
      <c r="S2095" s="219">
        <f t="shared" ca="1" si="134"/>
        <v>58286</v>
      </c>
      <c r="T2095" s="115" t="e">
        <f ca="1"/>
        <v>#VALUE!</v>
      </c>
      <c r="V2095" s="219">
        <f t="shared" ca="1" si="135"/>
        <v>58286</v>
      </c>
      <c r="W2095" s="115" t="e">
        <f ca="1"/>
        <v>#VALUE!</v>
      </c>
    </row>
    <row r="2096" spans="13:23">
      <c r="M2096" s="219">
        <f t="shared" ca="1" si="132"/>
        <v>58293</v>
      </c>
      <c r="N2096" s="115" t="e">
        <f ca="1"/>
        <v>#VALUE!</v>
      </c>
      <c r="P2096" s="219">
        <f t="shared" ca="1" si="133"/>
        <v>58293</v>
      </c>
      <c r="Q2096" s="115" t="e">
        <f ca="1"/>
        <v>#VALUE!</v>
      </c>
      <c r="S2096" s="219">
        <f t="shared" ca="1" si="134"/>
        <v>58293</v>
      </c>
      <c r="T2096" s="115" t="e">
        <f ca="1"/>
        <v>#VALUE!</v>
      </c>
      <c r="V2096" s="219">
        <f t="shared" ca="1" si="135"/>
        <v>58293</v>
      </c>
      <c r="W2096" s="115" t="e">
        <f ca="1"/>
        <v>#VALUE!</v>
      </c>
    </row>
    <row r="2097" spans="13:23">
      <c r="M2097" s="219">
        <f t="shared" ca="1" si="132"/>
        <v>58300</v>
      </c>
      <c r="N2097" s="115" t="e">
        <f ca="1"/>
        <v>#VALUE!</v>
      </c>
      <c r="P2097" s="219">
        <f t="shared" ca="1" si="133"/>
        <v>58300</v>
      </c>
      <c r="Q2097" s="115" t="e">
        <f ca="1"/>
        <v>#VALUE!</v>
      </c>
      <c r="S2097" s="219">
        <f t="shared" ca="1" si="134"/>
        <v>58300</v>
      </c>
      <c r="T2097" s="115" t="e">
        <f ca="1"/>
        <v>#VALUE!</v>
      </c>
      <c r="V2097" s="219">
        <f t="shared" ca="1" si="135"/>
        <v>58300</v>
      </c>
      <c r="W2097" s="115" t="e">
        <f ca="1"/>
        <v>#VALUE!</v>
      </c>
    </row>
    <row r="2098" spans="13:23">
      <c r="M2098" s="219">
        <f t="shared" ca="1" si="132"/>
        <v>58307</v>
      </c>
      <c r="N2098" s="115" t="e">
        <f ca="1"/>
        <v>#VALUE!</v>
      </c>
      <c r="P2098" s="219">
        <f t="shared" ca="1" si="133"/>
        <v>58307</v>
      </c>
      <c r="Q2098" s="115" t="e">
        <f ca="1"/>
        <v>#VALUE!</v>
      </c>
      <c r="S2098" s="219">
        <f t="shared" ca="1" si="134"/>
        <v>58307</v>
      </c>
      <c r="T2098" s="115" t="e">
        <f ca="1"/>
        <v>#VALUE!</v>
      </c>
      <c r="V2098" s="219">
        <f t="shared" ca="1" si="135"/>
        <v>58307</v>
      </c>
      <c r="W2098" s="115" t="e">
        <f ca="1"/>
        <v>#VALUE!</v>
      </c>
    </row>
    <row r="2099" spans="13:23">
      <c r="M2099" s="219">
        <f t="shared" ca="1" si="132"/>
        <v>58314</v>
      </c>
      <c r="N2099" s="115" t="e">
        <f ca="1"/>
        <v>#VALUE!</v>
      </c>
      <c r="P2099" s="219">
        <f t="shared" ca="1" si="133"/>
        <v>58314</v>
      </c>
      <c r="Q2099" s="115" t="e">
        <f ca="1"/>
        <v>#VALUE!</v>
      </c>
      <c r="S2099" s="219">
        <f t="shared" ca="1" si="134"/>
        <v>58314</v>
      </c>
      <c r="T2099" s="115" t="e">
        <f ca="1"/>
        <v>#VALUE!</v>
      </c>
      <c r="V2099" s="219">
        <f t="shared" ca="1" si="135"/>
        <v>58314</v>
      </c>
      <c r="W2099" s="115" t="e">
        <f ca="1"/>
        <v>#VALUE!</v>
      </c>
    </row>
    <row r="2100" spans="13:23">
      <c r="M2100" s="219">
        <f t="shared" ca="1" si="132"/>
        <v>58321</v>
      </c>
      <c r="N2100" s="115" t="e">
        <f ca="1"/>
        <v>#VALUE!</v>
      </c>
      <c r="P2100" s="219">
        <f t="shared" ca="1" si="133"/>
        <v>58321</v>
      </c>
      <c r="Q2100" s="115" t="e">
        <f ca="1"/>
        <v>#VALUE!</v>
      </c>
      <c r="S2100" s="219">
        <f t="shared" ca="1" si="134"/>
        <v>58321</v>
      </c>
      <c r="T2100" s="115" t="e">
        <f ca="1"/>
        <v>#VALUE!</v>
      </c>
      <c r="V2100" s="219">
        <f t="shared" ca="1" si="135"/>
        <v>58321</v>
      </c>
      <c r="W2100" s="115" t="e">
        <f ca="1"/>
        <v>#VALUE!</v>
      </c>
    </row>
    <row r="2101" spans="13:23">
      <c r="M2101" s="219">
        <f t="shared" ca="1" si="132"/>
        <v>58328</v>
      </c>
      <c r="N2101" s="115" t="e">
        <f ca="1"/>
        <v>#VALUE!</v>
      </c>
      <c r="P2101" s="219">
        <f t="shared" ca="1" si="133"/>
        <v>58328</v>
      </c>
      <c r="Q2101" s="115" t="e">
        <f ca="1"/>
        <v>#VALUE!</v>
      </c>
      <c r="S2101" s="219">
        <f t="shared" ca="1" si="134"/>
        <v>58328</v>
      </c>
      <c r="T2101" s="115" t="e">
        <f ca="1"/>
        <v>#VALUE!</v>
      </c>
      <c r="V2101" s="219">
        <f t="shared" ca="1" si="135"/>
        <v>58328</v>
      </c>
      <c r="W2101" s="115" t="e">
        <f ca="1"/>
        <v>#VALUE!</v>
      </c>
    </row>
    <row r="2102" spans="13:23">
      <c r="M2102" s="219">
        <f t="shared" ca="1" si="132"/>
        <v>58335</v>
      </c>
      <c r="N2102" s="115" t="e">
        <f ca="1"/>
        <v>#VALUE!</v>
      </c>
      <c r="P2102" s="219">
        <f t="shared" ca="1" si="133"/>
        <v>58335</v>
      </c>
      <c r="Q2102" s="115" t="e">
        <f ca="1"/>
        <v>#VALUE!</v>
      </c>
      <c r="S2102" s="219">
        <f t="shared" ca="1" si="134"/>
        <v>58335</v>
      </c>
      <c r="T2102" s="115" t="e">
        <f ca="1"/>
        <v>#VALUE!</v>
      </c>
      <c r="V2102" s="219">
        <f t="shared" ca="1" si="135"/>
        <v>58335</v>
      </c>
      <c r="W2102" s="115" t="e">
        <f ca="1"/>
        <v>#VALUE!</v>
      </c>
    </row>
    <row r="2103" spans="13:23">
      <c r="M2103" s="219">
        <f t="shared" ca="1" si="132"/>
        <v>58342</v>
      </c>
      <c r="N2103" s="115" t="e">
        <f ca="1"/>
        <v>#VALUE!</v>
      </c>
      <c r="P2103" s="219">
        <f t="shared" ca="1" si="133"/>
        <v>58342</v>
      </c>
      <c r="Q2103" s="115" t="e">
        <f ca="1"/>
        <v>#VALUE!</v>
      </c>
      <c r="S2103" s="219">
        <f t="shared" ca="1" si="134"/>
        <v>58342</v>
      </c>
      <c r="T2103" s="115" t="e">
        <f ca="1"/>
        <v>#VALUE!</v>
      </c>
      <c r="V2103" s="219">
        <f t="shared" ca="1" si="135"/>
        <v>58342</v>
      </c>
      <c r="W2103" s="115" t="e">
        <f ca="1"/>
        <v>#VALUE!</v>
      </c>
    </row>
    <row r="2104" spans="13:23">
      <c r="M2104" s="219">
        <f t="shared" ca="1" si="132"/>
        <v>58349</v>
      </c>
      <c r="N2104" s="115" t="e">
        <f ca="1"/>
        <v>#VALUE!</v>
      </c>
      <c r="P2104" s="219">
        <f t="shared" ca="1" si="133"/>
        <v>58349</v>
      </c>
      <c r="Q2104" s="115" t="e">
        <f ca="1"/>
        <v>#VALUE!</v>
      </c>
      <c r="S2104" s="219">
        <f t="shared" ca="1" si="134"/>
        <v>58349</v>
      </c>
      <c r="T2104" s="115" t="e">
        <f ca="1"/>
        <v>#VALUE!</v>
      </c>
      <c r="V2104" s="219">
        <f t="shared" ca="1" si="135"/>
        <v>58349</v>
      </c>
      <c r="W2104" s="115" t="e">
        <f ca="1"/>
        <v>#VALUE!</v>
      </c>
    </row>
    <row r="2105" spans="13:23">
      <c r="M2105" s="219">
        <f t="shared" ca="1" si="132"/>
        <v>58356</v>
      </c>
      <c r="N2105" s="115" t="e">
        <f ca="1"/>
        <v>#VALUE!</v>
      </c>
      <c r="P2105" s="219">
        <f t="shared" ca="1" si="133"/>
        <v>58356</v>
      </c>
      <c r="Q2105" s="115" t="e">
        <f ca="1"/>
        <v>#VALUE!</v>
      </c>
      <c r="S2105" s="219">
        <f t="shared" ca="1" si="134"/>
        <v>58356</v>
      </c>
      <c r="T2105" s="115" t="e">
        <f ca="1"/>
        <v>#VALUE!</v>
      </c>
      <c r="V2105" s="219">
        <f t="shared" ca="1" si="135"/>
        <v>58356</v>
      </c>
      <c r="W2105" s="115" t="e">
        <f ca="1"/>
        <v>#VALUE!</v>
      </c>
    </row>
    <row r="2106" spans="13:23">
      <c r="M2106" s="219">
        <f t="shared" ca="1" si="132"/>
        <v>58363</v>
      </c>
      <c r="N2106" s="115" t="e">
        <f ca="1"/>
        <v>#VALUE!</v>
      </c>
      <c r="P2106" s="219">
        <f t="shared" ca="1" si="133"/>
        <v>58363</v>
      </c>
      <c r="Q2106" s="115" t="e">
        <f ca="1"/>
        <v>#VALUE!</v>
      </c>
      <c r="S2106" s="219">
        <f t="shared" ca="1" si="134"/>
        <v>58363</v>
      </c>
      <c r="T2106" s="115" t="e">
        <f ca="1"/>
        <v>#VALUE!</v>
      </c>
      <c r="V2106" s="219">
        <f t="shared" ca="1" si="135"/>
        <v>58363</v>
      </c>
      <c r="W2106" s="115" t="e">
        <f ca="1"/>
        <v>#VALUE!</v>
      </c>
    </row>
    <row r="2107" spans="13:23">
      <c r="M2107" s="219">
        <f t="shared" ca="1" si="132"/>
        <v>58370</v>
      </c>
      <c r="N2107" s="115" t="e">
        <f ca="1"/>
        <v>#VALUE!</v>
      </c>
      <c r="P2107" s="219">
        <f t="shared" ca="1" si="133"/>
        <v>58370</v>
      </c>
      <c r="Q2107" s="115" t="e">
        <f ca="1"/>
        <v>#VALUE!</v>
      </c>
      <c r="S2107" s="219">
        <f t="shared" ca="1" si="134"/>
        <v>58370</v>
      </c>
      <c r="T2107" s="115" t="e">
        <f ca="1"/>
        <v>#VALUE!</v>
      </c>
      <c r="V2107" s="219">
        <f t="shared" ca="1" si="135"/>
        <v>58370</v>
      </c>
      <c r="W2107" s="115" t="e">
        <f ca="1"/>
        <v>#VALUE!</v>
      </c>
    </row>
    <row r="2108" spans="13:23">
      <c r="M2108" s="219">
        <f t="shared" ca="1" si="132"/>
        <v>58377</v>
      </c>
      <c r="N2108" s="115" t="e">
        <f ca="1"/>
        <v>#VALUE!</v>
      </c>
      <c r="P2108" s="219">
        <f t="shared" ca="1" si="133"/>
        <v>58377</v>
      </c>
      <c r="Q2108" s="115" t="e">
        <f ca="1"/>
        <v>#VALUE!</v>
      </c>
      <c r="S2108" s="219">
        <f t="shared" ca="1" si="134"/>
        <v>58377</v>
      </c>
      <c r="T2108" s="115" t="e">
        <f ca="1"/>
        <v>#VALUE!</v>
      </c>
      <c r="V2108" s="219">
        <f t="shared" ca="1" si="135"/>
        <v>58377</v>
      </c>
      <c r="W2108" s="115" t="e">
        <f ca="1"/>
        <v>#VALUE!</v>
      </c>
    </row>
    <row r="2109" spans="13:23">
      <c r="M2109" s="219">
        <f t="shared" ca="1" si="132"/>
        <v>58384</v>
      </c>
      <c r="N2109" s="115" t="e">
        <f ca="1"/>
        <v>#VALUE!</v>
      </c>
      <c r="P2109" s="219">
        <f t="shared" ca="1" si="133"/>
        <v>58384</v>
      </c>
      <c r="Q2109" s="115" t="e">
        <f ca="1"/>
        <v>#VALUE!</v>
      </c>
      <c r="S2109" s="219">
        <f t="shared" ca="1" si="134"/>
        <v>58384</v>
      </c>
      <c r="T2109" s="115" t="e">
        <f ca="1"/>
        <v>#VALUE!</v>
      </c>
      <c r="V2109" s="219">
        <f t="shared" ca="1" si="135"/>
        <v>58384</v>
      </c>
      <c r="W2109" s="115" t="e">
        <f ca="1"/>
        <v>#VALUE!</v>
      </c>
    </row>
    <row r="2110" spans="13:23">
      <c r="M2110" s="219">
        <f t="shared" ca="1" si="132"/>
        <v>58391</v>
      </c>
      <c r="N2110" s="115" t="e">
        <f ca="1"/>
        <v>#VALUE!</v>
      </c>
      <c r="P2110" s="219">
        <f t="shared" ca="1" si="133"/>
        <v>58391</v>
      </c>
      <c r="Q2110" s="115" t="e">
        <f ca="1"/>
        <v>#VALUE!</v>
      </c>
      <c r="S2110" s="219">
        <f t="shared" ca="1" si="134"/>
        <v>58391</v>
      </c>
      <c r="T2110" s="115" t="e">
        <f ca="1"/>
        <v>#VALUE!</v>
      </c>
      <c r="V2110" s="219">
        <f t="shared" ca="1" si="135"/>
        <v>58391</v>
      </c>
      <c r="W2110" s="115" t="e">
        <f ca="1"/>
        <v>#VALUE!</v>
      </c>
    </row>
    <row r="2111" spans="13:23">
      <c r="M2111" s="219">
        <f t="shared" ca="1" si="132"/>
        <v>58398</v>
      </c>
      <c r="N2111" s="115" t="e">
        <f ca="1"/>
        <v>#VALUE!</v>
      </c>
      <c r="P2111" s="219">
        <f t="shared" ca="1" si="133"/>
        <v>58398</v>
      </c>
      <c r="Q2111" s="115" t="e">
        <f ca="1"/>
        <v>#VALUE!</v>
      </c>
      <c r="S2111" s="219">
        <f t="shared" ca="1" si="134"/>
        <v>58398</v>
      </c>
      <c r="T2111" s="115" t="e">
        <f ca="1"/>
        <v>#VALUE!</v>
      </c>
      <c r="V2111" s="219">
        <f t="shared" ca="1" si="135"/>
        <v>58398</v>
      </c>
      <c r="W2111" s="115" t="e">
        <f ca="1"/>
        <v>#VALUE!</v>
      </c>
    </row>
    <row r="2112" spans="13:23">
      <c r="M2112" s="219">
        <f t="shared" ca="1" si="132"/>
        <v>58405</v>
      </c>
      <c r="N2112" s="115" t="e">
        <f ca="1"/>
        <v>#VALUE!</v>
      </c>
      <c r="P2112" s="219">
        <f t="shared" ca="1" si="133"/>
        <v>58405</v>
      </c>
      <c r="Q2112" s="115" t="e">
        <f ca="1"/>
        <v>#VALUE!</v>
      </c>
      <c r="S2112" s="219">
        <f t="shared" ca="1" si="134"/>
        <v>58405</v>
      </c>
      <c r="T2112" s="115" t="e">
        <f ca="1"/>
        <v>#VALUE!</v>
      </c>
      <c r="V2112" s="219">
        <f t="shared" ca="1" si="135"/>
        <v>58405</v>
      </c>
      <c r="W2112" s="115" t="e">
        <f ca="1"/>
        <v>#VALUE!</v>
      </c>
    </row>
    <row r="2113" spans="13:23">
      <c r="M2113" s="219">
        <f t="shared" ca="1" si="132"/>
        <v>58412</v>
      </c>
      <c r="N2113" s="115" t="e">
        <f ca="1"/>
        <v>#VALUE!</v>
      </c>
      <c r="P2113" s="219">
        <f t="shared" ca="1" si="133"/>
        <v>58412</v>
      </c>
      <c r="Q2113" s="115" t="e">
        <f ca="1"/>
        <v>#VALUE!</v>
      </c>
      <c r="S2113" s="219">
        <f t="shared" ca="1" si="134"/>
        <v>58412</v>
      </c>
      <c r="T2113" s="115" t="e">
        <f ca="1"/>
        <v>#VALUE!</v>
      </c>
      <c r="V2113" s="219">
        <f t="shared" ca="1" si="135"/>
        <v>58412</v>
      </c>
      <c r="W2113" s="115" t="e">
        <f ca="1"/>
        <v>#VALUE!</v>
      </c>
    </row>
    <row r="2114" spans="13:23">
      <c r="M2114" s="219">
        <f t="shared" ca="1" si="132"/>
        <v>58419</v>
      </c>
      <c r="N2114" s="115" t="e">
        <f ca="1"/>
        <v>#VALUE!</v>
      </c>
      <c r="P2114" s="219">
        <f t="shared" ca="1" si="133"/>
        <v>58419</v>
      </c>
      <c r="Q2114" s="115" t="e">
        <f ca="1"/>
        <v>#VALUE!</v>
      </c>
      <c r="S2114" s="219">
        <f t="shared" ca="1" si="134"/>
        <v>58419</v>
      </c>
      <c r="T2114" s="115" t="e">
        <f ca="1"/>
        <v>#VALUE!</v>
      </c>
      <c r="V2114" s="219">
        <f t="shared" ca="1" si="135"/>
        <v>58419</v>
      </c>
      <c r="W2114" s="115" t="e">
        <f ca="1"/>
        <v>#VALUE!</v>
      </c>
    </row>
    <row r="2115" spans="13:23">
      <c r="M2115" s="219">
        <f t="shared" ca="1" si="132"/>
        <v>58426</v>
      </c>
      <c r="N2115" s="115" t="e">
        <f ca="1"/>
        <v>#VALUE!</v>
      </c>
      <c r="P2115" s="219">
        <f t="shared" ca="1" si="133"/>
        <v>58426</v>
      </c>
      <c r="Q2115" s="115" t="e">
        <f ca="1"/>
        <v>#VALUE!</v>
      </c>
      <c r="S2115" s="219">
        <f t="shared" ca="1" si="134"/>
        <v>58426</v>
      </c>
      <c r="T2115" s="115" t="e">
        <f ca="1"/>
        <v>#VALUE!</v>
      </c>
      <c r="V2115" s="219">
        <f t="shared" ca="1" si="135"/>
        <v>58426</v>
      </c>
      <c r="W2115" s="115" t="e">
        <f ca="1"/>
        <v>#VALUE!</v>
      </c>
    </row>
    <row r="2116" spans="13:23">
      <c r="M2116" s="219">
        <f t="shared" ca="1" si="132"/>
        <v>58433</v>
      </c>
      <c r="N2116" s="115" t="e">
        <f ca="1"/>
        <v>#VALUE!</v>
      </c>
      <c r="P2116" s="219">
        <f t="shared" ca="1" si="133"/>
        <v>58433</v>
      </c>
      <c r="Q2116" s="115" t="e">
        <f ca="1"/>
        <v>#VALUE!</v>
      </c>
      <c r="S2116" s="219">
        <f t="shared" ca="1" si="134"/>
        <v>58433</v>
      </c>
      <c r="T2116" s="115" t="e">
        <f ca="1"/>
        <v>#VALUE!</v>
      </c>
      <c r="V2116" s="219">
        <f t="shared" ca="1" si="135"/>
        <v>58433</v>
      </c>
      <c r="W2116" s="115" t="e">
        <f ca="1"/>
        <v>#VALUE!</v>
      </c>
    </row>
    <row r="2117" spans="13:23">
      <c r="M2117" s="219">
        <f t="shared" ca="1" si="132"/>
        <v>58440</v>
      </c>
      <c r="N2117" s="115" t="e">
        <f ca="1"/>
        <v>#VALUE!</v>
      </c>
      <c r="P2117" s="219">
        <f t="shared" ca="1" si="133"/>
        <v>58440</v>
      </c>
      <c r="Q2117" s="115" t="e">
        <f ca="1"/>
        <v>#VALUE!</v>
      </c>
      <c r="S2117" s="219">
        <f t="shared" ca="1" si="134"/>
        <v>58440</v>
      </c>
      <c r="T2117" s="115" t="e">
        <f ca="1"/>
        <v>#VALUE!</v>
      </c>
      <c r="V2117" s="219">
        <f t="shared" ca="1" si="135"/>
        <v>58440</v>
      </c>
      <c r="W2117" s="115" t="e">
        <f ca="1"/>
        <v>#VALUE!</v>
      </c>
    </row>
    <row r="2118" spans="13:23">
      <c r="M2118" s="219">
        <f t="shared" ca="1" si="132"/>
        <v>58447</v>
      </c>
      <c r="N2118" s="115" t="e">
        <f ca="1"/>
        <v>#VALUE!</v>
      </c>
      <c r="P2118" s="219">
        <f t="shared" ca="1" si="133"/>
        <v>58447</v>
      </c>
      <c r="Q2118" s="115" t="e">
        <f ca="1"/>
        <v>#VALUE!</v>
      </c>
      <c r="S2118" s="219">
        <f t="shared" ca="1" si="134"/>
        <v>58447</v>
      </c>
      <c r="T2118" s="115" t="e">
        <f ca="1"/>
        <v>#VALUE!</v>
      </c>
      <c r="V2118" s="219">
        <f t="shared" ca="1" si="135"/>
        <v>58447</v>
      </c>
      <c r="W2118" s="115" t="e">
        <f ca="1"/>
        <v>#VALUE!</v>
      </c>
    </row>
    <row r="2119" spans="13:23">
      <c r="M2119" s="219">
        <f t="shared" ca="1" si="132"/>
        <v>58454</v>
      </c>
      <c r="N2119" s="115" t="e">
        <f ca="1"/>
        <v>#VALUE!</v>
      </c>
      <c r="P2119" s="219">
        <f t="shared" ca="1" si="133"/>
        <v>58454</v>
      </c>
      <c r="Q2119" s="115" t="e">
        <f ca="1"/>
        <v>#VALUE!</v>
      </c>
      <c r="S2119" s="219">
        <f t="shared" ca="1" si="134"/>
        <v>58454</v>
      </c>
      <c r="T2119" s="115" t="e">
        <f ca="1"/>
        <v>#VALUE!</v>
      </c>
      <c r="V2119" s="219">
        <f t="shared" ca="1" si="135"/>
        <v>58454</v>
      </c>
      <c r="W2119" s="115" t="e">
        <f ca="1"/>
        <v>#VALUE!</v>
      </c>
    </row>
    <row r="2120" spans="13:23">
      <c r="M2120" s="219">
        <f t="shared" ca="1" si="132"/>
        <v>58461</v>
      </c>
      <c r="N2120" s="115" t="e">
        <f ca="1"/>
        <v>#VALUE!</v>
      </c>
      <c r="P2120" s="219">
        <f t="shared" ca="1" si="133"/>
        <v>58461</v>
      </c>
      <c r="Q2120" s="115" t="e">
        <f ca="1"/>
        <v>#VALUE!</v>
      </c>
      <c r="S2120" s="219">
        <f t="shared" ca="1" si="134"/>
        <v>58461</v>
      </c>
      <c r="T2120" s="115" t="e">
        <f ca="1"/>
        <v>#VALUE!</v>
      </c>
      <c r="V2120" s="219">
        <f t="shared" ca="1" si="135"/>
        <v>58461</v>
      </c>
      <c r="W2120" s="115" t="e">
        <f ca="1"/>
        <v>#VALUE!</v>
      </c>
    </row>
    <row r="2121" spans="13:23">
      <c r="M2121" s="219">
        <f t="shared" ca="1" si="132"/>
        <v>58468</v>
      </c>
      <c r="N2121" s="115" t="e">
        <f ca="1"/>
        <v>#VALUE!</v>
      </c>
      <c r="P2121" s="219">
        <f t="shared" ca="1" si="133"/>
        <v>58468</v>
      </c>
      <c r="Q2121" s="115" t="e">
        <f ca="1"/>
        <v>#VALUE!</v>
      </c>
      <c r="S2121" s="219">
        <f t="shared" ca="1" si="134"/>
        <v>58468</v>
      </c>
      <c r="T2121" s="115" t="e">
        <f ca="1"/>
        <v>#VALUE!</v>
      </c>
      <c r="V2121" s="219">
        <f t="shared" ca="1" si="135"/>
        <v>58468</v>
      </c>
      <c r="W2121" s="115" t="e">
        <f ca="1"/>
        <v>#VALUE!</v>
      </c>
    </row>
    <row r="2122" spans="13:23">
      <c r="M2122" s="219">
        <f t="shared" ca="1" si="132"/>
        <v>58475</v>
      </c>
      <c r="N2122" s="115" t="e">
        <f ca="1"/>
        <v>#VALUE!</v>
      </c>
      <c r="P2122" s="219">
        <f t="shared" ca="1" si="133"/>
        <v>58475</v>
      </c>
      <c r="Q2122" s="115" t="e">
        <f ca="1"/>
        <v>#VALUE!</v>
      </c>
      <c r="S2122" s="219">
        <f t="shared" ca="1" si="134"/>
        <v>58475</v>
      </c>
      <c r="T2122" s="115" t="e">
        <f ca="1"/>
        <v>#VALUE!</v>
      </c>
      <c r="V2122" s="219">
        <f t="shared" ca="1" si="135"/>
        <v>58475</v>
      </c>
      <c r="W2122" s="115" t="e">
        <f ca="1"/>
        <v>#VALUE!</v>
      </c>
    </row>
    <row r="2123" spans="13:23">
      <c r="M2123" s="219">
        <f t="shared" ca="1" si="132"/>
        <v>58482</v>
      </c>
      <c r="N2123" s="115" t="e">
        <f ca="1"/>
        <v>#VALUE!</v>
      </c>
      <c r="P2123" s="219">
        <f t="shared" ca="1" si="133"/>
        <v>58482</v>
      </c>
      <c r="Q2123" s="115" t="e">
        <f ca="1"/>
        <v>#VALUE!</v>
      </c>
      <c r="S2123" s="219">
        <f t="shared" ca="1" si="134"/>
        <v>58482</v>
      </c>
      <c r="T2123" s="115" t="e">
        <f ca="1"/>
        <v>#VALUE!</v>
      </c>
      <c r="V2123" s="219">
        <f t="shared" ca="1" si="135"/>
        <v>58482</v>
      </c>
      <c r="W2123" s="115" t="e">
        <f ca="1"/>
        <v>#VALUE!</v>
      </c>
    </row>
    <row r="2124" spans="13:23">
      <c r="M2124" s="219">
        <f t="shared" ca="1" si="132"/>
        <v>58489</v>
      </c>
      <c r="N2124" s="115" t="e">
        <f ca="1"/>
        <v>#VALUE!</v>
      </c>
      <c r="P2124" s="219">
        <f t="shared" ca="1" si="133"/>
        <v>58489</v>
      </c>
      <c r="Q2124" s="115" t="e">
        <f ca="1"/>
        <v>#VALUE!</v>
      </c>
      <c r="S2124" s="219">
        <f t="shared" ca="1" si="134"/>
        <v>58489</v>
      </c>
      <c r="T2124" s="115" t="e">
        <f ca="1"/>
        <v>#VALUE!</v>
      </c>
      <c r="V2124" s="219">
        <f t="shared" ca="1" si="135"/>
        <v>58489</v>
      </c>
      <c r="W2124" s="115" t="e">
        <f ca="1"/>
        <v>#VALUE!</v>
      </c>
    </row>
    <row r="2125" spans="13:23">
      <c r="M2125" s="219">
        <f t="shared" ref="M2125:M2188" ca="1" si="136">M2124+7</f>
        <v>58496</v>
      </c>
      <c r="N2125" s="115" t="e">
        <f ca="1"/>
        <v>#VALUE!</v>
      </c>
      <c r="P2125" s="219">
        <f t="shared" ca="1" si="133"/>
        <v>58496</v>
      </c>
      <c r="Q2125" s="115" t="e">
        <f ca="1"/>
        <v>#VALUE!</v>
      </c>
      <c r="S2125" s="219">
        <f t="shared" ca="1" si="134"/>
        <v>58496</v>
      </c>
      <c r="T2125" s="115" t="e">
        <f ca="1"/>
        <v>#VALUE!</v>
      </c>
      <c r="V2125" s="219">
        <f t="shared" ca="1" si="135"/>
        <v>58496</v>
      </c>
      <c r="W2125" s="115" t="e">
        <f ca="1"/>
        <v>#VALUE!</v>
      </c>
    </row>
    <row r="2126" spans="13:23">
      <c r="M2126" s="219">
        <f t="shared" ca="1" si="136"/>
        <v>58503</v>
      </c>
      <c r="N2126" s="115" t="e">
        <f ca="1"/>
        <v>#VALUE!</v>
      </c>
      <c r="P2126" s="219">
        <f t="shared" ca="1" si="133"/>
        <v>58503</v>
      </c>
      <c r="Q2126" s="115" t="e">
        <f ca="1"/>
        <v>#VALUE!</v>
      </c>
      <c r="S2126" s="219">
        <f t="shared" ca="1" si="134"/>
        <v>58503</v>
      </c>
      <c r="T2126" s="115" t="e">
        <f ca="1"/>
        <v>#VALUE!</v>
      </c>
      <c r="V2126" s="219">
        <f t="shared" ca="1" si="135"/>
        <v>58503</v>
      </c>
      <c r="W2126" s="115" t="e">
        <f ca="1"/>
        <v>#VALUE!</v>
      </c>
    </row>
    <row r="2127" spans="13:23">
      <c r="M2127" s="219">
        <f t="shared" ca="1" si="136"/>
        <v>58510</v>
      </c>
      <c r="N2127" s="115" t="e">
        <f ca="1"/>
        <v>#VALUE!</v>
      </c>
      <c r="P2127" s="219">
        <f t="shared" ca="1" si="133"/>
        <v>58510</v>
      </c>
      <c r="Q2127" s="115" t="e">
        <f ca="1"/>
        <v>#VALUE!</v>
      </c>
      <c r="S2127" s="219">
        <f t="shared" ca="1" si="134"/>
        <v>58510</v>
      </c>
      <c r="T2127" s="115" t="e">
        <f ca="1"/>
        <v>#VALUE!</v>
      </c>
      <c r="V2127" s="219">
        <f t="shared" ca="1" si="135"/>
        <v>58510</v>
      </c>
      <c r="W2127" s="115" t="e">
        <f ca="1"/>
        <v>#VALUE!</v>
      </c>
    </row>
    <row r="2128" spans="13:23">
      <c r="M2128" s="219">
        <f t="shared" ca="1" si="136"/>
        <v>58517</v>
      </c>
      <c r="N2128" s="115" t="e">
        <f ca="1"/>
        <v>#VALUE!</v>
      </c>
      <c r="P2128" s="219">
        <f t="shared" ca="1" si="133"/>
        <v>58517</v>
      </c>
      <c r="Q2128" s="115" t="e">
        <f ca="1"/>
        <v>#VALUE!</v>
      </c>
      <c r="S2128" s="219">
        <f t="shared" ca="1" si="134"/>
        <v>58517</v>
      </c>
      <c r="T2128" s="115" t="e">
        <f ca="1"/>
        <v>#VALUE!</v>
      </c>
      <c r="V2128" s="219">
        <f t="shared" ca="1" si="135"/>
        <v>58517</v>
      </c>
      <c r="W2128" s="115" t="e">
        <f ca="1"/>
        <v>#VALUE!</v>
      </c>
    </row>
    <row r="2129" spans="13:23">
      <c r="M2129" s="219">
        <f t="shared" ca="1" si="136"/>
        <v>58524</v>
      </c>
      <c r="N2129" s="115" t="e">
        <f ca="1"/>
        <v>#VALUE!</v>
      </c>
      <c r="P2129" s="219">
        <f t="shared" ca="1" si="133"/>
        <v>58524</v>
      </c>
      <c r="Q2129" s="115" t="e">
        <f ca="1"/>
        <v>#VALUE!</v>
      </c>
      <c r="S2129" s="219">
        <f t="shared" ca="1" si="134"/>
        <v>58524</v>
      </c>
      <c r="T2129" s="115" t="e">
        <f ca="1"/>
        <v>#VALUE!</v>
      </c>
      <c r="V2129" s="219">
        <f t="shared" ca="1" si="135"/>
        <v>58524</v>
      </c>
      <c r="W2129" s="115" t="e">
        <f ca="1"/>
        <v>#VALUE!</v>
      </c>
    </row>
    <row r="2130" spans="13:23">
      <c r="M2130" s="219">
        <f t="shared" ca="1" si="136"/>
        <v>58531</v>
      </c>
      <c r="N2130" s="115" t="e">
        <f ca="1"/>
        <v>#VALUE!</v>
      </c>
      <c r="P2130" s="219">
        <f t="shared" ca="1" si="133"/>
        <v>58531</v>
      </c>
      <c r="Q2130" s="115" t="e">
        <f ca="1"/>
        <v>#VALUE!</v>
      </c>
      <c r="S2130" s="219">
        <f t="shared" ca="1" si="134"/>
        <v>58531</v>
      </c>
      <c r="T2130" s="115" t="e">
        <f ca="1"/>
        <v>#VALUE!</v>
      </c>
      <c r="V2130" s="219">
        <f t="shared" ca="1" si="135"/>
        <v>58531</v>
      </c>
      <c r="W2130" s="115" t="e">
        <f ca="1"/>
        <v>#VALUE!</v>
      </c>
    </row>
    <row r="2131" spans="13:23">
      <c r="M2131" s="219">
        <f t="shared" ca="1" si="136"/>
        <v>58538</v>
      </c>
      <c r="N2131" s="115" t="e">
        <f ca="1"/>
        <v>#VALUE!</v>
      </c>
      <c r="P2131" s="219">
        <f t="shared" ca="1" si="133"/>
        <v>58538</v>
      </c>
      <c r="Q2131" s="115" t="e">
        <f ca="1"/>
        <v>#VALUE!</v>
      </c>
      <c r="S2131" s="219">
        <f t="shared" ca="1" si="134"/>
        <v>58538</v>
      </c>
      <c r="T2131" s="115" t="e">
        <f ca="1"/>
        <v>#VALUE!</v>
      </c>
      <c r="V2131" s="219">
        <f t="shared" ca="1" si="135"/>
        <v>58538</v>
      </c>
      <c r="W2131" s="115" t="e">
        <f ca="1"/>
        <v>#VALUE!</v>
      </c>
    </row>
    <row r="2132" spans="13:23">
      <c r="M2132" s="219">
        <f t="shared" ca="1" si="136"/>
        <v>58545</v>
      </c>
      <c r="N2132" s="115" t="e">
        <f ca="1"/>
        <v>#VALUE!</v>
      </c>
      <c r="P2132" s="219">
        <f t="shared" ca="1" si="133"/>
        <v>58545</v>
      </c>
      <c r="Q2132" s="115" t="e">
        <f ca="1"/>
        <v>#VALUE!</v>
      </c>
      <c r="S2132" s="219">
        <f t="shared" ca="1" si="134"/>
        <v>58545</v>
      </c>
      <c r="T2132" s="115" t="e">
        <f ca="1"/>
        <v>#VALUE!</v>
      </c>
      <c r="V2132" s="219">
        <f t="shared" ca="1" si="135"/>
        <v>58545</v>
      </c>
      <c r="W2132" s="115" t="e">
        <f ca="1"/>
        <v>#VALUE!</v>
      </c>
    </row>
    <row r="2133" spans="13:23">
      <c r="M2133" s="219">
        <f t="shared" ca="1" si="136"/>
        <v>58552</v>
      </c>
      <c r="N2133" s="115" t="e">
        <f ca="1"/>
        <v>#VALUE!</v>
      </c>
      <c r="P2133" s="219">
        <f t="shared" ca="1" si="133"/>
        <v>58552</v>
      </c>
      <c r="Q2133" s="115" t="e">
        <f ca="1"/>
        <v>#VALUE!</v>
      </c>
      <c r="S2133" s="219">
        <f t="shared" ca="1" si="134"/>
        <v>58552</v>
      </c>
      <c r="T2133" s="115" t="e">
        <f ca="1"/>
        <v>#VALUE!</v>
      </c>
      <c r="V2133" s="219">
        <f t="shared" ca="1" si="135"/>
        <v>58552</v>
      </c>
      <c r="W2133" s="115" t="e">
        <f ca="1"/>
        <v>#VALUE!</v>
      </c>
    </row>
    <row r="2134" spans="13:23">
      <c r="M2134" s="219">
        <f t="shared" ca="1" si="136"/>
        <v>58559</v>
      </c>
      <c r="N2134" s="115" t="e">
        <f ca="1"/>
        <v>#VALUE!</v>
      </c>
      <c r="P2134" s="219">
        <f t="shared" ca="1" si="133"/>
        <v>58559</v>
      </c>
      <c r="Q2134" s="115" t="e">
        <f ca="1"/>
        <v>#VALUE!</v>
      </c>
      <c r="S2134" s="219">
        <f t="shared" ca="1" si="134"/>
        <v>58559</v>
      </c>
      <c r="T2134" s="115" t="e">
        <f ca="1"/>
        <v>#VALUE!</v>
      </c>
      <c r="V2134" s="219">
        <f t="shared" ca="1" si="135"/>
        <v>58559</v>
      </c>
      <c r="W2134" s="115" t="e">
        <f ca="1"/>
        <v>#VALUE!</v>
      </c>
    </row>
    <row r="2135" spans="13:23">
      <c r="M2135" s="219">
        <f t="shared" ca="1" si="136"/>
        <v>58566</v>
      </c>
      <c r="N2135" s="115" t="e">
        <f ca="1"/>
        <v>#VALUE!</v>
      </c>
      <c r="P2135" s="219">
        <f t="shared" ca="1" si="133"/>
        <v>58566</v>
      </c>
      <c r="Q2135" s="115" t="e">
        <f ca="1"/>
        <v>#VALUE!</v>
      </c>
      <c r="S2135" s="219">
        <f t="shared" ca="1" si="134"/>
        <v>58566</v>
      </c>
      <c r="T2135" s="115" t="e">
        <f ca="1"/>
        <v>#VALUE!</v>
      </c>
      <c r="V2135" s="219">
        <f t="shared" ca="1" si="135"/>
        <v>58566</v>
      </c>
      <c r="W2135" s="115" t="e">
        <f ca="1"/>
        <v>#VALUE!</v>
      </c>
    </row>
    <row r="2136" spans="13:23">
      <c r="M2136" s="219">
        <f t="shared" ca="1" si="136"/>
        <v>58573</v>
      </c>
      <c r="N2136" s="115" t="e">
        <f ca="1"/>
        <v>#VALUE!</v>
      </c>
      <c r="P2136" s="219">
        <f t="shared" ca="1" si="133"/>
        <v>58573</v>
      </c>
      <c r="Q2136" s="115" t="e">
        <f ca="1"/>
        <v>#VALUE!</v>
      </c>
      <c r="S2136" s="219">
        <f t="shared" ca="1" si="134"/>
        <v>58573</v>
      </c>
      <c r="T2136" s="115" t="e">
        <f ca="1"/>
        <v>#VALUE!</v>
      </c>
      <c r="V2136" s="219">
        <f t="shared" ca="1" si="135"/>
        <v>58573</v>
      </c>
      <c r="W2136" s="115" t="e">
        <f ca="1"/>
        <v>#VALUE!</v>
      </c>
    </row>
    <row r="2137" spans="13:23">
      <c r="M2137" s="219">
        <f t="shared" ca="1" si="136"/>
        <v>58580</v>
      </c>
      <c r="N2137" s="115" t="e">
        <f ca="1"/>
        <v>#VALUE!</v>
      </c>
      <c r="P2137" s="219">
        <f t="shared" ca="1" si="133"/>
        <v>58580</v>
      </c>
      <c r="Q2137" s="115" t="e">
        <f ca="1"/>
        <v>#VALUE!</v>
      </c>
      <c r="S2137" s="219">
        <f t="shared" ca="1" si="134"/>
        <v>58580</v>
      </c>
      <c r="T2137" s="115" t="e">
        <f ca="1"/>
        <v>#VALUE!</v>
      </c>
      <c r="V2137" s="219">
        <f t="shared" ca="1" si="135"/>
        <v>58580</v>
      </c>
      <c r="W2137" s="115" t="e">
        <f ca="1"/>
        <v>#VALUE!</v>
      </c>
    </row>
    <row r="2138" spans="13:23">
      <c r="M2138" s="219">
        <f t="shared" ca="1" si="136"/>
        <v>58587</v>
      </c>
      <c r="N2138" s="115" t="e">
        <f ca="1"/>
        <v>#VALUE!</v>
      </c>
      <c r="P2138" s="219">
        <f t="shared" ca="1" si="133"/>
        <v>58587</v>
      </c>
      <c r="Q2138" s="115" t="e">
        <f ca="1"/>
        <v>#VALUE!</v>
      </c>
      <c r="S2138" s="219">
        <f t="shared" ca="1" si="134"/>
        <v>58587</v>
      </c>
      <c r="T2138" s="115" t="e">
        <f ca="1"/>
        <v>#VALUE!</v>
      </c>
      <c r="V2138" s="219">
        <f t="shared" ca="1" si="135"/>
        <v>58587</v>
      </c>
      <c r="W2138" s="115" t="e">
        <f ca="1"/>
        <v>#VALUE!</v>
      </c>
    </row>
    <row r="2139" spans="13:23">
      <c r="M2139" s="219">
        <f t="shared" ca="1" si="136"/>
        <v>58594</v>
      </c>
      <c r="N2139" s="115" t="e">
        <f ca="1"/>
        <v>#VALUE!</v>
      </c>
      <c r="P2139" s="219">
        <f t="shared" ca="1" si="133"/>
        <v>58594</v>
      </c>
      <c r="Q2139" s="115" t="e">
        <f ca="1"/>
        <v>#VALUE!</v>
      </c>
      <c r="S2139" s="219">
        <f t="shared" ca="1" si="134"/>
        <v>58594</v>
      </c>
      <c r="T2139" s="115" t="e">
        <f ca="1"/>
        <v>#VALUE!</v>
      </c>
      <c r="V2139" s="219">
        <f t="shared" ca="1" si="135"/>
        <v>58594</v>
      </c>
      <c r="W2139" s="115" t="e">
        <f ca="1"/>
        <v>#VALUE!</v>
      </c>
    </row>
    <row r="2140" spans="13:23">
      <c r="M2140" s="219">
        <f t="shared" ca="1" si="136"/>
        <v>58601</v>
      </c>
      <c r="N2140" s="115" t="e">
        <f ca="1"/>
        <v>#VALUE!</v>
      </c>
      <c r="P2140" s="219">
        <f t="shared" ca="1" si="133"/>
        <v>58601</v>
      </c>
      <c r="Q2140" s="115" t="e">
        <f ca="1"/>
        <v>#VALUE!</v>
      </c>
      <c r="S2140" s="219">
        <f t="shared" ca="1" si="134"/>
        <v>58601</v>
      </c>
      <c r="T2140" s="115" t="e">
        <f ca="1"/>
        <v>#VALUE!</v>
      </c>
      <c r="V2140" s="219">
        <f t="shared" ca="1" si="135"/>
        <v>58601</v>
      </c>
      <c r="W2140" s="115" t="e">
        <f ca="1"/>
        <v>#VALUE!</v>
      </c>
    </row>
    <row r="2141" spans="13:23">
      <c r="M2141" s="219">
        <f t="shared" ca="1" si="136"/>
        <v>58608</v>
      </c>
      <c r="N2141" s="115" t="e">
        <f ca="1"/>
        <v>#VALUE!</v>
      </c>
      <c r="P2141" s="219">
        <f t="shared" ref="P2141:P2204" ca="1" si="137">P2140+7</f>
        <v>58608</v>
      </c>
      <c r="Q2141" s="115" t="e">
        <f ca="1"/>
        <v>#VALUE!</v>
      </c>
      <c r="S2141" s="219">
        <f t="shared" ref="S2141:S2204" ca="1" si="138">S2140+7</f>
        <v>58608</v>
      </c>
      <c r="T2141" s="115" t="e">
        <f ca="1"/>
        <v>#VALUE!</v>
      </c>
      <c r="V2141" s="219">
        <f t="shared" ref="V2141:V2204" ca="1" si="139">V2140+7</f>
        <v>58608</v>
      </c>
      <c r="W2141" s="115" t="e">
        <f ca="1"/>
        <v>#VALUE!</v>
      </c>
    </row>
    <row r="2142" spans="13:23">
      <c r="M2142" s="219">
        <f t="shared" ca="1" si="136"/>
        <v>58615</v>
      </c>
      <c r="N2142" s="115" t="e">
        <f ca="1"/>
        <v>#VALUE!</v>
      </c>
      <c r="P2142" s="219">
        <f t="shared" ca="1" si="137"/>
        <v>58615</v>
      </c>
      <c r="Q2142" s="115" t="e">
        <f ca="1"/>
        <v>#VALUE!</v>
      </c>
      <c r="S2142" s="219">
        <f t="shared" ca="1" si="138"/>
        <v>58615</v>
      </c>
      <c r="T2142" s="115" t="e">
        <f ca="1"/>
        <v>#VALUE!</v>
      </c>
      <c r="V2142" s="219">
        <f t="shared" ca="1" si="139"/>
        <v>58615</v>
      </c>
      <c r="W2142" s="115" t="e">
        <f ca="1"/>
        <v>#VALUE!</v>
      </c>
    </row>
    <row r="2143" spans="13:23">
      <c r="M2143" s="219">
        <f t="shared" ca="1" si="136"/>
        <v>58622</v>
      </c>
      <c r="N2143" s="115" t="e">
        <f ca="1"/>
        <v>#VALUE!</v>
      </c>
      <c r="P2143" s="219">
        <f t="shared" ca="1" si="137"/>
        <v>58622</v>
      </c>
      <c r="Q2143" s="115" t="e">
        <f ca="1"/>
        <v>#VALUE!</v>
      </c>
      <c r="S2143" s="219">
        <f t="shared" ca="1" si="138"/>
        <v>58622</v>
      </c>
      <c r="T2143" s="115" t="e">
        <f ca="1"/>
        <v>#VALUE!</v>
      </c>
      <c r="V2143" s="219">
        <f t="shared" ca="1" si="139"/>
        <v>58622</v>
      </c>
      <c r="W2143" s="115" t="e">
        <f ca="1"/>
        <v>#VALUE!</v>
      </c>
    </row>
    <row r="2144" spans="13:23">
      <c r="M2144" s="219">
        <f t="shared" ca="1" si="136"/>
        <v>58629</v>
      </c>
      <c r="N2144" s="115" t="e">
        <f ca="1"/>
        <v>#VALUE!</v>
      </c>
      <c r="P2144" s="219">
        <f t="shared" ca="1" si="137"/>
        <v>58629</v>
      </c>
      <c r="Q2144" s="115" t="e">
        <f ca="1"/>
        <v>#VALUE!</v>
      </c>
      <c r="S2144" s="219">
        <f t="shared" ca="1" si="138"/>
        <v>58629</v>
      </c>
      <c r="T2144" s="115" t="e">
        <f ca="1"/>
        <v>#VALUE!</v>
      </c>
      <c r="V2144" s="219">
        <f t="shared" ca="1" si="139"/>
        <v>58629</v>
      </c>
      <c r="W2144" s="115" t="e">
        <f ca="1"/>
        <v>#VALUE!</v>
      </c>
    </row>
    <row r="2145" spans="13:23">
      <c r="M2145" s="219">
        <f t="shared" ca="1" si="136"/>
        <v>58636</v>
      </c>
      <c r="N2145" s="115" t="e">
        <f ca="1"/>
        <v>#VALUE!</v>
      </c>
      <c r="P2145" s="219">
        <f t="shared" ca="1" si="137"/>
        <v>58636</v>
      </c>
      <c r="Q2145" s="115" t="e">
        <f ca="1"/>
        <v>#VALUE!</v>
      </c>
      <c r="S2145" s="219">
        <f t="shared" ca="1" si="138"/>
        <v>58636</v>
      </c>
      <c r="T2145" s="115" t="e">
        <f ca="1"/>
        <v>#VALUE!</v>
      </c>
      <c r="V2145" s="219">
        <f t="shared" ca="1" si="139"/>
        <v>58636</v>
      </c>
      <c r="W2145" s="115" t="e">
        <f ca="1"/>
        <v>#VALUE!</v>
      </c>
    </row>
    <row r="2146" spans="13:23">
      <c r="M2146" s="219">
        <f t="shared" ca="1" si="136"/>
        <v>58643</v>
      </c>
      <c r="N2146" s="115" t="e">
        <f ca="1"/>
        <v>#VALUE!</v>
      </c>
      <c r="P2146" s="219">
        <f t="shared" ca="1" si="137"/>
        <v>58643</v>
      </c>
      <c r="Q2146" s="115" t="e">
        <f ca="1"/>
        <v>#VALUE!</v>
      </c>
      <c r="S2146" s="219">
        <f t="shared" ca="1" si="138"/>
        <v>58643</v>
      </c>
      <c r="T2146" s="115" t="e">
        <f ca="1"/>
        <v>#VALUE!</v>
      </c>
      <c r="V2146" s="219">
        <f t="shared" ca="1" si="139"/>
        <v>58643</v>
      </c>
      <c r="W2146" s="115" t="e">
        <f ca="1"/>
        <v>#VALUE!</v>
      </c>
    </row>
    <row r="2147" spans="13:23">
      <c r="M2147" s="219">
        <f t="shared" ca="1" si="136"/>
        <v>58650</v>
      </c>
      <c r="N2147" s="115" t="e">
        <f ca="1"/>
        <v>#VALUE!</v>
      </c>
      <c r="P2147" s="219">
        <f t="shared" ca="1" si="137"/>
        <v>58650</v>
      </c>
      <c r="Q2147" s="115" t="e">
        <f ca="1"/>
        <v>#VALUE!</v>
      </c>
      <c r="S2147" s="219">
        <f t="shared" ca="1" si="138"/>
        <v>58650</v>
      </c>
      <c r="T2147" s="115" t="e">
        <f ca="1"/>
        <v>#VALUE!</v>
      </c>
      <c r="V2147" s="219">
        <f t="shared" ca="1" si="139"/>
        <v>58650</v>
      </c>
      <c r="W2147" s="115" t="e">
        <f ca="1"/>
        <v>#VALUE!</v>
      </c>
    </row>
    <row r="2148" spans="13:23">
      <c r="M2148" s="219">
        <f t="shared" ca="1" si="136"/>
        <v>58657</v>
      </c>
      <c r="N2148" s="115" t="e">
        <f ca="1"/>
        <v>#VALUE!</v>
      </c>
      <c r="P2148" s="219">
        <f t="shared" ca="1" si="137"/>
        <v>58657</v>
      </c>
      <c r="Q2148" s="115" t="e">
        <f ca="1"/>
        <v>#VALUE!</v>
      </c>
      <c r="S2148" s="219">
        <f t="shared" ca="1" si="138"/>
        <v>58657</v>
      </c>
      <c r="T2148" s="115" t="e">
        <f ca="1"/>
        <v>#VALUE!</v>
      </c>
      <c r="V2148" s="219">
        <f t="shared" ca="1" si="139"/>
        <v>58657</v>
      </c>
      <c r="W2148" s="115" t="e">
        <f ca="1"/>
        <v>#VALUE!</v>
      </c>
    </row>
    <row r="2149" spans="13:23">
      <c r="M2149" s="219">
        <f t="shared" ca="1" si="136"/>
        <v>58664</v>
      </c>
      <c r="N2149" s="115" t="e">
        <f ca="1"/>
        <v>#VALUE!</v>
      </c>
      <c r="P2149" s="219">
        <f t="shared" ca="1" si="137"/>
        <v>58664</v>
      </c>
      <c r="Q2149" s="115" t="e">
        <f ca="1"/>
        <v>#VALUE!</v>
      </c>
      <c r="S2149" s="219">
        <f t="shared" ca="1" si="138"/>
        <v>58664</v>
      </c>
      <c r="T2149" s="115" t="e">
        <f ca="1"/>
        <v>#VALUE!</v>
      </c>
      <c r="V2149" s="219">
        <f t="shared" ca="1" si="139"/>
        <v>58664</v>
      </c>
      <c r="W2149" s="115" t="e">
        <f ca="1"/>
        <v>#VALUE!</v>
      </c>
    </row>
    <row r="2150" spans="13:23">
      <c r="M2150" s="219">
        <f t="shared" ca="1" si="136"/>
        <v>58671</v>
      </c>
      <c r="N2150" s="115" t="e">
        <f ca="1"/>
        <v>#VALUE!</v>
      </c>
      <c r="P2150" s="219">
        <f t="shared" ca="1" si="137"/>
        <v>58671</v>
      </c>
      <c r="Q2150" s="115" t="e">
        <f ca="1"/>
        <v>#VALUE!</v>
      </c>
      <c r="S2150" s="219">
        <f t="shared" ca="1" si="138"/>
        <v>58671</v>
      </c>
      <c r="T2150" s="115" t="e">
        <f ca="1"/>
        <v>#VALUE!</v>
      </c>
      <c r="V2150" s="219">
        <f t="shared" ca="1" si="139"/>
        <v>58671</v>
      </c>
      <c r="W2150" s="115" t="e">
        <f ca="1"/>
        <v>#VALUE!</v>
      </c>
    </row>
    <row r="2151" spans="13:23">
      <c r="M2151" s="219">
        <f t="shared" ca="1" si="136"/>
        <v>58678</v>
      </c>
      <c r="N2151" s="115" t="e">
        <f ca="1"/>
        <v>#VALUE!</v>
      </c>
      <c r="P2151" s="219">
        <f t="shared" ca="1" si="137"/>
        <v>58678</v>
      </c>
      <c r="Q2151" s="115" t="e">
        <f ca="1"/>
        <v>#VALUE!</v>
      </c>
      <c r="S2151" s="219">
        <f t="shared" ca="1" si="138"/>
        <v>58678</v>
      </c>
      <c r="T2151" s="115" t="e">
        <f ca="1"/>
        <v>#VALUE!</v>
      </c>
      <c r="V2151" s="219">
        <f t="shared" ca="1" si="139"/>
        <v>58678</v>
      </c>
      <c r="W2151" s="115" t="e">
        <f ca="1"/>
        <v>#VALUE!</v>
      </c>
    </row>
    <row r="2152" spans="13:23">
      <c r="M2152" s="219">
        <f t="shared" ca="1" si="136"/>
        <v>58685</v>
      </c>
      <c r="N2152" s="115" t="e">
        <f ca="1"/>
        <v>#VALUE!</v>
      </c>
      <c r="P2152" s="219">
        <f t="shared" ca="1" si="137"/>
        <v>58685</v>
      </c>
      <c r="Q2152" s="115" t="e">
        <f ca="1"/>
        <v>#VALUE!</v>
      </c>
      <c r="S2152" s="219">
        <f t="shared" ca="1" si="138"/>
        <v>58685</v>
      </c>
      <c r="T2152" s="115" t="e">
        <f ca="1"/>
        <v>#VALUE!</v>
      </c>
      <c r="V2152" s="219">
        <f t="shared" ca="1" si="139"/>
        <v>58685</v>
      </c>
      <c r="W2152" s="115" t="e">
        <f ca="1"/>
        <v>#VALUE!</v>
      </c>
    </row>
    <row r="2153" spans="13:23">
      <c r="M2153" s="219">
        <f t="shared" ca="1" si="136"/>
        <v>58692</v>
      </c>
      <c r="N2153" s="115" t="e">
        <f ca="1"/>
        <v>#VALUE!</v>
      </c>
      <c r="P2153" s="219">
        <f t="shared" ca="1" si="137"/>
        <v>58692</v>
      </c>
      <c r="Q2153" s="115" t="e">
        <f ca="1"/>
        <v>#VALUE!</v>
      </c>
      <c r="S2153" s="219">
        <f t="shared" ca="1" si="138"/>
        <v>58692</v>
      </c>
      <c r="T2153" s="115" t="e">
        <f ca="1"/>
        <v>#VALUE!</v>
      </c>
      <c r="V2153" s="219">
        <f t="shared" ca="1" si="139"/>
        <v>58692</v>
      </c>
      <c r="W2153" s="115" t="e">
        <f ca="1"/>
        <v>#VALUE!</v>
      </c>
    </row>
    <row r="2154" spans="13:23">
      <c r="M2154" s="219">
        <f t="shared" ca="1" si="136"/>
        <v>58699</v>
      </c>
      <c r="N2154" s="115" t="e">
        <f ca="1"/>
        <v>#VALUE!</v>
      </c>
      <c r="P2154" s="219">
        <f t="shared" ca="1" si="137"/>
        <v>58699</v>
      </c>
      <c r="Q2154" s="115" t="e">
        <f ca="1"/>
        <v>#VALUE!</v>
      </c>
      <c r="S2154" s="219">
        <f t="shared" ca="1" si="138"/>
        <v>58699</v>
      </c>
      <c r="T2154" s="115" t="e">
        <f ca="1"/>
        <v>#VALUE!</v>
      </c>
      <c r="V2154" s="219">
        <f t="shared" ca="1" si="139"/>
        <v>58699</v>
      </c>
      <c r="W2154" s="115" t="e">
        <f ca="1"/>
        <v>#VALUE!</v>
      </c>
    </row>
    <row r="2155" spans="13:23">
      <c r="M2155" s="219">
        <f t="shared" ca="1" si="136"/>
        <v>58706</v>
      </c>
      <c r="N2155" s="115" t="e">
        <f ca="1"/>
        <v>#VALUE!</v>
      </c>
      <c r="P2155" s="219">
        <f t="shared" ca="1" si="137"/>
        <v>58706</v>
      </c>
      <c r="Q2155" s="115" t="e">
        <f ca="1"/>
        <v>#VALUE!</v>
      </c>
      <c r="S2155" s="219">
        <f t="shared" ca="1" si="138"/>
        <v>58706</v>
      </c>
      <c r="T2155" s="115" t="e">
        <f ca="1"/>
        <v>#VALUE!</v>
      </c>
      <c r="V2155" s="219">
        <f t="shared" ca="1" si="139"/>
        <v>58706</v>
      </c>
      <c r="W2155" s="115" t="e">
        <f ca="1"/>
        <v>#VALUE!</v>
      </c>
    </row>
    <row r="2156" spans="13:23">
      <c r="M2156" s="219">
        <f t="shared" ca="1" si="136"/>
        <v>58713</v>
      </c>
      <c r="N2156" s="115" t="e">
        <f ca="1"/>
        <v>#VALUE!</v>
      </c>
      <c r="P2156" s="219">
        <f t="shared" ca="1" si="137"/>
        <v>58713</v>
      </c>
      <c r="Q2156" s="115" t="e">
        <f ca="1"/>
        <v>#VALUE!</v>
      </c>
      <c r="S2156" s="219">
        <f t="shared" ca="1" si="138"/>
        <v>58713</v>
      </c>
      <c r="T2156" s="115" t="e">
        <f ca="1"/>
        <v>#VALUE!</v>
      </c>
      <c r="V2156" s="219">
        <f t="shared" ca="1" si="139"/>
        <v>58713</v>
      </c>
      <c r="W2156" s="115" t="e">
        <f ca="1"/>
        <v>#VALUE!</v>
      </c>
    </row>
    <row r="2157" spans="13:23">
      <c r="M2157" s="219">
        <f t="shared" ca="1" si="136"/>
        <v>58720</v>
      </c>
      <c r="N2157" s="115" t="e">
        <f ca="1"/>
        <v>#VALUE!</v>
      </c>
      <c r="P2157" s="219">
        <f t="shared" ca="1" si="137"/>
        <v>58720</v>
      </c>
      <c r="Q2157" s="115" t="e">
        <f ca="1"/>
        <v>#VALUE!</v>
      </c>
      <c r="S2157" s="219">
        <f t="shared" ca="1" si="138"/>
        <v>58720</v>
      </c>
      <c r="T2157" s="115" t="e">
        <f ca="1"/>
        <v>#VALUE!</v>
      </c>
      <c r="V2157" s="219">
        <f t="shared" ca="1" si="139"/>
        <v>58720</v>
      </c>
      <c r="W2157" s="115" t="e">
        <f ca="1"/>
        <v>#VALUE!</v>
      </c>
    </row>
    <row r="2158" spans="13:23">
      <c r="M2158" s="219">
        <f t="shared" ca="1" si="136"/>
        <v>58727</v>
      </c>
      <c r="N2158" s="115" t="e">
        <f ca="1"/>
        <v>#VALUE!</v>
      </c>
      <c r="P2158" s="219">
        <f t="shared" ca="1" si="137"/>
        <v>58727</v>
      </c>
      <c r="Q2158" s="115" t="e">
        <f ca="1"/>
        <v>#VALUE!</v>
      </c>
      <c r="S2158" s="219">
        <f t="shared" ca="1" si="138"/>
        <v>58727</v>
      </c>
      <c r="T2158" s="115" t="e">
        <f ca="1"/>
        <v>#VALUE!</v>
      </c>
      <c r="V2158" s="219">
        <f t="shared" ca="1" si="139"/>
        <v>58727</v>
      </c>
      <c r="W2158" s="115" t="e">
        <f ca="1"/>
        <v>#VALUE!</v>
      </c>
    </row>
    <row r="2159" spans="13:23">
      <c r="M2159" s="219">
        <f t="shared" ca="1" si="136"/>
        <v>58734</v>
      </c>
      <c r="N2159" s="115" t="e">
        <f ca="1"/>
        <v>#VALUE!</v>
      </c>
      <c r="P2159" s="219">
        <f t="shared" ca="1" si="137"/>
        <v>58734</v>
      </c>
      <c r="Q2159" s="115" t="e">
        <f ca="1"/>
        <v>#VALUE!</v>
      </c>
      <c r="S2159" s="219">
        <f t="shared" ca="1" si="138"/>
        <v>58734</v>
      </c>
      <c r="T2159" s="115" t="e">
        <f ca="1"/>
        <v>#VALUE!</v>
      </c>
      <c r="V2159" s="219">
        <f t="shared" ca="1" si="139"/>
        <v>58734</v>
      </c>
      <c r="W2159" s="115" t="e">
        <f ca="1"/>
        <v>#VALUE!</v>
      </c>
    </row>
    <row r="2160" spans="13:23">
      <c r="M2160" s="219">
        <f t="shared" ca="1" si="136"/>
        <v>58741</v>
      </c>
      <c r="N2160" s="115" t="e">
        <f ca="1"/>
        <v>#VALUE!</v>
      </c>
      <c r="P2160" s="219">
        <f t="shared" ca="1" si="137"/>
        <v>58741</v>
      </c>
      <c r="Q2160" s="115" t="e">
        <f ca="1"/>
        <v>#VALUE!</v>
      </c>
      <c r="S2160" s="219">
        <f t="shared" ca="1" si="138"/>
        <v>58741</v>
      </c>
      <c r="T2160" s="115" t="e">
        <f ca="1"/>
        <v>#VALUE!</v>
      </c>
      <c r="V2160" s="219">
        <f t="shared" ca="1" si="139"/>
        <v>58741</v>
      </c>
      <c r="W2160" s="115" t="e">
        <f ca="1"/>
        <v>#VALUE!</v>
      </c>
    </row>
    <row r="2161" spans="13:23">
      <c r="M2161" s="219">
        <f t="shared" ca="1" si="136"/>
        <v>58748</v>
      </c>
      <c r="N2161" s="115" t="e">
        <f ca="1"/>
        <v>#VALUE!</v>
      </c>
      <c r="P2161" s="219">
        <f t="shared" ca="1" si="137"/>
        <v>58748</v>
      </c>
      <c r="Q2161" s="115" t="e">
        <f ca="1"/>
        <v>#VALUE!</v>
      </c>
      <c r="S2161" s="219">
        <f t="shared" ca="1" si="138"/>
        <v>58748</v>
      </c>
      <c r="T2161" s="115" t="e">
        <f ca="1"/>
        <v>#VALUE!</v>
      </c>
      <c r="V2161" s="219">
        <f t="shared" ca="1" si="139"/>
        <v>58748</v>
      </c>
      <c r="W2161" s="115" t="e">
        <f ca="1"/>
        <v>#VALUE!</v>
      </c>
    </row>
    <row r="2162" spans="13:23">
      <c r="M2162" s="219">
        <f t="shared" ca="1" si="136"/>
        <v>58755</v>
      </c>
      <c r="N2162" s="115" t="e">
        <f ca="1"/>
        <v>#VALUE!</v>
      </c>
      <c r="P2162" s="219">
        <f t="shared" ca="1" si="137"/>
        <v>58755</v>
      </c>
      <c r="Q2162" s="115" t="e">
        <f ca="1"/>
        <v>#VALUE!</v>
      </c>
      <c r="S2162" s="219">
        <f t="shared" ca="1" si="138"/>
        <v>58755</v>
      </c>
      <c r="T2162" s="115" t="e">
        <f ca="1"/>
        <v>#VALUE!</v>
      </c>
      <c r="V2162" s="219">
        <f t="shared" ca="1" si="139"/>
        <v>58755</v>
      </c>
      <c r="W2162" s="115" t="e">
        <f ca="1"/>
        <v>#VALUE!</v>
      </c>
    </row>
    <row r="2163" spans="13:23">
      <c r="M2163" s="219">
        <f t="shared" ca="1" si="136"/>
        <v>58762</v>
      </c>
      <c r="N2163" s="115" t="e">
        <f ca="1"/>
        <v>#VALUE!</v>
      </c>
      <c r="P2163" s="219">
        <f t="shared" ca="1" si="137"/>
        <v>58762</v>
      </c>
      <c r="Q2163" s="115" t="e">
        <f ca="1"/>
        <v>#VALUE!</v>
      </c>
      <c r="S2163" s="219">
        <f t="shared" ca="1" si="138"/>
        <v>58762</v>
      </c>
      <c r="T2163" s="115" t="e">
        <f ca="1"/>
        <v>#VALUE!</v>
      </c>
      <c r="V2163" s="219">
        <f t="shared" ca="1" si="139"/>
        <v>58762</v>
      </c>
      <c r="W2163" s="115" t="e">
        <f ca="1"/>
        <v>#VALUE!</v>
      </c>
    </row>
    <row r="2164" spans="13:23">
      <c r="M2164" s="219">
        <f t="shared" ca="1" si="136"/>
        <v>58769</v>
      </c>
      <c r="N2164" s="115" t="e">
        <f ca="1"/>
        <v>#VALUE!</v>
      </c>
      <c r="P2164" s="219">
        <f t="shared" ca="1" si="137"/>
        <v>58769</v>
      </c>
      <c r="Q2164" s="115" t="e">
        <f ca="1"/>
        <v>#VALUE!</v>
      </c>
      <c r="S2164" s="219">
        <f t="shared" ca="1" si="138"/>
        <v>58769</v>
      </c>
      <c r="T2164" s="115" t="e">
        <f ca="1"/>
        <v>#VALUE!</v>
      </c>
      <c r="V2164" s="219">
        <f t="shared" ca="1" si="139"/>
        <v>58769</v>
      </c>
      <c r="W2164" s="115" t="e">
        <f ca="1"/>
        <v>#VALUE!</v>
      </c>
    </row>
    <row r="2165" spans="13:23">
      <c r="M2165" s="219">
        <f t="shared" ca="1" si="136"/>
        <v>58776</v>
      </c>
      <c r="N2165" s="115" t="e">
        <f ca="1"/>
        <v>#VALUE!</v>
      </c>
      <c r="P2165" s="219">
        <f t="shared" ca="1" si="137"/>
        <v>58776</v>
      </c>
      <c r="Q2165" s="115" t="e">
        <f ca="1"/>
        <v>#VALUE!</v>
      </c>
      <c r="S2165" s="219">
        <f t="shared" ca="1" si="138"/>
        <v>58776</v>
      </c>
      <c r="T2165" s="115" t="e">
        <f ca="1"/>
        <v>#VALUE!</v>
      </c>
      <c r="V2165" s="219">
        <f t="shared" ca="1" si="139"/>
        <v>58776</v>
      </c>
      <c r="W2165" s="115" t="e">
        <f ca="1"/>
        <v>#VALUE!</v>
      </c>
    </row>
    <row r="2166" spans="13:23">
      <c r="M2166" s="219">
        <f t="shared" ca="1" si="136"/>
        <v>58783</v>
      </c>
      <c r="N2166" s="115" t="e">
        <f ca="1"/>
        <v>#VALUE!</v>
      </c>
      <c r="P2166" s="219">
        <f t="shared" ca="1" si="137"/>
        <v>58783</v>
      </c>
      <c r="Q2166" s="115" t="e">
        <f ca="1"/>
        <v>#VALUE!</v>
      </c>
      <c r="S2166" s="219">
        <f t="shared" ca="1" si="138"/>
        <v>58783</v>
      </c>
      <c r="T2166" s="115" t="e">
        <f ca="1"/>
        <v>#VALUE!</v>
      </c>
      <c r="V2166" s="219">
        <f t="shared" ca="1" si="139"/>
        <v>58783</v>
      </c>
      <c r="W2166" s="115" t="e">
        <f ca="1"/>
        <v>#VALUE!</v>
      </c>
    </row>
    <row r="2167" spans="13:23">
      <c r="M2167" s="219">
        <f t="shared" ca="1" si="136"/>
        <v>58790</v>
      </c>
      <c r="N2167" s="115" t="e">
        <f ca="1"/>
        <v>#VALUE!</v>
      </c>
      <c r="P2167" s="219">
        <f t="shared" ca="1" si="137"/>
        <v>58790</v>
      </c>
      <c r="Q2167" s="115" t="e">
        <f ca="1"/>
        <v>#VALUE!</v>
      </c>
      <c r="S2167" s="219">
        <f t="shared" ca="1" si="138"/>
        <v>58790</v>
      </c>
      <c r="T2167" s="115" t="e">
        <f ca="1"/>
        <v>#VALUE!</v>
      </c>
      <c r="V2167" s="219">
        <f t="shared" ca="1" si="139"/>
        <v>58790</v>
      </c>
      <c r="W2167" s="115" t="e">
        <f ca="1"/>
        <v>#VALUE!</v>
      </c>
    </row>
    <row r="2168" spans="13:23">
      <c r="M2168" s="219">
        <f t="shared" ca="1" si="136"/>
        <v>58797</v>
      </c>
      <c r="N2168" s="115" t="e">
        <f ca="1"/>
        <v>#VALUE!</v>
      </c>
      <c r="P2168" s="219">
        <f t="shared" ca="1" si="137"/>
        <v>58797</v>
      </c>
      <c r="Q2168" s="115" t="e">
        <f ca="1"/>
        <v>#VALUE!</v>
      </c>
      <c r="S2168" s="219">
        <f t="shared" ca="1" si="138"/>
        <v>58797</v>
      </c>
      <c r="T2168" s="115" t="e">
        <f ca="1"/>
        <v>#VALUE!</v>
      </c>
      <c r="V2168" s="219">
        <f t="shared" ca="1" si="139"/>
        <v>58797</v>
      </c>
      <c r="W2168" s="115" t="e">
        <f ca="1"/>
        <v>#VALUE!</v>
      </c>
    </row>
    <row r="2169" spans="13:23">
      <c r="M2169" s="219">
        <f t="shared" ca="1" si="136"/>
        <v>58804</v>
      </c>
      <c r="N2169" s="115" t="e">
        <f ca="1"/>
        <v>#VALUE!</v>
      </c>
      <c r="P2169" s="219">
        <f t="shared" ca="1" si="137"/>
        <v>58804</v>
      </c>
      <c r="Q2169" s="115" t="e">
        <f ca="1"/>
        <v>#VALUE!</v>
      </c>
      <c r="S2169" s="219">
        <f t="shared" ca="1" si="138"/>
        <v>58804</v>
      </c>
      <c r="T2169" s="115" t="e">
        <f ca="1"/>
        <v>#VALUE!</v>
      </c>
      <c r="V2169" s="219">
        <f t="shared" ca="1" si="139"/>
        <v>58804</v>
      </c>
      <c r="W2169" s="115" t="e">
        <f ca="1"/>
        <v>#VALUE!</v>
      </c>
    </row>
    <row r="2170" spans="13:23">
      <c r="M2170" s="219">
        <f t="shared" ca="1" si="136"/>
        <v>58811</v>
      </c>
      <c r="N2170" s="115" t="e">
        <f ca="1"/>
        <v>#VALUE!</v>
      </c>
      <c r="P2170" s="219">
        <f t="shared" ca="1" si="137"/>
        <v>58811</v>
      </c>
      <c r="Q2170" s="115" t="e">
        <f ca="1"/>
        <v>#VALUE!</v>
      </c>
      <c r="S2170" s="219">
        <f t="shared" ca="1" si="138"/>
        <v>58811</v>
      </c>
      <c r="T2170" s="115" t="e">
        <f ca="1"/>
        <v>#VALUE!</v>
      </c>
      <c r="V2170" s="219">
        <f t="shared" ca="1" si="139"/>
        <v>58811</v>
      </c>
      <c r="W2170" s="115" t="e">
        <f ca="1"/>
        <v>#VALUE!</v>
      </c>
    </row>
    <row r="2171" spans="13:23">
      <c r="M2171" s="219">
        <f t="shared" ca="1" si="136"/>
        <v>58818</v>
      </c>
      <c r="N2171" s="115" t="e">
        <f ca="1"/>
        <v>#VALUE!</v>
      </c>
      <c r="P2171" s="219">
        <f t="shared" ca="1" si="137"/>
        <v>58818</v>
      </c>
      <c r="Q2171" s="115" t="e">
        <f ca="1"/>
        <v>#VALUE!</v>
      </c>
      <c r="S2171" s="219">
        <f t="shared" ca="1" si="138"/>
        <v>58818</v>
      </c>
      <c r="T2171" s="115" t="e">
        <f ca="1"/>
        <v>#VALUE!</v>
      </c>
      <c r="V2171" s="219">
        <f t="shared" ca="1" si="139"/>
        <v>58818</v>
      </c>
      <c r="W2171" s="115" t="e">
        <f ca="1"/>
        <v>#VALUE!</v>
      </c>
    </row>
    <row r="2172" spans="13:23">
      <c r="M2172" s="219">
        <f t="shared" ca="1" si="136"/>
        <v>58825</v>
      </c>
      <c r="N2172" s="115" t="e">
        <f ca="1"/>
        <v>#VALUE!</v>
      </c>
      <c r="P2172" s="219">
        <f t="shared" ca="1" si="137"/>
        <v>58825</v>
      </c>
      <c r="Q2172" s="115" t="e">
        <f ca="1"/>
        <v>#VALUE!</v>
      </c>
      <c r="S2172" s="219">
        <f t="shared" ca="1" si="138"/>
        <v>58825</v>
      </c>
      <c r="T2172" s="115" t="e">
        <f ca="1"/>
        <v>#VALUE!</v>
      </c>
      <c r="V2172" s="219">
        <f t="shared" ca="1" si="139"/>
        <v>58825</v>
      </c>
      <c r="W2172" s="115" t="e">
        <f ca="1"/>
        <v>#VALUE!</v>
      </c>
    </row>
    <row r="2173" spans="13:23">
      <c r="M2173" s="219">
        <f t="shared" ca="1" si="136"/>
        <v>58832</v>
      </c>
      <c r="N2173" s="115" t="e">
        <f ca="1"/>
        <v>#VALUE!</v>
      </c>
      <c r="P2173" s="219">
        <f t="shared" ca="1" si="137"/>
        <v>58832</v>
      </c>
      <c r="Q2173" s="115" t="e">
        <f ca="1"/>
        <v>#VALUE!</v>
      </c>
      <c r="S2173" s="219">
        <f t="shared" ca="1" si="138"/>
        <v>58832</v>
      </c>
      <c r="T2173" s="115" t="e">
        <f ca="1"/>
        <v>#VALUE!</v>
      </c>
      <c r="V2173" s="219">
        <f t="shared" ca="1" si="139"/>
        <v>58832</v>
      </c>
      <c r="W2173" s="115" t="e">
        <f ca="1"/>
        <v>#VALUE!</v>
      </c>
    </row>
    <row r="2174" spans="13:23">
      <c r="M2174" s="219">
        <f t="shared" ca="1" si="136"/>
        <v>58839</v>
      </c>
      <c r="N2174" s="115" t="e">
        <f ca="1"/>
        <v>#VALUE!</v>
      </c>
      <c r="P2174" s="219">
        <f t="shared" ca="1" si="137"/>
        <v>58839</v>
      </c>
      <c r="Q2174" s="115" t="e">
        <f ca="1"/>
        <v>#VALUE!</v>
      </c>
      <c r="S2174" s="219">
        <f t="shared" ca="1" si="138"/>
        <v>58839</v>
      </c>
      <c r="T2174" s="115" t="e">
        <f ca="1"/>
        <v>#VALUE!</v>
      </c>
      <c r="V2174" s="219">
        <f t="shared" ca="1" si="139"/>
        <v>58839</v>
      </c>
      <c r="W2174" s="115" t="e">
        <f ca="1"/>
        <v>#VALUE!</v>
      </c>
    </row>
    <row r="2175" spans="13:23">
      <c r="M2175" s="219">
        <f t="shared" ca="1" si="136"/>
        <v>58846</v>
      </c>
      <c r="N2175" s="115" t="e">
        <f ca="1"/>
        <v>#VALUE!</v>
      </c>
      <c r="P2175" s="219">
        <f t="shared" ca="1" si="137"/>
        <v>58846</v>
      </c>
      <c r="Q2175" s="115" t="e">
        <f ca="1"/>
        <v>#VALUE!</v>
      </c>
      <c r="S2175" s="219">
        <f t="shared" ca="1" si="138"/>
        <v>58846</v>
      </c>
      <c r="T2175" s="115" t="e">
        <f ca="1"/>
        <v>#VALUE!</v>
      </c>
      <c r="V2175" s="219">
        <f t="shared" ca="1" si="139"/>
        <v>58846</v>
      </c>
      <c r="W2175" s="115" t="e">
        <f ca="1"/>
        <v>#VALUE!</v>
      </c>
    </row>
    <row r="2176" spans="13:23">
      <c r="M2176" s="219">
        <f t="shared" ca="1" si="136"/>
        <v>58853</v>
      </c>
      <c r="N2176" s="115" t="e">
        <f ca="1"/>
        <v>#VALUE!</v>
      </c>
      <c r="P2176" s="219">
        <f t="shared" ca="1" si="137"/>
        <v>58853</v>
      </c>
      <c r="Q2176" s="115" t="e">
        <f ca="1"/>
        <v>#VALUE!</v>
      </c>
      <c r="S2176" s="219">
        <f t="shared" ca="1" si="138"/>
        <v>58853</v>
      </c>
      <c r="T2176" s="115" t="e">
        <f ca="1"/>
        <v>#VALUE!</v>
      </c>
      <c r="V2176" s="219">
        <f t="shared" ca="1" si="139"/>
        <v>58853</v>
      </c>
      <c r="W2176" s="115" t="e">
        <f ca="1"/>
        <v>#VALUE!</v>
      </c>
    </row>
    <row r="2177" spans="13:23">
      <c r="M2177" s="219">
        <f t="shared" ca="1" si="136"/>
        <v>58860</v>
      </c>
      <c r="N2177" s="115" t="e">
        <f ca="1"/>
        <v>#VALUE!</v>
      </c>
      <c r="P2177" s="219">
        <f t="shared" ca="1" si="137"/>
        <v>58860</v>
      </c>
      <c r="Q2177" s="115" t="e">
        <f ca="1"/>
        <v>#VALUE!</v>
      </c>
      <c r="S2177" s="219">
        <f t="shared" ca="1" si="138"/>
        <v>58860</v>
      </c>
      <c r="T2177" s="115" t="e">
        <f ca="1"/>
        <v>#VALUE!</v>
      </c>
      <c r="V2177" s="219">
        <f t="shared" ca="1" si="139"/>
        <v>58860</v>
      </c>
      <c r="W2177" s="115" t="e">
        <f ca="1"/>
        <v>#VALUE!</v>
      </c>
    </row>
    <row r="2178" spans="13:23">
      <c r="M2178" s="219">
        <f t="shared" ca="1" si="136"/>
        <v>58867</v>
      </c>
      <c r="N2178" s="115" t="e">
        <f ca="1"/>
        <v>#VALUE!</v>
      </c>
      <c r="P2178" s="219">
        <f t="shared" ca="1" si="137"/>
        <v>58867</v>
      </c>
      <c r="Q2178" s="115" t="e">
        <f ca="1"/>
        <v>#VALUE!</v>
      </c>
      <c r="S2178" s="219">
        <f t="shared" ca="1" si="138"/>
        <v>58867</v>
      </c>
      <c r="T2178" s="115" t="e">
        <f ca="1"/>
        <v>#VALUE!</v>
      </c>
      <c r="V2178" s="219">
        <f t="shared" ca="1" si="139"/>
        <v>58867</v>
      </c>
      <c r="W2178" s="115" t="e">
        <f ca="1"/>
        <v>#VALUE!</v>
      </c>
    </row>
    <row r="2179" spans="13:23">
      <c r="M2179" s="219">
        <f t="shared" ca="1" si="136"/>
        <v>58874</v>
      </c>
      <c r="N2179" s="115" t="e">
        <f ca="1"/>
        <v>#VALUE!</v>
      </c>
      <c r="P2179" s="219">
        <f t="shared" ca="1" si="137"/>
        <v>58874</v>
      </c>
      <c r="Q2179" s="115" t="e">
        <f ca="1"/>
        <v>#VALUE!</v>
      </c>
      <c r="S2179" s="219">
        <f t="shared" ca="1" si="138"/>
        <v>58874</v>
      </c>
      <c r="T2179" s="115" t="e">
        <f ca="1"/>
        <v>#VALUE!</v>
      </c>
      <c r="V2179" s="219">
        <f t="shared" ca="1" si="139"/>
        <v>58874</v>
      </c>
      <c r="W2179" s="115" t="e">
        <f ca="1"/>
        <v>#VALUE!</v>
      </c>
    </row>
    <row r="2180" spans="13:23">
      <c r="M2180" s="219">
        <f t="shared" ca="1" si="136"/>
        <v>58881</v>
      </c>
      <c r="N2180" s="115" t="e">
        <f ca="1"/>
        <v>#VALUE!</v>
      </c>
      <c r="P2180" s="219">
        <f t="shared" ca="1" si="137"/>
        <v>58881</v>
      </c>
      <c r="Q2180" s="115" t="e">
        <f ca="1"/>
        <v>#VALUE!</v>
      </c>
      <c r="S2180" s="219">
        <f t="shared" ca="1" si="138"/>
        <v>58881</v>
      </c>
      <c r="T2180" s="115" t="e">
        <f ca="1"/>
        <v>#VALUE!</v>
      </c>
      <c r="V2180" s="219">
        <f t="shared" ca="1" si="139"/>
        <v>58881</v>
      </c>
      <c r="W2180" s="115" t="e">
        <f ca="1"/>
        <v>#VALUE!</v>
      </c>
    </row>
    <row r="2181" spans="13:23">
      <c r="M2181" s="219">
        <f t="shared" ca="1" si="136"/>
        <v>58888</v>
      </c>
      <c r="N2181" s="115" t="e">
        <f ca="1"/>
        <v>#VALUE!</v>
      </c>
      <c r="P2181" s="219">
        <f t="shared" ca="1" si="137"/>
        <v>58888</v>
      </c>
      <c r="Q2181" s="115" t="e">
        <f ca="1"/>
        <v>#VALUE!</v>
      </c>
      <c r="S2181" s="219">
        <f t="shared" ca="1" si="138"/>
        <v>58888</v>
      </c>
      <c r="T2181" s="115" t="e">
        <f ca="1"/>
        <v>#VALUE!</v>
      </c>
      <c r="V2181" s="219">
        <f t="shared" ca="1" si="139"/>
        <v>58888</v>
      </c>
      <c r="W2181" s="115" t="e">
        <f ca="1"/>
        <v>#VALUE!</v>
      </c>
    </row>
    <row r="2182" spans="13:23">
      <c r="M2182" s="219">
        <f t="shared" ca="1" si="136"/>
        <v>58895</v>
      </c>
      <c r="N2182" s="115" t="e">
        <f ca="1"/>
        <v>#VALUE!</v>
      </c>
      <c r="P2182" s="219">
        <f t="shared" ca="1" si="137"/>
        <v>58895</v>
      </c>
      <c r="Q2182" s="115" t="e">
        <f ca="1"/>
        <v>#VALUE!</v>
      </c>
      <c r="S2182" s="219">
        <f t="shared" ca="1" si="138"/>
        <v>58895</v>
      </c>
      <c r="T2182" s="115" t="e">
        <f ca="1"/>
        <v>#VALUE!</v>
      </c>
      <c r="V2182" s="219">
        <f t="shared" ca="1" si="139"/>
        <v>58895</v>
      </c>
      <c r="W2182" s="115" t="e">
        <f ca="1"/>
        <v>#VALUE!</v>
      </c>
    </row>
    <row r="2183" spans="13:23">
      <c r="M2183" s="219">
        <f t="shared" ca="1" si="136"/>
        <v>58902</v>
      </c>
      <c r="N2183" s="115" t="e">
        <f ca="1"/>
        <v>#VALUE!</v>
      </c>
      <c r="P2183" s="219">
        <f t="shared" ca="1" si="137"/>
        <v>58902</v>
      </c>
      <c r="Q2183" s="115" t="e">
        <f ca="1"/>
        <v>#VALUE!</v>
      </c>
      <c r="S2183" s="219">
        <f t="shared" ca="1" si="138"/>
        <v>58902</v>
      </c>
      <c r="T2183" s="115" t="e">
        <f ca="1"/>
        <v>#VALUE!</v>
      </c>
      <c r="V2183" s="219">
        <f t="shared" ca="1" si="139"/>
        <v>58902</v>
      </c>
      <c r="W2183" s="115" t="e">
        <f ca="1"/>
        <v>#VALUE!</v>
      </c>
    </row>
    <row r="2184" spans="13:23">
      <c r="M2184" s="219">
        <f t="shared" ca="1" si="136"/>
        <v>58909</v>
      </c>
      <c r="N2184" s="115" t="e">
        <f ca="1"/>
        <v>#VALUE!</v>
      </c>
      <c r="P2184" s="219">
        <f t="shared" ca="1" si="137"/>
        <v>58909</v>
      </c>
      <c r="Q2184" s="115" t="e">
        <f ca="1"/>
        <v>#VALUE!</v>
      </c>
      <c r="S2184" s="219">
        <f t="shared" ca="1" si="138"/>
        <v>58909</v>
      </c>
      <c r="T2184" s="115" t="e">
        <f ca="1"/>
        <v>#VALUE!</v>
      </c>
      <c r="V2184" s="219">
        <f t="shared" ca="1" si="139"/>
        <v>58909</v>
      </c>
      <c r="W2184" s="115" t="e">
        <f ca="1"/>
        <v>#VALUE!</v>
      </c>
    </row>
    <row r="2185" spans="13:23">
      <c r="M2185" s="219">
        <f t="shared" ca="1" si="136"/>
        <v>58916</v>
      </c>
      <c r="N2185" s="115" t="e">
        <f ca="1"/>
        <v>#VALUE!</v>
      </c>
      <c r="P2185" s="219">
        <f t="shared" ca="1" si="137"/>
        <v>58916</v>
      </c>
      <c r="Q2185" s="115" t="e">
        <f ca="1"/>
        <v>#VALUE!</v>
      </c>
      <c r="S2185" s="219">
        <f t="shared" ca="1" si="138"/>
        <v>58916</v>
      </c>
      <c r="T2185" s="115" t="e">
        <f ca="1"/>
        <v>#VALUE!</v>
      </c>
      <c r="V2185" s="219">
        <f t="shared" ca="1" si="139"/>
        <v>58916</v>
      </c>
      <c r="W2185" s="115" t="e">
        <f ca="1"/>
        <v>#VALUE!</v>
      </c>
    </row>
    <row r="2186" spans="13:23">
      <c r="M2186" s="219">
        <f t="shared" ca="1" si="136"/>
        <v>58923</v>
      </c>
      <c r="N2186" s="115" t="e">
        <f ca="1"/>
        <v>#VALUE!</v>
      </c>
      <c r="P2186" s="219">
        <f t="shared" ca="1" si="137"/>
        <v>58923</v>
      </c>
      <c r="Q2186" s="115" t="e">
        <f ca="1"/>
        <v>#VALUE!</v>
      </c>
      <c r="S2186" s="219">
        <f t="shared" ca="1" si="138"/>
        <v>58923</v>
      </c>
      <c r="T2186" s="115" t="e">
        <f ca="1"/>
        <v>#VALUE!</v>
      </c>
      <c r="V2186" s="219">
        <f t="shared" ca="1" si="139"/>
        <v>58923</v>
      </c>
      <c r="W2186" s="115" t="e">
        <f ca="1"/>
        <v>#VALUE!</v>
      </c>
    </row>
    <row r="2187" spans="13:23">
      <c r="M2187" s="219">
        <f t="shared" ca="1" si="136"/>
        <v>58930</v>
      </c>
      <c r="N2187" s="115" t="e">
        <f ca="1"/>
        <v>#VALUE!</v>
      </c>
      <c r="P2187" s="219">
        <f t="shared" ca="1" si="137"/>
        <v>58930</v>
      </c>
      <c r="Q2187" s="115" t="e">
        <f ca="1"/>
        <v>#VALUE!</v>
      </c>
      <c r="S2187" s="219">
        <f t="shared" ca="1" si="138"/>
        <v>58930</v>
      </c>
      <c r="T2187" s="115" t="e">
        <f ca="1"/>
        <v>#VALUE!</v>
      </c>
      <c r="V2187" s="219">
        <f t="shared" ca="1" si="139"/>
        <v>58930</v>
      </c>
      <c r="W2187" s="115" t="e">
        <f ca="1"/>
        <v>#VALUE!</v>
      </c>
    </row>
    <row r="2188" spans="13:23">
      <c r="M2188" s="219">
        <f t="shared" ca="1" si="136"/>
        <v>58937</v>
      </c>
      <c r="N2188" s="115" t="e">
        <f ca="1"/>
        <v>#VALUE!</v>
      </c>
      <c r="P2188" s="219">
        <f t="shared" ca="1" si="137"/>
        <v>58937</v>
      </c>
      <c r="Q2188" s="115" t="e">
        <f ca="1"/>
        <v>#VALUE!</v>
      </c>
      <c r="S2188" s="219">
        <f t="shared" ca="1" si="138"/>
        <v>58937</v>
      </c>
      <c r="T2188" s="115" t="e">
        <f ca="1"/>
        <v>#VALUE!</v>
      </c>
      <c r="V2188" s="219">
        <f t="shared" ca="1" si="139"/>
        <v>58937</v>
      </c>
      <c r="W2188" s="115" t="e">
        <f ca="1"/>
        <v>#VALUE!</v>
      </c>
    </row>
    <row r="2189" spans="13:23">
      <c r="M2189" s="219">
        <f t="shared" ref="M2189:M2252" ca="1" si="140">M2188+7</f>
        <v>58944</v>
      </c>
      <c r="N2189" s="115" t="e">
        <f ca="1"/>
        <v>#VALUE!</v>
      </c>
      <c r="P2189" s="219">
        <f t="shared" ca="1" si="137"/>
        <v>58944</v>
      </c>
      <c r="Q2189" s="115" t="e">
        <f ca="1"/>
        <v>#VALUE!</v>
      </c>
      <c r="S2189" s="219">
        <f t="shared" ca="1" si="138"/>
        <v>58944</v>
      </c>
      <c r="T2189" s="115" t="e">
        <f ca="1"/>
        <v>#VALUE!</v>
      </c>
      <c r="V2189" s="219">
        <f t="shared" ca="1" si="139"/>
        <v>58944</v>
      </c>
      <c r="W2189" s="115" t="e">
        <f ca="1"/>
        <v>#VALUE!</v>
      </c>
    </row>
    <row r="2190" spans="13:23">
      <c r="M2190" s="219">
        <f t="shared" ca="1" si="140"/>
        <v>58951</v>
      </c>
      <c r="N2190" s="115" t="e">
        <f ca="1"/>
        <v>#VALUE!</v>
      </c>
      <c r="P2190" s="219">
        <f t="shared" ca="1" si="137"/>
        <v>58951</v>
      </c>
      <c r="Q2190" s="115" t="e">
        <f ca="1"/>
        <v>#VALUE!</v>
      </c>
      <c r="S2190" s="219">
        <f t="shared" ca="1" si="138"/>
        <v>58951</v>
      </c>
      <c r="T2190" s="115" t="e">
        <f ca="1"/>
        <v>#VALUE!</v>
      </c>
      <c r="V2190" s="219">
        <f t="shared" ca="1" si="139"/>
        <v>58951</v>
      </c>
      <c r="W2190" s="115" t="e">
        <f ca="1"/>
        <v>#VALUE!</v>
      </c>
    </row>
    <row r="2191" spans="13:23">
      <c r="M2191" s="219">
        <f t="shared" ca="1" si="140"/>
        <v>58958</v>
      </c>
      <c r="N2191" s="115" t="e">
        <f ca="1"/>
        <v>#VALUE!</v>
      </c>
      <c r="P2191" s="219">
        <f t="shared" ca="1" si="137"/>
        <v>58958</v>
      </c>
      <c r="Q2191" s="115" t="e">
        <f ca="1"/>
        <v>#VALUE!</v>
      </c>
      <c r="S2191" s="219">
        <f t="shared" ca="1" si="138"/>
        <v>58958</v>
      </c>
      <c r="T2191" s="115" t="e">
        <f ca="1"/>
        <v>#VALUE!</v>
      </c>
      <c r="V2191" s="219">
        <f t="shared" ca="1" si="139"/>
        <v>58958</v>
      </c>
      <c r="W2191" s="115" t="e">
        <f ca="1"/>
        <v>#VALUE!</v>
      </c>
    </row>
    <row r="2192" spans="13:23">
      <c r="M2192" s="219">
        <f t="shared" ca="1" si="140"/>
        <v>58965</v>
      </c>
      <c r="N2192" s="115" t="e">
        <f ca="1"/>
        <v>#VALUE!</v>
      </c>
      <c r="P2192" s="219">
        <f t="shared" ca="1" si="137"/>
        <v>58965</v>
      </c>
      <c r="Q2192" s="115" t="e">
        <f ca="1"/>
        <v>#VALUE!</v>
      </c>
      <c r="S2192" s="219">
        <f t="shared" ca="1" si="138"/>
        <v>58965</v>
      </c>
      <c r="T2192" s="115" t="e">
        <f ca="1"/>
        <v>#VALUE!</v>
      </c>
      <c r="V2192" s="219">
        <f t="shared" ca="1" si="139"/>
        <v>58965</v>
      </c>
      <c r="W2192" s="115" t="e">
        <f ca="1"/>
        <v>#VALUE!</v>
      </c>
    </row>
    <row r="2193" spans="13:23">
      <c r="M2193" s="219">
        <f t="shared" ca="1" si="140"/>
        <v>58972</v>
      </c>
      <c r="N2193" s="115" t="e">
        <f ca="1"/>
        <v>#VALUE!</v>
      </c>
      <c r="P2193" s="219">
        <f t="shared" ca="1" si="137"/>
        <v>58972</v>
      </c>
      <c r="Q2193" s="115" t="e">
        <f ca="1"/>
        <v>#VALUE!</v>
      </c>
      <c r="S2193" s="219">
        <f t="shared" ca="1" si="138"/>
        <v>58972</v>
      </c>
      <c r="T2193" s="115" t="e">
        <f ca="1"/>
        <v>#VALUE!</v>
      </c>
      <c r="V2193" s="219">
        <f t="shared" ca="1" si="139"/>
        <v>58972</v>
      </c>
      <c r="W2193" s="115" t="e">
        <f ca="1"/>
        <v>#VALUE!</v>
      </c>
    </row>
    <row r="2194" spans="13:23">
      <c r="M2194" s="219">
        <f t="shared" ca="1" si="140"/>
        <v>58979</v>
      </c>
      <c r="N2194" s="115" t="e">
        <f ca="1"/>
        <v>#VALUE!</v>
      </c>
      <c r="P2194" s="219">
        <f t="shared" ca="1" si="137"/>
        <v>58979</v>
      </c>
      <c r="Q2194" s="115" t="e">
        <f ca="1"/>
        <v>#VALUE!</v>
      </c>
      <c r="S2194" s="219">
        <f t="shared" ca="1" si="138"/>
        <v>58979</v>
      </c>
      <c r="T2194" s="115" t="e">
        <f ca="1"/>
        <v>#VALUE!</v>
      </c>
      <c r="V2194" s="219">
        <f t="shared" ca="1" si="139"/>
        <v>58979</v>
      </c>
      <c r="W2194" s="115" t="e">
        <f ca="1"/>
        <v>#VALUE!</v>
      </c>
    </row>
    <row r="2195" spans="13:23">
      <c r="M2195" s="219">
        <f t="shared" ca="1" si="140"/>
        <v>58986</v>
      </c>
      <c r="N2195" s="115" t="e">
        <f ca="1"/>
        <v>#VALUE!</v>
      </c>
      <c r="P2195" s="219">
        <f t="shared" ca="1" si="137"/>
        <v>58986</v>
      </c>
      <c r="Q2195" s="115" t="e">
        <f ca="1"/>
        <v>#VALUE!</v>
      </c>
      <c r="S2195" s="219">
        <f t="shared" ca="1" si="138"/>
        <v>58986</v>
      </c>
      <c r="T2195" s="115" t="e">
        <f ca="1"/>
        <v>#VALUE!</v>
      </c>
      <c r="V2195" s="219">
        <f t="shared" ca="1" si="139"/>
        <v>58986</v>
      </c>
      <c r="W2195" s="115" t="e">
        <f ca="1"/>
        <v>#VALUE!</v>
      </c>
    </row>
    <row r="2196" spans="13:23">
      <c r="M2196" s="219">
        <f t="shared" ca="1" si="140"/>
        <v>58993</v>
      </c>
      <c r="N2196" s="115" t="e">
        <f ca="1"/>
        <v>#VALUE!</v>
      </c>
      <c r="P2196" s="219">
        <f t="shared" ca="1" si="137"/>
        <v>58993</v>
      </c>
      <c r="Q2196" s="115" t="e">
        <f ca="1"/>
        <v>#VALUE!</v>
      </c>
      <c r="S2196" s="219">
        <f t="shared" ca="1" si="138"/>
        <v>58993</v>
      </c>
      <c r="T2196" s="115" t="e">
        <f ca="1"/>
        <v>#VALUE!</v>
      </c>
      <c r="V2196" s="219">
        <f t="shared" ca="1" si="139"/>
        <v>58993</v>
      </c>
      <c r="W2196" s="115" t="e">
        <f ca="1"/>
        <v>#VALUE!</v>
      </c>
    </row>
    <row r="2197" spans="13:23">
      <c r="M2197" s="219">
        <f t="shared" ca="1" si="140"/>
        <v>59000</v>
      </c>
      <c r="N2197" s="115" t="e">
        <f ca="1"/>
        <v>#VALUE!</v>
      </c>
      <c r="P2197" s="219">
        <f t="shared" ca="1" si="137"/>
        <v>59000</v>
      </c>
      <c r="Q2197" s="115" t="e">
        <f ca="1"/>
        <v>#VALUE!</v>
      </c>
      <c r="S2197" s="219">
        <f t="shared" ca="1" si="138"/>
        <v>59000</v>
      </c>
      <c r="T2197" s="115" t="e">
        <f ca="1"/>
        <v>#VALUE!</v>
      </c>
      <c r="V2197" s="219">
        <f t="shared" ca="1" si="139"/>
        <v>59000</v>
      </c>
      <c r="W2197" s="115" t="e">
        <f ca="1"/>
        <v>#VALUE!</v>
      </c>
    </row>
    <row r="2198" spans="13:23">
      <c r="M2198" s="219">
        <f t="shared" ca="1" si="140"/>
        <v>59007</v>
      </c>
      <c r="N2198" s="115" t="e">
        <f ca="1"/>
        <v>#VALUE!</v>
      </c>
      <c r="P2198" s="219">
        <f t="shared" ca="1" si="137"/>
        <v>59007</v>
      </c>
      <c r="Q2198" s="115" t="e">
        <f ca="1"/>
        <v>#VALUE!</v>
      </c>
      <c r="S2198" s="219">
        <f t="shared" ca="1" si="138"/>
        <v>59007</v>
      </c>
      <c r="T2198" s="115" t="e">
        <f ca="1"/>
        <v>#VALUE!</v>
      </c>
      <c r="V2198" s="219">
        <f t="shared" ca="1" si="139"/>
        <v>59007</v>
      </c>
      <c r="W2198" s="115" t="e">
        <f ca="1"/>
        <v>#VALUE!</v>
      </c>
    </row>
    <row r="2199" spans="13:23">
      <c r="M2199" s="219">
        <f t="shared" ca="1" si="140"/>
        <v>59014</v>
      </c>
      <c r="N2199" s="115" t="e">
        <f ca="1"/>
        <v>#VALUE!</v>
      </c>
      <c r="P2199" s="219">
        <f t="shared" ca="1" si="137"/>
        <v>59014</v>
      </c>
      <c r="Q2199" s="115" t="e">
        <f ca="1"/>
        <v>#VALUE!</v>
      </c>
      <c r="S2199" s="219">
        <f t="shared" ca="1" si="138"/>
        <v>59014</v>
      </c>
      <c r="T2199" s="115" t="e">
        <f ca="1"/>
        <v>#VALUE!</v>
      </c>
      <c r="V2199" s="219">
        <f t="shared" ca="1" si="139"/>
        <v>59014</v>
      </c>
      <c r="W2199" s="115" t="e">
        <f ca="1"/>
        <v>#VALUE!</v>
      </c>
    </row>
    <row r="2200" spans="13:23">
      <c r="M2200" s="219">
        <f t="shared" ca="1" si="140"/>
        <v>59021</v>
      </c>
      <c r="N2200" s="115" t="e">
        <f ca="1"/>
        <v>#VALUE!</v>
      </c>
      <c r="P2200" s="219">
        <f t="shared" ca="1" si="137"/>
        <v>59021</v>
      </c>
      <c r="Q2200" s="115" t="e">
        <f ca="1"/>
        <v>#VALUE!</v>
      </c>
      <c r="S2200" s="219">
        <f t="shared" ca="1" si="138"/>
        <v>59021</v>
      </c>
      <c r="T2200" s="115" t="e">
        <f ca="1"/>
        <v>#VALUE!</v>
      </c>
      <c r="V2200" s="219">
        <f t="shared" ca="1" si="139"/>
        <v>59021</v>
      </c>
      <c r="W2200" s="115" t="e">
        <f ca="1"/>
        <v>#VALUE!</v>
      </c>
    </row>
    <row r="2201" spans="13:23">
      <c r="M2201" s="219">
        <f t="shared" ca="1" si="140"/>
        <v>59028</v>
      </c>
      <c r="N2201" s="115" t="e">
        <f ca="1"/>
        <v>#VALUE!</v>
      </c>
      <c r="P2201" s="219">
        <f t="shared" ca="1" si="137"/>
        <v>59028</v>
      </c>
      <c r="Q2201" s="115" t="e">
        <f ca="1"/>
        <v>#VALUE!</v>
      </c>
      <c r="S2201" s="219">
        <f t="shared" ca="1" si="138"/>
        <v>59028</v>
      </c>
      <c r="T2201" s="115" t="e">
        <f ca="1"/>
        <v>#VALUE!</v>
      </c>
      <c r="V2201" s="219">
        <f t="shared" ca="1" si="139"/>
        <v>59028</v>
      </c>
      <c r="W2201" s="115" t="e">
        <f ca="1"/>
        <v>#VALUE!</v>
      </c>
    </row>
    <row r="2202" spans="13:23">
      <c r="M2202" s="219">
        <f t="shared" ca="1" si="140"/>
        <v>59035</v>
      </c>
      <c r="N2202" s="115" t="e">
        <f ca="1"/>
        <v>#VALUE!</v>
      </c>
      <c r="P2202" s="219">
        <f t="shared" ca="1" si="137"/>
        <v>59035</v>
      </c>
      <c r="Q2202" s="115" t="e">
        <f ca="1"/>
        <v>#VALUE!</v>
      </c>
      <c r="S2202" s="219">
        <f t="shared" ca="1" si="138"/>
        <v>59035</v>
      </c>
      <c r="T2202" s="115" t="e">
        <f ca="1"/>
        <v>#VALUE!</v>
      </c>
      <c r="V2202" s="219">
        <f t="shared" ca="1" si="139"/>
        <v>59035</v>
      </c>
      <c r="W2202" s="115" t="e">
        <f ca="1"/>
        <v>#VALUE!</v>
      </c>
    </row>
    <row r="2203" spans="13:23">
      <c r="M2203" s="219">
        <f t="shared" ca="1" si="140"/>
        <v>59042</v>
      </c>
      <c r="N2203" s="115" t="e">
        <f ca="1"/>
        <v>#VALUE!</v>
      </c>
      <c r="P2203" s="219">
        <f t="shared" ca="1" si="137"/>
        <v>59042</v>
      </c>
      <c r="Q2203" s="115" t="e">
        <f ca="1"/>
        <v>#VALUE!</v>
      </c>
      <c r="S2203" s="219">
        <f t="shared" ca="1" si="138"/>
        <v>59042</v>
      </c>
      <c r="T2203" s="115" t="e">
        <f ca="1"/>
        <v>#VALUE!</v>
      </c>
      <c r="V2203" s="219">
        <f t="shared" ca="1" si="139"/>
        <v>59042</v>
      </c>
      <c r="W2203" s="115" t="e">
        <f ca="1"/>
        <v>#VALUE!</v>
      </c>
    </row>
    <row r="2204" spans="13:23">
      <c r="M2204" s="219">
        <f t="shared" ca="1" si="140"/>
        <v>59049</v>
      </c>
      <c r="N2204" s="115" t="e">
        <f ca="1"/>
        <v>#VALUE!</v>
      </c>
      <c r="P2204" s="219">
        <f t="shared" ca="1" si="137"/>
        <v>59049</v>
      </c>
      <c r="Q2204" s="115" t="e">
        <f ca="1"/>
        <v>#VALUE!</v>
      </c>
      <c r="S2204" s="219">
        <f t="shared" ca="1" si="138"/>
        <v>59049</v>
      </c>
      <c r="T2204" s="115" t="e">
        <f ca="1"/>
        <v>#VALUE!</v>
      </c>
      <c r="V2204" s="219">
        <f t="shared" ca="1" si="139"/>
        <v>59049</v>
      </c>
      <c r="W2204" s="115" t="e">
        <f ca="1"/>
        <v>#VALUE!</v>
      </c>
    </row>
    <row r="2205" spans="13:23">
      <c r="M2205" s="219">
        <f t="shared" ca="1" si="140"/>
        <v>59056</v>
      </c>
      <c r="N2205" s="115" t="e">
        <f ca="1"/>
        <v>#VALUE!</v>
      </c>
      <c r="P2205" s="219">
        <f t="shared" ref="P2205:P2268" ca="1" si="141">P2204+7</f>
        <v>59056</v>
      </c>
      <c r="Q2205" s="115" t="e">
        <f ca="1"/>
        <v>#VALUE!</v>
      </c>
      <c r="S2205" s="219">
        <f t="shared" ref="S2205:S2268" ca="1" si="142">S2204+7</f>
        <v>59056</v>
      </c>
      <c r="T2205" s="115" t="e">
        <f ca="1"/>
        <v>#VALUE!</v>
      </c>
      <c r="V2205" s="219">
        <f t="shared" ref="V2205:V2268" ca="1" si="143">V2204+7</f>
        <v>59056</v>
      </c>
      <c r="W2205" s="115" t="e">
        <f ca="1"/>
        <v>#VALUE!</v>
      </c>
    </row>
    <row r="2206" spans="13:23">
      <c r="M2206" s="219">
        <f t="shared" ca="1" si="140"/>
        <v>59063</v>
      </c>
      <c r="N2206" s="115" t="e">
        <f ca="1"/>
        <v>#VALUE!</v>
      </c>
      <c r="P2206" s="219">
        <f t="shared" ca="1" si="141"/>
        <v>59063</v>
      </c>
      <c r="Q2206" s="115" t="e">
        <f ca="1"/>
        <v>#VALUE!</v>
      </c>
      <c r="S2206" s="219">
        <f t="shared" ca="1" si="142"/>
        <v>59063</v>
      </c>
      <c r="T2206" s="115" t="e">
        <f ca="1"/>
        <v>#VALUE!</v>
      </c>
      <c r="V2206" s="219">
        <f t="shared" ca="1" si="143"/>
        <v>59063</v>
      </c>
      <c r="W2206" s="115" t="e">
        <f ca="1"/>
        <v>#VALUE!</v>
      </c>
    </row>
    <row r="2207" spans="13:23">
      <c r="M2207" s="219">
        <f t="shared" ca="1" si="140"/>
        <v>59070</v>
      </c>
      <c r="N2207" s="115" t="e">
        <f ca="1"/>
        <v>#VALUE!</v>
      </c>
      <c r="P2207" s="219">
        <f t="shared" ca="1" si="141"/>
        <v>59070</v>
      </c>
      <c r="Q2207" s="115" t="e">
        <f ca="1"/>
        <v>#VALUE!</v>
      </c>
      <c r="S2207" s="219">
        <f t="shared" ca="1" si="142"/>
        <v>59070</v>
      </c>
      <c r="T2207" s="115" t="e">
        <f ca="1"/>
        <v>#VALUE!</v>
      </c>
      <c r="V2207" s="219">
        <f t="shared" ca="1" si="143"/>
        <v>59070</v>
      </c>
      <c r="W2207" s="115" t="e">
        <f ca="1"/>
        <v>#VALUE!</v>
      </c>
    </row>
    <row r="2208" spans="13:23">
      <c r="M2208" s="219">
        <f t="shared" ca="1" si="140"/>
        <v>59077</v>
      </c>
      <c r="N2208" s="115" t="e">
        <f ca="1"/>
        <v>#VALUE!</v>
      </c>
      <c r="P2208" s="219">
        <f t="shared" ca="1" si="141"/>
        <v>59077</v>
      </c>
      <c r="Q2208" s="115" t="e">
        <f ca="1"/>
        <v>#VALUE!</v>
      </c>
      <c r="S2208" s="219">
        <f t="shared" ca="1" si="142"/>
        <v>59077</v>
      </c>
      <c r="T2208" s="115" t="e">
        <f ca="1"/>
        <v>#VALUE!</v>
      </c>
      <c r="V2208" s="219">
        <f t="shared" ca="1" si="143"/>
        <v>59077</v>
      </c>
      <c r="W2208" s="115" t="e">
        <f ca="1"/>
        <v>#VALUE!</v>
      </c>
    </row>
    <row r="2209" spans="13:23">
      <c r="M2209" s="219">
        <f t="shared" ca="1" si="140"/>
        <v>59084</v>
      </c>
      <c r="N2209" s="115" t="e">
        <f ca="1"/>
        <v>#VALUE!</v>
      </c>
      <c r="P2209" s="219">
        <f t="shared" ca="1" si="141"/>
        <v>59084</v>
      </c>
      <c r="Q2209" s="115" t="e">
        <f ca="1"/>
        <v>#VALUE!</v>
      </c>
      <c r="S2209" s="219">
        <f t="shared" ca="1" si="142"/>
        <v>59084</v>
      </c>
      <c r="T2209" s="115" t="e">
        <f ca="1"/>
        <v>#VALUE!</v>
      </c>
      <c r="V2209" s="219">
        <f t="shared" ca="1" si="143"/>
        <v>59084</v>
      </c>
      <c r="W2209" s="115" t="e">
        <f ca="1"/>
        <v>#VALUE!</v>
      </c>
    </row>
    <row r="2210" spans="13:23">
      <c r="M2210" s="219">
        <f t="shared" ca="1" si="140"/>
        <v>59091</v>
      </c>
      <c r="N2210" s="115" t="e">
        <f ca="1"/>
        <v>#VALUE!</v>
      </c>
      <c r="P2210" s="219">
        <f t="shared" ca="1" si="141"/>
        <v>59091</v>
      </c>
      <c r="Q2210" s="115" t="e">
        <f ca="1"/>
        <v>#VALUE!</v>
      </c>
      <c r="S2210" s="219">
        <f t="shared" ca="1" si="142"/>
        <v>59091</v>
      </c>
      <c r="T2210" s="115" t="e">
        <f ca="1"/>
        <v>#VALUE!</v>
      </c>
      <c r="V2210" s="219">
        <f t="shared" ca="1" si="143"/>
        <v>59091</v>
      </c>
      <c r="W2210" s="115" t="e">
        <f ca="1"/>
        <v>#VALUE!</v>
      </c>
    </row>
    <row r="2211" spans="13:23">
      <c r="M2211" s="219">
        <f t="shared" ca="1" si="140"/>
        <v>59098</v>
      </c>
      <c r="N2211" s="115" t="e">
        <f ca="1"/>
        <v>#VALUE!</v>
      </c>
      <c r="P2211" s="219">
        <f t="shared" ca="1" si="141"/>
        <v>59098</v>
      </c>
      <c r="Q2211" s="115" t="e">
        <f ca="1"/>
        <v>#VALUE!</v>
      </c>
      <c r="S2211" s="219">
        <f t="shared" ca="1" si="142"/>
        <v>59098</v>
      </c>
      <c r="T2211" s="115" t="e">
        <f ca="1"/>
        <v>#VALUE!</v>
      </c>
      <c r="V2211" s="219">
        <f t="shared" ca="1" si="143"/>
        <v>59098</v>
      </c>
      <c r="W2211" s="115" t="e">
        <f ca="1"/>
        <v>#VALUE!</v>
      </c>
    </row>
    <row r="2212" spans="13:23">
      <c r="M2212" s="219">
        <f t="shared" ca="1" si="140"/>
        <v>59105</v>
      </c>
      <c r="N2212" s="115" t="e">
        <f ca="1"/>
        <v>#VALUE!</v>
      </c>
      <c r="P2212" s="219">
        <f t="shared" ca="1" si="141"/>
        <v>59105</v>
      </c>
      <c r="Q2212" s="115" t="e">
        <f ca="1"/>
        <v>#VALUE!</v>
      </c>
      <c r="S2212" s="219">
        <f t="shared" ca="1" si="142"/>
        <v>59105</v>
      </c>
      <c r="T2212" s="115" t="e">
        <f ca="1"/>
        <v>#VALUE!</v>
      </c>
      <c r="V2212" s="219">
        <f t="shared" ca="1" si="143"/>
        <v>59105</v>
      </c>
      <c r="W2212" s="115" t="e">
        <f ca="1"/>
        <v>#VALUE!</v>
      </c>
    </row>
    <row r="2213" spans="13:23">
      <c r="M2213" s="219">
        <f t="shared" ca="1" si="140"/>
        <v>59112</v>
      </c>
      <c r="N2213" s="115" t="e">
        <f ca="1"/>
        <v>#VALUE!</v>
      </c>
      <c r="P2213" s="219">
        <f t="shared" ca="1" si="141"/>
        <v>59112</v>
      </c>
      <c r="Q2213" s="115" t="e">
        <f ca="1"/>
        <v>#VALUE!</v>
      </c>
      <c r="S2213" s="219">
        <f t="shared" ca="1" si="142"/>
        <v>59112</v>
      </c>
      <c r="T2213" s="115" t="e">
        <f ca="1"/>
        <v>#VALUE!</v>
      </c>
      <c r="V2213" s="219">
        <f t="shared" ca="1" si="143"/>
        <v>59112</v>
      </c>
      <c r="W2213" s="115" t="e">
        <f ca="1"/>
        <v>#VALUE!</v>
      </c>
    </row>
    <row r="2214" spans="13:23">
      <c r="M2214" s="219">
        <f t="shared" ca="1" si="140"/>
        <v>59119</v>
      </c>
      <c r="N2214" s="115" t="e">
        <f ca="1"/>
        <v>#VALUE!</v>
      </c>
      <c r="P2214" s="219">
        <f t="shared" ca="1" si="141"/>
        <v>59119</v>
      </c>
      <c r="Q2214" s="115" t="e">
        <f ca="1"/>
        <v>#VALUE!</v>
      </c>
      <c r="S2214" s="219">
        <f t="shared" ca="1" si="142"/>
        <v>59119</v>
      </c>
      <c r="T2214" s="115" t="e">
        <f ca="1"/>
        <v>#VALUE!</v>
      </c>
      <c r="V2214" s="219">
        <f t="shared" ca="1" si="143"/>
        <v>59119</v>
      </c>
      <c r="W2214" s="115" t="e">
        <f ca="1"/>
        <v>#VALUE!</v>
      </c>
    </row>
    <row r="2215" spans="13:23">
      <c r="M2215" s="219">
        <f t="shared" ca="1" si="140"/>
        <v>59126</v>
      </c>
      <c r="N2215" s="115" t="e">
        <f ca="1"/>
        <v>#VALUE!</v>
      </c>
      <c r="P2215" s="219">
        <f t="shared" ca="1" si="141"/>
        <v>59126</v>
      </c>
      <c r="Q2215" s="115" t="e">
        <f ca="1"/>
        <v>#VALUE!</v>
      </c>
      <c r="S2215" s="219">
        <f t="shared" ca="1" si="142"/>
        <v>59126</v>
      </c>
      <c r="T2215" s="115" t="e">
        <f ca="1"/>
        <v>#VALUE!</v>
      </c>
      <c r="V2215" s="219">
        <f t="shared" ca="1" si="143"/>
        <v>59126</v>
      </c>
      <c r="W2215" s="115" t="e">
        <f ca="1"/>
        <v>#VALUE!</v>
      </c>
    </row>
    <row r="2216" spans="13:23">
      <c r="M2216" s="219">
        <f t="shared" ca="1" si="140"/>
        <v>59133</v>
      </c>
      <c r="N2216" s="115" t="e">
        <f ca="1"/>
        <v>#VALUE!</v>
      </c>
      <c r="P2216" s="219">
        <f t="shared" ca="1" si="141"/>
        <v>59133</v>
      </c>
      <c r="Q2216" s="115" t="e">
        <f ca="1"/>
        <v>#VALUE!</v>
      </c>
      <c r="S2216" s="219">
        <f t="shared" ca="1" si="142"/>
        <v>59133</v>
      </c>
      <c r="T2216" s="115" t="e">
        <f ca="1"/>
        <v>#VALUE!</v>
      </c>
      <c r="V2216" s="219">
        <f t="shared" ca="1" si="143"/>
        <v>59133</v>
      </c>
      <c r="W2216" s="115" t="e">
        <f ca="1"/>
        <v>#VALUE!</v>
      </c>
    </row>
    <row r="2217" spans="13:23">
      <c r="M2217" s="219">
        <f t="shared" ca="1" si="140"/>
        <v>59140</v>
      </c>
      <c r="N2217" s="115" t="e">
        <f ca="1"/>
        <v>#VALUE!</v>
      </c>
      <c r="P2217" s="219">
        <f t="shared" ca="1" si="141"/>
        <v>59140</v>
      </c>
      <c r="Q2217" s="115" t="e">
        <f ca="1"/>
        <v>#VALUE!</v>
      </c>
      <c r="S2217" s="219">
        <f t="shared" ca="1" si="142"/>
        <v>59140</v>
      </c>
      <c r="T2217" s="115" t="e">
        <f ca="1"/>
        <v>#VALUE!</v>
      </c>
      <c r="V2217" s="219">
        <f t="shared" ca="1" si="143"/>
        <v>59140</v>
      </c>
      <c r="W2217" s="115" t="e">
        <f ca="1"/>
        <v>#VALUE!</v>
      </c>
    </row>
    <row r="2218" spans="13:23">
      <c r="M2218" s="219">
        <f t="shared" ca="1" si="140"/>
        <v>59147</v>
      </c>
      <c r="N2218" s="115" t="e">
        <f ca="1"/>
        <v>#VALUE!</v>
      </c>
      <c r="P2218" s="219">
        <f t="shared" ca="1" si="141"/>
        <v>59147</v>
      </c>
      <c r="Q2218" s="115" t="e">
        <f ca="1"/>
        <v>#VALUE!</v>
      </c>
      <c r="S2218" s="219">
        <f t="shared" ca="1" si="142"/>
        <v>59147</v>
      </c>
      <c r="T2218" s="115" t="e">
        <f ca="1"/>
        <v>#VALUE!</v>
      </c>
      <c r="V2218" s="219">
        <f t="shared" ca="1" si="143"/>
        <v>59147</v>
      </c>
      <c r="W2218" s="115" t="e">
        <f ca="1"/>
        <v>#VALUE!</v>
      </c>
    </row>
    <row r="2219" spans="13:23">
      <c r="M2219" s="219">
        <f t="shared" ca="1" si="140"/>
        <v>59154</v>
      </c>
      <c r="N2219" s="115" t="e">
        <f ca="1"/>
        <v>#VALUE!</v>
      </c>
      <c r="P2219" s="219">
        <f t="shared" ca="1" si="141"/>
        <v>59154</v>
      </c>
      <c r="Q2219" s="115" t="e">
        <f ca="1"/>
        <v>#VALUE!</v>
      </c>
      <c r="S2219" s="219">
        <f t="shared" ca="1" si="142"/>
        <v>59154</v>
      </c>
      <c r="T2219" s="115" t="e">
        <f ca="1"/>
        <v>#VALUE!</v>
      </c>
      <c r="V2219" s="219">
        <f t="shared" ca="1" si="143"/>
        <v>59154</v>
      </c>
      <c r="W2219" s="115" t="e">
        <f ca="1"/>
        <v>#VALUE!</v>
      </c>
    </row>
    <row r="2220" spans="13:23">
      <c r="M2220" s="219">
        <f t="shared" ca="1" si="140"/>
        <v>59161</v>
      </c>
      <c r="N2220" s="115" t="e">
        <f ca="1"/>
        <v>#VALUE!</v>
      </c>
      <c r="P2220" s="219">
        <f t="shared" ca="1" si="141"/>
        <v>59161</v>
      </c>
      <c r="Q2220" s="115" t="e">
        <f ca="1"/>
        <v>#VALUE!</v>
      </c>
      <c r="S2220" s="219">
        <f t="shared" ca="1" si="142"/>
        <v>59161</v>
      </c>
      <c r="T2220" s="115" t="e">
        <f ca="1"/>
        <v>#VALUE!</v>
      </c>
      <c r="V2220" s="219">
        <f t="shared" ca="1" si="143"/>
        <v>59161</v>
      </c>
      <c r="W2220" s="115" t="e">
        <f ca="1"/>
        <v>#VALUE!</v>
      </c>
    </row>
    <row r="2221" spans="13:23">
      <c r="M2221" s="219">
        <f t="shared" ca="1" si="140"/>
        <v>59168</v>
      </c>
      <c r="N2221" s="115" t="e">
        <f ca="1"/>
        <v>#VALUE!</v>
      </c>
      <c r="P2221" s="219">
        <f t="shared" ca="1" si="141"/>
        <v>59168</v>
      </c>
      <c r="Q2221" s="115" t="e">
        <f ca="1"/>
        <v>#VALUE!</v>
      </c>
      <c r="S2221" s="219">
        <f t="shared" ca="1" si="142"/>
        <v>59168</v>
      </c>
      <c r="T2221" s="115" t="e">
        <f ca="1"/>
        <v>#VALUE!</v>
      </c>
      <c r="V2221" s="219">
        <f t="shared" ca="1" si="143"/>
        <v>59168</v>
      </c>
      <c r="W2221" s="115" t="e">
        <f ca="1"/>
        <v>#VALUE!</v>
      </c>
    </row>
    <row r="2222" spans="13:23">
      <c r="M2222" s="219">
        <f t="shared" ca="1" si="140"/>
        <v>59175</v>
      </c>
      <c r="N2222" s="115" t="e">
        <f ca="1"/>
        <v>#VALUE!</v>
      </c>
      <c r="P2222" s="219">
        <f t="shared" ca="1" si="141"/>
        <v>59175</v>
      </c>
      <c r="Q2222" s="115" t="e">
        <f ca="1"/>
        <v>#VALUE!</v>
      </c>
      <c r="S2222" s="219">
        <f t="shared" ca="1" si="142"/>
        <v>59175</v>
      </c>
      <c r="T2222" s="115" t="e">
        <f ca="1"/>
        <v>#VALUE!</v>
      </c>
      <c r="V2222" s="219">
        <f t="shared" ca="1" si="143"/>
        <v>59175</v>
      </c>
      <c r="W2222" s="115" t="e">
        <f ca="1"/>
        <v>#VALUE!</v>
      </c>
    </row>
    <row r="2223" spans="13:23">
      <c r="M2223" s="219">
        <f t="shared" ca="1" si="140"/>
        <v>59182</v>
      </c>
      <c r="N2223" s="115" t="e">
        <f ca="1"/>
        <v>#VALUE!</v>
      </c>
      <c r="P2223" s="219">
        <f t="shared" ca="1" si="141"/>
        <v>59182</v>
      </c>
      <c r="Q2223" s="115" t="e">
        <f ca="1"/>
        <v>#VALUE!</v>
      </c>
      <c r="S2223" s="219">
        <f t="shared" ca="1" si="142"/>
        <v>59182</v>
      </c>
      <c r="T2223" s="115" t="e">
        <f ca="1"/>
        <v>#VALUE!</v>
      </c>
      <c r="V2223" s="219">
        <f t="shared" ca="1" si="143"/>
        <v>59182</v>
      </c>
      <c r="W2223" s="115" t="e">
        <f ca="1"/>
        <v>#VALUE!</v>
      </c>
    </row>
    <row r="2224" spans="13:23">
      <c r="M2224" s="219">
        <f t="shared" ca="1" si="140"/>
        <v>59189</v>
      </c>
      <c r="N2224" s="115" t="e">
        <f ca="1"/>
        <v>#VALUE!</v>
      </c>
      <c r="P2224" s="219">
        <f t="shared" ca="1" si="141"/>
        <v>59189</v>
      </c>
      <c r="Q2224" s="115" t="e">
        <f ca="1"/>
        <v>#VALUE!</v>
      </c>
      <c r="S2224" s="219">
        <f t="shared" ca="1" si="142"/>
        <v>59189</v>
      </c>
      <c r="T2224" s="115" t="e">
        <f ca="1"/>
        <v>#VALUE!</v>
      </c>
      <c r="V2224" s="219">
        <f t="shared" ca="1" si="143"/>
        <v>59189</v>
      </c>
      <c r="W2224" s="115" t="e">
        <f ca="1"/>
        <v>#VALUE!</v>
      </c>
    </row>
    <row r="2225" spans="13:23">
      <c r="M2225" s="219">
        <f t="shared" ca="1" si="140"/>
        <v>59196</v>
      </c>
      <c r="N2225" s="115" t="e">
        <f ca="1"/>
        <v>#VALUE!</v>
      </c>
      <c r="P2225" s="219">
        <f t="shared" ca="1" si="141"/>
        <v>59196</v>
      </c>
      <c r="Q2225" s="115" t="e">
        <f ca="1"/>
        <v>#VALUE!</v>
      </c>
      <c r="S2225" s="219">
        <f t="shared" ca="1" si="142"/>
        <v>59196</v>
      </c>
      <c r="T2225" s="115" t="e">
        <f ca="1"/>
        <v>#VALUE!</v>
      </c>
      <c r="V2225" s="219">
        <f t="shared" ca="1" si="143"/>
        <v>59196</v>
      </c>
      <c r="W2225" s="115" t="e">
        <f ca="1"/>
        <v>#VALUE!</v>
      </c>
    </row>
    <row r="2226" spans="13:23">
      <c r="M2226" s="219">
        <f t="shared" ca="1" si="140"/>
        <v>59203</v>
      </c>
      <c r="N2226" s="115" t="e">
        <f ca="1"/>
        <v>#VALUE!</v>
      </c>
      <c r="P2226" s="219">
        <f t="shared" ca="1" si="141"/>
        <v>59203</v>
      </c>
      <c r="Q2226" s="115" t="e">
        <f ca="1"/>
        <v>#VALUE!</v>
      </c>
      <c r="S2226" s="219">
        <f t="shared" ca="1" si="142"/>
        <v>59203</v>
      </c>
      <c r="T2226" s="115" t="e">
        <f ca="1"/>
        <v>#VALUE!</v>
      </c>
      <c r="V2226" s="219">
        <f t="shared" ca="1" si="143"/>
        <v>59203</v>
      </c>
      <c r="W2226" s="115" t="e">
        <f ca="1"/>
        <v>#VALUE!</v>
      </c>
    </row>
    <row r="2227" spans="13:23">
      <c r="M2227" s="219">
        <f t="shared" ca="1" si="140"/>
        <v>59210</v>
      </c>
      <c r="N2227" s="115" t="e">
        <f ca="1"/>
        <v>#VALUE!</v>
      </c>
      <c r="P2227" s="219">
        <f t="shared" ca="1" si="141"/>
        <v>59210</v>
      </c>
      <c r="Q2227" s="115" t="e">
        <f ca="1"/>
        <v>#VALUE!</v>
      </c>
      <c r="S2227" s="219">
        <f t="shared" ca="1" si="142"/>
        <v>59210</v>
      </c>
      <c r="T2227" s="115" t="e">
        <f ca="1"/>
        <v>#VALUE!</v>
      </c>
      <c r="V2227" s="219">
        <f t="shared" ca="1" si="143"/>
        <v>59210</v>
      </c>
      <c r="W2227" s="115" t="e">
        <f ca="1"/>
        <v>#VALUE!</v>
      </c>
    </row>
    <row r="2228" spans="13:23">
      <c r="M2228" s="219">
        <f t="shared" ca="1" si="140"/>
        <v>59217</v>
      </c>
      <c r="N2228" s="115" t="e">
        <f ca="1"/>
        <v>#VALUE!</v>
      </c>
      <c r="P2228" s="219">
        <f t="shared" ca="1" si="141"/>
        <v>59217</v>
      </c>
      <c r="Q2228" s="115" t="e">
        <f ca="1"/>
        <v>#VALUE!</v>
      </c>
      <c r="S2228" s="219">
        <f t="shared" ca="1" si="142"/>
        <v>59217</v>
      </c>
      <c r="T2228" s="115" t="e">
        <f ca="1"/>
        <v>#VALUE!</v>
      </c>
      <c r="V2228" s="219">
        <f t="shared" ca="1" si="143"/>
        <v>59217</v>
      </c>
      <c r="W2228" s="115" t="e">
        <f ca="1"/>
        <v>#VALUE!</v>
      </c>
    </row>
    <row r="2229" spans="13:23">
      <c r="M2229" s="219">
        <f t="shared" ca="1" si="140"/>
        <v>59224</v>
      </c>
      <c r="N2229" s="115" t="e">
        <f ca="1"/>
        <v>#VALUE!</v>
      </c>
      <c r="P2229" s="219">
        <f t="shared" ca="1" si="141"/>
        <v>59224</v>
      </c>
      <c r="Q2229" s="115" t="e">
        <f ca="1"/>
        <v>#VALUE!</v>
      </c>
      <c r="S2229" s="219">
        <f t="shared" ca="1" si="142"/>
        <v>59224</v>
      </c>
      <c r="T2229" s="115" t="e">
        <f ca="1"/>
        <v>#VALUE!</v>
      </c>
      <c r="V2229" s="219">
        <f t="shared" ca="1" si="143"/>
        <v>59224</v>
      </c>
      <c r="W2229" s="115" t="e">
        <f ca="1"/>
        <v>#VALUE!</v>
      </c>
    </row>
    <row r="2230" spans="13:23">
      <c r="M2230" s="219">
        <f t="shared" ca="1" si="140"/>
        <v>59231</v>
      </c>
      <c r="N2230" s="115" t="e">
        <f ca="1"/>
        <v>#VALUE!</v>
      </c>
      <c r="P2230" s="219">
        <f t="shared" ca="1" si="141"/>
        <v>59231</v>
      </c>
      <c r="Q2230" s="115" t="e">
        <f ca="1"/>
        <v>#VALUE!</v>
      </c>
      <c r="S2230" s="219">
        <f t="shared" ca="1" si="142"/>
        <v>59231</v>
      </c>
      <c r="T2230" s="115" t="e">
        <f ca="1"/>
        <v>#VALUE!</v>
      </c>
      <c r="V2230" s="219">
        <f t="shared" ca="1" si="143"/>
        <v>59231</v>
      </c>
      <c r="W2230" s="115" t="e">
        <f ca="1"/>
        <v>#VALUE!</v>
      </c>
    </row>
    <row r="2231" spans="13:23">
      <c r="M2231" s="219">
        <f t="shared" ca="1" si="140"/>
        <v>59238</v>
      </c>
      <c r="N2231" s="115" t="e">
        <f ca="1"/>
        <v>#VALUE!</v>
      </c>
      <c r="P2231" s="219">
        <f t="shared" ca="1" si="141"/>
        <v>59238</v>
      </c>
      <c r="Q2231" s="115" t="e">
        <f ca="1"/>
        <v>#VALUE!</v>
      </c>
      <c r="S2231" s="219">
        <f t="shared" ca="1" si="142"/>
        <v>59238</v>
      </c>
      <c r="T2231" s="115" t="e">
        <f ca="1"/>
        <v>#VALUE!</v>
      </c>
      <c r="V2231" s="219">
        <f t="shared" ca="1" si="143"/>
        <v>59238</v>
      </c>
      <c r="W2231" s="115" t="e">
        <f ca="1"/>
        <v>#VALUE!</v>
      </c>
    </row>
    <row r="2232" spans="13:23">
      <c r="M2232" s="219">
        <f t="shared" ca="1" si="140"/>
        <v>59245</v>
      </c>
      <c r="N2232" s="115" t="e">
        <f ca="1"/>
        <v>#VALUE!</v>
      </c>
      <c r="P2232" s="219">
        <f t="shared" ca="1" si="141"/>
        <v>59245</v>
      </c>
      <c r="Q2232" s="115" t="e">
        <f ca="1"/>
        <v>#VALUE!</v>
      </c>
      <c r="S2232" s="219">
        <f t="shared" ca="1" si="142"/>
        <v>59245</v>
      </c>
      <c r="T2232" s="115" t="e">
        <f ca="1"/>
        <v>#VALUE!</v>
      </c>
      <c r="V2232" s="219">
        <f t="shared" ca="1" si="143"/>
        <v>59245</v>
      </c>
      <c r="W2232" s="115" t="e">
        <f ca="1"/>
        <v>#VALUE!</v>
      </c>
    </row>
    <row r="2233" spans="13:23">
      <c r="M2233" s="219">
        <f t="shared" ca="1" si="140"/>
        <v>59252</v>
      </c>
      <c r="N2233" s="115" t="e">
        <f ca="1"/>
        <v>#VALUE!</v>
      </c>
      <c r="P2233" s="219">
        <f t="shared" ca="1" si="141"/>
        <v>59252</v>
      </c>
      <c r="Q2233" s="115" t="e">
        <f ca="1"/>
        <v>#VALUE!</v>
      </c>
      <c r="S2233" s="219">
        <f t="shared" ca="1" si="142"/>
        <v>59252</v>
      </c>
      <c r="T2233" s="115" t="e">
        <f ca="1"/>
        <v>#VALUE!</v>
      </c>
      <c r="V2233" s="219">
        <f t="shared" ca="1" si="143"/>
        <v>59252</v>
      </c>
      <c r="W2233" s="115" t="e">
        <f ca="1"/>
        <v>#VALUE!</v>
      </c>
    </row>
    <row r="2234" spans="13:23">
      <c r="M2234" s="219">
        <f t="shared" ca="1" si="140"/>
        <v>59259</v>
      </c>
      <c r="N2234" s="115" t="e">
        <f ca="1"/>
        <v>#VALUE!</v>
      </c>
      <c r="P2234" s="219">
        <f t="shared" ca="1" si="141"/>
        <v>59259</v>
      </c>
      <c r="Q2234" s="115" t="e">
        <f ca="1"/>
        <v>#VALUE!</v>
      </c>
      <c r="S2234" s="219">
        <f t="shared" ca="1" si="142"/>
        <v>59259</v>
      </c>
      <c r="T2234" s="115" t="e">
        <f ca="1"/>
        <v>#VALUE!</v>
      </c>
      <c r="V2234" s="219">
        <f t="shared" ca="1" si="143"/>
        <v>59259</v>
      </c>
      <c r="W2234" s="115" t="e">
        <f ca="1"/>
        <v>#VALUE!</v>
      </c>
    </row>
    <row r="2235" spans="13:23">
      <c r="M2235" s="219">
        <f t="shared" ca="1" si="140"/>
        <v>59266</v>
      </c>
      <c r="N2235" s="115" t="e">
        <f ca="1"/>
        <v>#VALUE!</v>
      </c>
      <c r="P2235" s="219">
        <f t="shared" ca="1" si="141"/>
        <v>59266</v>
      </c>
      <c r="Q2235" s="115" t="e">
        <f ca="1"/>
        <v>#VALUE!</v>
      </c>
      <c r="S2235" s="219">
        <f t="shared" ca="1" si="142"/>
        <v>59266</v>
      </c>
      <c r="T2235" s="115" t="e">
        <f ca="1"/>
        <v>#VALUE!</v>
      </c>
      <c r="V2235" s="219">
        <f t="shared" ca="1" si="143"/>
        <v>59266</v>
      </c>
      <c r="W2235" s="115" t="e">
        <f ca="1"/>
        <v>#VALUE!</v>
      </c>
    </row>
    <row r="2236" spans="13:23">
      <c r="M2236" s="219">
        <f t="shared" ca="1" si="140"/>
        <v>59273</v>
      </c>
      <c r="N2236" s="115" t="e">
        <f ca="1"/>
        <v>#VALUE!</v>
      </c>
      <c r="P2236" s="219">
        <f t="shared" ca="1" si="141"/>
        <v>59273</v>
      </c>
      <c r="Q2236" s="115" t="e">
        <f ca="1"/>
        <v>#VALUE!</v>
      </c>
      <c r="S2236" s="219">
        <f t="shared" ca="1" si="142"/>
        <v>59273</v>
      </c>
      <c r="T2236" s="115" t="e">
        <f ca="1"/>
        <v>#VALUE!</v>
      </c>
      <c r="V2236" s="219">
        <f t="shared" ca="1" si="143"/>
        <v>59273</v>
      </c>
      <c r="W2236" s="115" t="e">
        <f ca="1"/>
        <v>#VALUE!</v>
      </c>
    </row>
    <row r="2237" spans="13:23">
      <c r="M2237" s="219">
        <f t="shared" ca="1" si="140"/>
        <v>59280</v>
      </c>
      <c r="N2237" s="115" t="e">
        <f ca="1"/>
        <v>#VALUE!</v>
      </c>
      <c r="P2237" s="219">
        <f t="shared" ca="1" si="141"/>
        <v>59280</v>
      </c>
      <c r="Q2237" s="115" t="e">
        <f ca="1"/>
        <v>#VALUE!</v>
      </c>
      <c r="S2237" s="219">
        <f t="shared" ca="1" si="142"/>
        <v>59280</v>
      </c>
      <c r="T2237" s="115" t="e">
        <f ca="1"/>
        <v>#VALUE!</v>
      </c>
      <c r="V2237" s="219">
        <f t="shared" ca="1" si="143"/>
        <v>59280</v>
      </c>
      <c r="W2237" s="115" t="e">
        <f ca="1"/>
        <v>#VALUE!</v>
      </c>
    </row>
    <row r="2238" spans="13:23">
      <c r="M2238" s="219">
        <f t="shared" ca="1" si="140"/>
        <v>59287</v>
      </c>
      <c r="N2238" s="115" t="e">
        <f ca="1"/>
        <v>#VALUE!</v>
      </c>
      <c r="P2238" s="219">
        <f t="shared" ca="1" si="141"/>
        <v>59287</v>
      </c>
      <c r="Q2238" s="115" t="e">
        <f ca="1"/>
        <v>#VALUE!</v>
      </c>
      <c r="S2238" s="219">
        <f t="shared" ca="1" si="142"/>
        <v>59287</v>
      </c>
      <c r="T2238" s="115" t="e">
        <f ca="1"/>
        <v>#VALUE!</v>
      </c>
      <c r="V2238" s="219">
        <f t="shared" ca="1" si="143"/>
        <v>59287</v>
      </c>
      <c r="W2238" s="115" t="e">
        <f ca="1"/>
        <v>#VALUE!</v>
      </c>
    </row>
    <row r="2239" spans="13:23">
      <c r="M2239" s="219">
        <f t="shared" ca="1" si="140"/>
        <v>59294</v>
      </c>
      <c r="N2239" s="115" t="e">
        <f ca="1"/>
        <v>#VALUE!</v>
      </c>
      <c r="P2239" s="219">
        <f t="shared" ca="1" si="141"/>
        <v>59294</v>
      </c>
      <c r="Q2239" s="115" t="e">
        <f ca="1"/>
        <v>#VALUE!</v>
      </c>
      <c r="S2239" s="219">
        <f t="shared" ca="1" si="142"/>
        <v>59294</v>
      </c>
      <c r="T2239" s="115" t="e">
        <f ca="1"/>
        <v>#VALUE!</v>
      </c>
      <c r="V2239" s="219">
        <f t="shared" ca="1" si="143"/>
        <v>59294</v>
      </c>
      <c r="W2239" s="115" t="e">
        <f ca="1"/>
        <v>#VALUE!</v>
      </c>
    </row>
    <row r="2240" spans="13:23">
      <c r="M2240" s="219">
        <f t="shared" ca="1" si="140"/>
        <v>59301</v>
      </c>
      <c r="N2240" s="115" t="e">
        <f ca="1"/>
        <v>#VALUE!</v>
      </c>
      <c r="P2240" s="219">
        <f t="shared" ca="1" si="141"/>
        <v>59301</v>
      </c>
      <c r="Q2240" s="115" t="e">
        <f ca="1"/>
        <v>#VALUE!</v>
      </c>
      <c r="S2240" s="219">
        <f t="shared" ca="1" si="142"/>
        <v>59301</v>
      </c>
      <c r="T2240" s="115" t="e">
        <f ca="1"/>
        <v>#VALUE!</v>
      </c>
      <c r="V2240" s="219">
        <f t="shared" ca="1" si="143"/>
        <v>59301</v>
      </c>
      <c r="W2240" s="115" t="e">
        <f ca="1"/>
        <v>#VALUE!</v>
      </c>
    </row>
    <row r="2241" spans="13:23">
      <c r="M2241" s="219">
        <f t="shared" ca="1" si="140"/>
        <v>59308</v>
      </c>
      <c r="N2241" s="115" t="e">
        <f ca="1"/>
        <v>#VALUE!</v>
      </c>
      <c r="P2241" s="219">
        <f t="shared" ca="1" si="141"/>
        <v>59308</v>
      </c>
      <c r="Q2241" s="115" t="e">
        <f ca="1"/>
        <v>#VALUE!</v>
      </c>
      <c r="S2241" s="219">
        <f t="shared" ca="1" si="142"/>
        <v>59308</v>
      </c>
      <c r="T2241" s="115" t="e">
        <f ca="1"/>
        <v>#VALUE!</v>
      </c>
      <c r="V2241" s="219">
        <f t="shared" ca="1" si="143"/>
        <v>59308</v>
      </c>
      <c r="W2241" s="115" t="e">
        <f ca="1"/>
        <v>#VALUE!</v>
      </c>
    </row>
    <row r="2242" spans="13:23">
      <c r="M2242" s="219">
        <f t="shared" ca="1" si="140"/>
        <v>59315</v>
      </c>
      <c r="N2242" s="115" t="e">
        <f ca="1"/>
        <v>#VALUE!</v>
      </c>
      <c r="P2242" s="219">
        <f t="shared" ca="1" si="141"/>
        <v>59315</v>
      </c>
      <c r="Q2242" s="115" t="e">
        <f ca="1"/>
        <v>#VALUE!</v>
      </c>
      <c r="S2242" s="219">
        <f t="shared" ca="1" si="142"/>
        <v>59315</v>
      </c>
      <c r="T2242" s="115" t="e">
        <f ca="1"/>
        <v>#VALUE!</v>
      </c>
      <c r="V2242" s="219">
        <f t="shared" ca="1" si="143"/>
        <v>59315</v>
      </c>
      <c r="W2242" s="115" t="e">
        <f ca="1"/>
        <v>#VALUE!</v>
      </c>
    </row>
    <row r="2243" spans="13:23">
      <c r="M2243" s="219">
        <f t="shared" ca="1" si="140"/>
        <v>59322</v>
      </c>
      <c r="N2243" s="115" t="e">
        <f ca="1"/>
        <v>#VALUE!</v>
      </c>
      <c r="P2243" s="219">
        <f t="shared" ca="1" si="141"/>
        <v>59322</v>
      </c>
      <c r="Q2243" s="115" t="e">
        <f ca="1"/>
        <v>#VALUE!</v>
      </c>
      <c r="S2243" s="219">
        <f t="shared" ca="1" si="142"/>
        <v>59322</v>
      </c>
      <c r="T2243" s="115" t="e">
        <f ca="1"/>
        <v>#VALUE!</v>
      </c>
      <c r="V2243" s="219">
        <f t="shared" ca="1" si="143"/>
        <v>59322</v>
      </c>
      <c r="W2243" s="115" t="e">
        <f ca="1"/>
        <v>#VALUE!</v>
      </c>
    </row>
    <row r="2244" spans="13:23">
      <c r="M2244" s="219">
        <f t="shared" ca="1" si="140"/>
        <v>59329</v>
      </c>
      <c r="N2244" s="115" t="e">
        <f ca="1"/>
        <v>#VALUE!</v>
      </c>
      <c r="P2244" s="219">
        <f t="shared" ca="1" si="141"/>
        <v>59329</v>
      </c>
      <c r="Q2244" s="115" t="e">
        <f ca="1"/>
        <v>#VALUE!</v>
      </c>
      <c r="S2244" s="219">
        <f t="shared" ca="1" si="142"/>
        <v>59329</v>
      </c>
      <c r="T2244" s="115" t="e">
        <f ca="1"/>
        <v>#VALUE!</v>
      </c>
      <c r="V2244" s="219">
        <f t="shared" ca="1" si="143"/>
        <v>59329</v>
      </c>
      <c r="W2244" s="115" t="e">
        <f ca="1"/>
        <v>#VALUE!</v>
      </c>
    </row>
    <row r="2245" spans="13:23">
      <c r="M2245" s="219">
        <f t="shared" ca="1" si="140"/>
        <v>59336</v>
      </c>
      <c r="N2245" s="115" t="e">
        <f ca="1"/>
        <v>#VALUE!</v>
      </c>
      <c r="P2245" s="219">
        <f t="shared" ca="1" si="141"/>
        <v>59336</v>
      </c>
      <c r="Q2245" s="115" t="e">
        <f ca="1"/>
        <v>#VALUE!</v>
      </c>
      <c r="S2245" s="219">
        <f t="shared" ca="1" si="142"/>
        <v>59336</v>
      </c>
      <c r="T2245" s="115" t="e">
        <f ca="1"/>
        <v>#VALUE!</v>
      </c>
      <c r="V2245" s="219">
        <f t="shared" ca="1" si="143"/>
        <v>59336</v>
      </c>
      <c r="W2245" s="115" t="e">
        <f ca="1"/>
        <v>#VALUE!</v>
      </c>
    </row>
    <row r="2246" spans="13:23">
      <c r="M2246" s="219">
        <f t="shared" ca="1" si="140"/>
        <v>59343</v>
      </c>
      <c r="N2246" s="115" t="e">
        <f ca="1"/>
        <v>#VALUE!</v>
      </c>
      <c r="P2246" s="219">
        <f t="shared" ca="1" si="141"/>
        <v>59343</v>
      </c>
      <c r="Q2246" s="115" t="e">
        <f ca="1"/>
        <v>#VALUE!</v>
      </c>
      <c r="S2246" s="219">
        <f t="shared" ca="1" si="142"/>
        <v>59343</v>
      </c>
      <c r="T2246" s="115" t="e">
        <f ca="1"/>
        <v>#VALUE!</v>
      </c>
      <c r="V2246" s="219">
        <f t="shared" ca="1" si="143"/>
        <v>59343</v>
      </c>
      <c r="W2246" s="115" t="e">
        <f ca="1"/>
        <v>#VALUE!</v>
      </c>
    </row>
    <row r="2247" spans="13:23">
      <c r="M2247" s="219">
        <f t="shared" ca="1" si="140"/>
        <v>59350</v>
      </c>
      <c r="N2247" s="115" t="e">
        <f ca="1"/>
        <v>#VALUE!</v>
      </c>
      <c r="P2247" s="219">
        <f t="shared" ca="1" si="141"/>
        <v>59350</v>
      </c>
      <c r="Q2247" s="115" t="e">
        <f ca="1"/>
        <v>#VALUE!</v>
      </c>
      <c r="S2247" s="219">
        <f t="shared" ca="1" si="142"/>
        <v>59350</v>
      </c>
      <c r="T2247" s="115" t="e">
        <f ca="1"/>
        <v>#VALUE!</v>
      </c>
      <c r="V2247" s="219">
        <f t="shared" ca="1" si="143"/>
        <v>59350</v>
      </c>
      <c r="W2247" s="115" t="e">
        <f ca="1"/>
        <v>#VALUE!</v>
      </c>
    </row>
    <row r="2248" spans="13:23">
      <c r="M2248" s="219">
        <f t="shared" ca="1" si="140"/>
        <v>59357</v>
      </c>
      <c r="N2248" s="115" t="e">
        <f ca="1"/>
        <v>#VALUE!</v>
      </c>
      <c r="P2248" s="219">
        <f t="shared" ca="1" si="141"/>
        <v>59357</v>
      </c>
      <c r="Q2248" s="115" t="e">
        <f ca="1"/>
        <v>#VALUE!</v>
      </c>
      <c r="S2248" s="219">
        <f t="shared" ca="1" si="142"/>
        <v>59357</v>
      </c>
      <c r="T2248" s="115" t="e">
        <f ca="1"/>
        <v>#VALUE!</v>
      </c>
      <c r="V2248" s="219">
        <f t="shared" ca="1" si="143"/>
        <v>59357</v>
      </c>
      <c r="W2248" s="115" t="e">
        <f ca="1"/>
        <v>#VALUE!</v>
      </c>
    </row>
    <row r="2249" spans="13:23">
      <c r="M2249" s="219">
        <f t="shared" ca="1" si="140"/>
        <v>59364</v>
      </c>
      <c r="N2249" s="115" t="e">
        <f ca="1"/>
        <v>#VALUE!</v>
      </c>
      <c r="P2249" s="219">
        <f t="shared" ca="1" si="141"/>
        <v>59364</v>
      </c>
      <c r="Q2249" s="115" t="e">
        <f ca="1"/>
        <v>#VALUE!</v>
      </c>
      <c r="S2249" s="219">
        <f t="shared" ca="1" si="142"/>
        <v>59364</v>
      </c>
      <c r="T2249" s="115" t="e">
        <f ca="1"/>
        <v>#VALUE!</v>
      </c>
      <c r="V2249" s="219">
        <f t="shared" ca="1" si="143"/>
        <v>59364</v>
      </c>
      <c r="W2249" s="115" t="e">
        <f ca="1"/>
        <v>#VALUE!</v>
      </c>
    </row>
    <row r="2250" spans="13:23">
      <c r="M2250" s="219">
        <f t="shared" ca="1" si="140"/>
        <v>59371</v>
      </c>
      <c r="N2250" s="115" t="e">
        <f ca="1"/>
        <v>#VALUE!</v>
      </c>
      <c r="P2250" s="219">
        <f t="shared" ca="1" si="141"/>
        <v>59371</v>
      </c>
      <c r="Q2250" s="115" t="e">
        <f ca="1"/>
        <v>#VALUE!</v>
      </c>
      <c r="S2250" s="219">
        <f t="shared" ca="1" si="142"/>
        <v>59371</v>
      </c>
      <c r="T2250" s="115" t="e">
        <f ca="1"/>
        <v>#VALUE!</v>
      </c>
      <c r="V2250" s="219">
        <f t="shared" ca="1" si="143"/>
        <v>59371</v>
      </c>
      <c r="W2250" s="115" t="e">
        <f ca="1"/>
        <v>#VALUE!</v>
      </c>
    </row>
    <row r="2251" spans="13:23">
      <c r="M2251" s="219">
        <f t="shared" ca="1" si="140"/>
        <v>59378</v>
      </c>
      <c r="N2251" s="115" t="e">
        <f ca="1"/>
        <v>#VALUE!</v>
      </c>
      <c r="P2251" s="219">
        <f t="shared" ca="1" si="141"/>
        <v>59378</v>
      </c>
      <c r="Q2251" s="115" t="e">
        <f ca="1"/>
        <v>#VALUE!</v>
      </c>
      <c r="S2251" s="219">
        <f t="shared" ca="1" si="142"/>
        <v>59378</v>
      </c>
      <c r="T2251" s="115" t="e">
        <f ca="1"/>
        <v>#VALUE!</v>
      </c>
      <c r="V2251" s="219">
        <f t="shared" ca="1" si="143"/>
        <v>59378</v>
      </c>
      <c r="W2251" s="115" t="e">
        <f ca="1"/>
        <v>#VALUE!</v>
      </c>
    </row>
    <row r="2252" spans="13:23">
      <c r="M2252" s="219">
        <f t="shared" ca="1" si="140"/>
        <v>59385</v>
      </c>
      <c r="N2252" s="115" t="e">
        <f ca="1"/>
        <v>#VALUE!</v>
      </c>
      <c r="P2252" s="219">
        <f t="shared" ca="1" si="141"/>
        <v>59385</v>
      </c>
      <c r="Q2252" s="115" t="e">
        <f ca="1"/>
        <v>#VALUE!</v>
      </c>
      <c r="S2252" s="219">
        <f t="shared" ca="1" si="142"/>
        <v>59385</v>
      </c>
      <c r="T2252" s="115" t="e">
        <f ca="1"/>
        <v>#VALUE!</v>
      </c>
      <c r="V2252" s="219">
        <f t="shared" ca="1" si="143"/>
        <v>59385</v>
      </c>
      <c r="W2252" s="115" t="e">
        <f ca="1"/>
        <v>#VALUE!</v>
      </c>
    </row>
    <row r="2253" spans="13:23">
      <c r="M2253" s="219">
        <f t="shared" ref="M2253:M2316" ca="1" si="144">M2252+7</f>
        <v>59392</v>
      </c>
      <c r="N2253" s="115" t="e">
        <f ca="1"/>
        <v>#VALUE!</v>
      </c>
      <c r="P2253" s="219">
        <f t="shared" ca="1" si="141"/>
        <v>59392</v>
      </c>
      <c r="Q2253" s="115" t="e">
        <f ca="1"/>
        <v>#VALUE!</v>
      </c>
      <c r="S2253" s="219">
        <f t="shared" ca="1" si="142"/>
        <v>59392</v>
      </c>
      <c r="T2253" s="115" t="e">
        <f ca="1"/>
        <v>#VALUE!</v>
      </c>
      <c r="V2253" s="219">
        <f t="shared" ca="1" si="143"/>
        <v>59392</v>
      </c>
      <c r="W2253" s="115" t="e">
        <f ca="1"/>
        <v>#VALUE!</v>
      </c>
    </row>
    <row r="2254" spans="13:23">
      <c r="M2254" s="219">
        <f t="shared" ca="1" si="144"/>
        <v>59399</v>
      </c>
      <c r="N2254" s="115" t="e">
        <f ca="1"/>
        <v>#VALUE!</v>
      </c>
      <c r="P2254" s="219">
        <f t="shared" ca="1" si="141"/>
        <v>59399</v>
      </c>
      <c r="Q2254" s="115" t="e">
        <f ca="1"/>
        <v>#VALUE!</v>
      </c>
      <c r="S2254" s="219">
        <f t="shared" ca="1" si="142"/>
        <v>59399</v>
      </c>
      <c r="T2254" s="115" t="e">
        <f ca="1"/>
        <v>#VALUE!</v>
      </c>
      <c r="V2254" s="219">
        <f t="shared" ca="1" si="143"/>
        <v>59399</v>
      </c>
      <c r="W2254" s="115" t="e">
        <f ca="1"/>
        <v>#VALUE!</v>
      </c>
    </row>
    <row r="2255" spans="13:23">
      <c r="M2255" s="219">
        <f t="shared" ca="1" si="144"/>
        <v>59406</v>
      </c>
      <c r="N2255" s="115" t="e">
        <f ca="1"/>
        <v>#VALUE!</v>
      </c>
      <c r="P2255" s="219">
        <f t="shared" ca="1" si="141"/>
        <v>59406</v>
      </c>
      <c r="Q2255" s="115" t="e">
        <f ca="1"/>
        <v>#VALUE!</v>
      </c>
      <c r="S2255" s="219">
        <f t="shared" ca="1" si="142"/>
        <v>59406</v>
      </c>
      <c r="T2255" s="115" t="e">
        <f ca="1"/>
        <v>#VALUE!</v>
      </c>
      <c r="V2255" s="219">
        <f t="shared" ca="1" si="143"/>
        <v>59406</v>
      </c>
      <c r="W2255" s="115" t="e">
        <f ca="1"/>
        <v>#VALUE!</v>
      </c>
    </row>
    <row r="2256" spans="13:23">
      <c r="M2256" s="219">
        <f t="shared" ca="1" si="144"/>
        <v>59413</v>
      </c>
      <c r="N2256" s="115" t="e">
        <f ca="1"/>
        <v>#VALUE!</v>
      </c>
      <c r="P2256" s="219">
        <f t="shared" ca="1" si="141"/>
        <v>59413</v>
      </c>
      <c r="Q2256" s="115" t="e">
        <f ca="1"/>
        <v>#VALUE!</v>
      </c>
      <c r="S2256" s="219">
        <f t="shared" ca="1" si="142"/>
        <v>59413</v>
      </c>
      <c r="T2256" s="115" t="e">
        <f ca="1"/>
        <v>#VALUE!</v>
      </c>
      <c r="V2256" s="219">
        <f t="shared" ca="1" si="143"/>
        <v>59413</v>
      </c>
      <c r="W2256" s="115" t="e">
        <f ca="1"/>
        <v>#VALUE!</v>
      </c>
    </row>
    <row r="2257" spans="13:23">
      <c r="M2257" s="219">
        <f t="shared" ca="1" si="144"/>
        <v>59420</v>
      </c>
      <c r="N2257" s="115" t="e">
        <f ca="1"/>
        <v>#VALUE!</v>
      </c>
      <c r="P2257" s="219">
        <f t="shared" ca="1" si="141"/>
        <v>59420</v>
      </c>
      <c r="Q2257" s="115" t="e">
        <f ca="1"/>
        <v>#VALUE!</v>
      </c>
      <c r="S2257" s="219">
        <f t="shared" ca="1" si="142"/>
        <v>59420</v>
      </c>
      <c r="T2257" s="115" t="e">
        <f ca="1"/>
        <v>#VALUE!</v>
      </c>
      <c r="V2257" s="219">
        <f t="shared" ca="1" si="143"/>
        <v>59420</v>
      </c>
      <c r="W2257" s="115" t="e">
        <f ca="1"/>
        <v>#VALUE!</v>
      </c>
    </row>
    <row r="2258" spans="13:23">
      <c r="M2258" s="219">
        <f t="shared" ca="1" si="144"/>
        <v>59427</v>
      </c>
      <c r="N2258" s="115" t="e">
        <f ca="1"/>
        <v>#VALUE!</v>
      </c>
      <c r="P2258" s="219">
        <f t="shared" ca="1" si="141"/>
        <v>59427</v>
      </c>
      <c r="Q2258" s="115" t="e">
        <f ca="1"/>
        <v>#VALUE!</v>
      </c>
      <c r="S2258" s="219">
        <f t="shared" ca="1" si="142"/>
        <v>59427</v>
      </c>
      <c r="T2258" s="115" t="e">
        <f ca="1"/>
        <v>#VALUE!</v>
      </c>
      <c r="V2258" s="219">
        <f t="shared" ca="1" si="143"/>
        <v>59427</v>
      </c>
      <c r="W2258" s="115" t="e">
        <f ca="1"/>
        <v>#VALUE!</v>
      </c>
    </row>
    <row r="2259" spans="13:23">
      <c r="M2259" s="219">
        <f t="shared" ca="1" si="144"/>
        <v>59434</v>
      </c>
      <c r="N2259" s="115" t="e">
        <f ca="1"/>
        <v>#VALUE!</v>
      </c>
      <c r="P2259" s="219">
        <f t="shared" ca="1" si="141"/>
        <v>59434</v>
      </c>
      <c r="Q2259" s="115" t="e">
        <f ca="1"/>
        <v>#VALUE!</v>
      </c>
      <c r="S2259" s="219">
        <f t="shared" ca="1" si="142"/>
        <v>59434</v>
      </c>
      <c r="T2259" s="115" t="e">
        <f ca="1"/>
        <v>#VALUE!</v>
      </c>
      <c r="V2259" s="219">
        <f t="shared" ca="1" si="143"/>
        <v>59434</v>
      </c>
      <c r="W2259" s="115" t="e">
        <f ca="1"/>
        <v>#VALUE!</v>
      </c>
    </row>
    <row r="2260" spans="13:23">
      <c r="M2260" s="219">
        <f t="shared" ca="1" si="144"/>
        <v>59441</v>
      </c>
      <c r="N2260" s="115" t="e">
        <f ca="1"/>
        <v>#VALUE!</v>
      </c>
      <c r="P2260" s="219">
        <f t="shared" ca="1" si="141"/>
        <v>59441</v>
      </c>
      <c r="Q2260" s="115" t="e">
        <f ca="1"/>
        <v>#VALUE!</v>
      </c>
      <c r="S2260" s="219">
        <f t="shared" ca="1" si="142"/>
        <v>59441</v>
      </c>
      <c r="T2260" s="115" t="e">
        <f ca="1"/>
        <v>#VALUE!</v>
      </c>
      <c r="V2260" s="219">
        <f t="shared" ca="1" si="143"/>
        <v>59441</v>
      </c>
      <c r="W2260" s="115" t="e">
        <f ca="1"/>
        <v>#VALUE!</v>
      </c>
    </row>
    <row r="2261" spans="13:23">
      <c r="M2261" s="219">
        <f t="shared" ca="1" si="144"/>
        <v>59448</v>
      </c>
      <c r="N2261" s="115" t="e">
        <f ca="1"/>
        <v>#VALUE!</v>
      </c>
      <c r="P2261" s="219">
        <f t="shared" ca="1" si="141"/>
        <v>59448</v>
      </c>
      <c r="Q2261" s="115" t="e">
        <f ca="1"/>
        <v>#VALUE!</v>
      </c>
      <c r="S2261" s="219">
        <f t="shared" ca="1" si="142"/>
        <v>59448</v>
      </c>
      <c r="T2261" s="115" t="e">
        <f ca="1"/>
        <v>#VALUE!</v>
      </c>
      <c r="V2261" s="219">
        <f t="shared" ca="1" si="143"/>
        <v>59448</v>
      </c>
      <c r="W2261" s="115" t="e">
        <f ca="1"/>
        <v>#VALUE!</v>
      </c>
    </row>
    <row r="2262" spans="13:23">
      <c r="M2262" s="219">
        <f t="shared" ca="1" si="144"/>
        <v>59455</v>
      </c>
      <c r="N2262" s="115" t="e">
        <f ca="1"/>
        <v>#VALUE!</v>
      </c>
      <c r="P2262" s="219">
        <f t="shared" ca="1" si="141"/>
        <v>59455</v>
      </c>
      <c r="Q2262" s="115" t="e">
        <f ca="1"/>
        <v>#VALUE!</v>
      </c>
      <c r="S2262" s="219">
        <f t="shared" ca="1" si="142"/>
        <v>59455</v>
      </c>
      <c r="T2262" s="115" t="e">
        <f ca="1"/>
        <v>#VALUE!</v>
      </c>
      <c r="V2262" s="219">
        <f t="shared" ca="1" si="143"/>
        <v>59455</v>
      </c>
      <c r="W2262" s="115" t="e">
        <f ca="1"/>
        <v>#VALUE!</v>
      </c>
    </row>
    <row r="2263" spans="13:23">
      <c r="M2263" s="219">
        <f t="shared" ca="1" si="144"/>
        <v>59462</v>
      </c>
      <c r="N2263" s="115" t="e">
        <f ca="1"/>
        <v>#VALUE!</v>
      </c>
      <c r="P2263" s="219">
        <f t="shared" ca="1" si="141"/>
        <v>59462</v>
      </c>
      <c r="Q2263" s="115" t="e">
        <f ca="1"/>
        <v>#VALUE!</v>
      </c>
      <c r="S2263" s="219">
        <f t="shared" ca="1" si="142"/>
        <v>59462</v>
      </c>
      <c r="T2263" s="115" t="e">
        <f ca="1"/>
        <v>#VALUE!</v>
      </c>
      <c r="V2263" s="219">
        <f t="shared" ca="1" si="143"/>
        <v>59462</v>
      </c>
      <c r="W2263" s="115" t="e">
        <f ca="1"/>
        <v>#VALUE!</v>
      </c>
    </row>
    <row r="2264" spans="13:23">
      <c r="M2264" s="219">
        <f t="shared" ca="1" si="144"/>
        <v>59469</v>
      </c>
      <c r="N2264" s="115" t="e">
        <f ca="1"/>
        <v>#VALUE!</v>
      </c>
      <c r="P2264" s="219">
        <f t="shared" ca="1" si="141"/>
        <v>59469</v>
      </c>
      <c r="Q2264" s="115" t="e">
        <f ca="1"/>
        <v>#VALUE!</v>
      </c>
      <c r="S2264" s="219">
        <f t="shared" ca="1" si="142"/>
        <v>59469</v>
      </c>
      <c r="T2264" s="115" t="e">
        <f ca="1"/>
        <v>#VALUE!</v>
      </c>
      <c r="V2264" s="219">
        <f t="shared" ca="1" si="143"/>
        <v>59469</v>
      </c>
      <c r="W2264" s="115" t="e">
        <f ca="1"/>
        <v>#VALUE!</v>
      </c>
    </row>
    <row r="2265" spans="13:23">
      <c r="M2265" s="219">
        <f t="shared" ca="1" si="144"/>
        <v>59476</v>
      </c>
      <c r="N2265" s="115" t="e">
        <f ca="1"/>
        <v>#VALUE!</v>
      </c>
      <c r="P2265" s="219">
        <f t="shared" ca="1" si="141"/>
        <v>59476</v>
      </c>
      <c r="Q2265" s="115" t="e">
        <f ca="1"/>
        <v>#VALUE!</v>
      </c>
      <c r="S2265" s="219">
        <f t="shared" ca="1" si="142"/>
        <v>59476</v>
      </c>
      <c r="T2265" s="115" t="e">
        <f ca="1"/>
        <v>#VALUE!</v>
      </c>
      <c r="V2265" s="219">
        <f t="shared" ca="1" si="143"/>
        <v>59476</v>
      </c>
      <c r="W2265" s="115" t="e">
        <f ca="1"/>
        <v>#VALUE!</v>
      </c>
    </row>
    <row r="2266" spans="13:23">
      <c r="M2266" s="219">
        <f t="shared" ca="1" si="144"/>
        <v>59483</v>
      </c>
      <c r="N2266" s="115" t="e">
        <f ca="1"/>
        <v>#VALUE!</v>
      </c>
      <c r="P2266" s="219">
        <f t="shared" ca="1" si="141"/>
        <v>59483</v>
      </c>
      <c r="Q2266" s="115" t="e">
        <f ca="1"/>
        <v>#VALUE!</v>
      </c>
      <c r="S2266" s="219">
        <f t="shared" ca="1" si="142"/>
        <v>59483</v>
      </c>
      <c r="T2266" s="115" t="e">
        <f ca="1"/>
        <v>#VALUE!</v>
      </c>
      <c r="V2266" s="219">
        <f t="shared" ca="1" si="143"/>
        <v>59483</v>
      </c>
      <c r="W2266" s="115" t="e">
        <f ca="1"/>
        <v>#VALUE!</v>
      </c>
    </row>
    <row r="2267" spans="13:23">
      <c r="M2267" s="219">
        <f t="shared" ca="1" si="144"/>
        <v>59490</v>
      </c>
      <c r="N2267" s="115" t="e">
        <f ca="1"/>
        <v>#VALUE!</v>
      </c>
      <c r="P2267" s="219">
        <f t="shared" ca="1" si="141"/>
        <v>59490</v>
      </c>
      <c r="Q2267" s="115" t="e">
        <f ca="1"/>
        <v>#VALUE!</v>
      </c>
      <c r="S2267" s="219">
        <f t="shared" ca="1" si="142"/>
        <v>59490</v>
      </c>
      <c r="T2267" s="115" t="e">
        <f ca="1"/>
        <v>#VALUE!</v>
      </c>
      <c r="V2267" s="219">
        <f t="shared" ca="1" si="143"/>
        <v>59490</v>
      </c>
      <c r="W2267" s="115" t="e">
        <f ca="1"/>
        <v>#VALUE!</v>
      </c>
    </row>
    <row r="2268" spans="13:23">
      <c r="M2268" s="219">
        <f t="shared" ca="1" si="144"/>
        <v>59497</v>
      </c>
      <c r="N2268" s="115" t="e">
        <f ca="1"/>
        <v>#VALUE!</v>
      </c>
      <c r="P2268" s="219">
        <f t="shared" ca="1" si="141"/>
        <v>59497</v>
      </c>
      <c r="Q2268" s="115" t="e">
        <f ca="1"/>
        <v>#VALUE!</v>
      </c>
      <c r="S2268" s="219">
        <f t="shared" ca="1" si="142"/>
        <v>59497</v>
      </c>
      <c r="T2268" s="115" t="e">
        <f ca="1"/>
        <v>#VALUE!</v>
      </c>
      <c r="V2268" s="219">
        <f t="shared" ca="1" si="143"/>
        <v>59497</v>
      </c>
      <c r="W2268" s="115" t="e">
        <f ca="1"/>
        <v>#VALUE!</v>
      </c>
    </row>
    <row r="2269" spans="13:23">
      <c r="M2269" s="219">
        <f t="shared" ca="1" si="144"/>
        <v>59504</v>
      </c>
      <c r="N2269" s="115" t="e">
        <f ca="1"/>
        <v>#VALUE!</v>
      </c>
      <c r="P2269" s="219">
        <f t="shared" ref="P2269:P2332" ca="1" si="145">P2268+7</f>
        <v>59504</v>
      </c>
      <c r="Q2269" s="115" t="e">
        <f ca="1"/>
        <v>#VALUE!</v>
      </c>
      <c r="S2269" s="219">
        <f t="shared" ref="S2269:S2332" ca="1" si="146">S2268+7</f>
        <v>59504</v>
      </c>
      <c r="T2269" s="115" t="e">
        <f ca="1"/>
        <v>#VALUE!</v>
      </c>
      <c r="V2269" s="219">
        <f t="shared" ref="V2269:V2332" ca="1" si="147">V2268+7</f>
        <v>59504</v>
      </c>
      <c r="W2269" s="115" t="e">
        <f ca="1"/>
        <v>#VALUE!</v>
      </c>
    </row>
    <row r="2270" spans="13:23">
      <c r="M2270" s="219">
        <f t="shared" ca="1" si="144"/>
        <v>59511</v>
      </c>
      <c r="N2270" s="115" t="e">
        <f ca="1"/>
        <v>#VALUE!</v>
      </c>
      <c r="P2270" s="219">
        <f t="shared" ca="1" si="145"/>
        <v>59511</v>
      </c>
      <c r="Q2270" s="115" t="e">
        <f ca="1"/>
        <v>#VALUE!</v>
      </c>
      <c r="S2270" s="219">
        <f t="shared" ca="1" si="146"/>
        <v>59511</v>
      </c>
      <c r="T2270" s="115" t="e">
        <f ca="1"/>
        <v>#VALUE!</v>
      </c>
      <c r="V2270" s="219">
        <f t="shared" ca="1" si="147"/>
        <v>59511</v>
      </c>
      <c r="W2270" s="115" t="e">
        <f ca="1"/>
        <v>#VALUE!</v>
      </c>
    </row>
    <row r="2271" spans="13:23">
      <c r="M2271" s="219">
        <f t="shared" ca="1" si="144"/>
        <v>59518</v>
      </c>
      <c r="N2271" s="115" t="e">
        <f ca="1"/>
        <v>#VALUE!</v>
      </c>
      <c r="P2271" s="219">
        <f t="shared" ca="1" si="145"/>
        <v>59518</v>
      </c>
      <c r="Q2271" s="115" t="e">
        <f ca="1"/>
        <v>#VALUE!</v>
      </c>
      <c r="S2271" s="219">
        <f t="shared" ca="1" si="146"/>
        <v>59518</v>
      </c>
      <c r="T2271" s="115" t="e">
        <f ca="1"/>
        <v>#VALUE!</v>
      </c>
      <c r="V2271" s="219">
        <f t="shared" ca="1" si="147"/>
        <v>59518</v>
      </c>
      <c r="W2271" s="115" t="e">
        <f ca="1"/>
        <v>#VALUE!</v>
      </c>
    </row>
    <row r="2272" spans="13:23">
      <c r="M2272" s="219">
        <f t="shared" ca="1" si="144"/>
        <v>59525</v>
      </c>
      <c r="N2272" s="115" t="e">
        <f ca="1"/>
        <v>#VALUE!</v>
      </c>
      <c r="P2272" s="219">
        <f t="shared" ca="1" si="145"/>
        <v>59525</v>
      </c>
      <c r="Q2272" s="115" t="e">
        <f ca="1"/>
        <v>#VALUE!</v>
      </c>
      <c r="S2272" s="219">
        <f t="shared" ca="1" si="146"/>
        <v>59525</v>
      </c>
      <c r="T2272" s="115" t="e">
        <f ca="1"/>
        <v>#VALUE!</v>
      </c>
      <c r="V2272" s="219">
        <f t="shared" ca="1" si="147"/>
        <v>59525</v>
      </c>
      <c r="W2272" s="115" t="e">
        <f ca="1"/>
        <v>#VALUE!</v>
      </c>
    </row>
    <row r="2273" spans="13:23">
      <c r="M2273" s="219">
        <f t="shared" ca="1" si="144"/>
        <v>59532</v>
      </c>
      <c r="N2273" s="115" t="e">
        <f ca="1"/>
        <v>#VALUE!</v>
      </c>
      <c r="P2273" s="219">
        <f t="shared" ca="1" si="145"/>
        <v>59532</v>
      </c>
      <c r="Q2273" s="115" t="e">
        <f ca="1"/>
        <v>#VALUE!</v>
      </c>
      <c r="S2273" s="219">
        <f t="shared" ca="1" si="146"/>
        <v>59532</v>
      </c>
      <c r="T2273" s="115" t="e">
        <f ca="1"/>
        <v>#VALUE!</v>
      </c>
      <c r="V2273" s="219">
        <f t="shared" ca="1" si="147"/>
        <v>59532</v>
      </c>
      <c r="W2273" s="115" t="e">
        <f ca="1"/>
        <v>#VALUE!</v>
      </c>
    </row>
    <row r="2274" spans="13:23">
      <c r="M2274" s="219">
        <f t="shared" ca="1" si="144"/>
        <v>59539</v>
      </c>
      <c r="N2274" s="115" t="e">
        <f ca="1"/>
        <v>#VALUE!</v>
      </c>
      <c r="P2274" s="219">
        <f t="shared" ca="1" si="145"/>
        <v>59539</v>
      </c>
      <c r="Q2274" s="115" t="e">
        <f ca="1"/>
        <v>#VALUE!</v>
      </c>
      <c r="S2274" s="219">
        <f t="shared" ca="1" si="146"/>
        <v>59539</v>
      </c>
      <c r="T2274" s="115" t="e">
        <f ca="1"/>
        <v>#VALUE!</v>
      </c>
      <c r="V2274" s="219">
        <f t="shared" ca="1" si="147"/>
        <v>59539</v>
      </c>
      <c r="W2274" s="115" t="e">
        <f ca="1"/>
        <v>#VALUE!</v>
      </c>
    </row>
    <row r="2275" spans="13:23">
      <c r="M2275" s="219">
        <f t="shared" ca="1" si="144"/>
        <v>59546</v>
      </c>
      <c r="N2275" s="115" t="e">
        <f ca="1"/>
        <v>#VALUE!</v>
      </c>
      <c r="P2275" s="219">
        <f t="shared" ca="1" si="145"/>
        <v>59546</v>
      </c>
      <c r="Q2275" s="115" t="e">
        <f ca="1"/>
        <v>#VALUE!</v>
      </c>
      <c r="S2275" s="219">
        <f t="shared" ca="1" si="146"/>
        <v>59546</v>
      </c>
      <c r="T2275" s="115" t="e">
        <f ca="1"/>
        <v>#VALUE!</v>
      </c>
      <c r="V2275" s="219">
        <f t="shared" ca="1" si="147"/>
        <v>59546</v>
      </c>
      <c r="W2275" s="115" t="e">
        <f ca="1"/>
        <v>#VALUE!</v>
      </c>
    </row>
    <row r="2276" spans="13:23">
      <c r="M2276" s="219">
        <f t="shared" ca="1" si="144"/>
        <v>59553</v>
      </c>
      <c r="N2276" s="115" t="e">
        <f ca="1"/>
        <v>#VALUE!</v>
      </c>
      <c r="P2276" s="219">
        <f t="shared" ca="1" si="145"/>
        <v>59553</v>
      </c>
      <c r="Q2276" s="115" t="e">
        <f ca="1"/>
        <v>#VALUE!</v>
      </c>
      <c r="S2276" s="219">
        <f t="shared" ca="1" si="146"/>
        <v>59553</v>
      </c>
      <c r="T2276" s="115" t="e">
        <f ca="1"/>
        <v>#VALUE!</v>
      </c>
      <c r="V2276" s="219">
        <f t="shared" ca="1" si="147"/>
        <v>59553</v>
      </c>
      <c r="W2276" s="115" t="e">
        <f ca="1"/>
        <v>#VALUE!</v>
      </c>
    </row>
    <row r="2277" spans="13:23">
      <c r="M2277" s="219">
        <f t="shared" ca="1" si="144"/>
        <v>59560</v>
      </c>
      <c r="N2277" s="115" t="e">
        <f ca="1"/>
        <v>#VALUE!</v>
      </c>
      <c r="P2277" s="219">
        <f t="shared" ca="1" si="145"/>
        <v>59560</v>
      </c>
      <c r="Q2277" s="115" t="e">
        <f ca="1"/>
        <v>#VALUE!</v>
      </c>
      <c r="S2277" s="219">
        <f t="shared" ca="1" si="146"/>
        <v>59560</v>
      </c>
      <c r="T2277" s="115" t="e">
        <f ca="1"/>
        <v>#VALUE!</v>
      </c>
      <c r="V2277" s="219">
        <f t="shared" ca="1" si="147"/>
        <v>59560</v>
      </c>
      <c r="W2277" s="115" t="e">
        <f ca="1"/>
        <v>#VALUE!</v>
      </c>
    </row>
    <row r="2278" spans="13:23">
      <c r="M2278" s="219">
        <f t="shared" ca="1" si="144"/>
        <v>59567</v>
      </c>
      <c r="N2278" s="115" t="e">
        <f ca="1"/>
        <v>#VALUE!</v>
      </c>
      <c r="P2278" s="219">
        <f t="shared" ca="1" si="145"/>
        <v>59567</v>
      </c>
      <c r="Q2278" s="115" t="e">
        <f ca="1"/>
        <v>#VALUE!</v>
      </c>
      <c r="S2278" s="219">
        <f t="shared" ca="1" si="146"/>
        <v>59567</v>
      </c>
      <c r="T2278" s="115" t="e">
        <f ca="1"/>
        <v>#VALUE!</v>
      </c>
      <c r="V2278" s="219">
        <f t="shared" ca="1" si="147"/>
        <v>59567</v>
      </c>
      <c r="W2278" s="115" t="e">
        <f ca="1"/>
        <v>#VALUE!</v>
      </c>
    </row>
    <row r="2279" spans="13:23">
      <c r="M2279" s="219">
        <f t="shared" ca="1" si="144"/>
        <v>59574</v>
      </c>
      <c r="N2279" s="115" t="e">
        <f ca="1"/>
        <v>#VALUE!</v>
      </c>
      <c r="P2279" s="219">
        <f t="shared" ca="1" si="145"/>
        <v>59574</v>
      </c>
      <c r="Q2279" s="115" t="e">
        <f ca="1"/>
        <v>#VALUE!</v>
      </c>
      <c r="S2279" s="219">
        <f t="shared" ca="1" si="146"/>
        <v>59574</v>
      </c>
      <c r="T2279" s="115" t="e">
        <f ca="1"/>
        <v>#VALUE!</v>
      </c>
      <c r="V2279" s="219">
        <f t="shared" ca="1" si="147"/>
        <v>59574</v>
      </c>
      <c r="W2279" s="115" t="e">
        <f ca="1"/>
        <v>#VALUE!</v>
      </c>
    </row>
    <row r="2280" spans="13:23">
      <c r="M2280" s="219">
        <f t="shared" ca="1" si="144"/>
        <v>59581</v>
      </c>
      <c r="N2280" s="115" t="e">
        <f ca="1"/>
        <v>#VALUE!</v>
      </c>
      <c r="P2280" s="219">
        <f t="shared" ca="1" si="145"/>
        <v>59581</v>
      </c>
      <c r="Q2280" s="115" t="e">
        <f ca="1"/>
        <v>#VALUE!</v>
      </c>
      <c r="S2280" s="219">
        <f t="shared" ca="1" si="146"/>
        <v>59581</v>
      </c>
      <c r="T2280" s="115" t="e">
        <f ca="1"/>
        <v>#VALUE!</v>
      </c>
      <c r="V2280" s="219">
        <f t="shared" ca="1" si="147"/>
        <v>59581</v>
      </c>
      <c r="W2280" s="115" t="e">
        <f ca="1"/>
        <v>#VALUE!</v>
      </c>
    </row>
    <row r="2281" spans="13:23">
      <c r="M2281" s="219">
        <f t="shared" ca="1" si="144"/>
        <v>59588</v>
      </c>
      <c r="N2281" s="115" t="e">
        <f ca="1"/>
        <v>#VALUE!</v>
      </c>
      <c r="P2281" s="219">
        <f t="shared" ca="1" si="145"/>
        <v>59588</v>
      </c>
      <c r="Q2281" s="115" t="e">
        <f ca="1"/>
        <v>#VALUE!</v>
      </c>
      <c r="S2281" s="219">
        <f t="shared" ca="1" si="146"/>
        <v>59588</v>
      </c>
      <c r="T2281" s="115" t="e">
        <f ca="1"/>
        <v>#VALUE!</v>
      </c>
      <c r="V2281" s="219">
        <f t="shared" ca="1" si="147"/>
        <v>59588</v>
      </c>
      <c r="W2281" s="115" t="e">
        <f ca="1"/>
        <v>#VALUE!</v>
      </c>
    </row>
    <row r="2282" spans="13:23">
      <c r="M2282" s="219">
        <f t="shared" ca="1" si="144"/>
        <v>59595</v>
      </c>
      <c r="N2282" s="115" t="e">
        <f ca="1"/>
        <v>#VALUE!</v>
      </c>
      <c r="P2282" s="219">
        <f t="shared" ca="1" si="145"/>
        <v>59595</v>
      </c>
      <c r="Q2282" s="115" t="e">
        <f ca="1"/>
        <v>#VALUE!</v>
      </c>
      <c r="S2282" s="219">
        <f t="shared" ca="1" si="146"/>
        <v>59595</v>
      </c>
      <c r="T2282" s="115" t="e">
        <f ca="1"/>
        <v>#VALUE!</v>
      </c>
      <c r="V2282" s="219">
        <f t="shared" ca="1" si="147"/>
        <v>59595</v>
      </c>
      <c r="W2282" s="115" t="e">
        <f ca="1"/>
        <v>#VALUE!</v>
      </c>
    </row>
    <row r="2283" spans="13:23">
      <c r="M2283" s="219">
        <f t="shared" ca="1" si="144"/>
        <v>59602</v>
      </c>
      <c r="N2283" s="115" t="e">
        <f ca="1"/>
        <v>#VALUE!</v>
      </c>
      <c r="P2283" s="219">
        <f t="shared" ca="1" si="145"/>
        <v>59602</v>
      </c>
      <c r="Q2283" s="115" t="e">
        <f ca="1"/>
        <v>#VALUE!</v>
      </c>
      <c r="S2283" s="219">
        <f t="shared" ca="1" si="146"/>
        <v>59602</v>
      </c>
      <c r="T2283" s="115" t="e">
        <f ca="1"/>
        <v>#VALUE!</v>
      </c>
      <c r="V2283" s="219">
        <f t="shared" ca="1" si="147"/>
        <v>59602</v>
      </c>
      <c r="W2283" s="115" t="e">
        <f ca="1"/>
        <v>#VALUE!</v>
      </c>
    </row>
    <row r="2284" spans="13:23">
      <c r="M2284" s="219">
        <f t="shared" ca="1" si="144"/>
        <v>59609</v>
      </c>
      <c r="N2284" s="115" t="e">
        <f ca="1"/>
        <v>#VALUE!</v>
      </c>
      <c r="P2284" s="219">
        <f t="shared" ca="1" si="145"/>
        <v>59609</v>
      </c>
      <c r="Q2284" s="115" t="e">
        <f ca="1"/>
        <v>#VALUE!</v>
      </c>
      <c r="S2284" s="219">
        <f t="shared" ca="1" si="146"/>
        <v>59609</v>
      </c>
      <c r="T2284" s="115" t="e">
        <f ca="1"/>
        <v>#VALUE!</v>
      </c>
      <c r="V2284" s="219">
        <f t="shared" ca="1" si="147"/>
        <v>59609</v>
      </c>
      <c r="W2284" s="115" t="e">
        <f ca="1"/>
        <v>#VALUE!</v>
      </c>
    </row>
    <row r="2285" spans="13:23">
      <c r="M2285" s="219">
        <f t="shared" ca="1" si="144"/>
        <v>59616</v>
      </c>
      <c r="N2285" s="115" t="e">
        <f ca="1"/>
        <v>#VALUE!</v>
      </c>
      <c r="P2285" s="219">
        <f t="shared" ca="1" si="145"/>
        <v>59616</v>
      </c>
      <c r="Q2285" s="115" t="e">
        <f ca="1"/>
        <v>#VALUE!</v>
      </c>
      <c r="S2285" s="219">
        <f t="shared" ca="1" si="146"/>
        <v>59616</v>
      </c>
      <c r="T2285" s="115" t="e">
        <f ca="1"/>
        <v>#VALUE!</v>
      </c>
      <c r="V2285" s="219">
        <f t="shared" ca="1" si="147"/>
        <v>59616</v>
      </c>
      <c r="W2285" s="115" t="e">
        <f ca="1"/>
        <v>#VALUE!</v>
      </c>
    </row>
    <row r="2286" spans="13:23">
      <c r="M2286" s="219">
        <f t="shared" ca="1" si="144"/>
        <v>59623</v>
      </c>
      <c r="N2286" s="115" t="e">
        <f ca="1"/>
        <v>#VALUE!</v>
      </c>
      <c r="P2286" s="219">
        <f t="shared" ca="1" si="145"/>
        <v>59623</v>
      </c>
      <c r="Q2286" s="115" t="e">
        <f ca="1"/>
        <v>#VALUE!</v>
      </c>
      <c r="S2286" s="219">
        <f t="shared" ca="1" si="146"/>
        <v>59623</v>
      </c>
      <c r="T2286" s="115" t="e">
        <f ca="1"/>
        <v>#VALUE!</v>
      </c>
      <c r="V2286" s="219">
        <f t="shared" ca="1" si="147"/>
        <v>59623</v>
      </c>
      <c r="W2286" s="115" t="e">
        <f ca="1"/>
        <v>#VALUE!</v>
      </c>
    </row>
    <row r="2287" spans="13:23">
      <c r="M2287" s="219">
        <f t="shared" ca="1" si="144"/>
        <v>59630</v>
      </c>
      <c r="N2287" s="115" t="e">
        <f ca="1"/>
        <v>#VALUE!</v>
      </c>
      <c r="P2287" s="219">
        <f t="shared" ca="1" si="145"/>
        <v>59630</v>
      </c>
      <c r="Q2287" s="115" t="e">
        <f ca="1"/>
        <v>#VALUE!</v>
      </c>
      <c r="S2287" s="219">
        <f t="shared" ca="1" si="146"/>
        <v>59630</v>
      </c>
      <c r="T2287" s="115" t="e">
        <f ca="1"/>
        <v>#VALUE!</v>
      </c>
      <c r="V2287" s="219">
        <f t="shared" ca="1" si="147"/>
        <v>59630</v>
      </c>
      <c r="W2287" s="115" t="e">
        <f ca="1"/>
        <v>#VALUE!</v>
      </c>
    </row>
    <row r="2288" spans="13:23">
      <c r="M2288" s="219">
        <f t="shared" ca="1" si="144"/>
        <v>59637</v>
      </c>
      <c r="N2288" s="115" t="e">
        <f ca="1"/>
        <v>#VALUE!</v>
      </c>
      <c r="P2288" s="219">
        <f t="shared" ca="1" si="145"/>
        <v>59637</v>
      </c>
      <c r="Q2288" s="115" t="e">
        <f ca="1"/>
        <v>#VALUE!</v>
      </c>
      <c r="S2288" s="219">
        <f t="shared" ca="1" si="146"/>
        <v>59637</v>
      </c>
      <c r="T2288" s="115" t="e">
        <f ca="1"/>
        <v>#VALUE!</v>
      </c>
      <c r="V2288" s="219">
        <f t="shared" ca="1" si="147"/>
        <v>59637</v>
      </c>
      <c r="W2288" s="115" t="e">
        <f ca="1"/>
        <v>#VALUE!</v>
      </c>
    </row>
    <row r="2289" spans="13:23">
      <c r="M2289" s="219">
        <f t="shared" ca="1" si="144"/>
        <v>59644</v>
      </c>
      <c r="N2289" s="115" t="e">
        <f ca="1"/>
        <v>#VALUE!</v>
      </c>
      <c r="P2289" s="219">
        <f t="shared" ca="1" si="145"/>
        <v>59644</v>
      </c>
      <c r="Q2289" s="115" t="e">
        <f ca="1"/>
        <v>#VALUE!</v>
      </c>
      <c r="S2289" s="219">
        <f t="shared" ca="1" si="146"/>
        <v>59644</v>
      </c>
      <c r="T2289" s="115" t="e">
        <f ca="1"/>
        <v>#VALUE!</v>
      </c>
      <c r="V2289" s="219">
        <f t="shared" ca="1" si="147"/>
        <v>59644</v>
      </c>
      <c r="W2289" s="115" t="e">
        <f ca="1"/>
        <v>#VALUE!</v>
      </c>
    </row>
    <row r="2290" spans="13:23">
      <c r="M2290" s="219">
        <f t="shared" ca="1" si="144"/>
        <v>59651</v>
      </c>
      <c r="N2290" s="115" t="e">
        <f ca="1"/>
        <v>#VALUE!</v>
      </c>
      <c r="P2290" s="219">
        <f t="shared" ca="1" si="145"/>
        <v>59651</v>
      </c>
      <c r="Q2290" s="115" t="e">
        <f ca="1"/>
        <v>#VALUE!</v>
      </c>
      <c r="S2290" s="219">
        <f t="shared" ca="1" si="146"/>
        <v>59651</v>
      </c>
      <c r="T2290" s="115" t="e">
        <f ca="1"/>
        <v>#VALUE!</v>
      </c>
      <c r="V2290" s="219">
        <f t="shared" ca="1" si="147"/>
        <v>59651</v>
      </c>
      <c r="W2290" s="115" t="e">
        <f ca="1"/>
        <v>#VALUE!</v>
      </c>
    </row>
    <row r="2291" spans="13:23">
      <c r="M2291" s="219">
        <f t="shared" ca="1" si="144"/>
        <v>59658</v>
      </c>
      <c r="N2291" s="115" t="e">
        <f ca="1"/>
        <v>#VALUE!</v>
      </c>
      <c r="P2291" s="219">
        <f t="shared" ca="1" si="145"/>
        <v>59658</v>
      </c>
      <c r="Q2291" s="115" t="e">
        <f ca="1"/>
        <v>#VALUE!</v>
      </c>
      <c r="S2291" s="219">
        <f t="shared" ca="1" si="146"/>
        <v>59658</v>
      </c>
      <c r="T2291" s="115" t="e">
        <f ca="1"/>
        <v>#VALUE!</v>
      </c>
      <c r="V2291" s="219">
        <f t="shared" ca="1" si="147"/>
        <v>59658</v>
      </c>
      <c r="W2291" s="115" t="e">
        <f ca="1"/>
        <v>#VALUE!</v>
      </c>
    </row>
    <row r="2292" spans="13:23">
      <c r="M2292" s="219">
        <f t="shared" ca="1" si="144"/>
        <v>59665</v>
      </c>
      <c r="N2292" s="115" t="e">
        <f ca="1"/>
        <v>#VALUE!</v>
      </c>
      <c r="P2292" s="219">
        <f t="shared" ca="1" si="145"/>
        <v>59665</v>
      </c>
      <c r="Q2292" s="115" t="e">
        <f ca="1"/>
        <v>#VALUE!</v>
      </c>
      <c r="S2292" s="219">
        <f t="shared" ca="1" si="146"/>
        <v>59665</v>
      </c>
      <c r="T2292" s="115" t="e">
        <f ca="1"/>
        <v>#VALUE!</v>
      </c>
      <c r="V2292" s="219">
        <f t="shared" ca="1" si="147"/>
        <v>59665</v>
      </c>
      <c r="W2292" s="115" t="e">
        <f ca="1"/>
        <v>#VALUE!</v>
      </c>
    </row>
    <row r="2293" spans="13:23">
      <c r="M2293" s="219">
        <f t="shared" ca="1" si="144"/>
        <v>59672</v>
      </c>
      <c r="N2293" s="115" t="e">
        <f ca="1"/>
        <v>#VALUE!</v>
      </c>
      <c r="P2293" s="219">
        <f t="shared" ca="1" si="145"/>
        <v>59672</v>
      </c>
      <c r="Q2293" s="115" t="e">
        <f ca="1"/>
        <v>#VALUE!</v>
      </c>
      <c r="S2293" s="219">
        <f t="shared" ca="1" si="146"/>
        <v>59672</v>
      </c>
      <c r="T2293" s="115" t="e">
        <f ca="1"/>
        <v>#VALUE!</v>
      </c>
      <c r="V2293" s="219">
        <f t="shared" ca="1" si="147"/>
        <v>59672</v>
      </c>
      <c r="W2293" s="115" t="e">
        <f ca="1"/>
        <v>#VALUE!</v>
      </c>
    </row>
    <row r="2294" spans="13:23">
      <c r="M2294" s="219">
        <f t="shared" ca="1" si="144"/>
        <v>59679</v>
      </c>
      <c r="N2294" s="115" t="e">
        <f ca="1"/>
        <v>#VALUE!</v>
      </c>
      <c r="P2294" s="219">
        <f t="shared" ca="1" si="145"/>
        <v>59679</v>
      </c>
      <c r="Q2294" s="115" t="e">
        <f ca="1"/>
        <v>#VALUE!</v>
      </c>
      <c r="S2294" s="219">
        <f t="shared" ca="1" si="146"/>
        <v>59679</v>
      </c>
      <c r="T2294" s="115" t="e">
        <f ca="1"/>
        <v>#VALUE!</v>
      </c>
      <c r="V2294" s="219">
        <f t="shared" ca="1" si="147"/>
        <v>59679</v>
      </c>
      <c r="W2294" s="115" t="e">
        <f ca="1"/>
        <v>#VALUE!</v>
      </c>
    </row>
    <row r="2295" spans="13:23">
      <c r="M2295" s="219">
        <f t="shared" ca="1" si="144"/>
        <v>59686</v>
      </c>
      <c r="N2295" s="115" t="e">
        <f ca="1"/>
        <v>#VALUE!</v>
      </c>
      <c r="P2295" s="219">
        <f t="shared" ca="1" si="145"/>
        <v>59686</v>
      </c>
      <c r="Q2295" s="115" t="e">
        <f ca="1"/>
        <v>#VALUE!</v>
      </c>
      <c r="S2295" s="219">
        <f t="shared" ca="1" si="146"/>
        <v>59686</v>
      </c>
      <c r="T2295" s="115" t="e">
        <f ca="1"/>
        <v>#VALUE!</v>
      </c>
      <c r="V2295" s="219">
        <f t="shared" ca="1" si="147"/>
        <v>59686</v>
      </c>
      <c r="W2295" s="115" t="e">
        <f ca="1"/>
        <v>#VALUE!</v>
      </c>
    </row>
    <row r="2296" spans="13:23">
      <c r="M2296" s="219">
        <f t="shared" ca="1" si="144"/>
        <v>59693</v>
      </c>
      <c r="N2296" s="115" t="e">
        <f ca="1"/>
        <v>#VALUE!</v>
      </c>
      <c r="P2296" s="219">
        <f t="shared" ca="1" si="145"/>
        <v>59693</v>
      </c>
      <c r="Q2296" s="115" t="e">
        <f ca="1"/>
        <v>#VALUE!</v>
      </c>
      <c r="S2296" s="219">
        <f t="shared" ca="1" si="146"/>
        <v>59693</v>
      </c>
      <c r="T2296" s="115" t="e">
        <f ca="1"/>
        <v>#VALUE!</v>
      </c>
      <c r="V2296" s="219">
        <f t="shared" ca="1" si="147"/>
        <v>59693</v>
      </c>
      <c r="W2296" s="115" t="e">
        <f ca="1"/>
        <v>#VALUE!</v>
      </c>
    </row>
    <row r="2297" spans="13:23">
      <c r="M2297" s="219">
        <f t="shared" ca="1" si="144"/>
        <v>59700</v>
      </c>
      <c r="N2297" s="115" t="e">
        <f ca="1"/>
        <v>#VALUE!</v>
      </c>
      <c r="P2297" s="219">
        <f t="shared" ca="1" si="145"/>
        <v>59700</v>
      </c>
      <c r="Q2297" s="115" t="e">
        <f ca="1"/>
        <v>#VALUE!</v>
      </c>
      <c r="S2297" s="219">
        <f t="shared" ca="1" si="146"/>
        <v>59700</v>
      </c>
      <c r="T2297" s="115" t="e">
        <f ca="1"/>
        <v>#VALUE!</v>
      </c>
      <c r="V2297" s="219">
        <f t="shared" ca="1" si="147"/>
        <v>59700</v>
      </c>
      <c r="W2297" s="115" t="e">
        <f ca="1"/>
        <v>#VALUE!</v>
      </c>
    </row>
    <row r="2298" spans="13:23">
      <c r="M2298" s="219">
        <f t="shared" ca="1" si="144"/>
        <v>59707</v>
      </c>
      <c r="N2298" s="115" t="e">
        <f ca="1"/>
        <v>#VALUE!</v>
      </c>
      <c r="P2298" s="219">
        <f t="shared" ca="1" si="145"/>
        <v>59707</v>
      </c>
      <c r="Q2298" s="115" t="e">
        <f ca="1"/>
        <v>#VALUE!</v>
      </c>
      <c r="S2298" s="219">
        <f t="shared" ca="1" si="146"/>
        <v>59707</v>
      </c>
      <c r="T2298" s="115" t="e">
        <f ca="1"/>
        <v>#VALUE!</v>
      </c>
      <c r="V2298" s="219">
        <f t="shared" ca="1" si="147"/>
        <v>59707</v>
      </c>
      <c r="W2298" s="115" t="e">
        <f ca="1"/>
        <v>#VALUE!</v>
      </c>
    </row>
    <row r="2299" spans="13:23">
      <c r="M2299" s="219">
        <f t="shared" ca="1" si="144"/>
        <v>59714</v>
      </c>
      <c r="N2299" s="115" t="e">
        <f ca="1"/>
        <v>#VALUE!</v>
      </c>
      <c r="P2299" s="219">
        <f t="shared" ca="1" si="145"/>
        <v>59714</v>
      </c>
      <c r="Q2299" s="115" t="e">
        <f ca="1"/>
        <v>#VALUE!</v>
      </c>
      <c r="S2299" s="219">
        <f t="shared" ca="1" si="146"/>
        <v>59714</v>
      </c>
      <c r="T2299" s="115" t="e">
        <f ca="1"/>
        <v>#VALUE!</v>
      </c>
      <c r="V2299" s="219">
        <f t="shared" ca="1" si="147"/>
        <v>59714</v>
      </c>
      <c r="W2299" s="115" t="e">
        <f ca="1"/>
        <v>#VALUE!</v>
      </c>
    </row>
    <row r="2300" spans="13:23">
      <c r="M2300" s="219">
        <f t="shared" ca="1" si="144"/>
        <v>59721</v>
      </c>
      <c r="N2300" s="115" t="e">
        <f ca="1"/>
        <v>#VALUE!</v>
      </c>
      <c r="P2300" s="219">
        <f t="shared" ca="1" si="145"/>
        <v>59721</v>
      </c>
      <c r="Q2300" s="115" t="e">
        <f ca="1"/>
        <v>#VALUE!</v>
      </c>
      <c r="S2300" s="219">
        <f t="shared" ca="1" si="146"/>
        <v>59721</v>
      </c>
      <c r="T2300" s="115" t="e">
        <f ca="1"/>
        <v>#VALUE!</v>
      </c>
      <c r="V2300" s="219">
        <f t="shared" ca="1" si="147"/>
        <v>59721</v>
      </c>
      <c r="W2300" s="115" t="e">
        <f ca="1"/>
        <v>#VALUE!</v>
      </c>
    </row>
    <row r="2301" spans="13:23">
      <c r="M2301" s="219">
        <f t="shared" ca="1" si="144"/>
        <v>59728</v>
      </c>
      <c r="N2301" s="115" t="e">
        <f ca="1"/>
        <v>#VALUE!</v>
      </c>
      <c r="P2301" s="219">
        <f t="shared" ca="1" si="145"/>
        <v>59728</v>
      </c>
      <c r="Q2301" s="115" t="e">
        <f ca="1"/>
        <v>#VALUE!</v>
      </c>
      <c r="S2301" s="219">
        <f t="shared" ca="1" si="146"/>
        <v>59728</v>
      </c>
      <c r="T2301" s="115" t="e">
        <f ca="1"/>
        <v>#VALUE!</v>
      </c>
      <c r="V2301" s="219">
        <f t="shared" ca="1" si="147"/>
        <v>59728</v>
      </c>
      <c r="W2301" s="115" t="e">
        <f ca="1"/>
        <v>#VALUE!</v>
      </c>
    </row>
    <row r="2302" spans="13:23">
      <c r="M2302" s="219">
        <f t="shared" ca="1" si="144"/>
        <v>59735</v>
      </c>
      <c r="N2302" s="115" t="e">
        <f ca="1"/>
        <v>#VALUE!</v>
      </c>
      <c r="P2302" s="219">
        <f t="shared" ca="1" si="145"/>
        <v>59735</v>
      </c>
      <c r="Q2302" s="115" t="e">
        <f ca="1"/>
        <v>#VALUE!</v>
      </c>
      <c r="S2302" s="219">
        <f t="shared" ca="1" si="146"/>
        <v>59735</v>
      </c>
      <c r="T2302" s="115" t="e">
        <f ca="1"/>
        <v>#VALUE!</v>
      </c>
      <c r="V2302" s="219">
        <f t="shared" ca="1" si="147"/>
        <v>59735</v>
      </c>
      <c r="W2302" s="115" t="e">
        <f ca="1"/>
        <v>#VALUE!</v>
      </c>
    </row>
    <row r="2303" spans="13:23">
      <c r="M2303" s="219">
        <f t="shared" ca="1" si="144"/>
        <v>59742</v>
      </c>
      <c r="N2303" s="115" t="e">
        <f ca="1"/>
        <v>#VALUE!</v>
      </c>
      <c r="P2303" s="219">
        <f t="shared" ca="1" si="145"/>
        <v>59742</v>
      </c>
      <c r="Q2303" s="115" t="e">
        <f ca="1"/>
        <v>#VALUE!</v>
      </c>
      <c r="S2303" s="219">
        <f t="shared" ca="1" si="146"/>
        <v>59742</v>
      </c>
      <c r="T2303" s="115" t="e">
        <f ca="1"/>
        <v>#VALUE!</v>
      </c>
      <c r="V2303" s="219">
        <f t="shared" ca="1" si="147"/>
        <v>59742</v>
      </c>
      <c r="W2303" s="115" t="e">
        <f ca="1"/>
        <v>#VALUE!</v>
      </c>
    </row>
    <row r="2304" spans="13:23">
      <c r="M2304" s="219">
        <f t="shared" ca="1" si="144"/>
        <v>59749</v>
      </c>
      <c r="N2304" s="115" t="e">
        <f ca="1"/>
        <v>#VALUE!</v>
      </c>
      <c r="P2304" s="219">
        <f t="shared" ca="1" si="145"/>
        <v>59749</v>
      </c>
      <c r="Q2304" s="115" t="e">
        <f ca="1"/>
        <v>#VALUE!</v>
      </c>
      <c r="S2304" s="219">
        <f t="shared" ca="1" si="146"/>
        <v>59749</v>
      </c>
      <c r="T2304" s="115" t="e">
        <f ca="1"/>
        <v>#VALUE!</v>
      </c>
      <c r="V2304" s="219">
        <f t="shared" ca="1" si="147"/>
        <v>59749</v>
      </c>
      <c r="W2304" s="115" t="e">
        <f ca="1"/>
        <v>#VALUE!</v>
      </c>
    </row>
    <row r="2305" spans="13:23">
      <c r="M2305" s="219">
        <f t="shared" ca="1" si="144"/>
        <v>59756</v>
      </c>
      <c r="N2305" s="115" t="e">
        <f ca="1"/>
        <v>#VALUE!</v>
      </c>
      <c r="P2305" s="219">
        <f t="shared" ca="1" si="145"/>
        <v>59756</v>
      </c>
      <c r="Q2305" s="115" t="e">
        <f ca="1"/>
        <v>#VALUE!</v>
      </c>
      <c r="S2305" s="219">
        <f t="shared" ca="1" si="146"/>
        <v>59756</v>
      </c>
      <c r="T2305" s="115" t="e">
        <f ca="1"/>
        <v>#VALUE!</v>
      </c>
      <c r="V2305" s="219">
        <f t="shared" ca="1" si="147"/>
        <v>59756</v>
      </c>
      <c r="W2305" s="115" t="e">
        <f ca="1"/>
        <v>#VALUE!</v>
      </c>
    </row>
    <row r="2306" spans="13:23">
      <c r="M2306" s="219">
        <f t="shared" ca="1" si="144"/>
        <v>59763</v>
      </c>
      <c r="N2306" s="115" t="e">
        <f ca="1"/>
        <v>#VALUE!</v>
      </c>
      <c r="P2306" s="219">
        <f t="shared" ca="1" si="145"/>
        <v>59763</v>
      </c>
      <c r="Q2306" s="115" t="e">
        <f ca="1"/>
        <v>#VALUE!</v>
      </c>
      <c r="S2306" s="219">
        <f t="shared" ca="1" si="146"/>
        <v>59763</v>
      </c>
      <c r="T2306" s="115" t="e">
        <f ca="1"/>
        <v>#VALUE!</v>
      </c>
      <c r="V2306" s="219">
        <f t="shared" ca="1" si="147"/>
        <v>59763</v>
      </c>
      <c r="W2306" s="115" t="e">
        <f ca="1"/>
        <v>#VALUE!</v>
      </c>
    </row>
    <row r="2307" spans="13:23">
      <c r="M2307" s="219">
        <f t="shared" ca="1" si="144"/>
        <v>59770</v>
      </c>
      <c r="N2307" s="115" t="e">
        <f ca="1"/>
        <v>#VALUE!</v>
      </c>
      <c r="P2307" s="219">
        <f t="shared" ca="1" si="145"/>
        <v>59770</v>
      </c>
      <c r="Q2307" s="115" t="e">
        <f ca="1"/>
        <v>#VALUE!</v>
      </c>
      <c r="S2307" s="219">
        <f t="shared" ca="1" si="146"/>
        <v>59770</v>
      </c>
      <c r="T2307" s="115" t="e">
        <f ca="1"/>
        <v>#VALUE!</v>
      </c>
      <c r="V2307" s="219">
        <f t="shared" ca="1" si="147"/>
        <v>59770</v>
      </c>
      <c r="W2307" s="115" t="e">
        <f ca="1"/>
        <v>#VALUE!</v>
      </c>
    </row>
    <row r="2308" spans="13:23">
      <c r="M2308" s="219">
        <f t="shared" ca="1" si="144"/>
        <v>59777</v>
      </c>
      <c r="N2308" s="115" t="e">
        <f ca="1"/>
        <v>#VALUE!</v>
      </c>
      <c r="P2308" s="219">
        <f t="shared" ca="1" si="145"/>
        <v>59777</v>
      </c>
      <c r="Q2308" s="115" t="e">
        <f ca="1"/>
        <v>#VALUE!</v>
      </c>
      <c r="S2308" s="219">
        <f t="shared" ca="1" si="146"/>
        <v>59777</v>
      </c>
      <c r="T2308" s="115" t="e">
        <f ca="1"/>
        <v>#VALUE!</v>
      </c>
      <c r="V2308" s="219">
        <f t="shared" ca="1" si="147"/>
        <v>59777</v>
      </c>
      <c r="W2308" s="115" t="e">
        <f ca="1"/>
        <v>#VALUE!</v>
      </c>
    </row>
    <row r="2309" spans="13:23">
      <c r="M2309" s="219">
        <f t="shared" ca="1" si="144"/>
        <v>59784</v>
      </c>
      <c r="N2309" s="115" t="e">
        <f ca="1"/>
        <v>#VALUE!</v>
      </c>
      <c r="P2309" s="219">
        <f t="shared" ca="1" si="145"/>
        <v>59784</v>
      </c>
      <c r="Q2309" s="115" t="e">
        <f ca="1"/>
        <v>#VALUE!</v>
      </c>
      <c r="S2309" s="219">
        <f t="shared" ca="1" si="146"/>
        <v>59784</v>
      </c>
      <c r="T2309" s="115" t="e">
        <f ca="1"/>
        <v>#VALUE!</v>
      </c>
      <c r="V2309" s="219">
        <f t="shared" ca="1" si="147"/>
        <v>59784</v>
      </c>
      <c r="W2309" s="115" t="e">
        <f ca="1"/>
        <v>#VALUE!</v>
      </c>
    </row>
    <row r="2310" spans="13:23">
      <c r="M2310" s="219">
        <f t="shared" ca="1" si="144"/>
        <v>59791</v>
      </c>
      <c r="N2310" s="115" t="e">
        <f ca="1"/>
        <v>#VALUE!</v>
      </c>
      <c r="P2310" s="219">
        <f t="shared" ca="1" si="145"/>
        <v>59791</v>
      </c>
      <c r="Q2310" s="115" t="e">
        <f ca="1"/>
        <v>#VALUE!</v>
      </c>
      <c r="S2310" s="219">
        <f t="shared" ca="1" si="146"/>
        <v>59791</v>
      </c>
      <c r="T2310" s="115" t="e">
        <f ca="1"/>
        <v>#VALUE!</v>
      </c>
      <c r="V2310" s="219">
        <f t="shared" ca="1" si="147"/>
        <v>59791</v>
      </c>
      <c r="W2310" s="115" t="e">
        <f ca="1"/>
        <v>#VALUE!</v>
      </c>
    </row>
    <row r="2311" spans="13:23">
      <c r="M2311" s="219">
        <f t="shared" ca="1" si="144"/>
        <v>59798</v>
      </c>
      <c r="N2311" s="115" t="e">
        <f ca="1"/>
        <v>#VALUE!</v>
      </c>
      <c r="P2311" s="219">
        <f t="shared" ca="1" si="145"/>
        <v>59798</v>
      </c>
      <c r="Q2311" s="115" t="e">
        <f ca="1"/>
        <v>#VALUE!</v>
      </c>
      <c r="S2311" s="219">
        <f t="shared" ca="1" si="146"/>
        <v>59798</v>
      </c>
      <c r="T2311" s="115" t="e">
        <f ca="1"/>
        <v>#VALUE!</v>
      </c>
      <c r="V2311" s="219">
        <f t="shared" ca="1" si="147"/>
        <v>59798</v>
      </c>
      <c r="W2311" s="115" t="e">
        <f ca="1"/>
        <v>#VALUE!</v>
      </c>
    </row>
    <row r="2312" spans="13:23">
      <c r="M2312" s="219">
        <f t="shared" ca="1" si="144"/>
        <v>59805</v>
      </c>
      <c r="N2312" s="115" t="e">
        <f ca="1"/>
        <v>#VALUE!</v>
      </c>
      <c r="P2312" s="219">
        <f t="shared" ca="1" si="145"/>
        <v>59805</v>
      </c>
      <c r="Q2312" s="115" t="e">
        <f ca="1"/>
        <v>#VALUE!</v>
      </c>
      <c r="S2312" s="219">
        <f t="shared" ca="1" si="146"/>
        <v>59805</v>
      </c>
      <c r="T2312" s="115" t="e">
        <f ca="1"/>
        <v>#VALUE!</v>
      </c>
      <c r="V2312" s="219">
        <f t="shared" ca="1" si="147"/>
        <v>59805</v>
      </c>
      <c r="W2312" s="115" t="e">
        <f ca="1"/>
        <v>#VALUE!</v>
      </c>
    </row>
    <row r="2313" spans="13:23">
      <c r="M2313" s="219">
        <f t="shared" ca="1" si="144"/>
        <v>59812</v>
      </c>
      <c r="N2313" s="115" t="e">
        <f ca="1"/>
        <v>#VALUE!</v>
      </c>
      <c r="P2313" s="219">
        <f t="shared" ca="1" si="145"/>
        <v>59812</v>
      </c>
      <c r="Q2313" s="115" t="e">
        <f ca="1"/>
        <v>#VALUE!</v>
      </c>
      <c r="S2313" s="219">
        <f t="shared" ca="1" si="146"/>
        <v>59812</v>
      </c>
      <c r="T2313" s="115" t="e">
        <f ca="1"/>
        <v>#VALUE!</v>
      </c>
      <c r="V2313" s="219">
        <f t="shared" ca="1" si="147"/>
        <v>59812</v>
      </c>
      <c r="W2313" s="115" t="e">
        <f ca="1"/>
        <v>#VALUE!</v>
      </c>
    </row>
    <row r="2314" spans="13:23">
      <c r="M2314" s="219">
        <f t="shared" ca="1" si="144"/>
        <v>59819</v>
      </c>
      <c r="N2314" s="115" t="e">
        <f ca="1"/>
        <v>#VALUE!</v>
      </c>
      <c r="P2314" s="219">
        <f t="shared" ca="1" si="145"/>
        <v>59819</v>
      </c>
      <c r="Q2314" s="115" t="e">
        <f ca="1"/>
        <v>#VALUE!</v>
      </c>
      <c r="S2314" s="219">
        <f t="shared" ca="1" si="146"/>
        <v>59819</v>
      </c>
      <c r="T2314" s="115" t="e">
        <f ca="1"/>
        <v>#VALUE!</v>
      </c>
      <c r="V2314" s="219">
        <f t="shared" ca="1" si="147"/>
        <v>59819</v>
      </c>
      <c r="W2314" s="115" t="e">
        <f ca="1"/>
        <v>#VALUE!</v>
      </c>
    </row>
    <row r="2315" spans="13:23">
      <c r="M2315" s="219">
        <f t="shared" ca="1" si="144"/>
        <v>59826</v>
      </c>
      <c r="N2315" s="115" t="e">
        <f ca="1"/>
        <v>#VALUE!</v>
      </c>
      <c r="P2315" s="219">
        <f t="shared" ca="1" si="145"/>
        <v>59826</v>
      </c>
      <c r="Q2315" s="115" t="e">
        <f ca="1"/>
        <v>#VALUE!</v>
      </c>
      <c r="S2315" s="219">
        <f t="shared" ca="1" si="146"/>
        <v>59826</v>
      </c>
      <c r="T2315" s="115" t="e">
        <f ca="1"/>
        <v>#VALUE!</v>
      </c>
      <c r="V2315" s="219">
        <f t="shared" ca="1" si="147"/>
        <v>59826</v>
      </c>
      <c r="W2315" s="115" t="e">
        <f ca="1"/>
        <v>#VALUE!</v>
      </c>
    </row>
    <row r="2316" spans="13:23">
      <c r="M2316" s="219">
        <f t="shared" ca="1" si="144"/>
        <v>59833</v>
      </c>
      <c r="N2316" s="115" t="e">
        <f ca="1"/>
        <v>#VALUE!</v>
      </c>
      <c r="P2316" s="219">
        <f t="shared" ca="1" si="145"/>
        <v>59833</v>
      </c>
      <c r="Q2316" s="115" t="e">
        <f ca="1"/>
        <v>#VALUE!</v>
      </c>
      <c r="S2316" s="219">
        <f t="shared" ca="1" si="146"/>
        <v>59833</v>
      </c>
      <c r="T2316" s="115" t="e">
        <f ca="1"/>
        <v>#VALUE!</v>
      </c>
      <c r="V2316" s="219">
        <f t="shared" ca="1" si="147"/>
        <v>59833</v>
      </c>
      <c r="W2316" s="115" t="e">
        <f ca="1"/>
        <v>#VALUE!</v>
      </c>
    </row>
    <row r="2317" spans="13:23">
      <c r="M2317" s="219">
        <f t="shared" ref="M2317:M2380" ca="1" si="148">M2316+7</f>
        <v>59840</v>
      </c>
      <c r="N2317" s="115" t="e">
        <f ca="1"/>
        <v>#VALUE!</v>
      </c>
      <c r="P2317" s="219">
        <f t="shared" ca="1" si="145"/>
        <v>59840</v>
      </c>
      <c r="Q2317" s="115" t="e">
        <f ca="1"/>
        <v>#VALUE!</v>
      </c>
      <c r="S2317" s="219">
        <f t="shared" ca="1" si="146"/>
        <v>59840</v>
      </c>
      <c r="T2317" s="115" t="e">
        <f ca="1"/>
        <v>#VALUE!</v>
      </c>
      <c r="V2317" s="219">
        <f t="shared" ca="1" si="147"/>
        <v>59840</v>
      </c>
      <c r="W2317" s="115" t="e">
        <f ca="1"/>
        <v>#VALUE!</v>
      </c>
    </row>
    <row r="2318" spans="13:23">
      <c r="M2318" s="219">
        <f t="shared" ca="1" si="148"/>
        <v>59847</v>
      </c>
      <c r="N2318" s="115" t="e">
        <f ca="1"/>
        <v>#VALUE!</v>
      </c>
      <c r="P2318" s="219">
        <f t="shared" ca="1" si="145"/>
        <v>59847</v>
      </c>
      <c r="Q2318" s="115" t="e">
        <f ca="1"/>
        <v>#VALUE!</v>
      </c>
      <c r="S2318" s="219">
        <f t="shared" ca="1" si="146"/>
        <v>59847</v>
      </c>
      <c r="T2318" s="115" t="e">
        <f ca="1"/>
        <v>#VALUE!</v>
      </c>
      <c r="V2318" s="219">
        <f t="shared" ca="1" si="147"/>
        <v>59847</v>
      </c>
      <c r="W2318" s="115" t="e">
        <f ca="1"/>
        <v>#VALUE!</v>
      </c>
    </row>
    <row r="2319" spans="13:23">
      <c r="M2319" s="219">
        <f t="shared" ca="1" si="148"/>
        <v>59854</v>
      </c>
      <c r="N2319" s="115" t="e">
        <f ca="1"/>
        <v>#VALUE!</v>
      </c>
      <c r="P2319" s="219">
        <f t="shared" ca="1" si="145"/>
        <v>59854</v>
      </c>
      <c r="Q2319" s="115" t="e">
        <f ca="1"/>
        <v>#VALUE!</v>
      </c>
      <c r="S2319" s="219">
        <f t="shared" ca="1" si="146"/>
        <v>59854</v>
      </c>
      <c r="T2319" s="115" t="e">
        <f ca="1"/>
        <v>#VALUE!</v>
      </c>
      <c r="V2319" s="219">
        <f t="shared" ca="1" si="147"/>
        <v>59854</v>
      </c>
      <c r="W2319" s="115" t="e">
        <f ca="1"/>
        <v>#VALUE!</v>
      </c>
    </row>
    <row r="2320" spans="13:23">
      <c r="M2320" s="219">
        <f t="shared" ca="1" si="148"/>
        <v>59861</v>
      </c>
      <c r="N2320" s="115" t="e">
        <f ca="1"/>
        <v>#VALUE!</v>
      </c>
      <c r="P2320" s="219">
        <f t="shared" ca="1" si="145"/>
        <v>59861</v>
      </c>
      <c r="Q2320" s="115" t="e">
        <f ca="1"/>
        <v>#VALUE!</v>
      </c>
      <c r="S2320" s="219">
        <f t="shared" ca="1" si="146"/>
        <v>59861</v>
      </c>
      <c r="T2320" s="115" t="e">
        <f ca="1"/>
        <v>#VALUE!</v>
      </c>
      <c r="V2320" s="219">
        <f t="shared" ca="1" si="147"/>
        <v>59861</v>
      </c>
      <c r="W2320" s="115" t="e">
        <f ca="1"/>
        <v>#VALUE!</v>
      </c>
    </row>
    <row r="2321" spans="13:23">
      <c r="M2321" s="219">
        <f t="shared" ca="1" si="148"/>
        <v>59868</v>
      </c>
      <c r="N2321" s="115" t="e">
        <f ca="1"/>
        <v>#VALUE!</v>
      </c>
      <c r="P2321" s="219">
        <f t="shared" ca="1" si="145"/>
        <v>59868</v>
      </c>
      <c r="Q2321" s="115" t="e">
        <f ca="1"/>
        <v>#VALUE!</v>
      </c>
      <c r="S2321" s="219">
        <f t="shared" ca="1" si="146"/>
        <v>59868</v>
      </c>
      <c r="T2321" s="115" t="e">
        <f ca="1"/>
        <v>#VALUE!</v>
      </c>
      <c r="V2321" s="219">
        <f t="shared" ca="1" si="147"/>
        <v>59868</v>
      </c>
      <c r="W2321" s="115" t="e">
        <f ca="1"/>
        <v>#VALUE!</v>
      </c>
    </row>
    <row r="2322" spans="13:23">
      <c r="M2322" s="219">
        <f t="shared" ca="1" si="148"/>
        <v>59875</v>
      </c>
      <c r="N2322" s="115" t="e">
        <f ca="1"/>
        <v>#VALUE!</v>
      </c>
      <c r="P2322" s="219">
        <f t="shared" ca="1" si="145"/>
        <v>59875</v>
      </c>
      <c r="Q2322" s="115" t="e">
        <f ca="1"/>
        <v>#VALUE!</v>
      </c>
      <c r="S2322" s="219">
        <f t="shared" ca="1" si="146"/>
        <v>59875</v>
      </c>
      <c r="T2322" s="115" t="e">
        <f ca="1"/>
        <v>#VALUE!</v>
      </c>
      <c r="V2322" s="219">
        <f t="shared" ca="1" si="147"/>
        <v>59875</v>
      </c>
      <c r="W2322" s="115" t="e">
        <f ca="1"/>
        <v>#VALUE!</v>
      </c>
    </row>
    <row r="2323" spans="13:23">
      <c r="M2323" s="219">
        <f t="shared" ca="1" si="148"/>
        <v>59882</v>
      </c>
      <c r="N2323" s="115" t="e">
        <f ca="1"/>
        <v>#VALUE!</v>
      </c>
      <c r="P2323" s="219">
        <f t="shared" ca="1" si="145"/>
        <v>59882</v>
      </c>
      <c r="Q2323" s="115" t="e">
        <f ca="1"/>
        <v>#VALUE!</v>
      </c>
      <c r="S2323" s="219">
        <f t="shared" ca="1" si="146"/>
        <v>59882</v>
      </c>
      <c r="T2323" s="115" t="e">
        <f ca="1"/>
        <v>#VALUE!</v>
      </c>
      <c r="V2323" s="219">
        <f t="shared" ca="1" si="147"/>
        <v>59882</v>
      </c>
      <c r="W2323" s="115" t="e">
        <f ca="1"/>
        <v>#VALUE!</v>
      </c>
    </row>
    <row r="2324" spans="13:23">
      <c r="M2324" s="219">
        <f t="shared" ca="1" si="148"/>
        <v>59889</v>
      </c>
      <c r="N2324" s="115" t="e">
        <f ca="1"/>
        <v>#VALUE!</v>
      </c>
      <c r="P2324" s="219">
        <f t="shared" ca="1" si="145"/>
        <v>59889</v>
      </c>
      <c r="Q2324" s="115" t="e">
        <f ca="1"/>
        <v>#VALUE!</v>
      </c>
      <c r="S2324" s="219">
        <f t="shared" ca="1" si="146"/>
        <v>59889</v>
      </c>
      <c r="T2324" s="115" t="e">
        <f ca="1"/>
        <v>#VALUE!</v>
      </c>
      <c r="V2324" s="219">
        <f t="shared" ca="1" si="147"/>
        <v>59889</v>
      </c>
      <c r="W2324" s="115" t="e">
        <f ca="1"/>
        <v>#VALUE!</v>
      </c>
    </row>
    <row r="2325" spans="13:23">
      <c r="M2325" s="219">
        <f t="shared" ca="1" si="148"/>
        <v>59896</v>
      </c>
      <c r="N2325" s="115" t="e">
        <f ca="1"/>
        <v>#VALUE!</v>
      </c>
      <c r="P2325" s="219">
        <f t="shared" ca="1" si="145"/>
        <v>59896</v>
      </c>
      <c r="Q2325" s="115" t="e">
        <f ca="1"/>
        <v>#VALUE!</v>
      </c>
      <c r="S2325" s="219">
        <f t="shared" ca="1" si="146"/>
        <v>59896</v>
      </c>
      <c r="T2325" s="115" t="e">
        <f ca="1"/>
        <v>#VALUE!</v>
      </c>
      <c r="V2325" s="219">
        <f t="shared" ca="1" si="147"/>
        <v>59896</v>
      </c>
      <c r="W2325" s="115" t="e">
        <f ca="1"/>
        <v>#VALUE!</v>
      </c>
    </row>
    <row r="2326" spans="13:23">
      <c r="M2326" s="219">
        <f t="shared" ca="1" si="148"/>
        <v>59903</v>
      </c>
      <c r="N2326" s="115" t="e">
        <f ca="1"/>
        <v>#VALUE!</v>
      </c>
      <c r="P2326" s="219">
        <f t="shared" ca="1" si="145"/>
        <v>59903</v>
      </c>
      <c r="Q2326" s="115" t="e">
        <f ca="1"/>
        <v>#VALUE!</v>
      </c>
      <c r="S2326" s="219">
        <f t="shared" ca="1" si="146"/>
        <v>59903</v>
      </c>
      <c r="T2326" s="115" t="e">
        <f ca="1"/>
        <v>#VALUE!</v>
      </c>
      <c r="V2326" s="219">
        <f t="shared" ca="1" si="147"/>
        <v>59903</v>
      </c>
      <c r="W2326" s="115" t="e">
        <f ca="1"/>
        <v>#VALUE!</v>
      </c>
    </row>
    <row r="2327" spans="13:23">
      <c r="M2327" s="219">
        <f t="shared" ca="1" si="148"/>
        <v>59910</v>
      </c>
      <c r="N2327" s="115" t="e">
        <f ca="1"/>
        <v>#VALUE!</v>
      </c>
      <c r="P2327" s="219">
        <f t="shared" ca="1" si="145"/>
        <v>59910</v>
      </c>
      <c r="Q2327" s="115" t="e">
        <f ca="1"/>
        <v>#VALUE!</v>
      </c>
      <c r="S2327" s="219">
        <f t="shared" ca="1" si="146"/>
        <v>59910</v>
      </c>
      <c r="T2327" s="115" t="e">
        <f ca="1"/>
        <v>#VALUE!</v>
      </c>
      <c r="V2327" s="219">
        <f t="shared" ca="1" si="147"/>
        <v>59910</v>
      </c>
      <c r="W2327" s="115" t="e">
        <f ca="1"/>
        <v>#VALUE!</v>
      </c>
    </row>
    <row r="2328" spans="13:23">
      <c r="M2328" s="219">
        <f t="shared" ca="1" si="148"/>
        <v>59917</v>
      </c>
      <c r="N2328" s="115" t="e">
        <f ca="1"/>
        <v>#VALUE!</v>
      </c>
      <c r="P2328" s="219">
        <f t="shared" ca="1" si="145"/>
        <v>59917</v>
      </c>
      <c r="Q2328" s="115" t="e">
        <f ca="1"/>
        <v>#VALUE!</v>
      </c>
      <c r="S2328" s="219">
        <f t="shared" ca="1" si="146"/>
        <v>59917</v>
      </c>
      <c r="T2328" s="115" t="e">
        <f ca="1"/>
        <v>#VALUE!</v>
      </c>
      <c r="V2328" s="219">
        <f t="shared" ca="1" si="147"/>
        <v>59917</v>
      </c>
      <c r="W2328" s="115" t="e">
        <f ca="1"/>
        <v>#VALUE!</v>
      </c>
    </row>
    <row r="2329" spans="13:23">
      <c r="M2329" s="219">
        <f t="shared" ca="1" si="148"/>
        <v>59924</v>
      </c>
      <c r="N2329" s="115" t="e">
        <f ca="1"/>
        <v>#VALUE!</v>
      </c>
      <c r="P2329" s="219">
        <f t="shared" ca="1" si="145"/>
        <v>59924</v>
      </c>
      <c r="Q2329" s="115" t="e">
        <f ca="1"/>
        <v>#VALUE!</v>
      </c>
      <c r="S2329" s="219">
        <f t="shared" ca="1" si="146"/>
        <v>59924</v>
      </c>
      <c r="T2329" s="115" t="e">
        <f ca="1"/>
        <v>#VALUE!</v>
      </c>
      <c r="V2329" s="219">
        <f t="shared" ca="1" si="147"/>
        <v>59924</v>
      </c>
      <c r="W2329" s="115" t="e">
        <f ca="1"/>
        <v>#VALUE!</v>
      </c>
    </row>
    <row r="2330" spans="13:23">
      <c r="M2330" s="219">
        <f t="shared" ca="1" si="148"/>
        <v>59931</v>
      </c>
      <c r="N2330" s="115" t="e">
        <f ca="1"/>
        <v>#VALUE!</v>
      </c>
      <c r="P2330" s="219">
        <f t="shared" ca="1" si="145"/>
        <v>59931</v>
      </c>
      <c r="Q2330" s="115" t="e">
        <f ca="1"/>
        <v>#VALUE!</v>
      </c>
      <c r="S2330" s="219">
        <f t="shared" ca="1" si="146"/>
        <v>59931</v>
      </c>
      <c r="T2330" s="115" t="e">
        <f ca="1"/>
        <v>#VALUE!</v>
      </c>
      <c r="V2330" s="219">
        <f t="shared" ca="1" si="147"/>
        <v>59931</v>
      </c>
      <c r="W2330" s="115" t="e">
        <f ca="1"/>
        <v>#VALUE!</v>
      </c>
    </row>
    <row r="2331" spans="13:23">
      <c r="M2331" s="219">
        <f t="shared" ca="1" si="148"/>
        <v>59938</v>
      </c>
      <c r="N2331" s="115" t="e">
        <f ca="1"/>
        <v>#VALUE!</v>
      </c>
      <c r="P2331" s="219">
        <f t="shared" ca="1" si="145"/>
        <v>59938</v>
      </c>
      <c r="Q2331" s="115" t="e">
        <f ca="1"/>
        <v>#VALUE!</v>
      </c>
      <c r="S2331" s="219">
        <f t="shared" ca="1" si="146"/>
        <v>59938</v>
      </c>
      <c r="T2331" s="115" t="e">
        <f ca="1"/>
        <v>#VALUE!</v>
      </c>
      <c r="V2331" s="219">
        <f t="shared" ca="1" si="147"/>
        <v>59938</v>
      </c>
      <c r="W2331" s="115" t="e">
        <f ca="1"/>
        <v>#VALUE!</v>
      </c>
    </row>
    <row r="2332" spans="13:23">
      <c r="M2332" s="219">
        <f t="shared" ca="1" si="148"/>
        <v>59945</v>
      </c>
      <c r="N2332" s="115" t="e">
        <f ca="1"/>
        <v>#VALUE!</v>
      </c>
      <c r="P2332" s="219">
        <f t="shared" ca="1" si="145"/>
        <v>59945</v>
      </c>
      <c r="Q2332" s="115" t="e">
        <f ca="1"/>
        <v>#VALUE!</v>
      </c>
      <c r="S2332" s="219">
        <f t="shared" ca="1" si="146"/>
        <v>59945</v>
      </c>
      <c r="T2332" s="115" t="e">
        <f ca="1"/>
        <v>#VALUE!</v>
      </c>
      <c r="V2332" s="219">
        <f t="shared" ca="1" si="147"/>
        <v>59945</v>
      </c>
      <c r="W2332" s="115" t="e">
        <f ca="1"/>
        <v>#VALUE!</v>
      </c>
    </row>
    <row r="2333" spans="13:23">
      <c r="M2333" s="219">
        <f t="shared" ca="1" si="148"/>
        <v>59952</v>
      </c>
      <c r="N2333" s="115" t="e">
        <f ca="1"/>
        <v>#VALUE!</v>
      </c>
      <c r="P2333" s="219">
        <f t="shared" ref="P2333:P2396" ca="1" si="149">P2332+7</f>
        <v>59952</v>
      </c>
      <c r="Q2333" s="115" t="e">
        <f ca="1"/>
        <v>#VALUE!</v>
      </c>
      <c r="S2333" s="219">
        <f t="shared" ref="S2333:S2396" ca="1" si="150">S2332+7</f>
        <v>59952</v>
      </c>
      <c r="T2333" s="115" t="e">
        <f ca="1"/>
        <v>#VALUE!</v>
      </c>
      <c r="V2333" s="219">
        <f t="shared" ref="V2333:V2396" ca="1" si="151">V2332+7</f>
        <v>59952</v>
      </c>
      <c r="W2333" s="115" t="e">
        <f ca="1"/>
        <v>#VALUE!</v>
      </c>
    </row>
    <row r="2334" spans="13:23">
      <c r="M2334" s="219">
        <f t="shared" ca="1" si="148"/>
        <v>59959</v>
      </c>
      <c r="N2334" s="115" t="e">
        <f ca="1"/>
        <v>#VALUE!</v>
      </c>
      <c r="P2334" s="219">
        <f t="shared" ca="1" si="149"/>
        <v>59959</v>
      </c>
      <c r="Q2334" s="115" t="e">
        <f ca="1"/>
        <v>#VALUE!</v>
      </c>
      <c r="S2334" s="219">
        <f t="shared" ca="1" si="150"/>
        <v>59959</v>
      </c>
      <c r="T2334" s="115" t="e">
        <f ca="1"/>
        <v>#VALUE!</v>
      </c>
      <c r="V2334" s="219">
        <f t="shared" ca="1" si="151"/>
        <v>59959</v>
      </c>
      <c r="W2334" s="115" t="e">
        <f ca="1"/>
        <v>#VALUE!</v>
      </c>
    </row>
    <row r="2335" spans="13:23">
      <c r="M2335" s="219">
        <f t="shared" ca="1" si="148"/>
        <v>59966</v>
      </c>
      <c r="N2335" s="115" t="e">
        <f ca="1"/>
        <v>#VALUE!</v>
      </c>
      <c r="P2335" s="219">
        <f t="shared" ca="1" si="149"/>
        <v>59966</v>
      </c>
      <c r="Q2335" s="115" t="e">
        <f ca="1"/>
        <v>#VALUE!</v>
      </c>
      <c r="S2335" s="219">
        <f t="shared" ca="1" si="150"/>
        <v>59966</v>
      </c>
      <c r="T2335" s="115" t="e">
        <f ca="1"/>
        <v>#VALUE!</v>
      </c>
      <c r="V2335" s="219">
        <f t="shared" ca="1" si="151"/>
        <v>59966</v>
      </c>
      <c r="W2335" s="115" t="e">
        <f ca="1"/>
        <v>#VALUE!</v>
      </c>
    </row>
    <row r="2336" spans="13:23">
      <c r="M2336" s="219">
        <f t="shared" ca="1" si="148"/>
        <v>59973</v>
      </c>
      <c r="N2336" s="115" t="e">
        <f ca="1"/>
        <v>#VALUE!</v>
      </c>
      <c r="P2336" s="219">
        <f t="shared" ca="1" si="149"/>
        <v>59973</v>
      </c>
      <c r="Q2336" s="115" t="e">
        <f ca="1"/>
        <v>#VALUE!</v>
      </c>
      <c r="S2336" s="219">
        <f t="shared" ca="1" si="150"/>
        <v>59973</v>
      </c>
      <c r="T2336" s="115" t="e">
        <f ca="1"/>
        <v>#VALUE!</v>
      </c>
      <c r="V2336" s="219">
        <f t="shared" ca="1" si="151"/>
        <v>59973</v>
      </c>
      <c r="W2336" s="115" t="e">
        <f ca="1"/>
        <v>#VALUE!</v>
      </c>
    </row>
    <row r="2337" spans="13:23">
      <c r="M2337" s="219">
        <f t="shared" ca="1" si="148"/>
        <v>59980</v>
      </c>
      <c r="N2337" s="115" t="e">
        <f ca="1"/>
        <v>#VALUE!</v>
      </c>
      <c r="P2337" s="219">
        <f t="shared" ca="1" si="149"/>
        <v>59980</v>
      </c>
      <c r="Q2337" s="115" t="e">
        <f ca="1"/>
        <v>#VALUE!</v>
      </c>
      <c r="S2337" s="219">
        <f t="shared" ca="1" si="150"/>
        <v>59980</v>
      </c>
      <c r="T2337" s="115" t="e">
        <f ca="1"/>
        <v>#VALUE!</v>
      </c>
      <c r="V2337" s="219">
        <f t="shared" ca="1" si="151"/>
        <v>59980</v>
      </c>
      <c r="W2337" s="115" t="e">
        <f ca="1"/>
        <v>#VALUE!</v>
      </c>
    </row>
    <row r="2338" spans="13:23">
      <c r="M2338" s="219">
        <f t="shared" ca="1" si="148"/>
        <v>59987</v>
      </c>
      <c r="N2338" s="115" t="e">
        <f ca="1"/>
        <v>#VALUE!</v>
      </c>
      <c r="P2338" s="219">
        <f t="shared" ca="1" si="149"/>
        <v>59987</v>
      </c>
      <c r="Q2338" s="115" t="e">
        <f ca="1"/>
        <v>#VALUE!</v>
      </c>
      <c r="S2338" s="219">
        <f t="shared" ca="1" si="150"/>
        <v>59987</v>
      </c>
      <c r="T2338" s="115" t="e">
        <f ca="1"/>
        <v>#VALUE!</v>
      </c>
      <c r="V2338" s="219">
        <f t="shared" ca="1" si="151"/>
        <v>59987</v>
      </c>
      <c r="W2338" s="115" t="e">
        <f ca="1"/>
        <v>#VALUE!</v>
      </c>
    </row>
    <row r="2339" spans="13:23">
      <c r="M2339" s="219">
        <f t="shared" ca="1" si="148"/>
        <v>59994</v>
      </c>
      <c r="N2339" s="115" t="e">
        <f ca="1"/>
        <v>#VALUE!</v>
      </c>
      <c r="P2339" s="219">
        <f t="shared" ca="1" si="149"/>
        <v>59994</v>
      </c>
      <c r="Q2339" s="115" t="e">
        <f ca="1"/>
        <v>#VALUE!</v>
      </c>
      <c r="S2339" s="219">
        <f t="shared" ca="1" si="150"/>
        <v>59994</v>
      </c>
      <c r="T2339" s="115" t="e">
        <f ca="1"/>
        <v>#VALUE!</v>
      </c>
      <c r="V2339" s="219">
        <f t="shared" ca="1" si="151"/>
        <v>59994</v>
      </c>
      <c r="W2339" s="115" t="e">
        <f ca="1"/>
        <v>#VALUE!</v>
      </c>
    </row>
    <row r="2340" spans="13:23">
      <c r="M2340" s="219">
        <f t="shared" ca="1" si="148"/>
        <v>60001</v>
      </c>
      <c r="N2340" s="115" t="e">
        <f ca="1"/>
        <v>#VALUE!</v>
      </c>
      <c r="P2340" s="219">
        <f t="shared" ca="1" si="149"/>
        <v>60001</v>
      </c>
      <c r="Q2340" s="115" t="e">
        <f ca="1"/>
        <v>#VALUE!</v>
      </c>
      <c r="S2340" s="219">
        <f t="shared" ca="1" si="150"/>
        <v>60001</v>
      </c>
      <c r="T2340" s="115" t="e">
        <f ca="1"/>
        <v>#VALUE!</v>
      </c>
      <c r="V2340" s="219">
        <f t="shared" ca="1" si="151"/>
        <v>60001</v>
      </c>
      <c r="W2340" s="115" t="e">
        <f ca="1"/>
        <v>#VALUE!</v>
      </c>
    </row>
    <row r="2341" spans="13:23">
      <c r="M2341" s="219">
        <f t="shared" ca="1" si="148"/>
        <v>60008</v>
      </c>
      <c r="N2341" s="115" t="e">
        <f ca="1"/>
        <v>#VALUE!</v>
      </c>
      <c r="P2341" s="219">
        <f t="shared" ca="1" si="149"/>
        <v>60008</v>
      </c>
      <c r="Q2341" s="115" t="e">
        <f ca="1"/>
        <v>#VALUE!</v>
      </c>
      <c r="S2341" s="219">
        <f t="shared" ca="1" si="150"/>
        <v>60008</v>
      </c>
      <c r="T2341" s="115" t="e">
        <f ca="1"/>
        <v>#VALUE!</v>
      </c>
      <c r="V2341" s="219">
        <f t="shared" ca="1" si="151"/>
        <v>60008</v>
      </c>
      <c r="W2341" s="115" t="e">
        <f ca="1"/>
        <v>#VALUE!</v>
      </c>
    </row>
    <row r="2342" spans="13:23">
      <c r="M2342" s="219">
        <f t="shared" ca="1" si="148"/>
        <v>60015</v>
      </c>
      <c r="N2342" s="115" t="e">
        <f ca="1"/>
        <v>#VALUE!</v>
      </c>
      <c r="P2342" s="219">
        <f t="shared" ca="1" si="149"/>
        <v>60015</v>
      </c>
      <c r="Q2342" s="115" t="e">
        <f ca="1"/>
        <v>#VALUE!</v>
      </c>
      <c r="S2342" s="219">
        <f t="shared" ca="1" si="150"/>
        <v>60015</v>
      </c>
      <c r="T2342" s="115" t="e">
        <f ca="1"/>
        <v>#VALUE!</v>
      </c>
      <c r="V2342" s="219">
        <f t="shared" ca="1" si="151"/>
        <v>60015</v>
      </c>
      <c r="W2342" s="115" t="e">
        <f ca="1"/>
        <v>#VALUE!</v>
      </c>
    </row>
    <row r="2343" spans="13:23">
      <c r="M2343" s="219">
        <f t="shared" ca="1" si="148"/>
        <v>60022</v>
      </c>
      <c r="N2343" s="115" t="e">
        <f ca="1"/>
        <v>#VALUE!</v>
      </c>
      <c r="P2343" s="219">
        <f t="shared" ca="1" si="149"/>
        <v>60022</v>
      </c>
      <c r="Q2343" s="115" t="e">
        <f ca="1"/>
        <v>#VALUE!</v>
      </c>
      <c r="S2343" s="219">
        <f t="shared" ca="1" si="150"/>
        <v>60022</v>
      </c>
      <c r="T2343" s="115" t="e">
        <f ca="1"/>
        <v>#VALUE!</v>
      </c>
      <c r="V2343" s="219">
        <f t="shared" ca="1" si="151"/>
        <v>60022</v>
      </c>
      <c r="W2343" s="115" t="e">
        <f ca="1"/>
        <v>#VALUE!</v>
      </c>
    </row>
    <row r="2344" spans="13:23">
      <c r="M2344" s="219">
        <f t="shared" ca="1" si="148"/>
        <v>60029</v>
      </c>
      <c r="N2344" s="115" t="e">
        <f ca="1"/>
        <v>#VALUE!</v>
      </c>
      <c r="P2344" s="219">
        <f t="shared" ca="1" si="149"/>
        <v>60029</v>
      </c>
      <c r="Q2344" s="115" t="e">
        <f ca="1"/>
        <v>#VALUE!</v>
      </c>
      <c r="S2344" s="219">
        <f t="shared" ca="1" si="150"/>
        <v>60029</v>
      </c>
      <c r="T2344" s="115" t="e">
        <f ca="1"/>
        <v>#VALUE!</v>
      </c>
      <c r="V2344" s="219">
        <f t="shared" ca="1" si="151"/>
        <v>60029</v>
      </c>
      <c r="W2344" s="115" t="e">
        <f ca="1"/>
        <v>#VALUE!</v>
      </c>
    </row>
    <row r="2345" spans="13:23">
      <c r="M2345" s="219">
        <f t="shared" ca="1" si="148"/>
        <v>60036</v>
      </c>
      <c r="N2345" s="115" t="e">
        <f ca="1"/>
        <v>#VALUE!</v>
      </c>
      <c r="P2345" s="219">
        <f t="shared" ca="1" si="149"/>
        <v>60036</v>
      </c>
      <c r="Q2345" s="115" t="e">
        <f ca="1"/>
        <v>#VALUE!</v>
      </c>
      <c r="S2345" s="219">
        <f t="shared" ca="1" si="150"/>
        <v>60036</v>
      </c>
      <c r="T2345" s="115" t="e">
        <f ca="1"/>
        <v>#VALUE!</v>
      </c>
      <c r="V2345" s="219">
        <f t="shared" ca="1" si="151"/>
        <v>60036</v>
      </c>
      <c r="W2345" s="115" t="e">
        <f ca="1"/>
        <v>#VALUE!</v>
      </c>
    </row>
    <row r="2346" spans="13:23">
      <c r="M2346" s="219">
        <f t="shared" ca="1" si="148"/>
        <v>60043</v>
      </c>
      <c r="N2346" s="115" t="e">
        <f ca="1"/>
        <v>#VALUE!</v>
      </c>
      <c r="P2346" s="219">
        <f t="shared" ca="1" si="149"/>
        <v>60043</v>
      </c>
      <c r="Q2346" s="115" t="e">
        <f ca="1"/>
        <v>#VALUE!</v>
      </c>
      <c r="S2346" s="219">
        <f t="shared" ca="1" si="150"/>
        <v>60043</v>
      </c>
      <c r="T2346" s="115" t="e">
        <f ca="1"/>
        <v>#VALUE!</v>
      </c>
      <c r="V2346" s="219">
        <f t="shared" ca="1" si="151"/>
        <v>60043</v>
      </c>
      <c r="W2346" s="115" t="e">
        <f ca="1"/>
        <v>#VALUE!</v>
      </c>
    </row>
    <row r="2347" spans="13:23">
      <c r="M2347" s="219">
        <f t="shared" ca="1" si="148"/>
        <v>60050</v>
      </c>
      <c r="N2347" s="115" t="e">
        <f ca="1"/>
        <v>#VALUE!</v>
      </c>
      <c r="P2347" s="219">
        <f t="shared" ca="1" si="149"/>
        <v>60050</v>
      </c>
      <c r="Q2347" s="115" t="e">
        <f ca="1"/>
        <v>#VALUE!</v>
      </c>
      <c r="S2347" s="219">
        <f t="shared" ca="1" si="150"/>
        <v>60050</v>
      </c>
      <c r="T2347" s="115" t="e">
        <f ca="1"/>
        <v>#VALUE!</v>
      </c>
      <c r="V2347" s="219">
        <f t="shared" ca="1" si="151"/>
        <v>60050</v>
      </c>
      <c r="W2347" s="115" t="e">
        <f ca="1"/>
        <v>#VALUE!</v>
      </c>
    </row>
    <row r="2348" spans="13:23">
      <c r="M2348" s="219">
        <f t="shared" ca="1" si="148"/>
        <v>60057</v>
      </c>
      <c r="N2348" s="115" t="e">
        <f ca="1"/>
        <v>#VALUE!</v>
      </c>
      <c r="P2348" s="219">
        <f t="shared" ca="1" si="149"/>
        <v>60057</v>
      </c>
      <c r="Q2348" s="115" t="e">
        <f ca="1"/>
        <v>#VALUE!</v>
      </c>
      <c r="S2348" s="219">
        <f t="shared" ca="1" si="150"/>
        <v>60057</v>
      </c>
      <c r="T2348" s="115" t="e">
        <f ca="1"/>
        <v>#VALUE!</v>
      </c>
      <c r="V2348" s="219">
        <f t="shared" ca="1" si="151"/>
        <v>60057</v>
      </c>
      <c r="W2348" s="115" t="e">
        <f ca="1"/>
        <v>#VALUE!</v>
      </c>
    </row>
    <row r="2349" spans="13:23">
      <c r="M2349" s="219">
        <f t="shared" ca="1" si="148"/>
        <v>60064</v>
      </c>
      <c r="N2349" s="115" t="e">
        <f ca="1"/>
        <v>#VALUE!</v>
      </c>
      <c r="P2349" s="219">
        <f t="shared" ca="1" si="149"/>
        <v>60064</v>
      </c>
      <c r="Q2349" s="115" t="e">
        <f ca="1"/>
        <v>#VALUE!</v>
      </c>
      <c r="S2349" s="219">
        <f t="shared" ca="1" si="150"/>
        <v>60064</v>
      </c>
      <c r="T2349" s="115" t="e">
        <f ca="1"/>
        <v>#VALUE!</v>
      </c>
      <c r="V2349" s="219">
        <f t="shared" ca="1" si="151"/>
        <v>60064</v>
      </c>
      <c r="W2349" s="115" t="e">
        <f ca="1"/>
        <v>#VALUE!</v>
      </c>
    </row>
    <row r="2350" spans="13:23">
      <c r="M2350" s="219">
        <f t="shared" ca="1" si="148"/>
        <v>60071</v>
      </c>
      <c r="N2350" s="115" t="e">
        <f ca="1"/>
        <v>#VALUE!</v>
      </c>
      <c r="P2350" s="219">
        <f t="shared" ca="1" si="149"/>
        <v>60071</v>
      </c>
      <c r="Q2350" s="115" t="e">
        <f ca="1"/>
        <v>#VALUE!</v>
      </c>
      <c r="S2350" s="219">
        <f t="shared" ca="1" si="150"/>
        <v>60071</v>
      </c>
      <c r="T2350" s="115" t="e">
        <f ca="1"/>
        <v>#VALUE!</v>
      </c>
      <c r="V2350" s="219">
        <f t="shared" ca="1" si="151"/>
        <v>60071</v>
      </c>
      <c r="W2350" s="115" t="e">
        <f ca="1"/>
        <v>#VALUE!</v>
      </c>
    </row>
    <row r="2351" spans="13:23">
      <c r="M2351" s="219">
        <f t="shared" ca="1" si="148"/>
        <v>60078</v>
      </c>
      <c r="N2351" s="115" t="e">
        <f ca="1"/>
        <v>#VALUE!</v>
      </c>
      <c r="P2351" s="219">
        <f t="shared" ca="1" si="149"/>
        <v>60078</v>
      </c>
      <c r="Q2351" s="115" t="e">
        <f ca="1"/>
        <v>#VALUE!</v>
      </c>
      <c r="S2351" s="219">
        <f t="shared" ca="1" si="150"/>
        <v>60078</v>
      </c>
      <c r="T2351" s="115" t="e">
        <f ca="1"/>
        <v>#VALUE!</v>
      </c>
      <c r="V2351" s="219">
        <f t="shared" ca="1" si="151"/>
        <v>60078</v>
      </c>
      <c r="W2351" s="115" t="e">
        <f ca="1"/>
        <v>#VALUE!</v>
      </c>
    </row>
    <row r="2352" spans="13:23">
      <c r="M2352" s="219">
        <f t="shared" ca="1" si="148"/>
        <v>60085</v>
      </c>
      <c r="N2352" s="115" t="e">
        <f ca="1"/>
        <v>#VALUE!</v>
      </c>
      <c r="P2352" s="219">
        <f t="shared" ca="1" si="149"/>
        <v>60085</v>
      </c>
      <c r="Q2352" s="115" t="e">
        <f ca="1"/>
        <v>#VALUE!</v>
      </c>
      <c r="S2352" s="219">
        <f t="shared" ca="1" si="150"/>
        <v>60085</v>
      </c>
      <c r="T2352" s="115" t="e">
        <f ca="1"/>
        <v>#VALUE!</v>
      </c>
      <c r="V2352" s="219">
        <f t="shared" ca="1" si="151"/>
        <v>60085</v>
      </c>
      <c r="W2352" s="115" t="e">
        <f ca="1"/>
        <v>#VALUE!</v>
      </c>
    </row>
    <row r="2353" spans="13:23">
      <c r="M2353" s="219">
        <f t="shared" ca="1" si="148"/>
        <v>60092</v>
      </c>
      <c r="N2353" s="115" t="e">
        <f ca="1"/>
        <v>#VALUE!</v>
      </c>
      <c r="P2353" s="219">
        <f t="shared" ca="1" si="149"/>
        <v>60092</v>
      </c>
      <c r="Q2353" s="115" t="e">
        <f ca="1"/>
        <v>#VALUE!</v>
      </c>
      <c r="S2353" s="219">
        <f t="shared" ca="1" si="150"/>
        <v>60092</v>
      </c>
      <c r="T2353" s="115" t="e">
        <f ca="1"/>
        <v>#VALUE!</v>
      </c>
      <c r="V2353" s="219">
        <f t="shared" ca="1" si="151"/>
        <v>60092</v>
      </c>
      <c r="W2353" s="115" t="e">
        <f ca="1"/>
        <v>#VALUE!</v>
      </c>
    </row>
    <row r="2354" spans="13:23">
      <c r="M2354" s="219">
        <f t="shared" ca="1" si="148"/>
        <v>60099</v>
      </c>
      <c r="N2354" s="115" t="e">
        <f ca="1"/>
        <v>#VALUE!</v>
      </c>
      <c r="P2354" s="219">
        <f t="shared" ca="1" si="149"/>
        <v>60099</v>
      </c>
      <c r="Q2354" s="115" t="e">
        <f ca="1"/>
        <v>#VALUE!</v>
      </c>
      <c r="S2354" s="219">
        <f t="shared" ca="1" si="150"/>
        <v>60099</v>
      </c>
      <c r="T2354" s="115" t="e">
        <f ca="1"/>
        <v>#VALUE!</v>
      </c>
      <c r="V2354" s="219">
        <f t="shared" ca="1" si="151"/>
        <v>60099</v>
      </c>
      <c r="W2354" s="115" t="e">
        <f ca="1"/>
        <v>#VALUE!</v>
      </c>
    </row>
    <row r="2355" spans="13:23">
      <c r="M2355" s="219">
        <f t="shared" ca="1" si="148"/>
        <v>60106</v>
      </c>
      <c r="N2355" s="115" t="e">
        <f ca="1"/>
        <v>#VALUE!</v>
      </c>
      <c r="P2355" s="219">
        <f t="shared" ca="1" si="149"/>
        <v>60106</v>
      </c>
      <c r="Q2355" s="115" t="e">
        <f ca="1"/>
        <v>#VALUE!</v>
      </c>
      <c r="S2355" s="219">
        <f t="shared" ca="1" si="150"/>
        <v>60106</v>
      </c>
      <c r="T2355" s="115" t="e">
        <f ca="1"/>
        <v>#VALUE!</v>
      </c>
      <c r="V2355" s="219">
        <f t="shared" ca="1" si="151"/>
        <v>60106</v>
      </c>
      <c r="W2355" s="115" t="e">
        <f ca="1"/>
        <v>#VALUE!</v>
      </c>
    </row>
    <row r="2356" spans="13:23">
      <c r="M2356" s="219">
        <f t="shared" ca="1" si="148"/>
        <v>60113</v>
      </c>
      <c r="N2356" s="115" t="e">
        <f ca="1"/>
        <v>#VALUE!</v>
      </c>
      <c r="P2356" s="219">
        <f t="shared" ca="1" si="149"/>
        <v>60113</v>
      </c>
      <c r="Q2356" s="115" t="e">
        <f ca="1"/>
        <v>#VALUE!</v>
      </c>
      <c r="S2356" s="219">
        <f t="shared" ca="1" si="150"/>
        <v>60113</v>
      </c>
      <c r="T2356" s="115" t="e">
        <f ca="1"/>
        <v>#VALUE!</v>
      </c>
      <c r="V2356" s="219">
        <f t="shared" ca="1" si="151"/>
        <v>60113</v>
      </c>
      <c r="W2356" s="115" t="e">
        <f ca="1"/>
        <v>#VALUE!</v>
      </c>
    </row>
    <row r="2357" spans="13:23">
      <c r="M2357" s="219">
        <f t="shared" ca="1" si="148"/>
        <v>60120</v>
      </c>
      <c r="N2357" s="115" t="e">
        <f ca="1"/>
        <v>#VALUE!</v>
      </c>
      <c r="P2357" s="219">
        <f t="shared" ca="1" si="149"/>
        <v>60120</v>
      </c>
      <c r="Q2357" s="115" t="e">
        <f ca="1"/>
        <v>#VALUE!</v>
      </c>
      <c r="S2357" s="219">
        <f t="shared" ca="1" si="150"/>
        <v>60120</v>
      </c>
      <c r="T2357" s="115" t="e">
        <f ca="1"/>
        <v>#VALUE!</v>
      </c>
      <c r="V2357" s="219">
        <f t="shared" ca="1" si="151"/>
        <v>60120</v>
      </c>
      <c r="W2357" s="115" t="e">
        <f ca="1"/>
        <v>#VALUE!</v>
      </c>
    </row>
    <row r="2358" spans="13:23">
      <c r="M2358" s="219">
        <f t="shared" ca="1" si="148"/>
        <v>60127</v>
      </c>
      <c r="N2358" s="115" t="e">
        <f ca="1"/>
        <v>#VALUE!</v>
      </c>
      <c r="P2358" s="219">
        <f t="shared" ca="1" si="149"/>
        <v>60127</v>
      </c>
      <c r="Q2358" s="115" t="e">
        <f ca="1"/>
        <v>#VALUE!</v>
      </c>
      <c r="S2358" s="219">
        <f t="shared" ca="1" si="150"/>
        <v>60127</v>
      </c>
      <c r="T2358" s="115" t="e">
        <f ca="1"/>
        <v>#VALUE!</v>
      </c>
      <c r="V2358" s="219">
        <f t="shared" ca="1" si="151"/>
        <v>60127</v>
      </c>
      <c r="W2358" s="115" t="e">
        <f ca="1"/>
        <v>#VALUE!</v>
      </c>
    </row>
    <row r="2359" spans="13:23">
      <c r="M2359" s="219">
        <f t="shared" ca="1" si="148"/>
        <v>60134</v>
      </c>
      <c r="N2359" s="115" t="e">
        <f ca="1"/>
        <v>#VALUE!</v>
      </c>
      <c r="P2359" s="219">
        <f t="shared" ca="1" si="149"/>
        <v>60134</v>
      </c>
      <c r="Q2359" s="115" t="e">
        <f ca="1"/>
        <v>#VALUE!</v>
      </c>
      <c r="S2359" s="219">
        <f t="shared" ca="1" si="150"/>
        <v>60134</v>
      </c>
      <c r="T2359" s="115" t="e">
        <f ca="1"/>
        <v>#VALUE!</v>
      </c>
      <c r="V2359" s="219">
        <f t="shared" ca="1" si="151"/>
        <v>60134</v>
      </c>
      <c r="W2359" s="115" t="e">
        <f ca="1"/>
        <v>#VALUE!</v>
      </c>
    </row>
    <row r="2360" spans="13:23">
      <c r="M2360" s="219">
        <f t="shared" ca="1" si="148"/>
        <v>60141</v>
      </c>
      <c r="N2360" s="115" t="e">
        <f ca="1"/>
        <v>#VALUE!</v>
      </c>
      <c r="P2360" s="219">
        <f t="shared" ca="1" si="149"/>
        <v>60141</v>
      </c>
      <c r="Q2360" s="115" t="e">
        <f ca="1"/>
        <v>#VALUE!</v>
      </c>
      <c r="S2360" s="219">
        <f t="shared" ca="1" si="150"/>
        <v>60141</v>
      </c>
      <c r="T2360" s="115" t="e">
        <f ca="1"/>
        <v>#VALUE!</v>
      </c>
      <c r="V2360" s="219">
        <f t="shared" ca="1" si="151"/>
        <v>60141</v>
      </c>
      <c r="W2360" s="115" t="e">
        <f ca="1"/>
        <v>#VALUE!</v>
      </c>
    </row>
    <row r="2361" spans="13:23">
      <c r="M2361" s="219">
        <f t="shared" ca="1" si="148"/>
        <v>60148</v>
      </c>
      <c r="N2361" s="115" t="e">
        <f ca="1"/>
        <v>#VALUE!</v>
      </c>
      <c r="P2361" s="219">
        <f t="shared" ca="1" si="149"/>
        <v>60148</v>
      </c>
      <c r="Q2361" s="115" t="e">
        <f ca="1"/>
        <v>#VALUE!</v>
      </c>
      <c r="S2361" s="219">
        <f t="shared" ca="1" si="150"/>
        <v>60148</v>
      </c>
      <c r="T2361" s="115" t="e">
        <f ca="1"/>
        <v>#VALUE!</v>
      </c>
      <c r="V2361" s="219">
        <f t="shared" ca="1" si="151"/>
        <v>60148</v>
      </c>
      <c r="W2361" s="115" t="e">
        <f ca="1"/>
        <v>#VALUE!</v>
      </c>
    </row>
    <row r="2362" spans="13:23">
      <c r="M2362" s="219">
        <f t="shared" ca="1" si="148"/>
        <v>60155</v>
      </c>
      <c r="N2362" s="115" t="e">
        <f ca="1"/>
        <v>#VALUE!</v>
      </c>
      <c r="P2362" s="219">
        <f t="shared" ca="1" si="149"/>
        <v>60155</v>
      </c>
      <c r="Q2362" s="115" t="e">
        <f ca="1"/>
        <v>#VALUE!</v>
      </c>
      <c r="S2362" s="219">
        <f t="shared" ca="1" si="150"/>
        <v>60155</v>
      </c>
      <c r="T2362" s="115" t="e">
        <f ca="1"/>
        <v>#VALUE!</v>
      </c>
      <c r="V2362" s="219">
        <f t="shared" ca="1" si="151"/>
        <v>60155</v>
      </c>
      <c r="W2362" s="115" t="e">
        <f ca="1"/>
        <v>#VALUE!</v>
      </c>
    </row>
    <row r="2363" spans="13:23">
      <c r="M2363" s="219">
        <f t="shared" ca="1" si="148"/>
        <v>60162</v>
      </c>
      <c r="N2363" s="115" t="e">
        <f ca="1"/>
        <v>#VALUE!</v>
      </c>
      <c r="P2363" s="219">
        <f t="shared" ca="1" si="149"/>
        <v>60162</v>
      </c>
      <c r="Q2363" s="115" t="e">
        <f ca="1"/>
        <v>#VALUE!</v>
      </c>
      <c r="S2363" s="219">
        <f t="shared" ca="1" si="150"/>
        <v>60162</v>
      </c>
      <c r="T2363" s="115" t="e">
        <f ca="1"/>
        <v>#VALUE!</v>
      </c>
      <c r="V2363" s="219">
        <f t="shared" ca="1" si="151"/>
        <v>60162</v>
      </c>
      <c r="W2363" s="115" t="e">
        <f ca="1"/>
        <v>#VALUE!</v>
      </c>
    </row>
    <row r="2364" spans="13:23">
      <c r="M2364" s="219">
        <f t="shared" ca="1" si="148"/>
        <v>60169</v>
      </c>
      <c r="N2364" s="115" t="e">
        <f ca="1"/>
        <v>#VALUE!</v>
      </c>
      <c r="P2364" s="219">
        <f t="shared" ca="1" si="149"/>
        <v>60169</v>
      </c>
      <c r="Q2364" s="115" t="e">
        <f ca="1"/>
        <v>#VALUE!</v>
      </c>
      <c r="S2364" s="219">
        <f t="shared" ca="1" si="150"/>
        <v>60169</v>
      </c>
      <c r="T2364" s="115" t="e">
        <f ca="1"/>
        <v>#VALUE!</v>
      </c>
      <c r="V2364" s="219">
        <f t="shared" ca="1" si="151"/>
        <v>60169</v>
      </c>
      <c r="W2364" s="115" t="e">
        <f ca="1"/>
        <v>#VALUE!</v>
      </c>
    </row>
    <row r="2365" spans="13:23">
      <c r="M2365" s="219">
        <f t="shared" ca="1" si="148"/>
        <v>60176</v>
      </c>
      <c r="N2365" s="115" t="e">
        <f ca="1"/>
        <v>#VALUE!</v>
      </c>
      <c r="P2365" s="219">
        <f t="shared" ca="1" si="149"/>
        <v>60176</v>
      </c>
      <c r="Q2365" s="115" t="e">
        <f ca="1"/>
        <v>#VALUE!</v>
      </c>
      <c r="S2365" s="219">
        <f t="shared" ca="1" si="150"/>
        <v>60176</v>
      </c>
      <c r="T2365" s="115" t="e">
        <f ca="1"/>
        <v>#VALUE!</v>
      </c>
      <c r="V2365" s="219">
        <f t="shared" ca="1" si="151"/>
        <v>60176</v>
      </c>
      <c r="W2365" s="115" t="e">
        <f ca="1"/>
        <v>#VALUE!</v>
      </c>
    </row>
    <row r="2366" spans="13:23">
      <c r="M2366" s="219">
        <f t="shared" ca="1" si="148"/>
        <v>60183</v>
      </c>
      <c r="N2366" s="115" t="e">
        <f ca="1"/>
        <v>#VALUE!</v>
      </c>
      <c r="P2366" s="219">
        <f t="shared" ca="1" si="149"/>
        <v>60183</v>
      </c>
      <c r="Q2366" s="115" t="e">
        <f ca="1"/>
        <v>#VALUE!</v>
      </c>
      <c r="S2366" s="219">
        <f t="shared" ca="1" si="150"/>
        <v>60183</v>
      </c>
      <c r="T2366" s="115" t="e">
        <f ca="1"/>
        <v>#VALUE!</v>
      </c>
      <c r="V2366" s="219">
        <f t="shared" ca="1" si="151"/>
        <v>60183</v>
      </c>
      <c r="W2366" s="115" t="e">
        <f ca="1"/>
        <v>#VALUE!</v>
      </c>
    </row>
    <row r="2367" spans="13:23">
      <c r="M2367" s="219">
        <f t="shared" ca="1" si="148"/>
        <v>60190</v>
      </c>
      <c r="N2367" s="115" t="e">
        <f ca="1"/>
        <v>#VALUE!</v>
      </c>
      <c r="P2367" s="219">
        <f t="shared" ca="1" si="149"/>
        <v>60190</v>
      </c>
      <c r="Q2367" s="115" t="e">
        <f ca="1"/>
        <v>#VALUE!</v>
      </c>
      <c r="S2367" s="219">
        <f t="shared" ca="1" si="150"/>
        <v>60190</v>
      </c>
      <c r="T2367" s="115" t="e">
        <f ca="1"/>
        <v>#VALUE!</v>
      </c>
      <c r="V2367" s="219">
        <f t="shared" ca="1" si="151"/>
        <v>60190</v>
      </c>
      <c r="W2367" s="115" t="e">
        <f ca="1"/>
        <v>#VALUE!</v>
      </c>
    </row>
    <row r="2368" spans="13:23">
      <c r="M2368" s="219">
        <f t="shared" ca="1" si="148"/>
        <v>60197</v>
      </c>
      <c r="N2368" s="115" t="e">
        <f ca="1"/>
        <v>#VALUE!</v>
      </c>
      <c r="P2368" s="219">
        <f t="shared" ca="1" si="149"/>
        <v>60197</v>
      </c>
      <c r="Q2368" s="115" t="e">
        <f ca="1"/>
        <v>#VALUE!</v>
      </c>
      <c r="S2368" s="219">
        <f t="shared" ca="1" si="150"/>
        <v>60197</v>
      </c>
      <c r="T2368" s="115" t="e">
        <f ca="1"/>
        <v>#VALUE!</v>
      </c>
      <c r="V2368" s="219">
        <f t="shared" ca="1" si="151"/>
        <v>60197</v>
      </c>
      <c r="W2368" s="115" t="e">
        <f ca="1"/>
        <v>#VALUE!</v>
      </c>
    </row>
    <row r="2369" spans="13:23">
      <c r="M2369" s="219">
        <f t="shared" ca="1" si="148"/>
        <v>60204</v>
      </c>
      <c r="N2369" s="115" t="e">
        <f ca="1"/>
        <v>#VALUE!</v>
      </c>
      <c r="P2369" s="219">
        <f t="shared" ca="1" si="149"/>
        <v>60204</v>
      </c>
      <c r="Q2369" s="115" t="e">
        <f ca="1"/>
        <v>#VALUE!</v>
      </c>
      <c r="S2369" s="219">
        <f t="shared" ca="1" si="150"/>
        <v>60204</v>
      </c>
      <c r="T2369" s="115" t="e">
        <f ca="1"/>
        <v>#VALUE!</v>
      </c>
      <c r="V2369" s="219">
        <f t="shared" ca="1" si="151"/>
        <v>60204</v>
      </c>
      <c r="W2369" s="115" t="e">
        <f ca="1"/>
        <v>#VALUE!</v>
      </c>
    </row>
    <row r="2370" spans="13:23">
      <c r="M2370" s="219">
        <f t="shared" ca="1" si="148"/>
        <v>60211</v>
      </c>
      <c r="N2370" s="115" t="e">
        <f ca="1"/>
        <v>#VALUE!</v>
      </c>
      <c r="P2370" s="219">
        <f t="shared" ca="1" si="149"/>
        <v>60211</v>
      </c>
      <c r="Q2370" s="115" t="e">
        <f ca="1"/>
        <v>#VALUE!</v>
      </c>
      <c r="S2370" s="219">
        <f t="shared" ca="1" si="150"/>
        <v>60211</v>
      </c>
      <c r="T2370" s="115" t="e">
        <f ca="1"/>
        <v>#VALUE!</v>
      </c>
      <c r="V2370" s="219">
        <f t="shared" ca="1" si="151"/>
        <v>60211</v>
      </c>
      <c r="W2370" s="115" t="e">
        <f ca="1"/>
        <v>#VALUE!</v>
      </c>
    </row>
    <row r="2371" spans="13:23">
      <c r="M2371" s="219">
        <f t="shared" ca="1" si="148"/>
        <v>60218</v>
      </c>
      <c r="N2371" s="115" t="e">
        <f ca="1"/>
        <v>#VALUE!</v>
      </c>
      <c r="P2371" s="219">
        <f t="shared" ca="1" si="149"/>
        <v>60218</v>
      </c>
      <c r="Q2371" s="115" t="e">
        <f ca="1"/>
        <v>#VALUE!</v>
      </c>
      <c r="S2371" s="219">
        <f t="shared" ca="1" si="150"/>
        <v>60218</v>
      </c>
      <c r="T2371" s="115" t="e">
        <f ca="1"/>
        <v>#VALUE!</v>
      </c>
      <c r="V2371" s="219">
        <f t="shared" ca="1" si="151"/>
        <v>60218</v>
      </c>
      <c r="W2371" s="115" t="e">
        <f ca="1"/>
        <v>#VALUE!</v>
      </c>
    </row>
    <row r="2372" spans="13:23">
      <c r="M2372" s="219">
        <f t="shared" ca="1" si="148"/>
        <v>60225</v>
      </c>
      <c r="N2372" s="115" t="e">
        <f ca="1"/>
        <v>#VALUE!</v>
      </c>
      <c r="P2372" s="219">
        <f t="shared" ca="1" si="149"/>
        <v>60225</v>
      </c>
      <c r="Q2372" s="115" t="e">
        <f ca="1"/>
        <v>#VALUE!</v>
      </c>
      <c r="S2372" s="219">
        <f t="shared" ca="1" si="150"/>
        <v>60225</v>
      </c>
      <c r="T2372" s="115" t="e">
        <f ca="1"/>
        <v>#VALUE!</v>
      </c>
      <c r="V2372" s="219">
        <f t="shared" ca="1" si="151"/>
        <v>60225</v>
      </c>
      <c r="W2372" s="115" t="e">
        <f ca="1"/>
        <v>#VALUE!</v>
      </c>
    </row>
    <row r="2373" spans="13:23">
      <c r="M2373" s="219">
        <f t="shared" ca="1" si="148"/>
        <v>60232</v>
      </c>
      <c r="N2373" s="115" t="e">
        <f ca="1"/>
        <v>#VALUE!</v>
      </c>
      <c r="P2373" s="219">
        <f t="shared" ca="1" si="149"/>
        <v>60232</v>
      </c>
      <c r="Q2373" s="115" t="e">
        <f ca="1"/>
        <v>#VALUE!</v>
      </c>
      <c r="S2373" s="219">
        <f t="shared" ca="1" si="150"/>
        <v>60232</v>
      </c>
      <c r="T2373" s="115" t="e">
        <f ca="1"/>
        <v>#VALUE!</v>
      </c>
      <c r="V2373" s="219">
        <f t="shared" ca="1" si="151"/>
        <v>60232</v>
      </c>
      <c r="W2373" s="115" t="e">
        <f ca="1"/>
        <v>#VALUE!</v>
      </c>
    </row>
    <row r="2374" spans="13:23">
      <c r="M2374" s="219">
        <f t="shared" ca="1" si="148"/>
        <v>60239</v>
      </c>
      <c r="N2374" s="115" t="e">
        <f ca="1"/>
        <v>#VALUE!</v>
      </c>
      <c r="P2374" s="219">
        <f t="shared" ca="1" si="149"/>
        <v>60239</v>
      </c>
      <c r="Q2374" s="115" t="e">
        <f ca="1"/>
        <v>#VALUE!</v>
      </c>
      <c r="S2374" s="219">
        <f t="shared" ca="1" si="150"/>
        <v>60239</v>
      </c>
      <c r="T2374" s="115" t="e">
        <f ca="1"/>
        <v>#VALUE!</v>
      </c>
      <c r="V2374" s="219">
        <f t="shared" ca="1" si="151"/>
        <v>60239</v>
      </c>
      <c r="W2374" s="115" t="e">
        <f ca="1"/>
        <v>#VALUE!</v>
      </c>
    </row>
    <row r="2375" spans="13:23">
      <c r="M2375" s="219">
        <f t="shared" ca="1" si="148"/>
        <v>60246</v>
      </c>
      <c r="N2375" s="115" t="e">
        <f ca="1"/>
        <v>#VALUE!</v>
      </c>
      <c r="P2375" s="219">
        <f t="shared" ca="1" si="149"/>
        <v>60246</v>
      </c>
      <c r="Q2375" s="115" t="e">
        <f ca="1"/>
        <v>#VALUE!</v>
      </c>
      <c r="S2375" s="219">
        <f t="shared" ca="1" si="150"/>
        <v>60246</v>
      </c>
      <c r="T2375" s="115" t="e">
        <f ca="1"/>
        <v>#VALUE!</v>
      </c>
      <c r="V2375" s="219">
        <f t="shared" ca="1" si="151"/>
        <v>60246</v>
      </c>
      <c r="W2375" s="115" t="e">
        <f ca="1"/>
        <v>#VALUE!</v>
      </c>
    </row>
    <row r="2376" spans="13:23">
      <c r="M2376" s="219">
        <f t="shared" ca="1" si="148"/>
        <v>60253</v>
      </c>
      <c r="N2376" s="115" t="e">
        <f ca="1"/>
        <v>#VALUE!</v>
      </c>
      <c r="P2376" s="219">
        <f t="shared" ca="1" si="149"/>
        <v>60253</v>
      </c>
      <c r="Q2376" s="115" t="e">
        <f ca="1"/>
        <v>#VALUE!</v>
      </c>
      <c r="S2376" s="219">
        <f t="shared" ca="1" si="150"/>
        <v>60253</v>
      </c>
      <c r="T2376" s="115" t="e">
        <f ca="1"/>
        <v>#VALUE!</v>
      </c>
      <c r="V2376" s="219">
        <f t="shared" ca="1" si="151"/>
        <v>60253</v>
      </c>
      <c r="W2376" s="115" t="e">
        <f ca="1"/>
        <v>#VALUE!</v>
      </c>
    </row>
    <row r="2377" spans="13:23">
      <c r="M2377" s="219">
        <f t="shared" ca="1" si="148"/>
        <v>60260</v>
      </c>
      <c r="N2377" s="115" t="e">
        <f ca="1"/>
        <v>#VALUE!</v>
      </c>
      <c r="P2377" s="219">
        <f t="shared" ca="1" si="149"/>
        <v>60260</v>
      </c>
      <c r="Q2377" s="115" t="e">
        <f ca="1"/>
        <v>#VALUE!</v>
      </c>
      <c r="S2377" s="219">
        <f t="shared" ca="1" si="150"/>
        <v>60260</v>
      </c>
      <c r="T2377" s="115" t="e">
        <f ca="1"/>
        <v>#VALUE!</v>
      </c>
      <c r="V2377" s="219">
        <f t="shared" ca="1" si="151"/>
        <v>60260</v>
      </c>
      <c r="W2377" s="115" t="e">
        <f ca="1"/>
        <v>#VALUE!</v>
      </c>
    </row>
    <row r="2378" spans="13:23">
      <c r="M2378" s="219">
        <f t="shared" ca="1" si="148"/>
        <v>60267</v>
      </c>
      <c r="N2378" s="115" t="e">
        <f ca="1"/>
        <v>#VALUE!</v>
      </c>
      <c r="P2378" s="219">
        <f t="shared" ca="1" si="149"/>
        <v>60267</v>
      </c>
      <c r="Q2378" s="115" t="e">
        <f ca="1"/>
        <v>#VALUE!</v>
      </c>
      <c r="S2378" s="219">
        <f t="shared" ca="1" si="150"/>
        <v>60267</v>
      </c>
      <c r="T2378" s="115" t="e">
        <f ca="1"/>
        <v>#VALUE!</v>
      </c>
      <c r="V2378" s="219">
        <f t="shared" ca="1" si="151"/>
        <v>60267</v>
      </c>
      <c r="W2378" s="115" t="e">
        <f ca="1"/>
        <v>#VALUE!</v>
      </c>
    </row>
    <row r="2379" spans="13:23">
      <c r="M2379" s="219">
        <f t="shared" ca="1" si="148"/>
        <v>60274</v>
      </c>
      <c r="N2379" s="115" t="e">
        <f ca="1"/>
        <v>#VALUE!</v>
      </c>
      <c r="P2379" s="219">
        <f t="shared" ca="1" si="149"/>
        <v>60274</v>
      </c>
      <c r="Q2379" s="115" t="e">
        <f ca="1"/>
        <v>#VALUE!</v>
      </c>
      <c r="S2379" s="219">
        <f t="shared" ca="1" si="150"/>
        <v>60274</v>
      </c>
      <c r="T2379" s="115" t="e">
        <f ca="1"/>
        <v>#VALUE!</v>
      </c>
      <c r="V2379" s="219">
        <f t="shared" ca="1" si="151"/>
        <v>60274</v>
      </c>
      <c r="W2379" s="115" t="e">
        <f ca="1"/>
        <v>#VALUE!</v>
      </c>
    </row>
    <row r="2380" spans="13:23">
      <c r="M2380" s="219">
        <f t="shared" ca="1" si="148"/>
        <v>60281</v>
      </c>
      <c r="N2380" s="115" t="e">
        <f ca="1"/>
        <v>#VALUE!</v>
      </c>
      <c r="P2380" s="219">
        <f t="shared" ca="1" si="149"/>
        <v>60281</v>
      </c>
      <c r="Q2380" s="115" t="e">
        <f ca="1"/>
        <v>#VALUE!</v>
      </c>
      <c r="S2380" s="219">
        <f t="shared" ca="1" si="150"/>
        <v>60281</v>
      </c>
      <c r="T2380" s="115" t="e">
        <f ca="1"/>
        <v>#VALUE!</v>
      </c>
      <c r="V2380" s="219">
        <f t="shared" ca="1" si="151"/>
        <v>60281</v>
      </c>
      <c r="W2380" s="115" t="e">
        <f ca="1"/>
        <v>#VALUE!</v>
      </c>
    </row>
    <row r="2381" spans="13:23">
      <c r="M2381" s="219">
        <f t="shared" ref="M2381:M2444" ca="1" si="152">M2380+7</f>
        <v>60288</v>
      </c>
      <c r="N2381" s="115" t="e">
        <f ca="1"/>
        <v>#VALUE!</v>
      </c>
      <c r="P2381" s="219">
        <f t="shared" ca="1" si="149"/>
        <v>60288</v>
      </c>
      <c r="Q2381" s="115" t="e">
        <f ca="1"/>
        <v>#VALUE!</v>
      </c>
      <c r="S2381" s="219">
        <f t="shared" ca="1" si="150"/>
        <v>60288</v>
      </c>
      <c r="T2381" s="115" t="e">
        <f ca="1"/>
        <v>#VALUE!</v>
      </c>
      <c r="V2381" s="219">
        <f t="shared" ca="1" si="151"/>
        <v>60288</v>
      </c>
      <c r="W2381" s="115" t="e">
        <f ca="1"/>
        <v>#VALUE!</v>
      </c>
    </row>
    <row r="2382" spans="13:23">
      <c r="M2382" s="219">
        <f t="shared" ca="1" si="152"/>
        <v>60295</v>
      </c>
      <c r="N2382" s="115" t="e">
        <f ca="1"/>
        <v>#VALUE!</v>
      </c>
      <c r="P2382" s="219">
        <f t="shared" ca="1" si="149"/>
        <v>60295</v>
      </c>
      <c r="Q2382" s="115" t="e">
        <f ca="1"/>
        <v>#VALUE!</v>
      </c>
      <c r="S2382" s="219">
        <f t="shared" ca="1" si="150"/>
        <v>60295</v>
      </c>
      <c r="T2382" s="115" t="e">
        <f ca="1"/>
        <v>#VALUE!</v>
      </c>
      <c r="V2382" s="219">
        <f t="shared" ca="1" si="151"/>
        <v>60295</v>
      </c>
      <c r="W2382" s="115" t="e">
        <f ca="1"/>
        <v>#VALUE!</v>
      </c>
    </row>
    <row r="2383" spans="13:23">
      <c r="M2383" s="219">
        <f t="shared" ca="1" si="152"/>
        <v>60302</v>
      </c>
      <c r="N2383" s="115" t="e">
        <f ca="1"/>
        <v>#VALUE!</v>
      </c>
      <c r="P2383" s="219">
        <f t="shared" ca="1" si="149"/>
        <v>60302</v>
      </c>
      <c r="Q2383" s="115" t="e">
        <f ca="1"/>
        <v>#VALUE!</v>
      </c>
      <c r="S2383" s="219">
        <f t="shared" ca="1" si="150"/>
        <v>60302</v>
      </c>
      <c r="T2383" s="115" t="e">
        <f ca="1"/>
        <v>#VALUE!</v>
      </c>
      <c r="V2383" s="219">
        <f t="shared" ca="1" si="151"/>
        <v>60302</v>
      </c>
      <c r="W2383" s="115" t="e">
        <f ca="1"/>
        <v>#VALUE!</v>
      </c>
    </row>
    <row r="2384" spans="13:23">
      <c r="M2384" s="219">
        <f t="shared" ca="1" si="152"/>
        <v>60309</v>
      </c>
      <c r="N2384" s="115" t="e">
        <f ca="1"/>
        <v>#VALUE!</v>
      </c>
      <c r="P2384" s="219">
        <f t="shared" ca="1" si="149"/>
        <v>60309</v>
      </c>
      <c r="Q2384" s="115" t="e">
        <f ca="1"/>
        <v>#VALUE!</v>
      </c>
      <c r="S2384" s="219">
        <f t="shared" ca="1" si="150"/>
        <v>60309</v>
      </c>
      <c r="T2384" s="115" t="e">
        <f ca="1"/>
        <v>#VALUE!</v>
      </c>
      <c r="V2384" s="219">
        <f t="shared" ca="1" si="151"/>
        <v>60309</v>
      </c>
      <c r="W2384" s="115" t="e">
        <f ca="1"/>
        <v>#VALUE!</v>
      </c>
    </row>
    <row r="2385" spans="13:23">
      <c r="M2385" s="219">
        <f t="shared" ca="1" si="152"/>
        <v>60316</v>
      </c>
      <c r="N2385" s="115" t="e">
        <f ca="1"/>
        <v>#VALUE!</v>
      </c>
      <c r="P2385" s="219">
        <f t="shared" ca="1" si="149"/>
        <v>60316</v>
      </c>
      <c r="Q2385" s="115" t="e">
        <f ca="1"/>
        <v>#VALUE!</v>
      </c>
      <c r="S2385" s="219">
        <f t="shared" ca="1" si="150"/>
        <v>60316</v>
      </c>
      <c r="T2385" s="115" t="e">
        <f ca="1"/>
        <v>#VALUE!</v>
      </c>
      <c r="V2385" s="219">
        <f t="shared" ca="1" si="151"/>
        <v>60316</v>
      </c>
      <c r="W2385" s="115" t="e">
        <f ca="1"/>
        <v>#VALUE!</v>
      </c>
    </row>
    <row r="2386" spans="13:23">
      <c r="M2386" s="219">
        <f t="shared" ca="1" si="152"/>
        <v>60323</v>
      </c>
      <c r="N2386" s="115" t="e">
        <f ca="1"/>
        <v>#VALUE!</v>
      </c>
      <c r="P2386" s="219">
        <f t="shared" ca="1" si="149"/>
        <v>60323</v>
      </c>
      <c r="Q2386" s="115" t="e">
        <f ca="1"/>
        <v>#VALUE!</v>
      </c>
      <c r="S2386" s="219">
        <f t="shared" ca="1" si="150"/>
        <v>60323</v>
      </c>
      <c r="T2386" s="115" t="e">
        <f ca="1"/>
        <v>#VALUE!</v>
      </c>
      <c r="V2386" s="219">
        <f t="shared" ca="1" si="151"/>
        <v>60323</v>
      </c>
      <c r="W2386" s="115" t="e">
        <f ca="1"/>
        <v>#VALUE!</v>
      </c>
    </row>
    <row r="2387" spans="13:23">
      <c r="M2387" s="219">
        <f t="shared" ca="1" si="152"/>
        <v>60330</v>
      </c>
      <c r="N2387" s="115" t="e">
        <f ca="1"/>
        <v>#VALUE!</v>
      </c>
      <c r="P2387" s="219">
        <f t="shared" ca="1" si="149"/>
        <v>60330</v>
      </c>
      <c r="Q2387" s="115" t="e">
        <f ca="1"/>
        <v>#VALUE!</v>
      </c>
      <c r="S2387" s="219">
        <f t="shared" ca="1" si="150"/>
        <v>60330</v>
      </c>
      <c r="T2387" s="115" t="e">
        <f ca="1"/>
        <v>#VALUE!</v>
      </c>
      <c r="V2387" s="219">
        <f t="shared" ca="1" si="151"/>
        <v>60330</v>
      </c>
      <c r="W2387" s="115" t="e">
        <f ca="1"/>
        <v>#VALUE!</v>
      </c>
    </row>
    <row r="2388" spans="13:23">
      <c r="M2388" s="219">
        <f t="shared" ca="1" si="152"/>
        <v>60337</v>
      </c>
      <c r="N2388" s="115" t="e">
        <f ca="1"/>
        <v>#VALUE!</v>
      </c>
      <c r="P2388" s="219">
        <f t="shared" ca="1" si="149"/>
        <v>60337</v>
      </c>
      <c r="Q2388" s="115" t="e">
        <f ca="1"/>
        <v>#VALUE!</v>
      </c>
      <c r="S2388" s="219">
        <f t="shared" ca="1" si="150"/>
        <v>60337</v>
      </c>
      <c r="T2388" s="115" t="e">
        <f ca="1"/>
        <v>#VALUE!</v>
      </c>
      <c r="V2388" s="219">
        <f t="shared" ca="1" si="151"/>
        <v>60337</v>
      </c>
      <c r="W2388" s="115" t="e">
        <f ca="1"/>
        <v>#VALUE!</v>
      </c>
    </row>
    <row r="2389" spans="13:23">
      <c r="M2389" s="219">
        <f t="shared" ca="1" si="152"/>
        <v>60344</v>
      </c>
      <c r="N2389" s="115" t="e">
        <f ca="1"/>
        <v>#VALUE!</v>
      </c>
      <c r="P2389" s="219">
        <f t="shared" ca="1" si="149"/>
        <v>60344</v>
      </c>
      <c r="Q2389" s="115" t="e">
        <f ca="1"/>
        <v>#VALUE!</v>
      </c>
      <c r="S2389" s="219">
        <f t="shared" ca="1" si="150"/>
        <v>60344</v>
      </c>
      <c r="T2389" s="115" t="e">
        <f ca="1"/>
        <v>#VALUE!</v>
      </c>
      <c r="V2389" s="219">
        <f t="shared" ca="1" si="151"/>
        <v>60344</v>
      </c>
      <c r="W2389" s="115" t="e">
        <f ca="1"/>
        <v>#VALUE!</v>
      </c>
    </row>
    <row r="2390" spans="13:23">
      <c r="M2390" s="219">
        <f t="shared" ca="1" si="152"/>
        <v>60351</v>
      </c>
      <c r="N2390" s="115" t="e">
        <f ca="1"/>
        <v>#VALUE!</v>
      </c>
      <c r="P2390" s="219">
        <f t="shared" ca="1" si="149"/>
        <v>60351</v>
      </c>
      <c r="Q2390" s="115" t="e">
        <f ca="1"/>
        <v>#VALUE!</v>
      </c>
      <c r="S2390" s="219">
        <f t="shared" ca="1" si="150"/>
        <v>60351</v>
      </c>
      <c r="T2390" s="115" t="e">
        <f ca="1"/>
        <v>#VALUE!</v>
      </c>
      <c r="V2390" s="219">
        <f t="shared" ca="1" si="151"/>
        <v>60351</v>
      </c>
      <c r="W2390" s="115" t="e">
        <f ca="1"/>
        <v>#VALUE!</v>
      </c>
    </row>
    <row r="2391" spans="13:23">
      <c r="M2391" s="219">
        <f t="shared" ca="1" si="152"/>
        <v>60358</v>
      </c>
      <c r="N2391" s="115" t="e">
        <f ca="1"/>
        <v>#VALUE!</v>
      </c>
      <c r="P2391" s="219">
        <f t="shared" ca="1" si="149"/>
        <v>60358</v>
      </c>
      <c r="Q2391" s="115" t="e">
        <f ca="1"/>
        <v>#VALUE!</v>
      </c>
      <c r="S2391" s="219">
        <f t="shared" ca="1" si="150"/>
        <v>60358</v>
      </c>
      <c r="T2391" s="115" t="e">
        <f ca="1"/>
        <v>#VALUE!</v>
      </c>
      <c r="V2391" s="219">
        <f t="shared" ca="1" si="151"/>
        <v>60358</v>
      </c>
      <c r="W2391" s="115" t="e">
        <f ca="1"/>
        <v>#VALUE!</v>
      </c>
    </row>
    <row r="2392" spans="13:23">
      <c r="M2392" s="219">
        <f t="shared" ca="1" si="152"/>
        <v>60365</v>
      </c>
      <c r="N2392" s="115" t="e">
        <f ca="1"/>
        <v>#VALUE!</v>
      </c>
      <c r="P2392" s="219">
        <f t="shared" ca="1" si="149"/>
        <v>60365</v>
      </c>
      <c r="Q2392" s="115" t="e">
        <f ca="1"/>
        <v>#VALUE!</v>
      </c>
      <c r="S2392" s="219">
        <f t="shared" ca="1" si="150"/>
        <v>60365</v>
      </c>
      <c r="T2392" s="115" t="e">
        <f ca="1"/>
        <v>#VALUE!</v>
      </c>
      <c r="V2392" s="219">
        <f t="shared" ca="1" si="151"/>
        <v>60365</v>
      </c>
      <c r="W2392" s="115" t="e">
        <f ca="1"/>
        <v>#VALUE!</v>
      </c>
    </row>
    <row r="2393" spans="13:23">
      <c r="M2393" s="219">
        <f t="shared" ca="1" si="152"/>
        <v>60372</v>
      </c>
      <c r="N2393" s="115" t="e">
        <f ca="1"/>
        <v>#VALUE!</v>
      </c>
      <c r="P2393" s="219">
        <f t="shared" ca="1" si="149"/>
        <v>60372</v>
      </c>
      <c r="Q2393" s="115" t="e">
        <f ca="1"/>
        <v>#VALUE!</v>
      </c>
      <c r="S2393" s="219">
        <f t="shared" ca="1" si="150"/>
        <v>60372</v>
      </c>
      <c r="T2393" s="115" t="e">
        <f ca="1"/>
        <v>#VALUE!</v>
      </c>
      <c r="V2393" s="219">
        <f t="shared" ca="1" si="151"/>
        <v>60372</v>
      </c>
      <c r="W2393" s="115" t="e">
        <f ca="1"/>
        <v>#VALUE!</v>
      </c>
    </row>
    <row r="2394" spans="13:23">
      <c r="M2394" s="219">
        <f t="shared" ca="1" si="152"/>
        <v>60379</v>
      </c>
      <c r="N2394" s="115" t="e">
        <f ca="1"/>
        <v>#VALUE!</v>
      </c>
      <c r="P2394" s="219">
        <f t="shared" ca="1" si="149"/>
        <v>60379</v>
      </c>
      <c r="Q2394" s="115" t="e">
        <f ca="1"/>
        <v>#VALUE!</v>
      </c>
      <c r="S2394" s="219">
        <f t="shared" ca="1" si="150"/>
        <v>60379</v>
      </c>
      <c r="T2394" s="115" t="e">
        <f ca="1"/>
        <v>#VALUE!</v>
      </c>
      <c r="V2394" s="219">
        <f t="shared" ca="1" si="151"/>
        <v>60379</v>
      </c>
      <c r="W2394" s="115" t="e">
        <f ca="1"/>
        <v>#VALUE!</v>
      </c>
    </row>
    <row r="2395" spans="13:23">
      <c r="M2395" s="219">
        <f t="shared" ca="1" si="152"/>
        <v>60386</v>
      </c>
      <c r="N2395" s="115" t="e">
        <f ca="1"/>
        <v>#VALUE!</v>
      </c>
      <c r="P2395" s="219">
        <f t="shared" ca="1" si="149"/>
        <v>60386</v>
      </c>
      <c r="Q2395" s="115" t="e">
        <f ca="1"/>
        <v>#VALUE!</v>
      </c>
      <c r="S2395" s="219">
        <f t="shared" ca="1" si="150"/>
        <v>60386</v>
      </c>
      <c r="T2395" s="115" t="e">
        <f ca="1"/>
        <v>#VALUE!</v>
      </c>
      <c r="V2395" s="219">
        <f t="shared" ca="1" si="151"/>
        <v>60386</v>
      </c>
      <c r="W2395" s="115" t="e">
        <f ca="1"/>
        <v>#VALUE!</v>
      </c>
    </row>
    <row r="2396" spans="13:23">
      <c r="M2396" s="219">
        <f t="shared" ca="1" si="152"/>
        <v>60393</v>
      </c>
      <c r="N2396" s="115" t="e">
        <f ca="1"/>
        <v>#VALUE!</v>
      </c>
      <c r="P2396" s="219">
        <f t="shared" ca="1" si="149"/>
        <v>60393</v>
      </c>
      <c r="Q2396" s="115" t="e">
        <f ca="1"/>
        <v>#VALUE!</v>
      </c>
      <c r="S2396" s="219">
        <f t="shared" ca="1" si="150"/>
        <v>60393</v>
      </c>
      <c r="T2396" s="115" t="e">
        <f ca="1"/>
        <v>#VALUE!</v>
      </c>
      <c r="V2396" s="219">
        <f t="shared" ca="1" si="151"/>
        <v>60393</v>
      </c>
      <c r="W2396" s="115" t="e">
        <f ca="1"/>
        <v>#VALUE!</v>
      </c>
    </row>
    <row r="2397" spans="13:23">
      <c r="M2397" s="219">
        <f t="shared" ca="1" si="152"/>
        <v>60400</v>
      </c>
      <c r="N2397" s="115" t="e">
        <f ca="1"/>
        <v>#VALUE!</v>
      </c>
      <c r="P2397" s="219">
        <f t="shared" ref="P2397:P2460" ca="1" si="153">P2396+7</f>
        <v>60400</v>
      </c>
      <c r="Q2397" s="115" t="e">
        <f ca="1"/>
        <v>#VALUE!</v>
      </c>
      <c r="S2397" s="219">
        <f t="shared" ref="S2397:S2460" ca="1" si="154">S2396+7</f>
        <v>60400</v>
      </c>
      <c r="T2397" s="115" t="e">
        <f ca="1"/>
        <v>#VALUE!</v>
      </c>
      <c r="V2397" s="219">
        <f t="shared" ref="V2397:V2460" ca="1" si="155">V2396+7</f>
        <v>60400</v>
      </c>
      <c r="W2397" s="115" t="e">
        <f ca="1"/>
        <v>#VALUE!</v>
      </c>
    </row>
    <row r="2398" spans="13:23">
      <c r="M2398" s="219">
        <f t="shared" ca="1" si="152"/>
        <v>60407</v>
      </c>
      <c r="N2398" s="115" t="e">
        <f ca="1"/>
        <v>#VALUE!</v>
      </c>
      <c r="P2398" s="219">
        <f t="shared" ca="1" si="153"/>
        <v>60407</v>
      </c>
      <c r="Q2398" s="115" t="e">
        <f ca="1"/>
        <v>#VALUE!</v>
      </c>
      <c r="S2398" s="219">
        <f t="shared" ca="1" si="154"/>
        <v>60407</v>
      </c>
      <c r="T2398" s="115" t="e">
        <f ca="1"/>
        <v>#VALUE!</v>
      </c>
      <c r="V2398" s="219">
        <f t="shared" ca="1" si="155"/>
        <v>60407</v>
      </c>
      <c r="W2398" s="115" t="e">
        <f ca="1"/>
        <v>#VALUE!</v>
      </c>
    </row>
    <row r="2399" spans="13:23">
      <c r="M2399" s="219">
        <f t="shared" ca="1" si="152"/>
        <v>60414</v>
      </c>
      <c r="N2399" s="115" t="e">
        <f ca="1"/>
        <v>#VALUE!</v>
      </c>
      <c r="P2399" s="219">
        <f t="shared" ca="1" si="153"/>
        <v>60414</v>
      </c>
      <c r="Q2399" s="115" t="e">
        <f ca="1"/>
        <v>#VALUE!</v>
      </c>
      <c r="S2399" s="219">
        <f t="shared" ca="1" si="154"/>
        <v>60414</v>
      </c>
      <c r="T2399" s="115" t="e">
        <f ca="1"/>
        <v>#VALUE!</v>
      </c>
      <c r="V2399" s="219">
        <f t="shared" ca="1" si="155"/>
        <v>60414</v>
      </c>
      <c r="W2399" s="115" t="e">
        <f ca="1"/>
        <v>#VALUE!</v>
      </c>
    </row>
    <row r="2400" spans="13:23">
      <c r="M2400" s="219">
        <f t="shared" ca="1" si="152"/>
        <v>60421</v>
      </c>
      <c r="N2400" s="115" t="e">
        <f ca="1"/>
        <v>#VALUE!</v>
      </c>
      <c r="P2400" s="219">
        <f t="shared" ca="1" si="153"/>
        <v>60421</v>
      </c>
      <c r="Q2400" s="115" t="e">
        <f ca="1"/>
        <v>#VALUE!</v>
      </c>
      <c r="S2400" s="219">
        <f t="shared" ca="1" si="154"/>
        <v>60421</v>
      </c>
      <c r="T2400" s="115" t="e">
        <f ca="1"/>
        <v>#VALUE!</v>
      </c>
      <c r="V2400" s="219">
        <f t="shared" ca="1" si="155"/>
        <v>60421</v>
      </c>
      <c r="W2400" s="115" t="e">
        <f ca="1"/>
        <v>#VALUE!</v>
      </c>
    </row>
    <row r="2401" spans="13:23">
      <c r="M2401" s="219">
        <f t="shared" ca="1" si="152"/>
        <v>60428</v>
      </c>
      <c r="N2401" s="115" t="e">
        <f ca="1"/>
        <v>#VALUE!</v>
      </c>
      <c r="P2401" s="219">
        <f t="shared" ca="1" si="153"/>
        <v>60428</v>
      </c>
      <c r="Q2401" s="115" t="e">
        <f ca="1"/>
        <v>#VALUE!</v>
      </c>
      <c r="S2401" s="219">
        <f t="shared" ca="1" si="154"/>
        <v>60428</v>
      </c>
      <c r="T2401" s="115" t="e">
        <f ca="1"/>
        <v>#VALUE!</v>
      </c>
      <c r="V2401" s="219">
        <f t="shared" ca="1" si="155"/>
        <v>60428</v>
      </c>
      <c r="W2401" s="115" t="e">
        <f ca="1"/>
        <v>#VALUE!</v>
      </c>
    </row>
    <row r="2402" spans="13:23">
      <c r="M2402" s="219">
        <f t="shared" ca="1" si="152"/>
        <v>60435</v>
      </c>
      <c r="N2402" s="115" t="e">
        <f ca="1"/>
        <v>#VALUE!</v>
      </c>
      <c r="P2402" s="219">
        <f t="shared" ca="1" si="153"/>
        <v>60435</v>
      </c>
      <c r="Q2402" s="115" t="e">
        <f ca="1"/>
        <v>#VALUE!</v>
      </c>
      <c r="S2402" s="219">
        <f t="shared" ca="1" si="154"/>
        <v>60435</v>
      </c>
      <c r="T2402" s="115" t="e">
        <f ca="1"/>
        <v>#VALUE!</v>
      </c>
      <c r="V2402" s="219">
        <f t="shared" ca="1" si="155"/>
        <v>60435</v>
      </c>
      <c r="W2402" s="115" t="e">
        <f ca="1"/>
        <v>#VALUE!</v>
      </c>
    </row>
    <row r="2403" spans="13:23">
      <c r="M2403" s="219">
        <f t="shared" ca="1" si="152"/>
        <v>60442</v>
      </c>
      <c r="N2403" s="115" t="e">
        <f ca="1"/>
        <v>#VALUE!</v>
      </c>
      <c r="P2403" s="219">
        <f t="shared" ca="1" si="153"/>
        <v>60442</v>
      </c>
      <c r="Q2403" s="115" t="e">
        <f ca="1"/>
        <v>#VALUE!</v>
      </c>
      <c r="S2403" s="219">
        <f t="shared" ca="1" si="154"/>
        <v>60442</v>
      </c>
      <c r="T2403" s="115" t="e">
        <f ca="1"/>
        <v>#VALUE!</v>
      </c>
      <c r="V2403" s="219">
        <f t="shared" ca="1" si="155"/>
        <v>60442</v>
      </c>
      <c r="W2403" s="115" t="e">
        <f ca="1"/>
        <v>#VALUE!</v>
      </c>
    </row>
    <row r="2404" spans="13:23">
      <c r="M2404" s="219">
        <f t="shared" ca="1" si="152"/>
        <v>60449</v>
      </c>
      <c r="N2404" s="115" t="e">
        <f ca="1"/>
        <v>#VALUE!</v>
      </c>
      <c r="P2404" s="219">
        <f t="shared" ca="1" si="153"/>
        <v>60449</v>
      </c>
      <c r="Q2404" s="115" t="e">
        <f ca="1"/>
        <v>#VALUE!</v>
      </c>
      <c r="S2404" s="219">
        <f t="shared" ca="1" si="154"/>
        <v>60449</v>
      </c>
      <c r="T2404" s="115" t="e">
        <f ca="1"/>
        <v>#VALUE!</v>
      </c>
      <c r="V2404" s="219">
        <f t="shared" ca="1" si="155"/>
        <v>60449</v>
      </c>
      <c r="W2404" s="115" t="e">
        <f ca="1"/>
        <v>#VALUE!</v>
      </c>
    </row>
    <row r="2405" spans="13:23">
      <c r="M2405" s="219">
        <f t="shared" ca="1" si="152"/>
        <v>60456</v>
      </c>
      <c r="N2405" s="115" t="e">
        <f ca="1"/>
        <v>#VALUE!</v>
      </c>
      <c r="P2405" s="219">
        <f t="shared" ca="1" si="153"/>
        <v>60456</v>
      </c>
      <c r="Q2405" s="115" t="e">
        <f ca="1"/>
        <v>#VALUE!</v>
      </c>
      <c r="S2405" s="219">
        <f t="shared" ca="1" si="154"/>
        <v>60456</v>
      </c>
      <c r="T2405" s="115" t="e">
        <f ca="1"/>
        <v>#VALUE!</v>
      </c>
      <c r="V2405" s="219">
        <f t="shared" ca="1" si="155"/>
        <v>60456</v>
      </c>
      <c r="W2405" s="115" t="e">
        <f ca="1"/>
        <v>#VALUE!</v>
      </c>
    </row>
    <row r="2406" spans="13:23">
      <c r="M2406" s="219">
        <f t="shared" ca="1" si="152"/>
        <v>60463</v>
      </c>
      <c r="N2406" s="115" t="e">
        <f ca="1"/>
        <v>#VALUE!</v>
      </c>
      <c r="P2406" s="219">
        <f t="shared" ca="1" si="153"/>
        <v>60463</v>
      </c>
      <c r="Q2406" s="115" t="e">
        <f ca="1"/>
        <v>#VALUE!</v>
      </c>
      <c r="S2406" s="219">
        <f t="shared" ca="1" si="154"/>
        <v>60463</v>
      </c>
      <c r="T2406" s="115" t="e">
        <f ca="1"/>
        <v>#VALUE!</v>
      </c>
      <c r="V2406" s="219">
        <f t="shared" ca="1" si="155"/>
        <v>60463</v>
      </c>
      <c r="W2406" s="115" t="e">
        <f ca="1"/>
        <v>#VALUE!</v>
      </c>
    </row>
    <row r="2407" spans="13:23">
      <c r="M2407" s="219">
        <f t="shared" ca="1" si="152"/>
        <v>60470</v>
      </c>
      <c r="N2407" s="115" t="e">
        <f ca="1"/>
        <v>#VALUE!</v>
      </c>
      <c r="P2407" s="219">
        <f t="shared" ca="1" si="153"/>
        <v>60470</v>
      </c>
      <c r="Q2407" s="115" t="e">
        <f ca="1"/>
        <v>#VALUE!</v>
      </c>
      <c r="S2407" s="219">
        <f t="shared" ca="1" si="154"/>
        <v>60470</v>
      </c>
      <c r="T2407" s="115" t="e">
        <f ca="1"/>
        <v>#VALUE!</v>
      </c>
      <c r="V2407" s="219">
        <f t="shared" ca="1" si="155"/>
        <v>60470</v>
      </c>
      <c r="W2407" s="115" t="e">
        <f ca="1"/>
        <v>#VALUE!</v>
      </c>
    </row>
    <row r="2408" spans="13:23">
      <c r="M2408" s="219">
        <f t="shared" ca="1" si="152"/>
        <v>60477</v>
      </c>
      <c r="N2408" s="115" t="e">
        <f ca="1"/>
        <v>#VALUE!</v>
      </c>
      <c r="P2408" s="219">
        <f t="shared" ca="1" si="153"/>
        <v>60477</v>
      </c>
      <c r="Q2408" s="115" t="e">
        <f ca="1"/>
        <v>#VALUE!</v>
      </c>
      <c r="S2408" s="219">
        <f t="shared" ca="1" si="154"/>
        <v>60477</v>
      </c>
      <c r="T2408" s="115" t="e">
        <f ca="1"/>
        <v>#VALUE!</v>
      </c>
      <c r="V2408" s="219">
        <f t="shared" ca="1" si="155"/>
        <v>60477</v>
      </c>
      <c r="W2408" s="115" t="e">
        <f ca="1"/>
        <v>#VALUE!</v>
      </c>
    </row>
    <row r="2409" spans="13:23">
      <c r="M2409" s="219">
        <f t="shared" ca="1" si="152"/>
        <v>60484</v>
      </c>
      <c r="N2409" s="115" t="e">
        <f ca="1"/>
        <v>#VALUE!</v>
      </c>
      <c r="P2409" s="219">
        <f t="shared" ca="1" si="153"/>
        <v>60484</v>
      </c>
      <c r="Q2409" s="115" t="e">
        <f ca="1"/>
        <v>#VALUE!</v>
      </c>
      <c r="S2409" s="219">
        <f t="shared" ca="1" si="154"/>
        <v>60484</v>
      </c>
      <c r="T2409" s="115" t="e">
        <f ca="1"/>
        <v>#VALUE!</v>
      </c>
      <c r="V2409" s="219">
        <f t="shared" ca="1" si="155"/>
        <v>60484</v>
      </c>
      <c r="W2409" s="115" t="e">
        <f ca="1"/>
        <v>#VALUE!</v>
      </c>
    </row>
    <row r="2410" spans="13:23">
      <c r="M2410" s="219">
        <f t="shared" ca="1" si="152"/>
        <v>60491</v>
      </c>
      <c r="N2410" s="115" t="e">
        <f ca="1"/>
        <v>#VALUE!</v>
      </c>
      <c r="P2410" s="219">
        <f t="shared" ca="1" si="153"/>
        <v>60491</v>
      </c>
      <c r="Q2410" s="115" t="e">
        <f ca="1"/>
        <v>#VALUE!</v>
      </c>
      <c r="S2410" s="219">
        <f t="shared" ca="1" si="154"/>
        <v>60491</v>
      </c>
      <c r="T2410" s="115" t="e">
        <f ca="1"/>
        <v>#VALUE!</v>
      </c>
      <c r="V2410" s="219">
        <f t="shared" ca="1" si="155"/>
        <v>60491</v>
      </c>
      <c r="W2410" s="115" t="e">
        <f ca="1"/>
        <v>#VALUE!</v>
      </c>
    </row>
    <row r="2411" spans="13:23">
      <c r="M2411" s="219">
        <f t="shared" ca="1" si="152"/>
        <v>60498</v>
      </c>
      <c r="N2411" s="115" t="e">
        <f ca="1"/>
        <v>#VALUE!</v>
      </c>
      <c r="P2411" s="219">
        <f t="shared" ca="1" si="153"/>
        <v>60498</v>
      </c>
      <c r="Q2411" s="115" t="e">
        <f ca="1"/>
        <v>#VALUE!</v>
      </c>
      <c r="S2411" s="219">
        <f t="shared" ca="1" si="154"/>
        <v>60498</v>
      </c>
      <c r="T2411" s="115" t="e">
        <f ca="1"/>
        <v>#VALUE!</v>
      </c>
      <c r="V2411" s="219">
        <f t="shared" ca="1" si="155"/>
        <v>60498</v>
      </c>
      <c r="W2411" s="115" t="e">
        <f ca="1"/>
        <v>#VALUE!</v>
      </c>
    </row>
    <row r="2412" spans="13:23">
      <c r="M2412" s="219">
        <f t="shared" ca="1" si="152"/>
        <v>60505</v>
      </c>
      <c r="N2412" s="115" t="e">
        <f ca="1"/>
        <v>#VALUE!</v>
      </c>
      <c r="P2412" s="219">
        <f t="shared" ca="1" si="153"/>
        <v>60505</v>
      </c>
      <c r="Q2412" s="115" t="e">
        <f ca="1"/>
        <v>#VALUE!</v>
      </c>
      <c r="S2412" s="219">
        <f t="shared" ca="1" si="154"/>
        <v>60505</v>
      </c>
      <c r="T2412" s="115" t="e">
        <f ca="1"/>
        <v>#VALUE!</v>
      </c>
      <c r="V2412" s="219">
        <f t="shared" ca="1" si="155"/>
        <v>60505</v>
      </c>
      <c r="W2412" s="115" t="e">
        <f ca="1"/>
        <v>#VALUE!</v>
      </c>
    </row>
    <row r="2413" spans="13:23">
      <c r="M2413" s="219">
        <f t="shared" ca="1" si="152"/>
        <v>60512</v>
      </c>
      <c r="N2413" s="115" t="e">
        <f ca="1"/>
        <v>#VALUE!</v>
      </c>
      <c r="P2413" s="219">
        <f t="shared" ca="1" si="153"/>
        <v>60512</v>
      </c>
      <c r="Q2413" s="115" t="e">
        <f ca="1"/>
        <v>#VALUE!</v>
      </c>
      <c r="S2413" s="219">
        <f t="shared" ca="1" si="154"/>
        <v>60512</v>
      </c>
      <c r="T2413" s="115" t="e">
        <f ca="1"/>
        <v>#VALUE!</v>
      </c>
      <c r="V2413" s="219">
        <f t="shared" ca="1" si="155"/>
        <v>60512</v>
      </c>
      <c r="W2413" s="115" t="e">
        <f ca="1"/>
        <v>#VALUE!</v>
      </c>
    </row>
    <row r="2414" spans="13:23">
      <c r="M2414" s="219">
        <f t="shared" ca="1" si="152"/>
        <v>60519</v>
      </c>
      <c r="N2414" s="115" t="e">
        <f ca="1"/>
        <v>#VALUE!</v>
      </c>
      <c r="P2414" s="219">
        <f t="shared" ca="1" si="153"/>
        <v>60519</v>
      </c>
      <c r="Q2414" s="115" t="e">
        <f ca="1"/>
        <v>#VALUE!</v>
      </c>
      <c r="S2414" s="219">
        <f t="shared" ca="1" si="154"/>
        <v>60519</v>
      </c>
      <c r="T2414" s="115" t="e">
        <f ca="1"/>
        <v>#VALUE!</v>
      </c>
      <c r="V2414" s="219">
        <f t="shared" ca="1" si="155"/>
        <v>60519</v>
      </c>
      <c r="W2414" s="115" t="e">
        <f ca="1"/>
        <v>#VALUE!</v>
      </c>
    </row>
    <row r="2415" spans="13:23">
      <c r="M2415" s="219">
        <f t="shared" ca="1" si="152"/>
        <v>60526</v>
      </c>
      <c r="N2415" s="115" t="e">
        <f ca="1"/>
        <v>#VALUE!</v>
      </c>
      <c r="P2415" s="219">
        <f t="shared" ca="1" si="153"/>
        <v>60526</v>
      </c>
      <c r="Q2415" s="115" t="e">
        <f ca="1"/>
        <v>#VALUE!</v>
      </c>
      <c r="S2415" s="219">
        <f t="shared" ca="1" si="154"/>
        <v>60526</v>
      </c>
      <c r="T2415" s="115" t="e">
        <f ca="1"/>
        <v>#VALUE!</v>
      </c>
      <c r="V2415" s="219">
        <f t="shared" ca="1" si="155"/>
        <v>60526</v>
      </c>
      <c r="W2415" s="115" t="e">
        <f ca="1"/>
        <v>#VALUE!</v>
      </c>
    </row>
    <row r="2416" spans="13:23">
      <c r="M2416" s="219">
        <f t="shared" ca="1" si="152"/>
        <v>60533</v>
      </c>
      <c r="N2416" s="115" t="e">
        <f ca="1"/>
        <v>#VALUE!</v>
      </c>
      <c r="P2416" s="219">
        <f t="shared" ca="1" si="153"/>
        <v>60533</v>
      </c>
      <c r="Q2416" s="115" t="e">
        <f ca="1"/>
        <v>#VALUE!</v>
      </c>
      <c r="S2416" s="219">
        <f t="shared" ca="1" si="154"/>
        <v>60533</v>
      </c>
      <c r="T2416" s="115" t="e">
        <f ca="1"/>
        <v>#VALUE!</v>
      </c>
      <c r="V2416" s="219">
        <f t="shared" ca="1" si="155"/>
        <v>60533</v>
      </c>
      <c r="W2416" s="115" t="e">
        <f ca="1"/>
        <v>#VALUE!</v>
      </c>
    </row>
    <row r="2417" spans="13:23">
      <c r="M2417" s="219">
        <f t="shared" ca="1" si="152"/>
        <v>60540</v>
      </c>
      <c r="N2417" s="115" t="e">
        <f ca="1"/>
        <v>#VALUE!</v>
      </c>
      <c r="P2417" s="219">
        <f t="shared" ca="1" si="153"/>
        <v>60540</v>
      </c>
      <c r="Q2417" s="115" t="e">
        <f ca="1"/>
        <v>#VALUE!</v>
      </c>
      <c r="S2417" s="219">
        <f t="shared" ca="1" si="154"/>
        <v>60540</v>
      </c>
      <c r="T2417" s="115" t="e">
        <f ca="1"/>
        <v>#VALUE!</v>
      </c>
      <c r="V2417" s="219">
        <f t="shared" ca="1" si="155"/>
        <v>60540</v>
      </c>
      <c r="W2417" s="115" t="e">
        <f ca="1"/>
        <v>#VALUE!</v>
      </c>
    </row>
    <row r="2418" spans="13:23">
      <c r="M2418" s="219">
        <f t="shared" ca="1" si="152"/>
        <v>60547</v>
      </c>
      <c r="N2418" s="115" t="e">
        <f ca="1"/>
        <v>#VALUE!</v>
      </c>
      <c r="P2418" s="219">
        <f t="shared" ca="1" si="153"/>
        <v>60547</v>
      </c>
      <c r="Q2418" s="115" t="e">
        <f ca="1"/>
        <v>#VALUE!</v>
      </c>
      <c r="S2418" s="219">
        <f t="shared" ca="1" si="154"/>
        <v>60547</v>
      </c>
      <c r="T2418" s="115" t="e">
        <f ca="1"/>
        <v>#VALUE!</v>
      </c>
      <c r="V2418" s="219">
        <f t="shared" ca="1" si="155"/>
        <v>60547</v>
      </c>
      <c r="W2418" s="115" t="e">
        <f ca="1"/>
        <v>#VALUE!</v>
      </c>
    </row>
    <row r="2419" spans="13:23">
      <c r="M2419" s="219">
        <f t="shared" ca="1" si="152"/>
        <v>60554</v>
      </c>
      <c r="N2419" s="115" t="e">
        <f ca="1"/>
        <v>#VALUE!</v>
      </c>
      <c r="P2419" s="219">
        <f t="shared" ca="1" si="153"/>
        <v>60554</v>
      </c>
      <c r="Q2419" s="115" t="e">
        <f ca="1"/>
        <v>#VALUE!</v>
      </c>
      <c r="S2419" s="219">
        <f t="shared" ca="1" si="154"/>
        <v>60554</v>
      </c>
      <c r="T2419" s="115" t="e">
        <f ca="1"/>
        <v>#VALUE!</v>
      </c>
      <c r="V2419" s="219">
        <f t="shared" ca="1" si="155"/>
        <v>60554</v>
      </c>
      <c r="W2419" s="115" t="e">
        <f ca="1"/>
        <v>#VALUE!</v>
      </c>
    </row>
    <row r="2420" spans="13:23">
      <c r="M2420" s="219">
        <f t="shared" ca="1" si="152"/>
        <v>60561</v>
      </c>
      <c r="N2420" s="115" t="e">
        <f ca="1"/>
        <v>#VALUE!</v>
      </c>
      <c r="P2420" s="219">
        <f t="shared" ca="1" si="153"/>
        <v>60561</v>
      </c>
      <c r="Q2420" s="115" t="e">
        <f ca="1"/>
        <v>#VALUE!</v>
      </c>
      <c r="S2420" s="219">
        <f t="shared" ca="1" si="154"/>
        <v>60561</v>
      </c>
      <c r="T2420" s="115" t="e">
        <f ca="1"/>
        <v>#VALUE!</v>
      </c>
      <c r="V2420" s="219">
        <f t="shared" ca="1" si="155"/>
        <v>60561</v>
      </c>
      <c r="W2420" s="115" t="e">
        <f ca="1"/>
        <v>#VALUE!</v>
      </c>
    </row>
    <row r="2421" spans="13:23">
      <c r="M2421" s="219">
        <f t="shared" ca="1" si="152"/>
        <v>60568</v>
      </c>
      <c r="N2421" s="115" t="e">
        <f ca="1"/>
        <v>#VALUE!</v>
      </c>
      <c r="P2421" s="219">
        <f t="shared" ca="1" si="153"/>
        <v>60568</v>
      </c>
      <c r="Q2421" s="115" t="e">
        <f ca="1"/>
        <v>#VALUE!</v>
      </c>
      <c r="S2421" s="219">
        <f t="shared" ca="1" si="154"/>
        <v>60568</v>
      </c>
      <c r="T2421" s="115" t="e">
        <f ca="1"/>
        <v>#VALUE!</v>
      </c>
      <c r="V2421" s="219">
        <f t="shared" ca="1" si="155"/>
        <v>60568</v>
      </c>
      <c r="W2421" s="115" t="e">
        <f ca="1"/>
        <v>#VALUE!</v>
      </c>
    </row>
    <row r="2422" spans="13:23">
      <c r="M2422" s="219">
        <f t="shared" ca="1" si="152"/>
        <v>60575</v>
      </c>
      <c r="N2422" s="115" t="e">
        <f ca="1"/>
        <v>#VALUE!</v>
      </c>
      <c r="P2422" s="219">
        <f t="shared" ca="1" si="153"/>
        <v>60575</v>
      </c>
      <c r="Q2422" s="115" t="e">
        <f ca="1"/>
        <v>#VALUE!</v>
      </c>
      <c r="S2422" s="219">
        <f t="shared" ca="1" si="154"/>
        <v>60575</v>
      </c>
      <c r="T2422" s="115" t="e">
        <f ca="1"/>
        <v>#VALUE!</v>
      </c>
      <c r="V2422" s="219">
        <f t="shared" ca="1" si="155"/>
        <v>60575</v>
      </c>
      <c r="W2422" s="115" t="e">
        <f ca="1"/>
        <v>#VALUE!</v>
      </c>
    </row>
    <row r="2423" spans="13:23">
      <c r="M2423" s="219">
        <f t="shared" ca="1" si="152"/>
        <v>60582</v>
      </c>
      <c r="N2423" s="115" t="e">
        <f ca="1"/>
        <v>#VALUE!</v>
      </c>
      <c r="P2423" s="219">
        <f t="shared" ca="1" si="153"/>
        <v>60582</v>
      </c>
      <c r="Q2423" s="115" t="e">
        <f ca="1"/>
        <v>#VALUE!</v>
      </c>
      <c r="S2423" s="219">
        <f t="shared" ca="1" si="154"/>
        <v>60582</v>
      </c>
      <c r="T2423" s="115" t="e">
        <f ca="1"/>
        <v>#VALUE!</v>
      </c>
      <c r="V2423" s="219">
        <f t="shared" ca="1" si="155"/>
        <v>60582</v>
      </c>
      <c r="W2423" s="115" t="e">
        <f ca="1"/>
        <v>#VALUE!</v>
      </c>
    </row>
    <row r="2424" spans="13:23">
      <c r="M2424" s="219">
        <f t="shared" ca="1" si="152"/>
        <v>60589</v>
      </c>
      <c r="N2424" s="115" t="e">
        <f ca="1"/>
        <v>#VALUE!</v>
      </c>
      <c r="P2424" s="219">
        <f t="shared" ca="1" si="153"/>
        <v>60589</v>
      </c>
      <c r="Q2424" s="115" t="e">
        <f ca="1"/>
        <v>#VALUE!</v>
      </c>
      <c r="S2424" s="219">
        <f t="shared" ca="1" si="154"/>
        <v>60589</v>
      </c>
      <c r="T2424" s="115" t="e">
        <f ca="1"/>
        <v>#VALUE!</v>
      </c>
      <c r="V2424" s="219">
        <f t="shared" ca="1" si="155"/>
        <v>60589</v>
      </c>
      <c r="W2424" s="115" t="e">
        <f ca="1"/>
        <v>#VALUE!</v>
      </c>
    </row>
    <row r="2425" spans="13:23">
      <c r="M2425" s="219">
        <f t="shared" ca="1" si="152"/>
        <v>60596</v>
      </c>
      <c r="N2425" s="115" t="e">
        <f ca="1"/>
        <v>#VALUE!</v>
      </c>
      <c r="P2425" s="219">
        <f t="shared" ca="1" si="153"/>
        <v>60596</v>
      </c>
      <c r="Q2425" s="115" t="e">
        <f ca="1"/>
        <v>#VALUE!</v>
      </c>
      <c r="S2425" s="219">
        <f t="shared" ca="1" si="154"/>
        <v>60596</v>
      </c>
      <c r="T2425" s="115" t="e">
        <f ca="1"/>
        <v>#VALUE!</v>
      </c>
      <c r="V2425" s="219">
        <f t="shared" ca="1" si="155"/>
        <v>60596</v>
      </c>
      <c r="W2425" s="115" t="e">
        <f ca="1"/>
        <v>#VALUE!</v>
      </c>
    </row>
    <row r="2426" spans="13:23">
      <c r="M2426" s="219">
        <f t="shared" ca="1" si="152"/>
        <v>60603</v>
      </c>
      <c r="N2426" s="115" t="e">
        <f ca="1"/>
        <v>#VALUE!</v>
      </c>
      <c r="P2426" s="219">
        <f t="shared" ca="1" si="153"/>
        <v>60603</v>
      </c>
      <c r="Q2426" s="115" t="e">
        <f ca="1"/>
        <v>#VALUE!</v>
      </c>
      <c r="S2426" s="219">
        <f t="shared" ca="1" si="154"/>
        <v>60603</v>
      </c>
      <c r="T2426" s="115" t="e">
        <f ca="1"/>
        <v>#VALUE!</v>
      </c>
      <c r="V2426" s="219">
        <f t="shared" ca="1" si="155"/>
        <v>60603</v>
      </c>
      <c r="W2426" s="115" t="e">
        <f ca="1"/>
        <v>#VALUE!</v>
      </c>
    </row>
    <row r="2427" spans="13:23">
      <c r="M2427" s="219">
        <f t="shared" ca="1" si="152"/>
        <v>60610</v>
      </c>
      <c r="N2427" s="115" t="e">
        <f ca="1"/>
        <v>#VALUE!</v>
      </c>
      <c r="P2427" s="219">
        <f t="shared" ca="1" si="153"/>
        <v>60610</v>
      </c>
      <c r="Q2427" s="115" t="e">
        <f ca="1"/>
        <v>#VALUE!</v>
      </c>
      <c r="S2427" s="219">
        <f t="shared" ca="1" si="154"/>
        <v>60610</v>
      </c>
      <c r="T2427" s="115" t="e">
        <f ca="1"/>
        <v>#VALUE!</v>
      </c>
      <c r="V2427" s="219">
        <f t="shared" ca="1" si="155"/>
        <v>60610</v>
      </c>
      <c r="W2427" s="115" t="e">
        <f ca="1"/>
        <v>#VALUE!</v>
      </c>
    </row>
    <row r="2428" spans="13:23">
      <c r="M2428" s="219">
        <f t="shared" ca="1" si="152"/>
        <v>60617</v>
      </c>
      <c r="N2428" s="115" t="e">
        <f ca="1"/>
        <v>#VALUE!</v>
      </c>
      <c r="P2428" s="219">
        <f t="shared" ca="1" si="153"/>
        <v>60617</v>
      </c>
      <c r="Q2428" s="115" t="e">
        <f ca="1"/>
        <v>#VALUE!</v>
      </c>
      <c r="S2428" s="219">
        <f t="shared" ca="1" si="154"/>
        <v>60617</v>
      </c>
      <c r="T2428" s="115" t="e">
        <f ca="1"/>
        <v>#VALUE!</v>
      </c>
      <c r="V2428" s="219">
        <f t="shared" ca="1" si="155"/>
        <v>60617</v>
      </c>
      <c r="W2428" s="115" t="e">
        <f ca="1"/>
        <v>#VALUE!</v>
      </c>
    </row>
    <row r="2429" spans="13:23">
      <c r="M2429" s="219">
        <f t="shared" ca="1" si="152"/>
        <v>60624</v>
      </c>
      <c r="N2429" s="115" t="e">
        <f ca="1"/>
        <v>#VALUE!</v>
      </c>
      <c r="P2429" s="219">
        <f t="shared" ca="1" si="153"/>
        <v>60624</v>
      </c>
      <c r="Q2429" s="115" t="e">
        <f ca="1"/>
        <v>#VALUE!</v>
      </c>
      <c r="S2429" s="219">
        <f t="shared" ca="1" si="154"/>
        <v>60624</v>
      </c>
      <c r="T2429" s="115" t="e">
        <f ca="1"/>
        <v>#VALUE!</v>
      </c>
      <c r="V2429" s="219">
        <f t="shared" ca="1" si="155"/>
        <v>60624</v>
      </c>
      <c r="W2429" s="115" t="e">
        <f ca="1"/>
        <v>#VALUE!</v>
      </c>
    </row>
    <row r="2430" spans="13:23">
      <c r="M2430" s="219">
        <f t="shared" ca="1" si="152"/>
        <v>60631</v>
      </c>
      <c r="N2430" s="115" t="e">
        <f ca="1"/>
        <v>#VALUE!</v>
      </c>
      <c r="P2430" s="219">
        <f t="shared" ca="1" si="153"/>
        <v>60631</v>
      </c>
      <c r="Q2430" s="115" t="e">
        <f ca="1"/>
        <v>#VALUE!</v>
      </c>
      <c r="S2430" s="219">
        <f t="shared" ca="1" si="154"/>
        <v>60631</v>
      </c>
      <c r="T2430" s="115" t="e">
        <f ca="1"/>
        <v>#VALUE!</v>
      </c>
      <c r="V2430" s="219">
        <f t="shared" ca="1" si="155"/>
        <v>60631</v>
      </c>
      <c r="W2430" s="115" t="e">
        <f ca="1"/>
        <v>#VALUE!</v>
      </c>
    </row>
    <row r="2431" spans="13:23">
      <c r="M2431" s="219">
        <f t="shared" ca="1" si="152"/>
        <v>60638</v>
      </c>
      <c r="N2431" s="115" t="e">
        <f ca="1"/>
        <v>#VALUE!</v>
      </c>
      <c r="P2431" s="219">
        <f t="shared" ca="1" si="153"/>
        <v>60638</v>
      </c>
      <c r="Q2431" s="115" t="e">
        <f ca="1"/>
        <v>#VALUE!</v>
      </c>
      <c r="S2431" s="219">
        <f t="shared" ca="1" si="154"/>
        <v>60638</v>
      </c>
      <c r="T2431" s="115" t="e">
        <f ca="1"/>
        <v>#VALUE!</v>
      </c>
      <c r="V2431" s="219">
        <f t="shared" ca="1" si="155"/>
        <v>60638</v>
      </c>
      <c r="W2431" s="115" t="e">
        <f ca="1"/>
        <v>#VALUE!</v>
      </c>
    </row>
    <row r="2432" spans="13:23">
      <c r="M2432" s="219">
        <f t="shared" ca="1" si="152"/>
        <v>60645</v>
      </c>
      <c r="N2432" s="115" t="e">
        <f ca="1"/>
        <v>#VALUE!</v>
      </c>
      <c r="P2432" s="219">
        <f t="shared" ca="1" si="153"/>
        <v>60645</v>
      </c>
      <c r="Q2432" s="115" t="e">
        <f ca="1"/>
        <v>#VALUE!</v>
      </c>
      <c r="S2432" s="219">
        <f t="shared" ca="1" si="154"/>
        <v>60645</v>
      </c>
      <c r="T2432" s="115" t="e">
        <f ca="1"/>
        <v>#VALUE!</v>
      </c>
      <c r="V2432" s="219">
        <f t="shared" ca="1" si="155"/>
        <v>60645</v>
      </c>
      <c r="W2432" s="115" t="e">
        <f ca="1"/>
        <v>#VALUE!</v>
      </c>
    </row>
    <row r="2433" spans="13:23">
      <c r="M2433" s="219">
        <f t="shared" ca="1" si="152"/>
        <v>60652</v>
      </c>
      <c r="N2433" s="115" t="e">
        <f ca="1"/>
        <v>#VALUE!</v>
      </c>
      <c r="P2433" s="219">
        <f t="shared" ca="1" si="153"/>
        <v>60652</v>
      </c>
      <c r="Q2433" s="115" t="e">
        <f ca="1"/>
        <v>#VALUE!</v>
      </c>
      <c r="S2433" s="219">
        <f t="shared" ca="1" si="154"/>
        <v>60652</v>
      </c>
      <c r="T2433" s="115" t="e">
        <f ca="1"/>
        <v>#VALUE!</v>
      </c>
      <c r="V2433" s="219">
        <f t="shared" ca="1" si="155"/>
        <v>60652</v>
      </c>
      <c r="W2433" s="115" t="e">
        <f ca="1"/>
        <v>#VALUE!</v>
      </c>
    </row>
    <row r="2434" spans="13:23">
      <c r="M2434" s="219">
        <f t="shared" ca="1" si="152"/>
        <v>60659</v>
      </c>
      <c r="N2434" s="115" t="e">
        <f ca="1"/>
        <v>#VALUE!</v>
      </c>
      <c r="P2434" s="219">
        <f t="shared" ca="1" si="153"/>
        <v>60659</v>
      </c>
      <c r="Q2434" s="115" t="e">
        <f ca="1"/>
        <v>#VALUE!</v>
      </c>
      <c r="S2434" s="219">
        <f t="shared" ca="1" si="154"/>
        <v>60659</v>
      </c>
      <c r="T2434" s="115" t="e">
        <f ca="1"/>
        <v>#VALUE!</v>
      </c>
      <c r="V2434" s="219">
        <f t="shared" ca="1" si="155"/>
        <v>60659</v>
      </c>
      <c r="W2434" s="115" t="e">
        <f ca="1"/>
        <v>#VALUE!</v>
      </c>
    </row>
    <row r="2435" spans="13:23">
      <c r="M2435" s="219">
        <f t="shared" ca="1" si="152"/>
        <v>60666</v>
      </c>
      <c r="N2435" s="115" t="e">
        <f ca="1"/>
        <v>#VALUE!</v>
      </c>
      <c r="P2435" s="219">
        <f t="shared" ca="1" si="153"/>
        <v>60666</v>
      </c>
      <c r="Q2435" s="115" t="e">
        <f ca="1"/>
        <v>#VALUE!</v>
      </c>
      <c r="S2435" s="219">
        <f t="shared" ca="1" si="154"/>
        <v>60666</v>
      </c>
      <c r="T2435" s="115" t="e">
        <f ca="1"/>
        <v>#VALUE!</v>
      </c>
      <c r="V2435" s="219">
        <f t="shared" ca="1" si="155"/>
        <v>60666</v>
      </c>
      <c r="W2435" s="115" t="e">
        <f ca="1"/>
        <v>#VALUE!</v>
      </c>
    </row>
    <row r="2436" spans="13:23">
      <c r="M2436" s="219">
        <f t="shared" ca="1" si="152"/>
        <v>60673</v>
      </c>
      <c r="N2436" s="115" t="e">
        <f ca="1"/>
        <v>#VALUE!</v>
      </c>
      <c r="P2436" s="219">
        <f t="shared" ca="1" si="153"/>
        <v>60673</v>
      </c>
      <c r="Q2436" s="115" t="e">
        <f ca="1"/>
        <v>#VALUE!</v>
      </c>
      <c r="S2436" s="219">
        <f t="shared" ca="1" si="154"/>
        <v>60673</v>
      </c>
      <c r="T2436" s="115" t="e">
        <f ca="1"/>
        <v>#VALUE!</v>
      </c>
      <c r="V2436" s="219">
        <f t="shared" ca="1" si="155"/>
        <v>60673</v>
      </c>
      <c r="W2436" s="115" t="e">
        <f ca="1"/>
        <v>#VALUE!</v>
      </c>
    </row>
    <row r="2437" spans="13:23">
      <c r="M2437" s="219">
        <f t="shared" ca="1" si="152"/>
        <v>60680</v>
      </c>
      <c r="N2437" s="115" t="e">
        <f ca="1"/>
        <v>#VALUE!</v>
      </c>
      <c r="P2437" s="219">
        <f t="shared" ca="1" si="153"/>
        <v>60680</v>
      </c>
      <c r="Q2437" s="115" t="e">
        <f ca="1"/>
        <v>#VALUE!</v>
      </c>
      <c r="S2437" s="219">
        <f t="shared" ca="1" si="154"/>
        <v>60680</v>
      </c>
      <c r="T2437" s="115" t="e">
        <f ca="1"/>
        <v>#VALUE!</v>
      </c>
      <c r="V2437" s="219">
        <f t="shared" ca="1" si="155"/>
        <v>60680</v>
      </c>
      <c r="W2437" s="115" t="e">
        <f ca="1"/>
        <v>#VALUE!</v>
      </c>
    </row>
    <row r="2438" spans="13:23">
      <c r="M2438" s="219">
        <f t="shared" ca="1" si="152"/>
        <v>60687</v>
      </c>
      <c r="N2438" s="115" t="e">
        <f ca="1"/>
        <v>#VALUE!</v>
      </c>
      <c r="P2438" s="219">
        <f t="shared" ca="1" si="153"/>
        <v>60687</v>
      </c>
      <c r="Q2438" s="115" t="e">
        <f ca="1"/>
        <v>#VALUE!</v>
      </c>
      <c r="S2438" s="219">
        <f t="shared" ca="1" si="154"/>
        <v>60687</v>
      </c>
      <c r="T2438" s="115" t="e">
        <f ca="1"/>
        <v>#VALUE!</v>
      </c>
      <c r="V2438" s="219">
        <f t="shared" ca="1" si="155"/>
        <v>60687</v>
      </c>
      <c r="W2438" s="115" t="e">
        <f ca="1"/>
        <v>#VALUE!</v>
      </c>
    </row>
    <row r="2439" spans="13:23">
      <c r="M2439" s="219">
        <f t="shared" ca="1" si="152"/>
        <v>60694</v>
      </c>
      <c r="N2439" s="115" t="e">
        <f ca="1"/>
        <v>#VALUE!</v>
      </c>
      <c r="P2439" s="219">
        <f t="shared" ca="1" si="153"/>
        <v>60694</v>
      </c>
      <c r="Q2439" s="115" t="e">
        <f ca="1"/>
        <v>#VALUE!</v>
      </c>
      <c r="S2439" s="219">
        <f t="shared" ca="1" si="154"/>
        <v>60694</v>
      </c>
      <c r="T2439" s="115" t="e">
        <f ca="1"/>
        <v>#VALUE!</v>
      </c>
      <c r="V2439" s="219">
        <f t="shared" ca="1" si="155"/>
        <v>60694</v>
      </c>
      <c r="W2439" s="115" t="e">
        <f ca="1"/>
        <v>#VALUE!</v>
      </c>
    </row>
    <row r="2440" spans="13:23">
      <c r="M2440" s="219">
        <f t="shared" ca="1" si="152"/>
        <v>60701</v>
      </c>
      <c r="N2440" s="115" t="e">
        <f ca="1"/>
        <v>#VALUE!</v>
      </c>
      <c r="P2440" s="219">
        <f t="shared" ca="1" si="153"/>
        <v>60701</v>
      </c>
      <c r="Q2440" s="115" t="e">
        <f ca="1"/>
        <v>#VALUE!</v>
      </c>
      <c r="S2440" s="219">
        <f t="shared" ca="1" si="154"/>
        <v>60701</v>
      </c>
      <c r="T2440" s="115" t="e">
        <f ca="1"/>
        <v>#VALUE!</v>
      </c>
      <c r="V2440" s="219">
        <f t="shared" ca="1" si="155"/>
        <v>60701</v>
      </c>
      <c r="W2440" s="115" t="e">
        <f ca="1"/>
        <v>#VALUE!</v>
      </c>
    </row>
    <row r="2441" spans="13:23">
      <c r="M2441" s="219">
        <f t="shared" ca="1" si="152"/>
        <v>60708</v>
      </c>
      <c r="N2441" s="115" t="e">
        <f ca="1"/>
        <v>#VALUE!</v>
      </c>
      <c r="P2441" s="219">
        <f t="shared" ca="1" si="153"/>
        <v>60708</v>
      </c>
      <c r="Q2441" s="115" t="e">
        <f ca="1"/>
        <v>#VALUE!</v>
      </c>
      <c r="S2441" s="219">
        <f t="shared" ca="1" si="154"/>
        <v>60708</v>
      </c>
      <c r="T2441" s="115" t="e">
        <f ca="1"/>
        <v>#VALUE!</v>
      </c>
      <c r="V2441" s="219">
        <f t="shared" ca="1" si="155"/>
        <v>60708</v>
      </c>
      <c r="W2441" s="115" t="e">
        <f ca="1"/>
        <v>#VALUE!</v>
      </c>
    </row>
    <row r="2442" spans="13:23">
      <c r="M2442" s="219">
        <f t="shared" ca="1" si="152"/>
        <v>60715</v>
      </c>
      <c r="N2442" s="115" t="e">
        <f ca="1"/>
        <v>#VALUE!</v>
      </c>
      <c r="P2442" s="219">
        <f t="shared" ca="1" si="153"/>
        <v>60715</v>
      </c>
      <c r="Q2442" s="115" t="e">
        <f ca="1"/>
        <v>#VALUE!</v>
      </c>
      <c r="S2442" s="219">
        <f t="shared" ca="1" si="154"/>
        <v>60715</v>
      </c>
      <c r="T2442" s="115" t="e">
        <f ca="1"/>
        <v>#VALUE!</v>
      </c>
      <c r="V2442" s="219">
        <f t="shared" ca="1" si="155"/>
        <v>60715</v>
      </c>
      <c r="W2442" s="115" t="e">
        <f ca="1"/>
        <v>#VALUE!</v>
      </c>
    </row>
    <row r="2443" spans="13:23">
      <c r="M2443" s="219">
        <f t="shared" ca="1" si="152"/>
        <v>60722</v>
      </c>
      <c r="N2443" s="115" t="e">
        <f ca="1"/>
        <v>#VALUE!</v>
      </c>
      <c r="P2443" s="219">
        <f t="shared" ca="1" si="153"/>
        <v>60722</v>
      </c>
      <c r="Q2443" s="115" t="e">
        <f ca="1"/>
        <v>#VALUE!</v>
      </c>
      <c r="S2443" s="219">
        <f t="shared" ca="1" si="154"/>
        <v>60722</v>
      </c>
      <c r="T2443" s="115" t="e">
        <f ca="1"/>
        <v>#VALUE!</v>
      </c>
      <c r="V2443" s="219">
        <f t="shared" ca="1" si="155"/>
        <v>60722</v>
      </c>
      <c r="W2443" s="115" t="e">
        <f ca="1"/>
        <v>#VALUE!</v>
      </c>
    </row>
    <row r="2444" spans="13:23">
      <c r="M2444" s="219">
        <f t="shared" ca="1" si="152"/>
        <v>60729</v>
      </c>
      <c r="N2444" s="115" t="e">
        <f ca="1"/>
        <v>#VALUE!</v>
      </c>
      <c r="P2444" s="219">
        <f t="shared" ca="1" si="153"/>
        <v>60729</v>
      </c>
      <c r="Q2444" s="115" t="e">
        <f ca="1"/>
        <v>#VALUE!</v>
      </c>
      <c r="S2444" s="219">
        <f t="shared" ca="1" si="154"/>
        <v>60729</v>
      </c>
      <c r="T2444" s="115" t="e">
        <f ca="1"/>
        <v>#VALUE!</v>
      </c>
      <c r="V2444" s="219">
        <f t="shared" ca="1" si="155"/>
        <v>60729</v>
      </c>
      <c r="W2444" s="115" t="e">
        <f ca="1"/>
        <v>#VALUE!</v>
      </c>
    </row>
    <row r="2445" spans="13:23">
      <c r="M2445" s="219">
        <f t="shared" ref="M2445:M2508" ca="1" si="156">M2444+7</f>
        <v>60736</v>
      </c>
      <c r="N2445" s="115" t="e">
        <f ca="1"/>
        <v>#VALUE!</v>
      </c>
      <c r="P2445" s="219">
        <f t="shared" ca="1" si="153"/>
        <v>60736</v>
      </c>
      <c r="Q2445" s="115" t="e">
        <f ca="1"/>
        <v>#VALUE!</v>
      </c>
      <c r="S2445" s="219">
        <f t="shared" ca="1" si="154"/>
        <v>60736</v>
      </c>
      <c r="T2445" s="115" t="e">
        <f ca="1"/>
        <v>#VALUE!</v>
      </c>
      <c r="V2445" s="219">
        <f t="shared" ca="1" si="155"/>
        <v>60736</v>
      </c>
      <c r="W2445" s="115" t="e">
        <f ca="1"/>
        <v>#VALUE!</v>
      </c>
    </row>
    <row r="2446" spans="13:23">
      <c r="M2446" s="219">
        <f t="shared" ca="1" si="156"/>
        <v>60743</v>
      </c>
      <c r="N2446" s="115" t="e">
        <f ca="1"/>
        <v>#VALUE!</v>
      </c>
      <c r="P2446" s="219">
        <f t="shared" ca="1" si="153"/>
        <v>60743</v>
      </c>
      <c r="Q2446" s="115" t="e">
        <f ca="1"/>
        <v>#VALUE!</v>
      </c>
      <c r="S2446" s="219">
        <f t="shared" ca="1" si="154"/>
        <v>60743</v>
      </c>
      <c r="T2446" s="115" t="e">
        <f ca="1"/>
        <v>#VALUE!</v>
      </c>
      <c r="V2446" s="219">
        <f t="shared" ca="1" si="155"/>
        <v>60743</v>
      </c>
      <c r="W2446" s="115" t="e">
        <f ca="1"/>
        <v>#VALUE!</v>
      </c>
    </row>
    <row r="2447" spans="13:23">
      <c r="M2447" s="219">
        <f t="shared" ca="1" si="156"/>
        <v>60750</v>
      </c>
      <c r="N2447" s="115" t="e">
        <f ca="1"/>
        <v>#VALUE!</v>
      </c>
      <c r="P2447" s="219">
        <f t="shared" ca="1" si="153"/>
        <v>60750</v>
      </c>
      <c r="Q2447" s="115" t="e">
        <f ca="1"/>
        <v>#VALUE!</v>
      </c>
      <c r="S2447" s="219">
        <f t="shared" ca="1" si="154"/>
        <v>60750</v>
      </c>
      <c r="T2447" s="115" t="e">
        <f ca="1"/>
        <v>#VALUE!</v>
      </c>
      <c r="V2447" s="219">
        <f t="shared" ca="1" si="155"/>
        <v>60750</v>
      </c>
      <c r="W2447" s="115" t="e">
        <f ca="1"/>
        <v>#VALUE!</v>
      </c>
    </row>
    <row r="2448" spans="13:23">
      <c r="M2448" s="219">
        <f t="shared" ca="1" si="156"/>
        <v>60757</v>
      </c>
      <c r="N2448" s="115" t="e">
        <f ca="1"/>
        <v>#VALUE!</v>
      </c>
      <c r="P2448" s="219">
        <f t="shared" ca="1" si="153"/>
        <v>60757</v>
      </c>
      <c r="Q2448" s="115" t="e">
        <f ca="1"/>
        <v>#VALUE!</v>
      </c>
      <c r="S2448" s="219">
        <f t="shared" ca="1" si="154"/>
        <v>60757</v>
      </c>
      <c r="T2448" s="115" t="e">
        <f ca="1"/>
        <v>#VALUE!</v>
      </c>
      <c r="V2448" s="219">
        <f t="shared" ca="1" si="155"/>
        <v>60757</v>
      </c>
      <c r="W2448" s="115" t="e">
        <f ca="1"/>
        <v>#VALUE!</v>
      </c>
    </row>
    <row r="2449" spans="13:23">
      <c r="M2449" s="219">
        <f t="shared" ca="1" si="156"/>
        <v>60764</v>
      </c>
      <c r="N2449" s="115" t="e">
        <f ca="1"/>
        <v>#VALUE!</v>
      </c>
      <c r="P2449" s="219">
        <f t="shared" ca="1" si="153"/>
        <v>60764</v>
      </c>
      <c r="Q2449" s="115" t="e">
        <f ca="1"/>
        <v>#VALUE!</v>
      </c>
      <c r="S2449" s="219">
        <f t="shared" ca="1" si="154"/>
        <v>60764</v>
      </c>
      <c r="T2449" s="115" t="e">
        <f ca="1"/>
        <v>#VALUE!</v>
      </c>
      <c r="V2449" s="219">
        <f t="shared" ca="1" si="155"/>
        <v>60764</v>
      </c>
      <c r="W2449" s="115" t="e">
        <f ca="1"/>
        <v>#VALUE!</v>
      </c>
    </row>
    <row r="2450" spans="13:23">
      <c r="M2450" s="219">
        <f t="shared" ca="1" si="156"/>
        <v>60771</v>
      </c>
      <c r="N2450" s="115" t="e">
        <f ca="1"/>
        <v>#VALUE!</v>
      </c>
      <c r="P2450" s="219">
        <f t="shared" ca="1" si="153"/>
        <v>60771</v>
      </c>
      <c r="Q2450" s="115" t="e">
        <f ca="1"/>
        <v>#VALUE!</v>
      </c>
      <c r="S2450" s="219">
        <f t="shared" ca="1" si="154"/>
        <v>60771</v>
      </c>
      <c r="T2450" s="115" t="e">
        <f ca="1"/>
        <v>#VALUE!</v>
      </c>
      <c r="V2450" s="219">
        <f t="shared" ca="1" si="155"/>
        <v>60771</v>
      </c>
      <c r="W2450" s="115" t="e">
        <f ca="1"/>
        <v>#VALUE!</v>
      </c>
    </row>
    <row r="2451" spans="13:23">
      <c r="M2451" s="219">
        <f t="shared" ca="1" si="156"/>
        <v>60778</v>
      </c>
      <c r="N2451" s="115" t="e">
        <f ca="1"/>
        <v>#VALUE!</v>
      </c>
      <c r="P2451" s="219">
        <f t="shared" ca="1" si="153"/>
        <v>60778</v>
      </c>
      <c r="Q2451" s="115" t="e">
        <f ca="1"/>
        <v>#VALUE!</v>
      </c>
      <c r="S2451" s="219">
        <f t="shared" ca="1" si="154"/>
        <v>60778</v>
      </c>
      <c r="T2451" s="115" t="e">
        <f ca="1"/>
        <v>#VALUE!</v>
      </c>
      <c r="V2451" s="219">
        <f t="shared" ca="1" si="155"/>
        <v>60778</v>
      </c>
      <c r="W2451" s="115" t="e">
        <f ca="1"/>
        <v>#VALUE!</v>
      </c>
    </row>
    <row r="2452" spans="13:23">
      <c r="M2452" s="219">
        <f t="shared" ca="1" si="156"/>
        <v>60785</v>
      </c>
      <c r="N2452" s="115" t="e">
        <f ca="1"/>
        <v>#VALUE!</v>
      </c>
      <c r="P2452" s="219">
        <f t="shared" ca="1" si="153"/>
        <v>60785</v>
      </c>
      <c r="Q2452" s="115" t="e">
        <f ca="1"/>
        <v>#VALUE!</v>
      </c>
      <c r="S2452" s="219">
        <f t="shared" ca="1" si="154"/>
        <v>60785</v>
      </c>
      <c r="T2452" s="115" t="e">
        <f ca="1"/>
        <v>#VALUE!</v>
      </c>
      <c r="V2452" s="219">
        <f t="shared" ca="1" si="155"/>
        <v>60785</v>
      </c>
      <c r="W2452" s="115" t="e">
        <f ca="1"/>
        <v>#VALUE!</v>
      </c>
    </row>
    <row r="2453" spans="13:23">
      <c r="M2453" s="219">
        <f t="shared" ca="1" si="156"/>
        <v>60792</v>
      </c>
      <c r="N2453" s="115" t="e">
        <f ca="1"/>
        <v>#VALUE!</v>
      </c>
      <c r="P2453" s="219">
        <f t="shared" ca="1" si="153"/>
        <v>60792</v>
      </c>
      <c r="Q2453" s="115" t="e">
        <f ca="1"/>
        <v>#VALUE!</v>
      </c>
      <c r="S2453" s="219">
        <f t="shared" ca="1" si="154"/>
        <v>60792</v>
      </c>
      <c r="T2453" s="115" t="e">
        <f ca="1"/>
        <v>#VALUE!</v>
      </c>
      <c r="V2453" s="219">
        <f t="shared" ca="1" si="155"/>
        <v>60792</v>
      </c>
      <c r="W2453" s="115" t="e">
        <f ca="1"/>
        <v>#VALUE!</v>
      </c>
    </row>
    <row r="2454" spans="13:23">
      <c r="M2454" s="219">
        <f t="shared" ca="1" si="156"/>
        <v>60799</v>
      </c>
      <c r="N2454" s="115" t="e">
        <f ca="1"/>
        <v>#VALUE!</v>
      </c>
      <c r="P2454" s="219">
        <f t="shared" ca="1" si="153"/>
        <v>60799</v>
      </c>
      <c r="Q2454" s="115" t="e">
        <f ca="1"/>
        <v>#VALUE!</v>
      </c>
      <c r="S2454" s="219">
        <f t="shared" ca="1" si="154"/>
        <v>60799</v>
      </c>
      <c r="T2454" s="115" t="e">
        <f ca="1"/>
        <v>#VALUE!</v>
      </c>
      <c r="V2454" s="219">
        <f t="shared" ca="1" si="155"/>
        <v>60799</v>
      </c>
      <c r="W2454" s="115" t="e">
        <f ca="1"/>
        <v>#VALUE!</v>
      </c>
    </row>
    <row r="2455" spans="13:23">
      <c r="M2455" s="219">
        <f t="shared" ca="1" si="156"/>
        <v>60806</v>
      </c>
      <c r="N2455" s="115" t="e">
        <f ca="1"/>
        <v>#VALUE!</v>
      </c>
      <c r="P2455" s="219">
        <f t="shared" ca="1" si="153"/>
        <v>60806</v>
      </c>
      <c r="Q2455" s="115" t="e">
        <f ca="1"/>
        <v>#VALUE!</v>
      </c>
      <c r="S2455" s="219">
        <f t="shared" ca="1" si="154"/>
        <v>60806</v>
      </c>
      <c r="T2455" s="115" t="e">
        <f ca="1"/>
        <v>#VALUE!</v>
      </c>
      <c r="V2455" s="219">
        <f t="shared" ca="1" si="155"/>
        <v>60806</v>
      </c>
      <c r="W2455" s="115" t="e">
        <f ca="1"/>
        <v>#VALUE!</v>
      </c>
    </row>
    <row r="2456" spans="13:23">
      <c r="M2456" s="219">
        <f t="shared" ca="1" si="156"/>
        <v>60813</v>
      </c>
      <c r="N2456" s="115" t="e">
        <f ca="1"/>
        <v>#VALUE!</v>
      </c>
      <c r="P2456" s="219">
        <f t="shared" ca="1" si="153"/>
        <v>60813</v>
      </c>
      <c r="Q2456" s="115" t="e">
        <f ca="1"/>
        <v>#VALUE!</v>
      </c>
      <c r="S2456" s="219">
        <f t="shared" ca="1" si="154"/>
        <v>60813</v>
      </c>
      <c r="T2456" s="115" t="e">
        <f ca="1"/>
        <v>#VALUE!</v>
      </c>
      <c r="V2456" s="219">
        <f t="shared" ca="1" si="155"/>
        <v>60813</v>
      </c>
      <c r="W2456" s="115" t="e">
        <f ca="1"/>
        <v>#VALUE!</v>
      </c>
    </row>
    <row r="2457" spans="13:23">
      <c r="M2457" s="219">
        <f t="shared" ca="1" si="156"/>
        <v>60820</v>
      </c>
      <c r="N2457" s="115" t="e">
        <f ca="1"/>
        <v>#VALUE!</v>
      </c>
      <c r="P2457" s="219">
        <f t="shared" ca="1" si="153"/>
        <v>60820</v>
      </c>
      <c r="Q2457" s="115" t="e">
        <f ca="1"/>
        <v>#VALUE!</v>
      </c>
      <c r="S2457" s="219">
        <f t="shared" ca="1" si="154"/>
        <v>60820</v>
      </c>
      <c r="T2457" s="115" t="e">
        <f ca="1"/>
        <v>#VALUE!</v>
      </c>
      <c r="V2457" s="219">
        <f t="shared" ca="1" si="155"/>
        <v>60820</v>
      </c>
      <c r="W2457" s="115" t="e">
        <f ca="1"/>
        <v>#VALUE!</v>
      </c>
    </row>
    <row r="2458" spans="13:23">
      <c r="M2458" s="219">
        <f t="shared" ca="1" si="156"/>
        <v>60827</v>
      </c>
      <c r="N2458" s="115" t="e">
        <f ca="1"/>
        <v>#VALUE!</v>
      </c>
      <c r="P2458" s="219">
        <f t="shared" ca="1" si="153"/>
        <v>60827</v>
      </c>
      <c r="Q2458" s="115" t="e">
        <f ca="1"/>
        <v>#VALUE!</v>
      </c>
      <c r="S2458" s="219">
        <f t="shared" ca="1" si="154"/>
        <v>60827</v>
      </c>
      <c r="T2458" s="115" t="e">
        <f ca="1"/>
        <v>#VALUE!</v>
      </c>
      <c r="V2458" s="219">
        <f t="shared" ca="1" si="155"/>
        <v>60827</v>
      </c>
      <c r="W2458" s="115" t="e">
        <f ca="1"/>
        <v>#VALUE!</v>
      </c>
    </row>
    <row r="2459" spans="13:23">
      <c r="M2459" s="219">
        <f t="shared" ca="1" si="156"/>
        <v>60834</v>
      </c>
      <c r="N2459" s="115" t="e">
        <f ca="1"/>
        <v>#VALUE!</v>
      </c>
      <c r="P2459" s="219">
        <f t="shared" ca="1" si="153"/>
        <v>60834</v>
      </c>
      <c r="Q2459" s="115" t="e">
        <f ca="1"/>
        <v>#VALUE!</v>
      </c>
      <c r="S2459" s="219">
        <f t="shared" ca="1" si="154"/>
        <v>60834</v>
      </c>
      <c r="T2459" s="115" t="e">
        <f ca="1"/>
        <v>#VALUE!</v>
      </c>
      <c r="V2459" s="219">
        <f t="shared" ca="1" si="155"/>
        <v>60834</v>
      </c>
      <c r="W2459" s="115" t="e">
        <f ca="1"/>
        <v>#VALUE!</v>
      </c>
    </row>
    <row r="2460" spans="13:23">
      <c r="M2460" s="219">
        <f t="shared" ca="1" si="156"/>
        <v>60841</v>
      </c>
      <c r="N2460" s="115" t="e">
        <f ca="1"/>
        <v>#VALUE!</v>
      </c>
      <c r="P2460" s="219">
        <f t="shared" ca="1" si="153"/>
        <v>60841</v>
      </c>
      <c r="Q2460" s="115" t="e">
        <f ca="1"/>
        <v>#VALUE!</v>
      </c>
      <c r="S2460" s="219">
        <f t="shared" ca="1" si="154"/>
        <v>60841</v>
      </c>
      <c r="T2460" s="115" t="e">
        <f ca="1"/>
        <v>#VALUE!</v>
      </c>
      <c r="V2460" s="219">
        <f t="shared" ca="1" si="155"/>
        <v>60841</v>
      </c>
      <c r="W2460" s="115" t="e">
        <f ca="1"/>
        <v>#VALUE!</v>
      </c>
    </row>
    <row r="2461" spans="13:23">
      <c r="M2461" s="219">
        <f t="shared" ca="1" si="156"/>
        <v>60848</v>
      </c>
      <c r="N2461" s="115" t="e">
        <f ca="1"/>
        <v>#VALUE!</v>
      </c>
      <c r="P2461" s="219">
        <f t="shared" ref="P2461:P2524" ca="1" si="157">P2460+7</f>
        <v>60848</v>
      </c>
      <c r="Q2461" s="115" t="e">
        <f ca="1"/>
        <v>#VALUE!</v>
      </c>
      <c r="S2461" s="219">
        <f t="shared" ref="S2461:S2524" ca="1" si="158">S2460+7</f>
        <v>60848</v>
      </c>
      <c r="T2461" s="115" t="e">
        <f ca="1"/>
        <v>#VALUE!</v>
      </c>
      <c r="V2461" s="219">
        <f t="shared" ref="V2461:V2524" ca="1" si="159">V2460+7</f>
        <v>60848</v>
      </c>
      <c r="W2461" s="115" t="e">
        <f ca="1"/>
        <v>#VALUE!</v>
      </c>
    </row>
    <row r="2462" spans="13:23">
      <c r="M2462" s="219">
        <f t="shared" ca="1" si="156"/>
        <v>60855</v>
      </c>
      <c r="N2462" s="115" t="e">
        <f ca="1"/>
        <v>#VALUE!</v>
      </c>
      <c r="P2462" s="219">
        <f t="shared" ca="1" si="157"/>
        <v>60855</v>
      </c>
      <c r="Q2462" s="115" t="e">
        <f ca="1"/>
        <v>#VALUE!</v>
      </c>
      <c r="S2462" s="219">
        <f t="shared" ca="1" si="158"/>
        <v>60855</v>
      </c>
      <c r="T2462" s="115" t="e">
        <f ca="1"/>
        <v>#VALUE!</v>
      </c>
      <c r="V2462" s="219">
        <f t="shared" ca="1" si="159"/>
        <v>60855</v>
      </c>
      <c r="W2462" s="115" t="e">
        <f ca="1"/>
        <v>#VALUE!</v>
      </c>
    </row>
    <row r="2463" spans="13:23">
      <c r="M2463" s="219">
        <f t="shared" ca="1" si="156"/>
        <v>60862</v>
      </c>
      <c r="N2463" s="115" t="e">
        <f ca="1"/>
        <v>#VALUE!</v>
      </c>
      <c r="P2463" s="219">
        <f t="shared" ca="1" si="157"/>
        <v>60862</v>
      </c>
      <c r="Q2463" s="115" t="e">
        <f ca="1"/>
        <v>#VALUE!</v>
      </c>
      <c r="S2463" s="219">
        <f t="shared" ca="1" si="158"/>
        <v>60862</v>
      </c>
      <c r="T2463" s="115" t="e">
        <f ca="1"/>
        <v>#VALUE!</v>
      </c>
      <c r="V2463" s="219">
        <f t="shared" ca="1" si="159"/>
        <v>60862</v>
      </c>
      <c r="W2463" s="115" t="e">
        <f ca="1"/>
        <v>#VALUE!</v>
      </c>
    </row>
    <row r="2464" spans="13:23">
      <c r="M2464" s="219">
        <f t="shared" ca="1" si="156"/>
        <v>60869</v>
      </c>
      <c r="N2464" s="115" t="e">
        <f ca="1"/>
        <v>#VALUE!</v>
      </c>
      <c r="P2464" s="219">
        <f t="shared" ca="1" si="157"/>
        <v>60869</v>
      </c>
      <c r="Q2464" s="115" t="e">
        <f ca="1"/>
        <v>#VALUE!</v>
      </c>
      <c r="S2464" s="219">
        <f t="shared" ca="1" si="158"/>
        <v>60869</v>
      </c>
      <c r="T2464" s="115" t="e">
        <f ca="1"/>
        <v>#VALUE!</v>
      </c>
      <c r="V2464" s="219">
        <f t="shared" ca="1" si="159"/>
        <v>60869</v>
      </c>
      <c r="W2464" s="115" t="e">
        <f ca="1"/>
        <v>#VALUE!</v>
      </c>
    </row>
    <row r="2465" spans="13:23">
      <c r="M2465" s="219">
        <f t="shared" ca="1" si="156"/>
        <v>60876</v>
      </c>
      <c r="N2465" s="115" t="e">
        <f ca="1"/>
        <v>#VALUE!</v>
      </c>
      <c r="P2465" s="219">
        <f t="shared" ca="1" si="157"/>
        <v>60876</v>
      </c>
      <c r="Q2465" s="115" t="e">
        <f ca="1"/>
        <v>#VALUE!</v>
      </c>
      <c r="S2465" s="219">
        <f t="shared" ca="1" si="158"/>
        <v>60876</v>
      </c>
      <c r="T2465" s="115" t="e">
        <f ca="1"/>
        <v>#VALUE!</v>
      </c>
      <c r="V2465" s="219">
        <f t="shared" ca="1" si="159"/>
        <v>60876</v>
      </c>
      <c r="W2465" s="115" t="e">
        <f ca="1"/>
        <v>#VALUE!</v>
      </c>
    </row>
    <row r="2466" spans="13:23">
      <c r="M2466" s="219">
        <f t="shared" ca="1" si="156"/>
        <v>60883</v>
      </c>
      <c r="N2466" s="115" t="e">
        <f ca="1"/>
        <v>#VALUE!</v>
      </c>
      <c r="P2466" s="219">
        <f t="shared" ca="1" si="157"/>
        <v>60883</v>
      </c>
      <c r="Q2466" s="115" t="e">
        <f ca="1"/>
        <v>#VALUE!</v>
      </c>
      <c r="S2466" s="219">
        <f t="shared" ca="1" si="158"/>
        <v>60883</v>
      </c>
      <c r="T2466" s="115" t="e">
        <f ca="1"/>
        <v>#VALUE!</v>
      </c>
      <c r="V2466" s="219">
        <f t="shared" ca="1" si="159"/>
        <v>60883</v>
      </c>
      <c r="W2466" s="115" t="e">
        <f ca="1"/>
        <v>#VALUE!</v>
      </c>
    </row>
    <row r="2467" spans="13:23">
      <c r="M2467" s="219">
        <f t="shared" ca="1" si="156"/>
        <v>60890</v>
      </c>
      <c r="N2467" s="115" t="e">
        <f ca="1"/>
        <v>#VALUE!</v>
      </c>
      <c r="P2467" s="219">
        <f t="shared" ca="1" si="157"/>
        <v>60890</v>
      </c>
      <c r="Q2467" s="115" t="e">
        <f ca="1"/>
        <v>#VALUE!</v>
      </c>
      <c r="S2467" s="219">
        <f t="shared" ca="1" si="158"/>
        <v>60890</v>
      </c>
      <c r="T2467" s="115" t="e">
        <f ca="1"/>
        <v>#VALUE!</v>
      </c>
      <c r="V2467" s="219">
        <f t="shared" ca="1" si="159"/>
        <v>60890</v>
      </c>
      <c r="W2467" s="115" t="e">
        <f ca="1"/>
        <v>#VALUE!</v>
      </c>
    </row>
    <row r="2468" spans="13:23">
      <c r="M2468" s="219">
        <f t="shared" ca="1" si="156"/>
        <v>60897</v>
      </c>
      <c r="N2468" s="115" t="e">
        <f ca="1"/>
        <v>#VALUE!</v>
      </c>
      <c r="P2468" s="219">
        <f t="shared" ca="1" si="157"/>
        <v>60897</v>
      </c>
      <c r="Q2468" s="115" t="e">
        <f ca="1"/>
        <v>#VALUE!</v>
      </c>
      <c r="S2468" s="219">
        <f t="shared" ca="1" si="158"/>
        <v>60897</v>
      </c>
      <c r="T2468" s="115" t="e">
        <f ca="1"/>
        <v>#VALUE!</v>
      </c>
      <c r="V2468" s="219">
        <f t="shared" ca="1" si="159"/>
        <v>60897</v>
      </c>
      <c r="W2468" s="115" t="e">
        <f ca="1"/>
        <v>#VALUE!</v>
      </c>
    </row>
    <row r="2469" spans="13:23">
      <c r="M2469" s="219">
        <f t="shared" ca="1" si="156"/>
        <v>60904</v>
      </c>
      <c r="N2469" s="115" t="e">
        <f ca="1"/>
        <v>#VALUE!</v>
      </c>
      <c r="P2469" s="219">
        <f t="shared" ca="1" si="157"/>
        <v>60904</v>
      </c>
      <c r="Q2469" s="115" t="e">
        <f ca="1"/>
        <v>#VALUE!</v>
      </c>
      <c r="S2469" s="219">
        <f t="shared" ca="1" si="158"/>
        <v>60904</v>
      </c>
      <c r="T2469" s="115" t="e">
        <f ca="1"/>
        <v>#VALUE!</v>
      </c>
      <c r="V2469" s="219">
        <f t="shared" ca="1" si="159"/>
        <v>60904</v>
      </c>
      <c r="W2469" s="115" t="e">
        <f ca="1"/>
        <v>#VALUE!</v>
      </c>
    </row>
    <row r="2470" spans="13:23">
      <c r="M2470" s="219">
        <f t="shared" ca="1" si="156"/>
        <v>60911</v>
      </c>
      <c r="N2470" s="115" t="e">
        <f ca="1"/>
        <v>#VALUE!</v>
      </c>
      <c r="P2470" s="219">
        <f t="shared" ca="1" si="157"/>
        <v>60911</v>
      </c>
      <c r="Q2470" s="115" t="e">
        <f ca="1"/>
        <v>#VALUE!</v>
      </c>
      <c r="S2470" s="219">
        <f t="shared" ca="1" si="158"/>
        <v>60911</v>
      </c>
      <c r="T2470" s="115" t="e">
        <f ca="1"/>
        <v>#VALUE!</v>
      </c>
      <c r="V2470" s="219">
        <f t="shared" ca="1" si="159"/>
        <v>60911</v>
      </c>
      <c r="W2470" s="115" t="e">
        <f ca="1"/>
        <v>#VALUE!</v>
      </c>
    </row>
    <row r="2471" spans="13:23">
      <c r="M2471" s="219">
        <f t="shared" ca="1" si="156"/>
        <v>60918</v>
      </c>
      <c r="N2471" s="115" t="e">
        <f ca="1"/>
        <v>#VALUE!</v>
      </c>
      <c r="P2471" s="219">
        <f t="shared" ca="1" si="157"/>
        <v>60918</v>
      </c>
      <c r="Q2471" s="115" t="e">
        <f ca="1"/>
        <v>#VALUE!</v>
      </c>
      <c r="S2471" s="219">
        <f t="shared" ca="1" si="158"/>
        <v>60918</v>
      </c>
      <c r="T2471" s="115" t="e">
        <f ca="1"/>
        <v>#VALUE!</v>
      </c>
      <c r="V2471" s="219">
        <f t="shared" ca="1" si="159"/>
        <v>60918</v>
      </c>
      <c r="W2471" s="115" t="e">
        <f ca="1"/>
        <v>#VALUE!</v>
      </c>
    </row>
    <row r="2472" spans="13:23">
      <c r="M2472" s="219">
        <f t="shared" ca="1" si="156"/>
        <v>60925</v>
      </c>
      <c r="N2472" s="115" t="e">
        <f ca="1"/>
        <v>#VALUE!</v>
      </c>
      <c r="P2472" s="219">
        <f t="shared" ca="1" si="157"/>
        <v>60925</v>
      </c>
      <c r="Q2472" s="115" t="e">
        <f ca="1"/>
        <v>#VALUE!</v>
      </c>
      <c r="S2472" s="219">
        <f t="shared" ca="1" si="158"/>
        <v>60925</v>
      </c>
      <c r="T2472" s="115" t="e">
        <f ca="1"/>
        <v>#VALUE!</v>
      </c>
      <c r="V2472" s="219">
        <f t="shared" ca="1" si="159"/>
        <v>60925</v>
      </c>
      <c r="W2472" s="115" t="e">
        <f ca="1"/>
        <v>#VALUE!</v>
      </c>
    </row>
    <row r="2473" spans="13:23">
      <c r="M2473" s="219">
        <f t="shared" ca="1" si="156"/>
        <v>60932</v>
      </c>
      <c r="N2473" s="115" t="e">
        <f ca="1"/>
        <v>#VALUE!</v>
      </c>
      <c r="P2473" s="219">
        <f t="shared" ca="1" si="157"/>
        <v>60932</v>
      </c>
      <c r="Q2473" s="115" t="e">
        <f ca="1"/>
        <v>#VALUE!</v>
      </c>
      <c r="S2473" s="219">
        <f t="shared" ca="1" si="158"/>
        <v>60932</v>
      </c>
      <c r="T2473" s="115" t="e">
        <f ca="1"/>
        <v>#VALUE!</v>
      </c>
      <c r="V2473" s="219">
        <f t="shared" ca="1" si="159"/>
        <v>60932</v>
      </c>
      <c r="W2473" s="115" t="e">
        <f ca="1"/>
        <v>#VALUE!</v>
      </c>
    </row>
    <row r="2474" spans="13:23">
      <c r="M2474" s="219">
        <f t="shared" ca="1" si="156"/>
        <v>60939</v>
      </c>
      <c r="N2474" s="115" t="e">
        <f ca="1"/>
        <v>#VALUE!</v>
      </c>
      <c r="P2474" s="219">
        <f t="shared" ca="1" si="157"/>
        <v>60939</v>
      </c>
      <c r="Q2474" s="115" t="e">
        <f ca="1"/>
        <v>#VALUE!</v>
      </c>
      <c r="S2474" s="219">
        <f t="shared" ca="1" si="158"/>
        <v>60939</v>
      </c>
      <c r="T2474" s="115" t="e">
        <f ca="1"/>
        <v>#VALUE!</v>
      </c>
      <c r="V2474" s="219">
        <f t="shared" ca="1" si="159"/>
        <v>60939</v>
      </c>
      <c r="W2474" s="115" t="e">
        <f ca="1"/>
        <v>#VALUE!</v>
      </c>
    </row>
    <row r="2475" spans="13:23">
      <c r="M2475" s="219">
        <f t="shared" ca="1" si="156"/>
        <v>60946</v>
      </c>
      <c r="N2475" s="115" t="e">
        <f ca="1"/>
        <v>#VALUE!</v>
      </c>
      <c r="P2475" s="219">
        <f t="shared" ca="1" si="157"/>
        <v>60946</v>
      </c>
      <c r="Q2475" s="115" t="e">
        <f ca="1"/>
        <v>#VALUE!</v>
      </c>
      <c r="S2475" s="219">
        <f t="shared" ca="1" si="158"/>
        <v>60946</v>
      </c>
      <c r="T2475" s="115" t="e">
        <f ca="1"/>
        <v>#VALUE!</v>
      </c>
      <c r="V2475" s="219">
        <f t="shared" ca="1" si="159"/>
        <v>60946</v>
      </c>
      <c r="W2475" s="115" t="e">
        <f ca="1"/>
        <v>#VALUE!</v>
      </c>
    </row>
    <row r="2476" spans="13:23">
      <c r="M2476" s="219">
        <f t="shared" ca="1" si="156"/>
        <v>60953</v>
      </c>
      <c r="N2476" s="115" t="e">
        <f ca="1"/>
        <v>#VALUE!</v>
      </c>
      <c r="P2476" s="219">
        <f t="shared" ca="1" si="157"/>
        <v>60953</v>
      </c>
      <c r="Q2476" s="115" t="e">
        <f ca="1"/>
        <v>#VALUE!</v>
      </c>
      <c r="S2476" s="219">
        <f t="shared" ca="1" si="158"/>
        <v>60953</v>
      </c>
      <c r="T2476" s="115" t="e">
        <f ca="1"/>
        <v>#VALUE!</v>
      </c>
      <c r="V2476" s="219">
        <f t="shared" ca="1" si="159"/>
        <v>60953</v>
      </c>
      <c r="W2476" s="115" t="e">
        <f ca="1"/>
        <v>#VALUE!</v>
      </c>
    </row>
    <row r="2477" spans="13:23">
      <c r="M2477" s="219">
        <f t="shared" ca="1" si="156"/>
        <v>60960</v>
      </c>
      <c r="N2477" s="115" t="e">
        <f ca="1"/>
        <v>#VALUE!</v>
      </c>
      <c r="P2477" s="219">
        <f t="shared" ca="1" si="157"/>
        <v>60960</v>
      </c>
      <c r="Q2477" s="115" t="e">
        <f ca="1"/>
        <v>#VALUE!</v>
      </c>
      <c r="S2477" s="219">
        <f t="shared" ca="1" si="158"/>
        <v>60960</v>
      </c>
      <c r="T2477" s="115" t="e">
        <f ca="1"/>
        <v>#VALUE!</v>
      </c>
      <c r="V2477" s="219">
        <f t="shared" ca="1" si="159"/>
        <v>60960</v>
      </c>
      <c r="W2477" s="115" t="e">
        <f ca="1"/>
        <v>#VALUE!</v>
      </c>
    </row>
    <row r="2478" spans="13:23">
      <c r="M2478" s="219">
        <f t="shared" ca="1" si="156"/>
        <v>60967</v>
      </c>
      <c r="N2478" s="115" t="e">
        <f ca="1"/>
        <v>#VALUE!</v>
      </c>
      <c r="P2478" s="219">
        <f t="shared" ca="1" si="157"/>
        <v>60967</v>
      </c>
      <c r="Q2478" s="115" t="e">
        <f ca="1"/>
        <v>#VALUE!</v>
      </c>
      <c r="S2478" s="219">
        <f t="shared" ca="1" si="158"/>
        <v>60967</v>
      </c>
      <c r="T2478" s="115" t="e">
        <f ca="1"/>
        <v>#VALUE!</v>
      </c>
      <c r="V2478" s="219">
        <f t="shared" ca="1" si="159"/>
        <v>60967</v>
      </c>
      <c r="W2478" s="115" t="e">
        <f ca="1"/>
        <v>#VALUE!</v>
      </c>
    </row>
    <row r="2479" spans="13:23">
      <c r="M2479" s="219">
        <f t="shared" ca="1" si="156"/>
        <v>60974</v>
      </c>
      <c r="N2479" s="115" t="e">
        <f ca="1"/>
        <v>#VALUE!</v>
      </c>
      <c r="P2479" s="219">
        <f t="shared" ca="1" si="157"/>
        <v>60974</v>
      </c>
      <c r="Q2479" s="115" t="e">
        <f ca="1"/>
        <v>#VALUE!</v>
      </c>
      <c r="S2479" s="219">
        <f t="shared" ca="1" si="158"/>
        <v>60974</v>
      </c>
      <c r="T2479" s="115" t="e">
        <f ca="1"/>
        <v>#VALUE!</v>
      </c>
      <c r="V2479" s="219">
        <f t="shared" ca="1" si="159"/>
        <v>60974</v>
      </c>
      <c r="W2479" s="115" t="e">
        <f ca="1"/>
        <v>#VALUE!</v>
      </c>
    </row>
    <row r="2480" spans="13:23">
      <c r="M2480" s="219">
        <f t="shared" ca="1" si="156"/>
        <v>60981</v>
      </c>
      <c r="N2480" s="115" t="e">
        <f ca="1"/>
        <v>#VALUE!</v>
      </c>
      <c r="P2480" s="219">
        <f t="shared" ca="1" si="157"/>
        <v>60981</v>
      </c>
      <c r="Q2480" s="115" t="e">
        <f ca="1"/>
        <v>#VALUE!</v>
      </c>
      <c r="S2480" s="219">
        <f t="shared" ca="1" si="158"/>
        <v>60981</v>
      </c>
      <c r="T2480" s="115" t="e">
        <f ca="1"/>
        <v>#VALUE!</v>
      </c>
      <c r="V2480" s="219">
        <f t="shared" ca="1" si="159"/>
        <v>60981</v>
      </c>
      <c r="W2480" s="115" t="e">
        <f ca="1"/>
        <v>#VALUE!</v>
      </c>
    </row>
    <row r="2481" spans="13:23">
      <c r="M2481" s="219">
        <f t="shared" ca="1" si="156"/>
        <v>60988</v>
      </c>
      <c r="N2481" s="115" t="e">
        <f ca="1"/>
        <v>#VALUE!</v>
      </c>
      <c r="P2481" s="219">
        <f t="shared" ca="1" si="157"/>
        <v>60988</v>
      </c>
      <c r="Q2481" s="115" t="e">
        <f ca="1"/>
        <v>#VALUE!</v>
      </c>
      <c r="S2481" s="219">
        <f t="shared" ca="1" si="158"/>
        <v>60988</v>
      </c>
      <c r="T2481" s="115" t="e">
        <f ca="1"/>
        <v>#VALUE!</v>
      </c>
      <c r="V2481" s="219">
        <f t="shared" ca="1" si="159"/>
        <v>60988</v>
      </c>
      <c r="W2481" s="115" t="e">
        <f ca="1"/>
        <v>#VALUE!</v>
      </c>
    </row>
    <row r="2482" spans="13:23">
      <c r="M2482" s="219">
        <f t="shared" ca="1" si="156"/>
        <v>60995</v>
      </c>
      <c r="N2482" s="115" t="e">
        <f ca="1"/>
        <v>#VALUE!</v>
      </c>
      <c r="P2482" s="219">
        <f t="shared" ca="1" si="157"/>
        <v>60995</v>
      </c>
      <c r="Q2482" s="115" t="e">
        <f ca="1"/>
        <v>#VALUE!</v>
      </c>
      <c r="S2482" s="219">
        <f t="shared" ca="1" si="158"/>
        <v>60995</v>
      </c>
      <c r="T2482" s="115" t="e">
        <f ca="1"/>
        <v>#VALUE!</v>
      </c>
      <c r="V2482" s="219">
        <f t="shared" ca="1" si="159"/>
        <v>60995</v>
      </c>
      <c r="W2482" s="115" t="e">
        <f ca="1"/>
        <v>#VALUE!</v>
      </c>
    </row>
    <row r="2483" spans="13:23">
      <c r="M2483" s="219">
        <f t="shared" ca="1" si="156"/>
        <v>61002</v>
      </c>
      <c r="N2483" s="115" t="e">
        <f ca="1"/>
        <v>#VALUE!</v>
      </c>
      <c r="P2483" s="219">
        <f t="shared" ca="1" si="157"/>
        <v>61002</v>
      </c>
      <c r="Q2483" s="115" t="e">
        <f ca="1"/>
        <v>#VALUE!</v>
      </c>
      <c r="S2483" s="219">
        <f t="shared" ca="1" si="158"/>
        <v>61002</v>
      </c>
      <c r="T2483" s="115" t="e">
        <f ca="1"/>
        <v>#VALUE!</v>
      </c>
      <c r="V2483" s="219">
        <f t="shared" ca="1" si="159"/>
        <v>61002</v>
      </c>
      <c r="W2483" s="115" t="e">
        <f ca="1"/>
        <v>#VALUE!</v>
      </c>
    </row>
    <row r="2484" spans="13:23">
      <c r="M2484" s="219">
        <f t="shared" ca="1" si="156"/>
        <v>61009</v>
      </c>
      <c r="N2484" s="115" t="e">
        <f ca="1"/>
        <v>#VALUE!</v>
      </c>
      <c r="P2484" s="219">
        <f t="shared" ca="1" si="157"/>
        <v>61009</v>
      </c>
      <c r="Q2484" s="115" t="e">
        <f ca="1"/>
        <v>#VALUE!</v>
      </c>
      <c r="S2484" s="219">
        <f t="shared" ca="1" si="158"/>
        <v>61009</v>
      </c>
      <c r="T2484" s="115" t="e">
        <f ca="1"/>
        <v>#VALUE!</v>
      </c>
      <c r="V2484" s="219">
        <f t="shared" ca="1" si="159"/>
        <v>61009</v>
      </c>
      <c r="W2484" s="115" t="e">
        <f ca="1"/>
        <v>#VALUE!</v>
      </c>
    </row>
    <row r="2485" spans="13:23">
      <c r="M2485" s="219">
        <f t="shared" ca="1" si="156"/>
        <v>61016</v>
      </c>
      <c r="N2485" s="115" t="e">
        <f ca="1"/>
        <v>#VALUE!</v>
      </c>
      <c r="P2485" s="219">
        <f t="shared" ca="1" si="157"/>
        <v>61016</v>
      </c>
      <c r="Q2485" s="115" t="e">
        <f ca="1"/>
        <v>#VALUE!</v>
      </c>
      <c r="S2485" s="219">
        <f t="shared" ca="1" si="158"/>
        <v>61016</v>
      </c>
      <c r="T2485" s="115" t="e">
        <f ca="1"/>
        <v>#VALUE!</v>
      </c>
      <c r="V2485" s="219">
        <f t="shared" ca="1" si="159"/>
        <v>61016</v>
      </c>
      <c r="W2485" s="115" t="e">
        <f ca="1"/>
        <v>#VALUE!</v>
      </c>
    </row>
    <row r="2486" spans="13:23">
      <c r="M2486" s="219">
        <f t="shared" ca="1" si="156"/>
        <v>61023</v>
      </c>
      <c r="N2486" s="115" t="e">
        <f ca="1"/>
        <v>#VALUE!</v>
      </c>
      <c r="P2486" s="219">
        <f t="shared" ca="1" si="157"/>
        <v>61023</v>
      </c>
      <c r="Q2486" s="115" t="e">
        <f ca="1"/>
        <v>#VALUE!</v>
      </c>
      <c r="S2486" s="219">
        <f t="shared" ca="1" si="158"/>
        <v>61023</v>
      </c>
      <c r="T2486" s="115" t="e">
        <f ca="1"/>
        <v>#VALUE!</v>
      </c>
      <c r="V2486" s="219">
        <f t="shared" ca="1" si="159"/>
        <v>61023</v>
      </c>
      <c r="W2486" s="115" t="e">
        <f ca="1"/>
        <v>#VALUE!</v>
      </c>
    </row>
    <row r="2487" spans="13:23">
      <c r="M2487" s="219">
        <f t="shared" ca="1" si="156"/>
        <v>61030</v>
      </c>
      <c r="N2487" s="115" t="e">
        <f ca="1"/>
        <v>#VALUE!</v>
      </c>
      <c r="P2487" s="219">
        <f t="shared" ca="1" si="157"/>
        <v>61030</v>
      </c>
      <c r="Q2487" s="115" t="e">
        <f ca="1"/>
        <v>#VALUE!</v>
      </c>
      <c r="S2487" s="219">
        <f t="shared" ca="1" si="158"/>
        <v>61030</v>
      </c>
      <c r="T2487" s="115" t="e">
        <f ca="1"/>
        <v>#VALUE!</v>
      </c>
      <c r="V2487" s="219">
        <f t="shared" ca="1" si="159"/>
        <v>61030</v>
      </c>
      <c r="W2487" s="115" t="e">
        <f ca="1"/>
        <v>#VALUE!</v>
      </c>
    </row>
    <row r="2488" spans="13:23">
      <c r="M2488" s="219">
        <f t="shared" ca="1" si="156"/>
        <v>61037</v>
      </c>
      <c r="N2488" s="115" t="e">
        <f ca="1"/>
        <v>#VALUE!</v>
      </c>
      <c r="P2488" s="219">
        <f t="shared" ca="1" si="157"/>
        <v>61037</v>
      </c>
      <c r="Q2488" s="115" t="e">
        <f ca="1"/>
        <v>#VALUE!</v>
      </c>
      <c r="S2488" s="219">
        <f t="shared" ca="1" si="158"/>
        <v>61037</v>
      </c>
      <c r="T2488" s="115" t="e">
        <f ca="1"/>
        <v>#VALUE!</v>
      </c>
      <c r="V2488" s="219">
        <f t="shared" ca="1" si="159"/>
        <v>61037</v>
      </c>
      <c r="W2488" s="115" t="e">
        <f ca="1"/>
        <v>#VALUE!</v>
      </c>
    </row>
    <row r="2489" spans="13:23">
      <c r="M2489" s="219">
        <f t="shared" ca="1" si="156"/>
        <v>61044</v>
      </c>
      <c r="N2489" s="115" t="e">
        <f ca="1"/>
        <v>#VALUE!</v>
      </c>
      <c r="P2489" s="219">
        <f t="shared" ca="1" si="157"/>
        <v>61044</v>
      </c>
      <c r="Q2489" s="115" t="e">
        <f ca="1"/>
        <v>#VALUE!</v>
      </c>
      <c r="S2489" s="219">
        <f t="shared" ca="1" si="158"/>
        <v>61044</v>
      </c>
      <c r="T2489" s="115" t="e">
        <f ca="1"/>
        <v>#VALUE!</v>
      </c>
      <c r="V2489" s="219">
        <f t="shared" ca="1" si="159"/>
        <v>61044</v>
      </c>
      <c r="W2489" s="115" t="e">
        <f ca="1"/>
        <v>#VALUE!</v>
      </c>
    </row>
    <row r="2490" spans="13:23">
      <c r="M2490" s="219">
        <f t="shared" ca="1" si="156"/>
        <v>61051</v>
      </c>
      <c r="N2490" s="115" t="e">
        <f ca="1"/>
        <v>#VALUE!</v>
      </c>
      <c r="P2490" s="219">
        <f t="shared" ca="1" si="157"/>
        <v>61051</v>
      </c>
      <c r="Q2490" s="115" t="e">
        <f ca="1"/>
        <v>#VALUE!</v>
      </c>
      <c r="S2490" s="219">
        <f t="shared" ca="1" si="158"/>
        <v>61051</v>
      </c>
      <c r="T2490" s="115" t="e">
        <f ca="1"/>
        <v>#VALUE!</v>
      </c>
      <c r="V2490" s="219">
        <f t="shared" ca="1" si="159"/>
        <v>61051</v>
      </c>
      <c r="W2490" s="115" t="e">
        <f ca="1"/>
        <v>#VALUE!</v>
      </c>
    </row>
    <row r="2491" spans="13:23">
      <c r="M2491" s="219">
        <f t="shared" ca="1" si="156"/>
        <v>61058</v>
      </c>
      <c r="N2491" s="115" t="e">
        <f ca="1"/>
        <v>#VALUE!</v>
      </c>
      <c r="P2491" s="219">
        <f t="shared" ca="1" si="157"/>
        <v>61058</v>
      </c>
      <c r="Q2491" s="115" t="e">
        <f ca="1"/>
        <v>#VALUE!</v>
      </c>
      <c r="S2491" s="219">
        <f t="shared" ca="1" si="158"/>
        <v>61058</v>
      </c>
      <c r="T2491" s="115" t="e">
        <f ca="1"/>
        <v>#VALUE!</v>
      </c>
      <c r="V2491" s="219">
        <f t="shared" ca="1" si="159"/>
        <v>61058</v>
      </c>
      <c r="W2491" s="115" t="e">
        <f ca="1"/>
        <v>#VALUE!</v>
      </c>
    </row>
    <row r="2492" spans="13:23">
      <c r="M2492" s="219">
        <f t="shared" ca="1" si="156"/>
        <v>61065</v>
      </c>
      <c r="N2492" s="115" t="e">
        <f ca="1"/>
        <v>#VALUE!</v>
      </c>
      <c r="P2492" s="219">
        <f t="shared" ca="1" si="157"/>
        <v>61065</v>
      </c>
      <c r="Q2492" s="115" t="e">
        <f ca="1"/>
        <v>#VALUE!</v>
      </c>
      <c r="S2492" s="219">
        <f t="shared" ca="1" si="158"/>
        <v>61065</v>
      </c>
      <c r="T2492" s="115" t="e">
        <f ca="1"/>
        <v>#VALUE!</v>
      </c>
      <c r="V2492" s="219">
        <f t="shared" ca="1" si="159"/>
        <v>61065</v>
      </c>
      <c r="W2492" s="115" t="e">
        <f ca="1"/>
        <v>#VALUE!</v>
      </c>
    </row>
    <row r="2493" spans="13:23">
      <c r="M2493" s="219">
        <f t="shared" ca="1" si="156"/>
        <v>61072</v>
      </c>
      <c r="N2493" s="115" t="e">
        <f ca="1"/>
        <v>#VALUE!</v>
      </c>
      <c r="P2493" s="219">
        <f t="shared" ca="1" si="157"/>
        <v>61072</v>
      </c>
      <c r="Q2493" s="115" t="e">
        <f ca="1"/>
        <v>#VALUE!</v>
      </c>
      <c r="S2493" s="219">
        <f t="shared" ca="1" si="158"/>
        <v>61072</v>
      </c>
      <c r="T2493" s="115" t="e">
        <f ca="1"/>
        <v>#VALUE!</v>
      </c>
      <c r="V2493" s="219">
        <f t="shared" ca="1" si="159"/>
        <v>61072</v>
      </c>
      <c r="W2493" s="115" t="e">
        <f ca="1"/>
        <v>#VALUE!</v>
      </c>
    </row>
    <row r="2494" spans="13:23">
      <c r="M2494" s="219">
        <f t="shared" ca="1" si="156"/>
        <v>61079</v>
      </c>
      <c r="N2494" s="115" t="e">
        <f ca="1"/>
        <v>#VALUE!</v>
      </c>
      <c r="P2494" s="219">
        <f t="shared" ca="1" si="157"/>
        <v>61079</v>
      </c>
      <c r="Q2494" s="115" t="e">
        <f ca="1"/>
        <v>#VALUE!</v>
      </c>
      <c r="S2494" s="219">
        <f t="shared" ca="1" si="158"/>
        <v>61079</v>
      </c>
      <c r="T2494" s="115" t="e">
        <f ca="1"/>
        <v>#VALUE!</v>
      </c>
      <c r="V2494" s="219">
        <f t="shared" ca="1" si="159"/>
        <v>61079</v>
      </c>
      <c r="W2494" s="115" t="e">
        <f ca="1"/>
        <v>#VALUE!</v>
      </c>
    </row>
    <row r="2495" spans="13:23">
      <c r="M2495" s="219">
        <f t="shared" ca="1" si="156"/>
        <v>61086</v>
      </c>
      <c r="N2495" s="115" t="e">
        <f ca="1"/>
        <v>#VALUE!</v>
      </c>
      <c r="P2495" s="219">
        <f t="shared" ca="1" si="157"/>
        <v>61086</v>
      </c>
      <c r="Q2495" s="115" t="e">
        <f ca="1"/>
        <v>#VALUE!</v>
      </c>
      <c r="S2495" s="219">
        <f t="shared" ca="1" si="158"/>
        <v>61086</v>
      </c>
      <c r="T2495" s="115" t="e">
        <f ca="1"/>
        <v>#VALUE!</v>
      </c>
      <c r="V2495" s="219">
        <f t="shared" ca="1" si="159"/>
        <v>61086</v>
      </c>
      <c r="W2495" s="115" t="e">
        <f ca="1"/>
        <v>#VALUE!</v>
      </c>
    </row>
    <row r="2496" spans="13:23">
      <c r="M2496" s="219">
        <f t="shared" ca="1" si="156"/>
        <v>61093</v>
      </c>
      <c r="N2496" s="115" t="e">
        <f ca="1"/>
        <v>#VALUE!</v>
      </c>
      <c r="P2496" s="219">
        <f t="shared" ca="1" si="157"/>
        <v>61093</v>
      </c>
      <c r="Q2496" s="115" t="e">
        <f ca="1"/>
        <v>#VALUE!</v>
      </c>
      <c r="S2496" s="219">
        <f t="shared" ca="1" si="158"/>
        <v>61093</v>
      </c>
      <c r="T2496" s="115" t="e">
        <f ca="1"/>
        <v>#VALUE!</v>
      </c>
      <c r="V2496" s="219">
        <f t="shared" ca="1" si="159"/>
        <v>61093</v>
      </c>
      <c r="W2496" s="115" t="e">
        <f ca="1"/>
        <v>#VALUE!</v>
      </c>
    </row>
    <row r="2497" spans="13:23">
      <c r="M2497" s="219">
        <f t="shared" ca="1" si="156"/>
        <v>61100</v>
      </c>
      <c r="N2497" s="115" t="e">
        <f ca="1"/>
        <v>#VALUE!</v>
      </c>
      <c r="P2497" s="219">
        <f t="shared" ca="1" si="157"/>
        <v>61100</v>
      </c>
      <c r="Q2497" s="115" t="e">
        <f ca="1"/>
        <v>#VALUE!</v>
      </c>
      <c r="S2497" s="219">
        <f t="shared" ca="1" si="158"/>
        <v>61100</v>
      </c>
      <c r="T2497" s="115" t="e">
        <f ca="1"/>
        <v>#VALUE!</v>
      </c>
      <c r="V2497" s="219">
        <f t="shared" ca="1" si="159"/>
        <v>61100</v>
      </c>
      <c r="W2497" s="115" t="e">
        <f ca="1"/>
        <v>#VALUE!</v>
      </c>
    </row>
    <row r="2498" spans="13:23">
      <c r="M2498" s="219">
        <f t="shared" ca="1" si="156"/>
        <v>61107</v>
      </c>
      <c r="N2498" s="115" t="e">
        <f ca="1"/>
        <v>#VALUE!</v>
      </c>
      <c r="P2498" s="219">
        <f t="shared" ca="1" si="157"/>
        <v>61107</v>
      </c>
      <c r="Q2498" s="115" t="e">
        <f ca="1"/>
        <v>#VALUE!</v>
      </c>
      <c r="S2498" s="219">
        <f t="shared" ca="1" si="158"/>
        <v>61107</v>
      </c>
      <c r="T2498" s="115" t="e">
        <f ca="1"/>
        <v>#VALUE!</v>
      </c>
      <c r="V2498" s="219">
        <f t="shared" ca="1" si="159"/>
        <v>61107</v>
      </c>
      <c r="W2498" s="115" t="e">
        <f ca="1"/>
        <v>#VALUE!</v>
      </c>
    </row>
    <row r="2499" spans="13:23">
      <c r="M2499" s="219">
        <f t="shared" ca="1" si="156"/>
        <v>61114</v>
      </c>
      <c r="N2499" s="115" t="e">
        <f ca="1"/>
        <v>#VALUE!</v>
      </c>
      <c r="P2499" s="219">
        <f t="shared" ca="1" si="157"/>
        <v>61114</v>
      </c>
      <c r="Q2499" s="115" t="e">
        <f ca="1"/>
        <v>#VALUE!</v>
      </c>
      <c r="S2499" s="219">
        <f t="shared" ca="1" si="158"/>
        <v>61114</v>
      </c>
      <c r="T2499" s="115" t="e">
        <f ca="1"/>
        <v>#VALUE!</v>
      </c>
      <c r="V2499" s="219">
        <f t="shared" ca="1" si="159"/>
        <v>61114</v>
      </c>
      <c r="W2499" s="115" t="e">
        <f ca="1"/>
        <v>#VALUE!</v>
      </c>
    </row>
    <row r="2500" spans="13:23">
      <c r="M2500" s="219">
        <f t="shared" ca="1" si="156"/>
        <v>61121</v>
      </c>
      <c r="N2500" s="115" t="e">
        <f ca="1"/>
        <v>#VALUE!</v>
      </c>
      <c r="P2500" s="219">
        <f t="shared" ca="1" si="157"/>
        <v>61121</v>
      </c>
      <c r="Q2500" s="115" t="e">
        <f ca="1"/>
        <v>#VALUE!</v>
      </c>
      <c r="S2500" s="219">
        <f t="shared" ca="1" si="158"/>
        <v>61121</v>
      </c>
      <c r="T2500" s="115" t="e">
        <f ca="1"/>
        <v>#VALUE!</v>
      </c>
      <c r="V2500" s="219">
        <f t="shared" ca="1" si="159"/>
        <v>61121</v>
      </c>
      <c r="W2500" s="115" t="e">
        <f ca="1"/>
        <v>#VALUE!</v>
      </c>
    </row>
    <row r="2501" spans="13:23">
      <c r="M2501" s="219">
        <f t="shared" ca="1" si="156"/>
        <v>61128</v>
      </c>
      <c r="N2501" s="115" t="e">
        <f ca="1"/>
        <v>#VALUE!</v>
      </c>
      <c r="P2501" s="219">
        <f t="shared" ca="1" si="157"/>
        <v>61128</v>
      </c>
      <c r="Q2501" s="115" t="e">
        <f ca="1"/>
        <v>#VALUE!</v>
      </c>
      <c r="S2501" s="219">
        <f t="shared" ca="1" si="158"/>
        <v>61128</v>
      </c>
      <c r="T2501" s="115" t="e">
        <f ca="1"/>
        <v>#VALUE!</v>
      </c>
      <c r="V2501" s="219">
        <f t="shared" ca="1" si="159"/>
        <v>61128</v>
      </c>
      <c r="W2501" s="115" t="e">
        <f ca="1"/>
        <v>#VALUE!</v>
      </c>
    </row>
    <row r="2502" spans="13:23">
      <c r="M2502" s="219">
        <f t="shared" ca="1" si="156"/>
        <v>61135</v>
      </c>
      <c r="N2502" s="115" t="e">
        <f ca="1"/>
        <v>#VALUE!</v>
      </c>
      <c r="P2502" s="219">
        <f t="shared" ca="1" si="157"/>
        <v>61135</v>
      </c>
      <c r="Q2502" s="115" t="e">
        <f ca="1"/>
        <v>#VALUE!</v>
      </c>
      <c r="S2502" s="219">
        <f t="shared" ca="1" si="158"/>
        <v>61135</v>
      </c>
      <c r="T2502" s="115" t="e">
        <f ca="1"/>
        <v>#VALUE!</v>
      </c>
      <c r="V2502" s="219">
        <f t="shared" ca="1" si="159"/>
        <v>61135</v>
      </c>
      <c r="W2502" s="115" t="e">
        <f ca="1"/>
        <v>#VALUE!</v>
      </c>
    </row>
    <row r="2503" spans="13:23">
      <c r="M2503" s="219">
        <f t="shared" ca="1" si="156"/>
        <v>61142</v>
      </c>
      <c r="N2503" s="115" t="e">
        <f ca="1"/>
        <v>#VALUE!</v>
      </c>
      <c r="P2503" s="219">
        <f t="shared" ca="1" si="157"/>
        <v>61142</v>
      </c>
      <c r="Q2503" s="115" t="e">
        <f ca="1"/>
        <v>#VALUE!</v>
      </c>
      <c r="S2503" s="219">
        <f t="shared" ca="1" si="158"/>
        <v>61142</v>
      </c>
      <c r="T2503" s="115" t="e">
        <f ca="1"/>
        <v>#VALUE!</v>
      </c>
      <c r="V2503" s="219">
        <f t="shared" ca="1" si="159"/>
        <v>61142</v>
      </c>
      <c r="W2503" s="115" t="e">
        <f ca="1"/>
        <v>#VALUE!</v>
      </c>
    </row>
    <row r="2504" spans="13:23">
      <c r="M2504" s="219">
        <f t="shared" ca="1" si="156"/>
        <v>61149</v>
      </c>
      <c r="N2504" s="115" t="e">
        <f ca="1"/>
        <v>#VALUE!</v>
      </c>
      <c r="P2504" s="219">
        <f t="shared" ca="1" si="157"/>
        <v>61149</v>
      </c>
      <c r="Q2504" s="115" t="e">
        <f ca="1"/>
        <v>#VALUE!</v>
      </c>
      <c r="S2504" s="219">
        <f t="shared" ca="1" si="158"/>
        <v>61149</v>
      </c>
      <c r="T2504" s="115" t="e">
        <f ca="1"/>
        <v>#VALUE!</v>
      </c>
      <c r="V2504" s="219">
        <f t="shared" ca="1" si="159"/>
        <v>61149</v>
      </c>
      <c r="W2504" s="115" t="e">
        <f ca="1"/>
        <v>#VALUE!</v>
      </c>
    </row>
    <row r="2505" spans="13:23">
      <c r="M2505" s="219">
        <f t="shared" ca="1" si="156"/>
        <v>61156</v>
      </c>
      <c r="N2505" s="115" t="e">
        <f ca="1"/>
        <v>#VALUE!</v>
      </c>
      <c r="P2505" s="219">
        <f t="shared" ca="1" si="157"/>
        <v>61156</v>
      </c>
      <c r="Q2505" s="115" t="e">
        <f ca="1"/>
        <v>#VALUE!</v>
      </c>
      <c r="S2505" s="219">
        <f t="shared" ca="1" si="158"/>
        <v>61156</v>
      </c>
      <c r="T2505" s="115" t="e">
        <f ca="1"/>
        <v>#VALUE!</v>
      </c>
      <c r="V2505" s="219">
        <f t="shared" ca="1" si="159"/>
        <v>61156</v>
      </c>
      <c r="W2505" s="115" t="e">
        <f ca="1"/>
        <v>#VALUE!</v>
      </c>
    </row>
    <row r="2506" spans="13:23">
      <c r="M2506" s="219">
        <f t="shared" ca="1" si="156"/>
        <v>61163</v>
      </c>
      <c r="N2506" s="115" t="e">
        <f ca="1"/>
        <v>#VALUE!</v>
      </c>
      <c r="P2506" s="219">
        <f t="shared" ca="1" si="157"/>
        <v>61163</v>
      </c>
      <c r="Q2506" s="115" t="e">
        <f ca="1"/>
        <v>#VALUE!</v>
      </c>
      <c r="S2506" s="219">
        <f t="shared" ca="1" si="158"/>
        <v>61163</v>
      </c>
      <c r="T2506" s="115" t="e">
        <f ca="1"/>
        <v>#VALUE!</v>
      </c>
      <c r="V2506" s="219">
        <f t="shared" ca="1" si="159"/>
        <v>61163</v>
      </c>
      <c r="W2506" s="115" t="e">
        <f ca="1"/>
        <v>#VALUE!</v>
      </c>
    </row>
    <row r="2507" spans="13:23">
      <c r="M2507" s="219">
        <f t="shared" ca="1" si="156"/>
        <v>61170</v>
      </c>
      <c r="N2507" s="115" t="e">
        <f ca="1"/>
        <v>#VALUE!</v>
      </c>
      <c r="P2507" s="219">
        <f t="shared" ca="1" si="157"/>
        <v>61170</v>
      </c>
      <c r="Q2507" s="115" t="e">
        <f ca="1"/>
        <v>#VALUE!</v>
      </c>
      <c r="S2507" s="219">
        <f t="shared" ca="1" si="158"/>
        <v>61170</v>
      </c>
      <c r="T2507" s="115" t="e">
        <f ca="1"/>
        <v>#VALUE!</v>
      </c>
      <c r="V2507" s="219">
        <f t="shared" ca="1" si="159"/>
        <v>61170</v>
      </c>
      <c r="W2507" s="115" t="e">
        <f ca="1"/>
        <v>#VALUE!</v>
      </c>
    </row>
    <row r="2508" spans="13:23">
      <c r="M2508" s="219">
        <f t="shared" ca="1" si="156"/>
        <v>61177</v>
      </c>
      <c r="N2508" s="115" t="e">
        <f ca="1"/>
        <v>#VALUE!</v>
      </c>
      <c r="P2508" s="219">
        <f t="shared" ca="1" si="157"/>
        <v>61177</v>
      </c>
      <c r="Q2508" s="115" t="e">
        <f ca="1"/>
        <v>#VALUE!</v>
      </c>
      <c r="S2508" s="219">
        <f t="shared" ca="1" si="158"/>
        <v>61177</v>
      </c>
      <c r="T2508" s="115" t="e">
        <f ca="1"/>
        <v>#VALUE!</v>
      </c>
      <c r="V2508" s="219">
        <f t="shared" ca="1" si="159"/>
        <v>61177</v>
      </c>
      <c r="W2508" s="115" t="e">
        <f ca="1"/>
        <v>#VALUE!</v>
      </c>
    </row>
    <row r="2509" spans="13:23">
      <c r="M2509" s="219">
        <f t="shared" ref="M2509:M2572" ca="1" si="160">M2508+7</f>
        <v>61184</v>
      </c>
      <c r="N2509" s="115" t="e">
        <f ca="1"/>
        <v>#VALUE!</v>
      </c>
      <c r="P2509" s="219">
        <f t="shared" ca="1" si="157"/>
        <v>61184</v>
      </c>
      <c r="Q2509" s="115" t="e">
        <f ca="1"/>
        <v>#VALUE!</v>
      </c>
      <c r="S2509" s="219">
        <f t="shared" ca="1" si="158"/>
        <v>61184</v>
      </c>
      <c r="T2509" s="115" t="e">
        <f ca="1"/>
        <v>#VALUE!</v>
      </c>
      <c r="V2509" s="219">
        <f t="shared" ca="1" si="159"/>
        <v>61184</v>
      </c>
      <c r="W2509" s="115" t="e">
        <f ca="1"/>
        <v>#VALUE!</v>
      </c>
    </row>
    <row r="2510" spans="13:23">
      <c r="M2510" s="219">
        <f t="shared" ca="1" si="160"/>
        <v>61191</v>
      </c>
      <c r="N2510" s="115" t="e">
        <f ca="1"/>
        <v>#VALUE!</v>
      </c>
      <c r="P2510" s="219">
        <f t="shared" ca="1" si="157"/>
        <v>61191</v>
      </c>
      <c r="Q2510" s="115" t="e">
        <f ca="1"/>
        <v>#VALUE!</v>
      </c>
      <c r="S2510" s="219">
        <f t="shared" ca="1" si="158"/>
        <v>61191</v>
      </c>
      <c r="T2510" s="115" t="e">
        <f ca="1"/>
        <v>#VALUE!</v>
      </c>
      <c r="V2510" s="219">
        <f t="shared" ca="1" si="159"/>
        <v>61191</v>
      </c>
      <c r="W2510" s="115" t="e">
        <f ca="1"/>
        <v>#VALUE!</v>
      </c>
    </row>
    <row r="2511" spans="13:23">
      <c r="M2511" s="219">
        <f t="shared" ca="1" si="160"/>
        <v>61198</v>
      </c>
      <c r="N2511" s="115" t="e">
        <f ca="1"/>
        <v>#VALUE!</v>
      </c>
      <c r="P2511" s="219">
        <f t="shared" ca="1" si="157"/>
        <v>61198</v>
      </c>
      <c r="Q2511" s="115" t="e">
        <f ca="1"/>
        <v>#VALUE!</v>
      </c>
      <c r="S2511" s="219">
        <f t="shared" ca="1" si="158"/>
        <v>61198</v>
      </c>
      <c r="T2511" s="115" t="e">
        <f ca="1"/>
        <v>#VALUE!</v>
      </c>
      <c r="V2511" s="219">
        <f t="shared" ca="1" si="159"/>
        <v>61198</v>
      </c>
      <c r="W2511" s="115" t="e">
        <f ca="1"/>
        <v>#VALUE!</v>
      </c>
    </row>
    <row r="2512" spans="13:23">
      <c r="M2512" s="219">
        <f t="shared" ca="1" si="160"/>
        <v>61205</v>
      </c>
      <c r="N2512" s="115" t="e">
        <f ca="1"/>
        <v>#VALUE!</v>
      </c>
      <c r="P2512" s="219">
        <f t="shared" ca="1" si="157"/>
        <v>61205</v>
      </c>
      <c r="Q2512" s="115" t="e">
        <f ca="1"/>
        <v>#VALUE!</v>
      </c>
      <c r="S2512" s="219">
        <f t="shared" ca="1" si="158"/>
        <v>61205</v>
      </c>
      <c r="T2512" s="115" t="e">
        <f ca="1"/>
        <v>#VALUE!</v>
      </c>
      <c r="V2512" s="219">
        <f t="shared" ca="1" si="159"/>
        <v>61205</v>
      </c>
      <c r="W2512" s="115" t="e">
        <f ca="1"/>
        <v>#VALUE!</v>
      </c>
    </row>
    <row r="2513" spans="13:23">
      <c r="M2513" s="219">
        <f t="shared" ca="1" si="160"/>
        <v>61212</v>
      </c>
      <c r="N2513" s="115" t="e">
        <f ca="1"/>
        <v>#VALUE!</v>
      </c>
      <c r="P2513" s="219">
        <f t="shared" ca="1" si="157"/>
        <v>61212</v>
      </c>
      <c r="Q2513" s="115" t="e">
        <f ca="1"/>
        <v>#VALUE!</v>
      </c>
      <c r="S2513" s="219">
        <f t="shared" ca="1" si="158"/>
        <v>61212</v>
      </c>
      <c r="T2513" s="115" t="e">
        <f ca="1"/>
        <v>#VALUE!</v>
      </c>
      <c r="V2513" s="219">
        <f t="shared" ca="1" si="159"/>
        <v>61212</v>
      </c>
      <c r="W2513" s="115" t="e">
        <f ca="1"/>
        <v>#VALUE!</v>
      </c>
    </row>
    <row r="2514" spans="13:23">
      <c r="M2514" s="219">
        <f t="shared" ca="1" si="160"/>
        <v>61219</v>
      </c>
      <c r="N2514" s="115" t="e">
        <f ca="1"/>
        <v>#VALUE!</v>
      </c>
      <c r="P2514" s="219">
        <f t="shared" ca="1" si="157"/>
        <v>61219</v>
      </c>
      <c r="Q2514" s="115" t="e">
        <f ca="1"/>
        <v>#VALUE!</v>
      </c>
      <c r="S2514" s="219">
        <f t="shared" ca="1" si="158"/>
        <v>61219</v>
      </c>
      <c r="T2514" s="115" t="e">
        <f ca="1"/>
        <v>#VALUE!</v>
      </c>
      <c r="V2514" s="219">
        <f t="shared" ca="1" si="159"/>
        <v>61219</v>
      </c>
      <c r="W2514" s="115" t="e">
        <f ca="1"/>
        <v>#VALUE!</v>
      </c>
    </row>
    <row r="2515" spans="13:23">
      <c r="M2515" s="219">
        <f t="shared" ca="1" si="160"/>
        <v>61226</v>
      </c>
      <c r="N2515" s="115" t="e">
        <f ca="1"/>
        <v>#VALUE!</v>
      </c>
      <c r="P2515" s="219">
        <f t="shared" ca="1" si="157"/>
        <v>61226</v>
      </c>
      <c r="Q2515" s="115" t="e">
        <f ca="1"/>
        <v>#VALUE!</v>
      </c>
      <c r="S2515" s="219">
        <f t="shared" ca="1" si="158"/>
        <v>61226</v>
      </c>
      <c r="T2515" s="115" t="e">
        <f ca="1"/>
        <v>#VALUE!</v>
      </c>
      <c r="V2515" s="219">
        <f t="shared" ca="1" si="159"/>
        <v>61226</v>
      </c>
      <c r="W2515" s="115" t="e">
        <f ca="1"/>
        <v>#VALUE!</v>
      </c>
    </row>
    <row r="2516" spans="13:23">
      <c r="M2516" s="219">
        <f t="shared" ca="1" si="160"/>
        <v>61233</v>
      </c>
      <c r="N2516" s="115" t="e">
        <f ca="1"/>
        <v>#VALUE!</v>
      </c>
      <c r="P2516" s="219">
        <f t="shared" ca="1" si="157"/>
        <v>61233</v>
      </c>
      <c r="Q2516" s="115" t="e">
        <f ca="1"/>
        <v>#VALUE!</v>
      </c>
      <c r="S2516" s="219">
        <f t="shared" ca="1" si="158"/>
        <v>61233</v>
      </c>
      <c r="T2516" s="115" t="e">
        <f ca="1"/>
        <v>#VALUE!</v>
      </c>
      <c r="V2516" s="219">
        <f t="shared" ca="1" si="159"/>
        <v>61233</v>
      </c>
      <c r="W2516" s="115" t="e">
        <f ca="1"/>
        <v>#VALUE!</v>
      </c>
    </row>
    <row r="2517" spans="13:23">
      <c r="M2517" s="219">
        <f t="shared" ca="1" si="160"/>
        <v>61240</v>
      </c>
      <c r="N2517" s="115" t="e">
        <f ca="1"/>
        <v>#VALUE!</v>
      </c>
      <c r="P2517" s="219">
        <f t="shared" ca="1" si="157"/>
        <v>61240</v>
      </c>
      <c r="Q2517" s="115" t="e">
        <f ca="1"/>
        <v>#VALUE!</v>
      </c>
      <c r="S2517" s="219">
        <f t="shared" ca="1" si="158"/>
        <v>61240</v>
      </c>
      <c r="T2517" s="115" t="e">
        <f ca="1"/>
        <v>#VALUE!</v>
      </c>
      <c r="V2517" s="219">
        <f t="shared" ca="1" si="159"/>
        <v>61240</v>
      </c>
      <c r="W2517" s="115" t="e">
        <f ca="1"/>
        <v>#VALUE!</v>
      </c>
    </row>
    <row r="2518" spans="13:23">
      <c r="M2518" s="219">
        <f t="shared" ca="1" si="160"/>
        <v>61247</v>
      </c>
      <c r="N2518" s="115" t="e">
        <f ca="1"/>
        <v>#VALUE!</v>
      </c>
      <c r="P2518" s="219">
        <f t="shared" ca="1" si="157"/>
        <v>61247</v>
      </c>
      <c r="Q2518" s="115" t="e">
        <f ca="1"/>
        <v>#VALUE!</v>
      </c>
      <c r="S2518" s="219">
        <f t="shared" ca="1" si="158"/>
        <v>61247</v>
      </c>
      <c r="T2518" s="115" t="e">
        <f ca="1"/>
        <v>#VALUE!</v>
      </c>
      <c r="V2518" s="219">
        <f t="shared" ca="1" si="159"/>
        <v>61247</v>
      </c>
      <c r="W2518" s="115" t="e">
        <f ca="1"/>
        <v>#VALUE!</v>
      </c>
    </row>
    <row r="2519" spans="13:23">
      <c r="M2519" s="219">
        <f t="shared" ca="1" si="160"/>
        <v>61254</v>
      </c>
      <c r="N2519" s="115" t="e">
        <f ca="1"/>
        <v>#VALUE!</v>
      </c>
      <c r="P2519" s="219">
        <f t="shared" ca="1" si="157"/>
        <v>61254</v>
      </c>
      <c r="Q2519" s="115" t="e">
        <f ca="1"/>
        <v>#VALUE!</v>
      </c>
      <c r="S2519" s="219">
        <f t="shared" ca="1" si="158"/>
        <v>61254</v>
      </c>
      <c r="T2519" s="115" t="e">
        <f ca="1"/>
        <v>#VALUE!</v>
      </c>
      <c r="V2519" s="219">
        <f t="shared" ca="1" si="159"/>
        <v>61254</v>
      </c>
      <c r="W2519" s="115" t="e">
        <f ca="1"/>
        <v>#VALUE!</v>
      </c>
    </row>
    <row r="2520" spans="13:23">
      <c r="M2520" s="219">
        <f t="shared" ca="1" si="160"/>
        <v>61261</v>
      </c>
      <c r="N2520" s="115" t="e">
        <f ca="1"/>
        <v>#VALUE!</v>
      </c>
      <c r="P2520" s="219">
        <f t="shared" ca="1" si="157"/>
        <v>61261</v>
      </c>
      <c r="Q2520" s="115" t="e">
        <f ca="1"/>
        <v>#VALUE!</v>
      </c>
      <c r="S2520" s="219">
        <f t="shared" ca="1" si="158"/>
        <v>61261</v>
      </c>
      <c r="T2520" s="115" t="e">
        <f ca="1"/>
        <v>#VALUE!</v>
      </c>
      <c r="V2520" s="219">
        <f t="shared" ca="1" si="159"/>
        <v>61261</v>
      </c>
      <c r="W2520" s="115" t="e">
        <f ca="1"/>
        <v>#VALUE!</v>
      </c>
    </row>
    <row r="2521" spans="13:23">
      <c r="M2521" s="219">
        <f t="shared" ca="1" si="160"/>
        <v>61268</v>
      </c>
      <c r="N2521" s="115" t="e">
        <f ca="1"/>
        <v>#VALUE!</v>
      </c>
      <c r="P2521" s="219">
        <f t="shared" ca="1" si="157"/>
        <v>61268</v>
      </c>
      <c r="Q2521" s="115" t="e">
        <f ca="1"/>
        <v>#VALUE!</v>
      </c>
      <c r="S2521" s="219">
        <f t="shared" ca="1" si="158"/>
        <v>61268</v>
      </c>
      <c r="T2521" s="115" t="e">
        <f ca="1"/>
        <v>#VALUE!</v>
      </c>
      <c r="V2521" s="219">
        <f t="shared" ca="1" si="159"/>
        <v>61268</v>
      </c>
      <c r="W2521" s="115" t="e">
        <f ca="1"/>
        <v>#VALUE!</v>
      </c>
    </row>
    <row r="2522" spans="13:23">
      <c r="M2522" s="219">
        <f t="shared" ca="1" si="160"/>
        <v>61275</v>
      </c>
      <c r="N2522" s="115" t="e">
        <f ca="1"/>
        <v>#VALUE!</v>
      </c>
      <c r="P2522" s="219">
        <f t="shared" ca="1" si="157"/>
        <v>61275</v>
      </c>
      <c r="Q2522" s="115" t="e">
        <f ca="1"/>
        <v>#VALUE!</v>
      </c>
      <c r="S2522" s="219">
        <f t="shared" ca="1" si="158"/>
        <v>61275</v>
      </c>
      <c r="T2522" s="115" t="e">
        <f ca="1"/>
        <v>#VALUE!</v>
      </c>
      <c r="V2522" s="219">
        <f t="shared" ca="1" si="159"/>
        <v>61275</v>
      </c>
      <c r="W2522" s="115" t="e">
        <f ca="1"/>
        <v>#VALUE!</v>
      </c>
    </row>
    <row r="2523" spans="13:23">
      <c r="M2523" s="219">
        <f t="shared" ca="1" si="160"/>
        <v>61282</v>
      </c>
      <c r="N2523" s="115" t="e">
        <f ca="1"/>
        <v>#VALUE!</v>
      </c>
      <c r="P2523" s="219">
        <f t="shared" ca="1" si="157"/>
        <v>61282</v>
      </c>
      <c r="Q2523" s="115" t="e">
        <f ca="1"/>
        <v>#VALUE!</v>
      </c>
      <c r="S2523" s="219">
        <f t="shared" ca="1" si="158"/>
        <v>61282</v>
      </c>
      <c r="T2523" s="115" t="e">
        <f ca="1"/>
        <v>#VALUE!</v>
      </c>
      <c r="V2523" s="219">
        <f t="shared" ca="1" si="159"/>
        <v>61282</v>
      </c>
      <c r="W2523" s="115" t="e">
        <f ca="1"/>
        <v>#VALUE!</v>
      </c>
    </row>
    <row r="2524" spans="13:23">
      <c r="M2524" s="219">
        <f t="shared" ca="1" si="160"/>
        <v>61289</v>
      </c>
      <c r="N2524" s="115" t="e">
        <f ca="1"/>
        <v>#VALUE!</v>
      </c>
      <c r="P2524" s="219">
        <f t="shared" ca="1" si="157"/>
        <v>61289</v>
      </c>
      <c r="Q2524" s="115" t="e">
        <f ca="1"/>
        <v>#VALUE!</v>
      </c>
      <c r="S2524" s="219">
        <f t="shared" ca="1" si="158"/>
        <v>61289</v>
      </c>
      <c r="T2524" s="115" t="e">
        <f ca="1"/>
        <v>#VALUE!</v>
      </c>
      <c r="V2524" s="219">
        <f t="shared" ca="1" si="159"/>
        <v>61289</v>
      </c>
      <c r="W2524" s="115" t="e">
        <f ca="1"/>
        <v>#VALUE!</v>
      </c>
    </row>
    <row r="2525" spans="13:23">
      <c r="M2525" s="219">
        <f t="shared" ca="1" si="160"/>
        <v>61296</v>
      </c>
      <c r="N2525" s="115" t="e">
        <f ca="1"/>
        <v>#VALUE!</v>
      </c>
      <c r="P2525" s="219">
        <f t="shared" ref="P2525:P2588" ca="1" si="161">P2524+7</f>
        <v>61296</v>
      </c>
      <c r="Q2525" s="115" t="e">
        <f ca="1"/>
        <v>#VALUE!</v>
      </c>
      <c r="S2525" s="219">
        <f t="shared" ref="S2525:S2588" ca="1" si="162">S2524+7</f>
        <v>61296</v>
      </c>
      <c r="T2525" s="115" t="e">
        <f ca="1"/>
        <v>#VALUE!</v>
      </c>
      <c r="V2525" s="219">
        <f t="shared" ref="V2525:V2588" ca="1" si="163">V2524+7</f>
        <v>61296</v>
      </c>
      <c r="W2525" s="115" t="e">
        <f ca="1"/>
        <v>#VALUE!</v>
      </c>
    </row>
    <row r="2526" spans="13:23">
      <c r="M2526" s="219">
        <f t="shared" ca="1" si="160"/>
        <v>61303</v>
      </c>
      <c r="N2526" s="115" t="e">
        <f ca="1"/>
        <v>#VALUE!</v>
      </c>
      <c r="P2526" s="219">
        <f t="shared" ca="1" si="161"/>
        <v>61303</v>
      </c>
      <c r="Q2526" s="115" t="e">
        <f ca="1"/>
        <v>#VALUE!</v>
      </c>
      <c r="S2526" s="219">
        <f t="shared" ca="1" si="162"/>
        <v>61303</v>
      </c>
      <c r="T2526" s="115" t="e">
        <f ca="1"/>
        <v>#VALUE!</v>
      </c>
      <c r="V2526" s="219">
        <f t="shared" ca="1" si="163"/>
        <v>61303</v>
      </c>
      <c r="W2526" s="115" t="e">
        <f ca="1"/>
        <v>#VALUE!</v>
      </c>
    </row>
    <row r="2527" spans="13:23">
      <c r="M2527" s="219">
        <f t="shared" ca="1" si="160"/>
        <v>61310</v>
      </c>
      <c r="N2527" s="115" t="e">
        <f ca="1"/>
        <v>#VALUE!</v>
      </c>
      <c r="P2527" s="219">
        <f t="shared" ca="1" si="161"/>
        <v>61310</v>
      </c>
      <c r="Q2527" s="115" t="e">
        <f ca="1"/>
        <v>#VALUE!</v>
      </c>
      <c r="S2527" s="219">
        <f t="shared" ca="1" si="162"/>
        <v>61310</v>
      </c>
      <c r="T2527" s="115" t="e">
        <f ca="1"/>
        <v>#VALUE!</v>
      </c>
      <c r="V2527" s="219">
        <f t="shared" ca="1" si="163"/>
        <v>61310</v>
      </c>
      <c r="W2527" s="115" t="e">
        <f ca="1"/>
        <v>#VALUE!</v>
      </c>
    </row>
    <row r="2528" spans="13:23">
      <c r="M2528" s="219">
        <f t="shared" ca="1" si="160"/>
        <v>61317</v>
      </c>
      <c r="N2528" s="115" t="e">
        <f ca="1"/>
        <v>#VALUE!</v>
      </c>
      <c r="P2528" s="219">
        <f t="shared" ca="1" si="161"/>
        <v>61317</v>
      </c>
      <c r="Q2528" s="115" t="e">
        <f ca="1"/>
        <v>#VALUE!</v>
      </c>
      <c r="S2528" s="219">
        <f t="shared" ca="1" si="162"/>
        <v>61317</v>
      </c>
      <c r="T2528" s="115" t="e">
        <f ca="1"/>
        <v>#VALUE!</v>
      </c>
      <c r="V2528" s="219">
        <f t="shared" ca="1" si="163"/>
        <v>61317</v>
      </c>
      <c r="W2528" s="115" t="e">
        <f ca="1"/>
        <v>#VALUE!</v>
      </c>
    </row>
    <row r="2529" spans="13:23">
      <c r="M2529" s="219">
        <f t="shared" ca="1" si="160"/>
        <v>61324</v>
      </c>
      <c r="N2529" s="115" t="e">
        <f ca="1"/>
        <v>#VALUE!</v>
      </c>
      <c r="P2529" s="219">
        <f t="shared" ca="1" si="161"/>
        <v>61324</v>
      </c>
      <c r="Q2529" s="115" t="e">
        <f ca="1"/>
        <v>#VALUE!</v>
      </c>
      <c r="S2529" s="219">
        <f t="shared" ca="1" si="162"/>
        <v>61324</v>
      </c>
      <c r="T2529" s="115" t="e">
        <f ca="1"/>
        <v>#VALUE!</v>
      </c>
      <c r="V2529" s="219">
        <f t="shared" ca="1" si="163"/>
        <v>61324</v>
      </c>
      <c r="W2529" s="115" t="e">
        <f ca="1"/>
        <v>#VALUE!</v>
      </c>
    </row>
    <row r="2530" spans="13:23">
      <c r="M2530" s="219">
        <f t="shared" ca="1" si="160"/>
        <v>61331</v>
      </c>
      <c r="N2530" s="115" t="e">
        <f ca="1"/>
        <v>#VALUE!</v>
      </c>
      <c r="P2530" s="219">
        <f t="shared" ca="1" si="161"/>
        <v>61331</v>
      </c>
      <c r="Q2530" s="115" t="e">
        <f ca="1"/>
        <v>#VALUE!</v>
      </c>
      <c r="S2530" s="219">
        <f t="shared" ca="1" si="162"/>
        <v>61331</v>
      </c>
      <c r="T2530" s="115" t="e">
        <f ca="1"/>
        <v>#VALUE!</v>
      </c>
      <c r="V2530" s="219">
        <f t="shared" ca="1" si="163"/>
        <v>61331</v>
      </c>
      <c r="W2530" s="115" t="e">
        <f ca="1"/>
        <v>#VALUE!</v>
      </c>
    </row>
    <row r="2531" spans="13:23">
      <c r="M2531" s="219">
        <f t="shared" ca="1" si="160"/>
        <v>61338</v>
      </c>
      <c r="N2531" s="115" t="e">
        <f ca="1"/>
        <v>#VALUE!</v>
      </c>
      <c r="P2531" s="219">
        <f t="shared" ca="1" si="161"/>
        <v>61338</v>
      </c>
      <c r="Q2531" s="115" t="e">
        <f ca="1"/>
        <v>#VALUE!</v>
      </c>
      <c r="S2531" s="219">
        <f t="shared" ca="1" si="162"/>
        <v>61338</v>
      </c>
      <c r="T2531" s="115" t="e">
        <f ca="1"/>
        <v>#VALUE!</v>
      </c>
      <c r="V2531" s="219">
        <f t="shared" ca="1" si="163"/>
        <v>61338</v>
      </c>
      <c r="W2531" s="115" t="e">
        <f ca="1"/>
        <v>#VALUE!</v>
      </c>
    </row>
    <row r="2532" spans="13:23">
      <c r="M2532" s="219">
        <f t="shared" ca="1" si="160"/>
        <v>61345</v>
      </c>
      <c r="N2532" s="115" t="e">
        <f ca="1"/>
        <v>#VALUE!</v>
      </c>
      <c r="P2532" s="219">
        <f t="shared" ca="1" si="161"/>
        <v>61345</v>
      </c>
      <c r="Q2532" s="115" t="e">
        <f ca="1"/>
        <v>#VALUE!</v>
      </c>
      <c r="S2532" s="219">
        <f t="shared" ca="1" si="162"/>
        <v>61345</v>
      </c>
      <c r="T2532" s="115" t="e">
        <f ca="1"/>
        <v>#VALUE!</v>
      </c>
      <c r="V2532" s="219">
        <f t="shared" ca="1" si="163"/>
        <v>61345</v>
      </c>
      <c r="W2532" s="115" t="e">
        <f ca="1"/>
        <v>#VALUE!</v>
      </c>
    </row>
    <row r="2533" spans="13:23">
      <c r="M2533" s="219">
        <f t="shared" ca="1" si="160"/>
        <v>61352</v>
      </c>
      <c r="N2533" s="115" t="e">
        <f ca="1"/>
        <v>#VALUE!</v>
      </c>
      <c r="P2533" s="219">
        <f t="shared" ca="1" si="161"/>
        <v>61352</v>
      </c>
      <c r="Q2533" s="115" t="e">
        <f ca="1"/>
        <v>#VALUE!</v>
      </c>
      <c r="S2533" s="219">
        <f t="shared" ca="1" si="162"/>
        <v>61352</v>
      </c>
      <c r="T2533" s="115" t="e">
        <f ca="1"/>
        <v>#VALUE!</v>
      </c>
      <c r="V2533" s="219">
        <f t="shared" ca="1" si="163"/>
        <v>61352</v>
      </c>
      <c r="W2533" s="115" t="e">
        <f ca="1"/>
        <v>#VALUE!</v>
      </c>
    </row>
    <row r="2534" spans="13:23">
      <c r="M2534" s="219">
        <f t="shared" ca="1" si="160"/>
        <v>61359</v>
      </c>
      <c r="N2534" s="115" t="e">
        <f ca="1"/>
        <v>#VALUE!</v>
      </c>
      <c r="P2534" s="219">
        <f t="shared" ca="1" si="161"/>
        <v>61359</v>
      </c>
      <c r="Q2534" s="115" t="e">
        <f ca="1"/>
        <v>#VALUE!</v>
      </c>
      <c r="S2534" s="219">
        <f t="shared" ca="1" si="162"/>
        <v>61359</v>
      </c>
      <c r="T2534" s="115" t="e">
        <f ca="1"/>
        <v>#VALUE!</v>
      </c>
      <c r="V2534" s="219">
        <f t="shared" ca="1" si="163"/>
        <v>61359</v>
      </c>
      <c r="W2534" s="115" t="e">
        <f ca="1"/>
        <v>#VALUE!</v>
      </c>
    </row>
    <row r="2535" spans="13:23">
      <c r="M2535" s="219">
        <f t="shared" ca="1" si="160"/>
        <v>61366</v>
      </c>
      <c r="N2535" s="115" t="e">
        <f ca="1"/>
        <v>#VALUE!</v>
      </c>
      <c r="P2535" s="219">
        <f t="shared" ca="1" si="161"/>
        <v>61366</v>
      </c>
      <c r="Q2535" s="115" t="e">
        <f ca="1"/>
        <v>#VALUE!</v>
      </c>
      <c r="S2535" s="219">
        <f t="shared" ca="1" si="162"/>
        <v>61366</v>
      </c>
      <c r="T2535" s="115" t="e">
        <f ca="1"/>
        <v>#VALUE!</v>
      </c>
      <c r="V2535" s="219">
        <f t="shared" ca="1" si="163"/>
        <v>61366</v>
      </c>
      <c r="W2535" s="115" t="e">
        <f ca="1"/>
        <v>#VALUE!</v>
      </c>
    </row>
    <row r="2536" spans="13:23">
      <c r="M2536" s="219">
        <f t="shared" ca="1" si="160"/>
        <v>61373</v>
      </c>
      <c r="N2536" s="115" t="e">
        <f ca="1"/>
        <v>#VALUE!</v>
      </c>
      <c r="P2536" s="219">
        <f t="shared" ca="1" si="161"/>
        <v>61373</v>
      </c>
      <c r="Q2536" s="115" t="e">
        <f ca="1"/>
        <v>#VALUE!</v>
      </c>
      <c r="S2536" s="219">
        <f t="shared" ca="1" si="162"/>
        <v>61373</v>
      </c>
      <c r="T2536" s="115" t="e">
        <f ca="1"/>
        <v>#VALUE!</v>
      </c>
      <c r="V2536" s="219">
        <f t="shared" ca="1" si="163"/>
        <v>61373</v>
      </c>
      <c r="W2536" s="115" t="e">
        <f ca="1"/>
        <v>#VALUE!</v>
      </c>
    </row>
    <row r="2537" spans="13:23">
      <c r="M2537" s="219">
        <f t="shared" ca="1" si="160"/>
        <v>61380</v>
      </c>
      <c r="N2537" s="115" t="e">
        <f ca="1"/>
        <v>#VALUE!</v>
      </c>
      <c r="P2537" s="219">
        <f t="shared" ca="1" si="161"/>
        <v>61380</v>
      </c>
      <c r="Q2537" s="115" t="e">
        <f ca="1"/>
        <v>#VALUE!</v>
      </c>
      <c r="S2537" s="219">
        <f t="shared" ca="1" si="162"/>
        <v>61380</v>
      </c>
      <c r="T2537" s="115" t="e">
        <f ca="1"/>
        <v>#VALUE!</v>
      </c>
      <c r="V2537" s="219">
        <f t="shared" ca="1" si="163"/>
        <v>61380</v>
      </c>
      <c r="W2537" s="115" t="e">
        <f ca="1"/>
        <v>#VALUE!</v>
      </c>
    </row>
    <row r="2538" spans="13:23">
      <c r="M2538" s="219">
        <f t="shared" ca="1" si="160"/>
        <v>61387</v>
      </c>
      <c r="N2538" s="115" t="e">
        <f ca="1"/>
        <v>#VALUE!</v>
      </c>
      <c r="P2538" s="219">
        <f t="shared" ca="1" si="161"/>
        <v>61387</v>
      </c>
      <c r="Q2538" s="115" t="e">
        <f ca="1"/>
        <v>#VALUE!</v>
      </c>
      <c r="S2538" s="219">
        <f t="shared" ca="1" si="162"/>
        <v>61387</v>
      </c>
      <c r="T2538" s="115" t="e">
        <f ca="1"/>
        <v>#VALUE!</v>
      </c>
      <c r="V2538" s="219">
        <f t="shared" ca="1" si="163"/>
        <v>61387</v>
      </c>
      <c r="W2538" s="115" t="e">
        <f ca="1"/>
        <v>#VALUE!</v>
      </c>
    </row>
    <row r="2539" spans="13:23">
      <c r="M2539" s="219">
        <f t="shared" ca="1" si="160"/>
        <v>61394</v>
      </c>
      <c r="N2539" s="115" t="e">
        <f ca="1"/>
        <v>#VALUE!</v>
      </c>
      <c r="P2539" s="219">
        <f t="shared" ca="1" si="161"/>
        <v>61394</v>
      </c>
      <c r="Q2539" s="115" t="e">
        <f ca="1"/>
        <v>#VALUE!</v>
      </c>
      <c r="S2539" s="219">
        <f t="shared" ca="1" si="162"/>
        <v>61394</v>
      </c>
      <c r="T2539" s="115" t="e">
        <f ca="1"/>
        <v>#VALUE!</v>
      </c>
      <c r="V2539" s="219">
        <f t="shared" ca="1" si="163"/>
        <v>61394</v>
      </c>
      <c r="W2539" s="115" t="e">
        <f ca="1"/>
        <v>#VALUE!</v>
      </c>
    </row>
    <row r="2540" spans="13:23">
      <c r="M2540" s="219">
        <f t="shared" ca="1" si="160"/>
        <v>61401</v>
      </c>
      <c r="N2540" s="115" t="e">
        <f ca="1"/>
        <v>#VALUE!</v>
      </c>
      <c r="P2540" s="219">
        <f t="shared" ca="1" si="161"/>
        <v>61401</v>
      </c>
      <c r="Q2540" s="115" t="e">
        <f ca="1"/>
        <v>#VALUE!</v>
      </c>
      <c r="S2540" s="219">
        <f t="shared" ca="1" si="162"/>
        <v>61401</v>
      </c>
      <c r="T2540" s="115" t="e">
        <f ca="1"/>
        <v>#VALUE!</v>
      </c>
      <c r="V2540" s="219">
        <f t="shared" ca="1" si="163"/>
        <v>61401</v>
      </c>
      <c r="W2540" s="115" t="e">
        <f ca="1"/>
        <v>#VALUE!</v>
      </c>
    </row>
    <row r="2541" spans="13:23">
      <c r="M2541" s="219">
        <f t="shared" ca="1" si="160"/>
        <v>61408</v>
      </c>
      <c r="N2541" s="115" t="e">
        <f ca="1"/>
        <v>#VALUE!</v>
      </c>
      <c r="P2541" s="219">
        <f t="shared" ca="1" si="161"/>
        <v>61408</v>
      </c>
      <c r="Q2541" s="115" t="e">
        <f ca="1"/>
        <v>#VALUE!</v>
      </c>
      <c r="S2541" s="219">
        <f t="shared" ca="1" si="162"/>
        <v>61408</v>
      </c>
      <c r="T2541" s="115" t="e">
        <f ca="1"/>
        <v>#VALUE!</v>
      </c>
      <c r="V2541" s="219">
        <f t="shared" ca="1" si="163"/>
        <v>61408</v>
      </c>
      <c r="W2541" s="115" t="e">
        <f ca="1"/>
        <v>#VALUE!</v>
      </c>
    </row>
    <row r="2542" spans="13:23">
      <c r="M2542" s="219">
        <f t="shared" ca="1" si="160"/>
        <v>61415</v>
      </c>
      <c r="N2542" s="115" t="e">
        <f ca="1"/>
        <v>#VALUE!</v>
      </c>
      <c r="P2542" s="219">
        <f t="shared" ca="1" si="161"/>
        <v>61415</v>
      </c>
      <c r="Q2542" s="115" t="e">
        <f ca="1"/>
        <v>#VALUE!</v>
      </c>
      <c r="S2542" s="219">
        <f t="shared" ca="1" si="162"/>
        <v>61415</v>
      </c>
      <c r="T2542" s="115" t="e">
        <f ca="1"/>
        <v>#VALUE!</v>
      </c>
      <c r="V2542" s="219">
        <f t="shared" ca="1" si="163"/>
        <v>61415</v>
      </c>
      <c r="W2542" s="115" t="e">
        <f ca="1"/>
        <v>#VALUE!</v>
      </c>
    </row>
    <row r="2543" spans="13:23">
      <c r="M2543" s="219">
        <f t="shared" ca="1" si="160"/>
        <v>61422</v>
      </c>
      <c r="N2543" s="115" t="e">
        <f ca="1"/>
        <v>#VALUE!</v>
      </c>
      <c r="P2543" s="219">
        <f t="shared" ca="1" si="161"/>
        <v>61422</v>
      </c>
      <c r="Q2543" s="115" t="e">
        <f ca="1"/>
        <v>#VALUE!</v>
      </c>
      <c r="S2543" s="219">
        <f t="shared" ca="1" si="162"/>
        <v>61422</v>
      </c>
      <c r="T2543" s="115" t="e">
        <f ca="1"/>
        <v>#VALUE!</v>
      </c>
      <c r="V2543" s="219">
        <f t="shared" ca="1" si="163"/>
        <v>61422</v>
      </c>
      <c r="W2543" s="115" t="e">
        <f ca="1"/>
        <v>#VALUE!</v>
      </c>
    </row>
    <row r="2544" spans="13:23">
      <c r="M2544" s="219">
        <f t="shared" ca="1" si="160"/>
        <v>61429</v>
      </c>
      <c r="N2544" s="115" t="e">
        <f ca="1"/>
        <v>#VALUE!</v>
      </c>
      <c r="P2544" s="219">
        <f t="shared" ca="1" si="161"/>
        <v>61429</v>
      </c>
      <c r="Q2544" s="115" t="e">
        <f ca="1"/>
        <v>#VALUE!</v>
      </c>
      <c r="S2544" s="219">
        <f t="shared" ca="1" si="162"/>
        <v>61429</v>
      </c>
      <c r="T2544" s="115" t="e">
        <f ca="1"/>
        <v>#VALUE!</v>
      </c>
      <c r="V2544" s="219">
        <f t="shared" ca="1" si="163"/>
        <v>61429</v>
      </c>
      <c r="W2544" s="115" t="e">
        <f ca="1"/>
        <v>#VALUE!</v>
      </c>
    </row>
    <row r="2545" spans="13:23">
      <c r="M2545" s="219">
        <f t="shared" ca="1" si="160"/>
        <v>61436</v>
      </c>
      <c r="N2545" s="115" t="e">
        <f ca="1"/>
        <v>#VALUE!</v>
      </c>
      <c r="P2545" s="219">
        <f t="shared" ca="1" si="161"/>
        <v>61436</v>
      </c>
      <c r="Q2545" s="115" t="e">
        <f ca="1"/>
        <v>#VALUE!</v>
      </c>
      <c r="S2545" s="219">
        <f t="shared" ca="1" si="162"/>
        <v>61436</v>
      </c>
      <c r="T2545" s="115" t="e">
        <f ca="1"/>
        <v>#VALUE!</v>
      </c>
      <c r="V2545" s="219">
        <f t="shared" ca="1" si="163"/>
        <v>61436</v>
      </c>
      <c r="W2545" s="115" t="e">
        <f ca="1"/>
        <v>#VALUE!</v>
      </c>
    </row>
    <row r="2546" spans="13:23">
      <c r="M2546" s="219">
        <f t="shared" ca="1" si="160"/>
        <v>61443</v>
      </c>
      <c r="N2546" s="115" t="e">
        <f ca="1"/>
        <v>#VALUE!</v>
      </c>
      <c r="P2546" s="219">
        <f t="shared" ca="1" si="161"/>
        <v>61443</v>
      </c>
      <c r="Q2546" s="115" t="e">
        <f ca="1"/>
        <v>#VALUE!</v>
      </c>
      <c r="S2546" s="219">
        <f t="shared" ca="1" si="162"/>
        <v>61443</v>
      </c>
      <c r="T2546" s="115" t="e">
        <f ca="1"/>
        <v>#VALUE!</v>
      </c>
      <c r="V2546" s="219">
        <f t="shared" ca="1" si="163"/>
        <v>61443</v>
      </c>
      <c r="W2546" s="115" t="e">
        <f ca="1"/>
        <v>#VALUE!</v>
      </c>
    </row>
    <row r="2547" spans="13:23">
      <c r="M2547" s="219">
        <f t="shared" ca="1" si="160"/>
        <v>61450</v>
      </c>
      <c r="N2547" s="115" t="e">
        <f ca="1"/>
        <v>#VALUE!</v>
      </c>
      <c r="P2547" s="219">
        <f t="shared" ca="1" si="161"/>
        <v>61450</v>
      </c>
      <c r="Q2547" s="115" t="e">
        <f ca="1"/>
        <v>#VALUE!</v>
      </c>
      <c r="S2547" s="219">
        <f t="shared" ca="1" si="162"/>
        <v>61450</v>
      </c>
      <c r="T2547" s="115" t="e">
        <f ca="1"/>
        <v>#VALUE!</v>
      </c>
      <c r="V2547" s="219">
        <f t="shared" ca="1" si="163"/>
        <v>61450</v>
      </c>
      <c r="W2547" s="115" t="e">
        <f ca="1"/>
        <v>#VALUE!</v>
      </c>
    </row>
    <row r="2548" spans="13:23">
      <c r="M2548" s="219">
        <f t="shared" ca="1" si="160"/>
        <v>61457</v>
      </c>
      <c r="N2548" s="115" t="e">
        <f ca="1"/>
        <v>#VALUE!</v>
      </c>
      <c r="P2548" s="219">
        <f t="shared" ca="1" si="161"/>
        <v>61457</v>
      </c>
      <c r="Q2548" s="115" t="e">
        <f ca="1"/>
        <v>#VALUE!</v>
      </c>
      <c r="S2548" s="219">
        <f t="shared" ca="1" si="162"/>
        <v>61457</v>
      </c>
      <c r="T2548" s="115" t="e">
        <f ca="1"/>
        <v>#VALUE!</v>
      </c>
      <c r="V2548" s="219">
        <f t="shared" ca="1" si="163"/>
        <v>61457</v>
      </c>
      <c r="W2548" s="115" t="e">
        <f ca="1"/>
        <v>#VALUE!</v>
      </c>
    </row>
    <row r="2549" spans="13:23">
      <c r="M2549" s="219">
        <f t="shared" ca="1" si="160"/>
        <v>61464</v>
      </c>
      <c r="N2549" s="115" t="e">
        <f ca="1"/>
        <v>#VALUE!</v>
      </c>
      <c r="P2549" s="219">
        <f t="shared" ca="1" si="161"/>
        <v>61464</v>
      </c>
      <c r="Q2549" s="115" t="e">
        <f ca="1"/>
        <v>#VALUE!</v>
      </c>
      <c r="S2549" s="219">
        <f t="shared" ca="1" si="162"/>
        <v>61464</v>
      </c>
      <c r="T2549" s="115" t="e">
        <f ca="1"/>
        <v>#VALUE!</v>
      </c>
      <c r="V2549" s="219">
        <f t="shared" ca="1" si="163"/>
        <v>61464</v>
      </c>
      <c r="W2549" s="115" t="e">
        <f ca="1"/>
        <v>#VALUE!</v>
      </c>
    </row>
    <row r="2550" spans="13:23">
      <c r="M2550" s="219">
        <f t="shared" ca="1" si="160"/>
        <v>61471</v>
      </c>
      <c r="N2550" s="115" t="e">
        <f ca="1"/>
        <v>#VALUE!</v>
      </c>
      <c r="P2550" s="219">
        <f t="shared" ca="1" si="161"/>
        <v>61471</v>
      </c>
      <c r="Q2550" s="115" t="e">
        <f ca="1"/>
        <v>#VALUE!</v>
      </c>
      <c r="S2550" s="219">
        <f t="shared" ca="1" si="162"/>
        <v>61471</v>
      </c>
      <c r="T2550" s="115" t="e">
        <f ca="1"/>
        <v>#VALUE!</v>
      </c>
      <c r="V2550" s="219">
        <f t="shared" ca="1" si="163"/>
        <v>61471</v>
      </c>
      <c r="W2550" s="115" t="e">
        <f ca="1"/>
        <v>#VALUE!</v>
      </c>
    </row>
    <row r="2551" spans="13:23">
      <c r="M2551" s="219">
        <f t="shared" ca="1" si="160"/>
        <v>61478</v>
      </c>
      <c r="N2551" s="115" t="e">
        <f ca="1"/>
        <v>#VALUE!</v>
      </c>
      <c r="P2551" s="219">
        <f t="shared" ca="1" si="161"/>
        <v>61478</v>
      </c>
      <c r="Q2551" s="115" t="e">
        <f ca="1"/>
        <v>#VALUE!</v>
      </c>
      <c r="S2551" s="219">
        <f t="shared" ca="1" si="162"/>
        <v>61478</v>
      </c>
      <c r="T2551" s="115" t="e">
        <f ca="1"/>
        <v>#VALUE!</v>
      </c>
      <c r="V2551" s="219">
        <f t="shared" ca="1" si="163"/>
        <v>61478</v>
      </c>
      <c r="W2551" s="115" t="e">
        <f ca="1"/>
        <v>#VALUE!</v>
      </c>
    </row>
    <row r="2552" spans="13:23">
      <c r="M2552" s="219">
        <f t="shared" ca="1" si="160"/>
        <v>61485</v>
      </c>
      <c r="N2552" s="115" t="e">
        <f ca="1"/>
        <v>#VALUE!</v>
      </c>
      <c r="P2552" s="219">
        <f t="shared" ca="1" si="161"/>
        <v>61485</v>
      </c>
      <c r="Q2552" s="115" t="e">
        <f ca="1"/>
        <v>#VALUE!</v>
      </c>
      <c r="S2552" s="219">
        <f t="shared" ca="1" si="162"/>
        <v>61485</v>
      </c>
      <c r="T2552" s="115" t="e">
        <f ca="1"/>
        <v>#VALUE!</v>
      </c>
      <c r="V2552" s="219">
        <f t="shared" ca="1" si="163"/>
        <v>61485</v>
      </c>
      <c r="W2552" s="115" t="e">
        <f ca="1"/>
        <v>#VALUE!</v>
      </c>
    </row>
    <row r="2553" spans="13:23">
      <c r="M2553" s="219">
        <f t="shared" ca="1" si="160"/>
        <v>61492</v>
      </c>
      <c r="N2553" s="115" t="e">
        <f ca="1"/>
        <v>#VALUE!</v>
      </c>
      <c r="P2553" s="219">
        <f t="shared" ca="1" si="161"/>
        <v>61492</v>
      </c>
      <c r="Q2553" s="115" t="e">
        <f ca="1"/>
        <v>#VALUE!</v>
      </c>
      <c r="S2553" s="219">
        <f t="shared" ca="1" si="162"/>
        <v>61492</v>
      </c>
      <c r="T2553" s="115" t="e">
        <f ca="1"/>
        <v>#VALUE!</v>
      </c>
      <c r="V2553" s="219">
        <f t="shared" ca="1" si="163"/>
        <v>61492</v>
      </c>
      <c r="W2553" s="115" t="e">
        <f ca="1"/>
        <v>#VALUE!</v>
      </c>
    </row>
    <row r="2554" spans="13:23">
      <c r="M2554" s="219">
        <f t="shared" ca="1" si="160"/>
        <v>61499</v>
      </c>
      <c r="N2554" s="115" t="e">
        <f ca="1"/>
        <v>#VALUE!</v>
      </c>
      <c r="P2554" s="219">
        <f t="shared" ca="1" si="161"/>
        <v>61499</v>
      </c>
      <c r="Q2554" s="115" t="e">
        <f ca="1"/>
        <v>#VALUE!</v>
      </c>
      <c r="S2554" s="219">
        <f t="shared" ca="1" si="162"/>
        <v>61499</v>
      </c>
      <c r="T2554" s="115" t="e">
        <f ca="1"/>
        <v>#VALUE!</v>
      </c>
      <c r="V2554" s="219">
        <f t="shared" ca="1" si="163"/>
        <v>61499</v>
      </c>
      <c r="W2554" s="115" t="e">
        <f ca="1"/>
        <v>#VALUE!</v>
      </c>
    </row>
    <row r="2555" spans="13:23">
      <c r="M2555" s="219">
        <f t="shared" ca="1" si="160"/>
        <v>61506</v>
      </c>
      <c r="N2555" s="115" t="e">
        <f ca="1"/>
        <v>#VALUE!</v>
      </c>
      <c r="P2555" s="219">
        <f t="shared" ca="1" si="161"/>
        <v>61506</v>
      </c>
      <c r="Q2555" s="115" t="e">
        <f ca="1"/>
        <v>#VALUE!</v>
      </c>
      <c r="S2555" s="219">
        <f t="shared" ca="1" si="162"/>
        <v>61506</v>
      </c>
      <c r="T2555" s="115" t="e">
        <f ca="1"/>
        <v>#VALUE!</v>
      </c>
      <c r="V2555" s="219">
        <f t="shared" ca="1" si="163"/>
        <v>61506</v>
      </c>
      <c r="W2555" s="115" t="e">
        <f ca="1"/>
        <v>#VALUE!</v>
      </c>
    </row>
    <row r="2556" spans="13:23">
      <c r="M2556" s="219">
        <f t="shared" ca="1" si="160"/>
        <v>61513</v>
      </c>
      <c r="N2556" s="115" t="e">
        <f ca="1"/>
        <v>#VALUE!</v>
      </c>
      <c r="P2556" s="219">
        <f t="shared" ca="1" si="161"/>
        <v>61513</v>
      </c>
      <c r="Q2556" s="115" t="e">
        <f ca="1"/>
        <v>#VALUE!</v>
      </c>
      <c r="S2556" s="219">
        <f t="shared" ca="1" si="162"/>
        <v>61513</v>
      </c>
      <c r="T2556" s="115" t="e">
        <f ca="1"/>
        <v>#VALUE!</v>
      </c>
      <c r="V2556" s="219">
        <f t="shared" ca="1" si="163"/>
        <v>61513</v>
      </c>
      <c r="W2556" s="115" t="e">
        <f ca="1"/>
        <v>#VALUE!</v>
      </c>
    </row>
    <row r="2557" spans="13:23">
      <c r="M2557" s="219">
        <f t="shared" ca="1" si="160"/>
        <v>61520</v>
      </c>
      <c r="N2557" s="115" t="e">
        <f ca="1"/>
        <v>#VALUE!</v>
      </c>
      <c r="P2557" s="219">
        <f t="shared" ca="1" si="161"/>
        <v>61520</v>
      </c>
      <c r="Q2557" s="115" t="e">
        <f ca="1"/>
        <v>#VALUE!</v>
      </c>
      <c r="S2557" s="219">
        <f t="shared" ca="1" si="162"/>
        <v>61520</v>
      </c>
      <c r="T2557" s="115" t="e">
        <f ca="1"/>
        <v>#VALUE!</v>
      </c>
      <c r="V2557" s="219">
        <f t="shared" ca="1" si="163"/>
        <v>61520</v>
      </c>
      <c r="W2557" s="115" t="e">
        <f ca="1"/>
        <v>#VALUE!</v>
      </c>
    </row>
    <row r="2558" spans="13:23">
      <c r="M2558" s="219">
        <f t="shared" ca="1" si="160"/>
        <v>61527</v>
      </c>
      <c r="N2558" s="115" t="e">
        <f ca="1"/>
        <v>#VALUE!</v>
      </c>
      <c r="P2558" s="219">
        <f t="shared" ca="1" si="161"/>
        <v>61527</v>
      </c>
      <c r="Q2558" s="115" t="e">
        <f ca="1"/>
        <v>#VALUE!</v>
      </c>
      <c r="S2558" s="219">
        <f t="shared" ca="1" si="162"/>
        <v>61527</v>
      </c>
      <c r="T2558" s="115" t="e">
        <f ca="1"/>
        <v>#VALUE!</v>
      </c>
      <c r="V2558" s="219">
        <f t="shared" ca="1" si="163"/>
        <v>61527</v>
      </c>
      <c r="W2558" s="115" t="e">
        <f ca="1"/>
        <v>#VALUE!</v>
      </c>
    </row>
    <row r="2559" spans="13:23">
      <c r="M2559" s="219">
        <f t="shared" ca="1" si="160"/>
        <v>61534</v>
      </c>
      <c r="N2559" s="115" t="e">
        <f ca="1"/>
        <v>#VALUE!</v>
      </c>
      <c r="P2559" s="219">
        <f t="shared" ca="1" si="161"/>
        <v>61534</v>
      </c>
      <c r="Q2559" s="115" t="e">
        <f ca="1"/>
        <v>#VALUE!</v>
      </c>
      <c r="S2559" s="219">
        <f t="shared" ca="1" si="162"/>
        <v>61534</v>
      </c>
      <c r="T2559" s="115" t="e">
        <f ca="1"/>
        <v>#VALUE!</v>
      </c>
      <c r="V2559" s="219">
        <f t="shared" ca="1" si="163"/>
        <v>61534</v>
      </c>
      <c r="W2559" s="115" t="e">
        <f ca="1"/>
        <v>#VALUE!</v>
      </c>
    </row>
    <row r="2560" spans="13:23">
      <c r="M2560" s="219">
        <f t="shared" ca="1" si="160"/>
        <v>61541</v>
      </c>
      <c r="N2560" s="115" t="e">
        <f ca="1"/>
        <v>#VALUE!</v>
      </c>
      <c r="P2560" s="219">
        <f t="shared" ca="1" si="161"/>
        <v>61541</v>
      </c>
      <c r="Q2560" s="115" t="e">
        <f ca="1"/>
        <v>#VALUE!</v>
      </c>
      <c r="S2560" s="219">
        <f t="shared" ca="1" si="162"/>
        <v>61541</v>
      </c>
      <c r="T2560" s="115" t="e">
        <f ca="1"/>
        <v>#VALUE!</v>
      </c>
      <c r="V2560" s="219">
        <f t="shared" ca="1" si="163"/>
        <v>61541</v>
      </c>
      <c r="W2560" s="115" t="e">
        <f ca="1"/>
        <v>#VALUE!</v>
      </c>
    </row>
    <row r="2561" spans="13:23">
      <c r="M2561" s="219">
        <f t="shared" ca="1" si="160"/>
        <v>61548</v>
      </c>
      <c r="N2561" s="115" t="e">
        <f ca="1"/>
        <v>#VALUE!</v>
      </c>
      <c r="P2561" s="219">
        <f t="shared" ca="1" si="161"/>
        <v>61548</v>
      </c>
      <c r="Q2561" s="115" t="e">
        <f ca="1"/>
        <v>#VALUE!</v>
      </c>
      <c r="S2561" s="219">
        <f t="shared" ca="1" si="162"/>
        <v>61548</v>
      </c>
      <c r="T2561" s="115" t="e">
        <f ca="1"/>
        <v>#VALUE!</v>
      </c>
      <c r="V2561" s="219">
        <f t="shared" ca="1" si="163"/>
        <v>61548</v>
      </c>
      <c r="W2561" s="115" t="e">
        <f ca="1"/>
        <v>#VALUE!</v>
      </c>
    </row>
    <row r="2562" spans="13:23">
      <c r="M2562" s="219">
        <f t="shared" ca="1" si="160"/>
        <v>61555</v>
      </c>
      <c r="N2562" s="115" t="e">
        <f ca="1"/>
        <v>#VALUE!</v>
      </c>
      <c r="P2562" s="219">
        <f t="shared" ca="1" si="161"/>
        <v>61555</v>
      </c>
      <c r="Q2562" s="115" t="e">
        <f ca="1"/>
        <v>#VALUE!</v>
      </c>
      <c r="S2562" s="219">
        <f t="shared" ca="1" si="162"/>
        <v>61555</v>
      </c>
      <c r="T2562" s="115" t="e">
        <f ca="1"/>
        <v>#VALUE!</v>
      </c>
      <c r="V2562" s="219">
        <f t="shared" ca="1" si="163"/>
        <v>61555</v>
      </c>
      <c r="W2562" s="115" t="e">
        <f ca="1"/>
        <v>#VALUE!</v>
      </c>
    </row>
    <row r="2563" spans="13:23">
      <c r="M2563" s="219">
        <f t="shared" ca="1" si="160"/>
        <v>61562</v>
      </c>
      <c r="N2563" s="115" t="e">
        <f ca="1"/>
        <v>#VALUE!</v>
      </c>
      <c r="P2563" s="219">
        <f t="shared" ca="1" si="161"/>
        <v>61562</v>
      </c>
      <c r="Q2563" s="115" t="e">
        <f ca="1"/>
        <v>#VALUE!</v>
      </c>
      <c r="S2563" s="219">
        <f t="shared" ca="1" si="162"/>
        <v>61562</v>
      </c>
      <c r="T2563" s="115" t="e">
        <f ca="1"/>
        <v>#VALUE!</v>
      </c>
      <c r="V2563" s="219">
        <f t="shared" ca="1" si="163"/>
        <v>61562</v>
      </c>
      <c r="W2563" s="115" t="e">
        <f ca="1"/>
        <v>#VALUE!</v>
      </c>
    </row>
    <row r="2564" spans="13:23">
      <c r="M2564" s="219">
        <f t="shared" ca="1" si="160"/>
        <v>61569</v>
      </c>
      <c r="N2564" s="115" t="e">
        <f ca="1"/>
        <v>#VALUE!</v>
      </c>
      <c r="P2564" s="219">
        <f t="shared" ca="1" si="161"/>
        <v>61569</v>
      </c>
      <c r="Q2564" s="115" t="e">
        <f ca="1"/>
        <v>#VALUE!</v>
      </c>
      <c r="S2564" s="219">
        <f t="shared" ca="1" si="162"/>
        <v>61569</v>
      </c>
      <c r="T2564" s="115" t="e">
        <f ca="1"/>
        <v>#VALUE!</v>
      </c>
      <c r="V2564" s="219">
        <f t="shared" ca="1" si="163"/>
        <v>61569</v>
      </c>
      <c r="W2564" s="115" t="e">
        <f ca="1"/>
        <v>#VALUE!</v>
      </c>
    </row>
    <row r="2565" spans="13:23">
      <c r="M2565" s="219">
        <f t="shared" ca="1" si="160"/>
        <v>61576</v>
      </c>
      <c r="N2565" s="115" t="e">
        <f ca="1"/>
        <v>#VALUE!</v>
      </c>
      <c r="P2565" s="219">
        <f t="shared" ca="1" si="161"/>
        <v>61576</v>
      </c>
      <c r="Q2565" s="115" t="e">
        <f ca="1"/>
        <v>#VALUE!</v>
      </c>
      <c r="S2565" s="219">
        <f t="shared" ca="1" si="162"/>
        <v>61576</v>
      </c>
      <c r="T2565" s="115" t="e">
        <f ca="1"/>
        <v>#VALUE!</v>
      </c>
      <c r="V2565" s="219">
        <f t="shared" ca="1" si="163"/>
        <v>61576</v>
      </c>
      <c r="W2565" s="115" t="e">
        <f ca="1"/>
        <v>#VALUE!</v>
      </c>
    </row>
    <row r="2566" spans="13:23">
      <c r="M2566" s="219">
        <f t="shared" ca="1" si="160"/>
        <v>61583</v>
      </c>
      <c r="N2566" s="115" t="e">
        <f ca="1"/>
        <v>#VALUE!</v>
      </c>
      <c r="P2566" s="219">
        <f t="shared" ca="1" si="161"/>
        <v>61583</v>
      </c>
      <c r="Q2566" s="115" t="e">
        <f ca="1"/>
        <v>#VALUE!</v>
      </c>
      <c r="S2566" s="219">
        <f t="shared" ca="1" si="162"/>
        <v>61583</v>
      </c>
      <c r="T2566" s="115" t="e">
        <f ca="1"/>
        <v>#VALUE!</v>
      </c>
      <c r="V2566" s="219">
        <f t="shared" ca="1" si="163"/>
        <v>61583</v>
      </c>
      <c r="W2566" s="115" t="e">
        <f ca="1"/>
        <v>#VALUE!</v>
      </c>
    </row>
    <row r="2567" spans="13:23">
      <c r="M2567" s="219">
        <f t="shared" ca="1" si="160"/>
        <v>61590</v>
      </c>
      <c r="N2567" s="115" t="e">
        <f ca="1"/>
        <v>#VALUE!</v>
      </c>
      <c r="P2567" s="219">
        <f t="shared" ca="1" si="161"/>
        <v>61590</v>
      </c>
      <c r="Q2567" s="115" t="e">
        <f ca="1"/>
        <v>#VALUE!</v>
      </c>
      <c r="S2567" s="219">
        <f t="shared" ca="1" si="162"/>
        <v>61590</v>
      </c>
      <c r="T2567" s="115" t="e">
        <f ca="1"/>
        <v>#VALUE!</v>
      </c>
      <c r="V2567" s="219">
        <f t="shared" ca="1" si="163"/>
        <v>61590</v>
      </c>
      <c r="W2567" s="115" t="e">
        <f ca="1"/>
        <v>#VALUE!</v>
      </c>
    </row>
    <row r="2568" spans="13:23">
      <c r="M2568" s="219">
        <f t="shared" ca="1" si="160"/>
        <v>61597</v>
      </c>
      <c r="N2568" s="115" t="e">
        <f ca="1"/>
        <v>#VALUE!</v>
      </c>
      <c r="P2568" s="219">
        <f t="shared" ca="1" si="161"/>
        <v>61597</v>
      </c>
      <c r="Q2568" s="115" t="e">
        <f ca="1"/>
        <v>#VALUE!</v>
      </c>
      <c r="S2568" s="219">
        <f t="shared" ca="1" si="162"/>
        <v>61597</v>
      </c>
      <c r="T2568" s="115" t="e">
        <f ca="1"/>
        <v>#VALUE!</v>
      </c>
      <c r="V2568" s="219">
        <f t="shared" ca="1" si="163"/>
        <v>61597</v>
      </c>
      <c r="W2568" s="115" t="e">
        <f ca="1"/>
        <v>#VALUE!</v>
      </c>
    </row>
    <row r="2569" spans="13:23">
      <c r="M2569" s="219">
        <f t="shared" ca="1" si="160"/>
        <v>61604</v>
      </c>
      <c r="N2569" s="115" t="e">
        <f ca="1"/>
        <v>#VALUE!</v>
      </c>
      <c r="P2569" s="219">
        <f t="shared" ca="1" si="161"/>
        <v>61604</v>
      </c>
      <c r="Q2569" s="115" t="e">
        <f ca="1"/>
        <v>#VALUE!</v>
      </c>
      <c r="S2569" s="219">
        <f t="shared" ca="1" si="162"/>
        <v>61604</v>
      </c>
      <c r="T2569" s="115" t="e">
        <f ca="1"/>
        <v>#VALUE!</v>
      </c>
      <c r="V2569" s="219">
        <f t="shared" ca="1" si="163"/>
        <v>61604</v>
      </c>
      <c r="W2569" s="115" t="e">
        <f ca="1"/>
        <v>#VALUE!</v>
      </c>
    </row>
    <row r="2570" spans="13:23">
      <c r="M2570" s="219">
        <f t="shared" ca="1" si="160"/>
        <v>61611</v>
      </c>
      <c r="N2570" s="115" t="e">
        <f ca="1"/>
        <v>#VALUE!</v>
      </c>
      <c r="P2570" s="219">
        <f t="shared" ca="1" si="161"/>
        <v>61611</v>
      </c>
      <c r="Q2570" s="115" t="e">
        <f ca="1"/>
        <v>#VALUE!</v>
      </c>
      <c r="S2570" s="219">
        <f t="shared" ca="1" si="162"/>
        <v>61611</v>
      </c>
      <c r="T2570" s="115" t="e">
        <f ca="1"/>
        <v>#VALUE!</v>
      </c>
      <c r="V2570" s="219">
        <f t="shared" ca="1" si="163"/>
        <v>61611</v>
      </c>
      <c r="W2570" s="115" t="e">
        <f ca="1"/>
        <v>#VALUE!</v>
      </c>
    </row>
    <row r="2571" spans="13:23">
      <c r="M2571" s="219">
        <f t="shared" ca="1" si="160"/>
        <v>61618</v>
      </c>
      <c r="N2571" s="115" t="e">
        <f ca="1"/>
        <v>#VALUE!</v>
      </c>
      <c r="P2571" s="219">
        <f t="shared" ca="1" si="161"/>
        <v>61618</v>
      </c>
      <c r="Q2571" s="115" t="e">
        <f ca="1"/>
        <v>#VALUE!</v>
      </c>
      <c r="S2571" s="219">
        <f t="shared" ca="1" si="162"/>
        <v>61618</v>
      </c>
      <c r="T2571" s="115" t="e">
        <f ca="1"/>
        <v>#VALUE!</v>
      </c>
      <c r="V2571" s="219">
        <f t="shared" ca="1" si="163"/>
        <v>61618</v>
      </c>
      <c r="W2571" s="115" t="e">
        <f ca="1"/>
        <v>#VALUE!</v>
      </c>
    </row>
    <row r="2572" spans="13:23">
      <c r="M2572" s="219">
        <f t="shared" ca="1" si="160"/>
        <v>61625</v>
      </c>
      <c r="N2572" s="115" t="e">
        <f ca="1"/>
        <v>#VALUE!</v>
      </c>
      <c r="P2572" s="219">
        <f t="shared" ca="1" si="161"/>
        <v>61625</v>
      </c>
      <c r="Q2572" s="115" t="e">
        <f ca="1"/>
        <v>#VALUE!</v>
      </c>
      <c r="S2572" s="219">
        <f t="shared" ca="1" si="162"/>
        <v>61625</v>
      </c>
      <c r="T2572" s="115" t="e">
        <f ca="1"/>
        <v>#VALUE!</v>
      </c>
      <c r="V2572" s="219">
        <f t="shared" ca="1" si="163"/>
        <v>61625</v>
      </c>
      <c r="W2572" s="115" t="e">
        <f ca="1"/>
        <v>#VALUE!</v>
      </c>
    </row>
    <row r="2573" spans="13:23">
      <c r="M2573" s="219">
        <f t="shared" ref="M2573:M2636" ca="1" si="164">M2572+7</f>
        <v>61632</v>
      </c>
      <c r="N2573" s="115" t="e">
        <f ca="1"/>
        <v>#VALUE!</v>
      </c>
      <c r="P2573" s="219">
        <f t="shared" ca="1" si="161"/>
        <v>61632</v>
      </c>
      <c r="Q2573" s="115" t="e">
        <f ca="1"/>
        <v>#VALUE!</v>
      </c>
      <c r="S2573" s="219">
        <f t="shared" ca="1" si="162"/>
        <v>61632</v>
      </c>
      <c r="T2573" s="115" t="e">
        <f ca="1"/>
        <v>#VALUE!</v>
      </c>
      <c r="V2573" s="219">
        <f t="shared" ca="1" si="163"/>
        <v>61632</v>
      </c>
      <c r="W2573" s="115" t="e">
        <f ca="1"/>
        <v>#VALUE!</v>
      </c>
    </row>
    <row r="2574" spans="13:23">
      <c r="M2574" s="219">
        <f t="shared" ca="1" si="164"/>
        <v>61639</v>
      </c>
      <c r="N2574" s="115" t="e">
        <f ca="1"/>
        <v>#VALUE!</v>
      </c>
      <c r="P2574" s="219">
        <f t="shared" ca="1" si="161"/>
        <v>61639</v>
      </c>
      <c r="Q2574" s="115" t="e">
        <f ca="1"/>
        <v>#VALUE!</v>
      </c>
      <c r="S2574" s="219">
        <f t="shared" ca="1" si="162"/>
        <v>61639</v>
      </c>
      <c r="T2574" s="115" t="e">
        <f ca="1"/>
        <v>#VALUE!</v>
      </c>
      <c r="V2574" s="219">
        <f t="shared" ca="1" si="163"/>
        <v>61639</v>
      </c>
      <c r="W2574" s="115" t="e">
        <f ca="1"/>
        <v>#VALUE!</v>
      </c>
    </row>
    <row r="2575" spans="13:23">
      <c r="M2575" s="219">
        <f t="shared" ca="1" si="164"/>
        <v>61646</v>
      </c>
      <c r="N2575" s="115" t="e">
        <f ca="1"/>
        <v>#VALUE!</v>
      </c>
      <c r="P2575" s="219">
        <f t="shared" ca="1" si="161"/>
        <v>61646</v>
      </c>
      <c r="Q2575" s="115" t="e">
        <f ca="1"/>
        <v>#VALUE!</v>
      </c>
      <c r="S2575" s="219">
        <f t="shared" ca="1" si="162"/>
        <v>61646</v>
      </c>
      <c r="T2575" s="115" t="e">
        <f ca="1"/>
        <v>#VALUE!</v>
      </c>
      <c r="V2575" s="219">
        <f t="shared" ca="1" si="163"/>
        <v>61646</v>
      </c>
      <c r="W2575" s="115" t="e">
        <f ca="1"/>
        <v>#VALUE!</v>
      </c>
    </row>
    <row r="2576" spans="13:23">
      <c r="M2576" s="219">
        <f t="shared" ca="1" si="164"/>
        <v>61653</v>
      </c>
      <c r="N2576" s="115" t="e">
        <f ca="1"/>
        <v>#VALUE!</v>
      </c>
      <c r="P2576" s="219">
        <f t="shared" ca="1" si="161"/>
        <v>61653</v>
      </c>
      <c r="Q2576" s="115" t="e">
        <f ca="1"/>
        <v>#VALUE!</v>
      </c>
      <c r="S2576" s="219">
        <f t="shared" ca="1" si="162"/>
        <v>61653</v>
      </c>
      <c r="T2576" s="115" t="e">
        <f ca="1"/>
        <v>#VALUE!</v>
      </c>
      <c r="V2576" s="219">
        <f t="shared" ca="1" si="163"/>
        <v>61653</v>
      </c>
      <c r="W2576" s="115" t="e">
        <f ca="1"/>
        <v>#VALUE!</v>
      </c>
    </row>
    <row r="2577" spans="13:23">
      <c r="M2577" s="219">
        <f t="shared" ca="1" si="164"/>
        <v>61660</v>
      </c>
      <c r="N2577" s="115" t="e">
        <f ca="1"/>
        <v>#VALUE!</v>
      </c>
      <c r="P2577" s="219">
        <f t="shared" ca="1" si="161"/>
        <v>61660</v>
      </c>
      <c r="Q2577" s="115" t="e">
        <f ca="1"/>
        <v>#VALUE!</v>
      </c>
      <c r="S2577" s="219">
        <f t="shared" ca="1" si="162"/>
        <v>61660</v>
      </c>
      <c r="T2577" s="115" t="e">
        <f ca="1"/>
        <v>#VALUE!</v>
      </c>
      <c r="V2577" s="219">
        <f t="shared" ca="1" si="163"/>
        <v>61660</v>
      </c>
      <c r="W2577" s="115" t="e">
        <f ca="1"/>
        <v>#VALUE!</v>
      </c>
    </row>
    <row r="2578" spans="13:23">
      <c r="M2578" s="219">
        <f t="shared" ca="1" si="164"/>
        <v>61667</v>
      </c>
      <c r="N2578" s="115" t="e">
        <f ca="1"/>
        <v>#VALUE!</v>
      </c>
      <c r="P2578" s="219">
        <f t="shared" ca="1" si="161"/>
        <v>61667</v>
      </c>
      <c r="Q2578" s="115" t="e">
        <f ca="1"/>
        <v>#VALUE!</v>
      </c>
      <c r="S2578" s="219">
        <f t="shared" ca="1" si="162"/>
        <v>61667</v>
      </c>
      <c r="T2578" s="115" t="e">
        <f ca="1"/>
        <v>#VALUE!</v>
      </c>
      <c r="V2578" s="219">
        <f t="shared" ca="1" si="163"/>
        <v>61667</v>
      </c>
      <c r="W2578" s="115" t="e">
        <f ca="1"/>
        <v>#VALUE!</v>
      </c>
    </row>
    <row r="2579" spans="13:23">
      <c r="M2579" s="219">
        <f t="shared" ca="1" si="164"/>
        <v>61674</v>
      </c>
      <c r="N2579" s="115" t="e">
        <f ca="1"/>
        <v>#VALUE!</v>
      </c>
      <c r="P2579" s="219">
        <f t="shared" ca="1" si="161"/>
        <v>61674</v>
      </c>
      <c r="Q2579" s="115" t="e">
        <f ca="1"/>
        <v>#VALUE!</v>
      </c>
      <c r="S2579" s="219">
        <f t="shared" ca="1" si="162"/>
        <v>61674</v>
      </c>
      <c r="T2579" s="115" t="e">
        <f ca="1"/>
        <v>#VALUE!</v>
      </c>
      <c r="V2579" s="219">
        <f t="shared" ca="1" si="163"/>
        <v>61674</v>
      </c>
      <c r="W2579" s="115" t="e">
        <f ca="1"/>
        <v>#VALUE!</v>
      </c>
    </row>
    <row r="2580" spans="13:23">
      <c r="M2580" s="219">
        <f t="shared" ca="1" si="164"/>
        <v>61681</v>
      </c>
      <c r="N2580" s="115" t="e">
        <f ca="1"/>
        <v>#VALUE!</v>
      </c>
      <c r="P2580" s="219">
        <f t="shared" ca="1" si="161"/>
        <v>61681</v>
      </c>
      <c r="Q2580" s="115" t="e">
        <f ca="1"/>
        <v>#VALUE!</v>
      </c>
      <c r="S2580" s="219">
        <f t="shared" ca="1" si="162"/>
        <v>61681</v>
      </c>
      <c r="T2580" s="115" t="e">
        <f ca="1"/>
        <v>#VALUE!</v>
      </c>
      <c r="V2580" s="219">
        <f t="shared" ca="1" si="163"/>
        <v>61681</v>
      </c>
      <c r="W2580" s="115" t="e">
        <f ca="1"/>
        <v>#VALUE!</v>
      </c>
    </row>
    <row r="2581" spans="13:23">
      <c r="M2581" s="219">
        <f t="shared" ca="1" si="164"/>
        <v>61688</v>
      </c>
      <c r="N2581" s="115" t="e">
        <f ca="1"/>
        <v>#VALUE!</v>
      </c>
      <c r="P2581" s="219">
        <f t="shared" ca="1" si="161"/>
        <v>61688</v>
      </c>
      <c r="Q2581" s="115" t="e">
        <f ca="1"/>
        <v>#VALUE!</v>
      </c>
      <c r="S2581" s="219">
        <f t="shared" ca="1" si="162"/>
        <v>61688</v>
      </c>
      <c r="T2581" s="115" t="e">
        <f ca="1"/>
        <v>#VALUE!</v>
      </c>
      <c r="V2581" s="219">
        <f t="shared" ca="1" si="163"/>
        <v>61688</v>
      </c>
      <c r="W2581" s="115" t="e">
        <f ca="1"/>
        <v>#VALUE!</v>
      </c>
    </row>
    <row r="2582" spans="13:23">
      <c r="M2582" s="219">
        <f t="shared" ca="1" si="164"/>
        <v>61695</v>
      </c>
      <c r="N2582" s="115" t="e">
        <f ca="1"/>
        <v>#VALUE!</v>
      </c>
      <c r="P2582" s="219">
        <f t="shared" ca="1" si="161"/>
        <v>61695</v>
      </c>
      <c r="Q2582" s="115" t="e">
        <f ca="1"/>
        <v>#VALUE!</v>
      </c>
      <c r="S2582" s="219">
        <f t="shared" ca="1" si="162"/>
        <v>61695</v>
      </c>
      <c r="T2582" s="115" t="e">
        <f ca="1"/>
        <v>#VALUE!</v>
      </c>
      <c r="V2582" s="219">
        <f t="shared" ca="1" si="163"/>
        <v>61695</v>
      </c>
      <c r="W2582" s="115" t="e">
        <f ca="1"/>
        <v>#VALUE!</v>
      </c>
    </row>
    <row r="2583" spans="13:23">
      <c r="M2583" s="219">
        <f t="shared" ca="1" si="164"/>
        <v>61702</v>
      </c>
      <c r="N2583" s="115" t="e">
        <f ca="1"/>
        <v>#VALUE!</v>
      </c>
      <c r="P2583" s="219">
        <f t="shared" ca="1" si="161"/>
        <v>61702</v>
      </c>
      <c r="Q2583" s="115" t="e">
        <f ca="1"/>
        <v>#VALUE!</v>
      </c>
      <c r="S2583" s="219">
        <f t="shared" ca="1" si="162"/>
        <v>61702</v>
      </c>
      <c r="T2583" s="115" t="e">
        <f ca="1"/>
        <v>#VALUE!</v>
      </c>
      <c r="V2583" s="219">
        <f t="shared" ca="1" si="163"/>
        <v>61702</v>
      </c>
      <c r="W2583" s="115" t="e">
        <f ca="1"/>
        <v>#VALUE!</v>
      </c>
    </row>
    <row r="2584" spans="13:23">
      <c r="M2584" s="219">
        <f t="shared" ca="1" si="164"/>
        <v>61709</v>
      </c>
      <c r="N2584" s="115" t="e">
        <f ca="1"/>
        <v>#VALUE!</v>
      </c>
      <c r="P2584" s="219">
        <f t="shared" ca="1" si="161"/>
        <v>61709</v>
      </c>
      <c r="Q2584" s="115" t="e">
        <f ca="1"/>
        <v>#VALUE!</v>
      </c>
      <c r="S2584" s="219">
        <f t="shared" ca="1" si="162"/>
        <v>61709</v>
      </c>
      <c r="T2584" s="115" t="e">
        <f ca="1"/>
        <v>#VALUE!</v>
      </c>
      <c r="V2584" s="219">
        <f t="shared" ca="1" si="163"/>
        <v>61709</v>
      </c>
      <c r="W2584" s="115" t="e">
        <f ca="1"/>
        <v>#VALUE!</v>
      </c>
    </row>
    <row r="2585" spans="13:23">
      <c r="M2585" s="219">
        <f t="shared" ca="1" si="164"/>
        <v>61716</v>
      </c>
      <c r="N2585" s="115" t="e">
        <f ca="1"/>
        <v>#VALUE!</v>
      </c>
      <c r="P2585" s="219">
        <f t="shared" ca="1" si="161"/>
        <v>61716</v>
      </c>
      <c r="Q2585" s="115" t="e">
        <f ca="1"/>
        <v>#VALUE!</v>
      </c>
      <c r="S2585" s="219">
        <f t="shared" ca="1" si="162"/>
        <v>61716</v>
      </c>
      <c r="T2585" s="115" t="e">
        <f ca="1"/>
        <v>#VALUE!</v>
      </c>
      <c r="V2585" s="219">
        <f t="shared" ca="1" si="163"/>
        <v>61716</v>
      </c>
      <c r="W2585" s="115" t="e">
        <f ca="1"/>
        <v>#VALUE!</v>
      </c>
    </row>
    <row r="2586" spans="13:23">
      <c r="M2586" s="219">
        <f t="shared" ca="1" si="164"/>
        <v>61723</v>
      </c>
      <c r="N2586" s="115" t="e">
        <f ca="1"/>
        <v>#VALUE!</v>
      </c>
      <c r="P2586" s="219">
        <f t="shared" ca="1" si="161"/>
        <v>61723</v>
      </c>
      <c r="Q2586" s="115" t="e">
        <f ca="1"/>
        <v>#VALUE!</v>
      </c>
      <c r="S2586" s="219">
        <f t="shared" ca="1" si="162"/>
        <v>61723</v>
      </c>
      <c r="T2586" s="115" t="e">
        <f ca="1"/>
        <v>#VALUE!</v>
      </c>
      <c r="V2586" s="219">
        <f t="shared" ca="1" si="163"/>
        <v>61723</v>
      </c>
      <c r="W2586" s="115" t="e">
        <f ca="1"/>
        <v>#VALUE!</v>
      </c>
    </row>
    <row r="2587" spans="13:23">
      <c r="M2587" s="219">
        <f t="shared" ca="1" si="164"/>
        <v>61730</v>
      </c>
      <c r="N2587" s="115" t="e">
        <f ca="1"/>
        <v>#VALUE!</v>
      </c>
      <c r="P2587" s="219">
        <f t="shared" ca="1" si="161"/>
        <v>61730</v>
      </c>
      <c r="Q2587" s="115" t="e">
        <f ca="1"/>
        <v>#VALUE!</v>
      </c>
      <c r="S2587" s="219">
        <f t="shared" ca="1" si="162"/>
        <v>61730</v>
      </c>
      <c r="T2587" s="115" t="e">
        <f ca="1"/>
        <v>#VALUE!</v>
      </c>
      <c r="V2587" s="219">
        <f t="shared" ca="1" si="163"/>
        <v>61730</v>
      </c>
      <c r="W2587" s="115" t="e">
        <f ca="1"/>
        <v>#VALUE!</v>
      </c>
    </row>
    <row r="2588" spans="13:23">
      <c r="M2588" s="219">
        <f t="shared" ca="1" si="164"/>
        <v>61737</v>
      </c>
      <c r="N2588" s="115" t="e">
        <f ca="1"/>
        <v>#VALUE!</v>
      </c>
      <c r="P2588" s="219">
        <f t="shared" ca="1" si="161"/>
        <v>61737</v>
      </c>
      <c r="Q2588" s="115" t="e">
        <f ca="1"/>
        <v>#VALUE!</v>
      </c>
      <c r="S2588" s="219">
        <f t="shared" ca="1" si="162"/>
        <v>61737</v>
      </c>
      <c r="T2588" s="115" t="e">
        <f ca="1"/>
        <v>#VALUE!</v>
      </c>
      <c r="V2588" s="219">
        <f t="shared" ca="1" si="163"/>
        <v>61737</v>
      </c>
      <c r="W2588" s="115" t="e">
        <f ca="1"/>
        <v>#VALUE!</v>
      </c>
    </row>
    <row r="2589" spans="13:23">
      <c r="M2589" s="219">
        <f t="shared" ca="1" si="164"/>
        <v>61744</v>
      </c>
      <c r="N2589" s="115" t="e">
        <f ca="1"/>
        <v>#VALUE!</v>
      </c>
      <c r="P2589" s="219">
        <f t="shared" ref="P2589:P2652" ca="1" si="165">P2588+7</f>
        <v>61744</v>
      </c>
      <c r="Q2589" s="115" t="e">
        <f ca="1"/>
        <v>#VALUE!</v>
      </c>
      <c r="S2589" s="219">
        <f t="shared" ref="S2589:S2652" ca="1" si="166">S2588+7</f>
        <v>61744</v>
      </c>
      <c r="T2589" s="115" t="e">
        <f ca="1"/>
        <v>#VALUE!</v>
      </c>
      <c r="V2589" s="219">
        <f t="shared" ref="V2589:V2652" ca="1" si="167">V2588+7</f>
        <v>61744</v>
      </c>
      <c r="W2589" s="115" t="e">
        <f ca="1"/>
        <v>#VALUE!</v>
      </c>
    </row>
    <row r="2590" spans="13:23">
      <c r="M2590" s="219">
        <f t="shared" ca="1" si="164"/>
        <v>61751</v>
      </c>
      <c r="N2590" s="115" t="e">
        <f ca="1"/>
        <v>#VALUE!</v>
      </c>
      <c r="P2590" s="219">
        <f t="shared" ca="1" si="165"/>
        <v>61751</v>
      </c>
      <c r="Q2590" s="115" t="e">
        <f ca="1"/>
        <v>#VALUE!</v>
      </c>
      <c r="S2590" s="219">
        <f t="shared" ca="1" si="166"/>
        <v>61751</v>
      </c>
      <c r="T2590" s="115" t="e">
        <f ca="1"/>
        <v>#VALUE!</v>
      </c>
      <c r="V2590" s="219">
        <f t="shared" ca="1" si="167"/>
        <v>61751</v>
      </c>
      <c r="W2590" s="115" t="e">
        <f ca="1"/>
        <v>#VALUE!</v>
      </c>
    </row>
    <row r="2591" spans="13:23">
      <c r="M2591" s="219">
        <f t="shared" ca="1" si="164"/>
        <v>61758</v>
      </c>
      <c r="N2591" s="115" t="e">
        <f ca="1"/>
        <v>#VALUE!</v>
      </c>
      <c r="P2591" s="219">
        <f t="shared" ca="1" si="165"/>
        <v>61758</v>
      </c>
      <c r="Q2591" s="115" t="e">
        <f ca="1"/>
        <v>#VALUE!</v>
      </c>
      <c r="S2591" s="219">
        <f t="shared" ca="1" si="166"/>
        <v>61758</v>
      </c>
      <c r="T2591" s="115" t="e">
        <f ca="1"/>
        <v>#VALUE!</v>
      </c>
      <c r="V2591" s="219">
        <f t="shared" ca="1" si="167"/>
        <v>61758</v>
      </c>
      <c r="W2591" s="115" t="e">
        <f ca="1"/>
        <v>#VALUE!</v>
      </c>
    </row>
    <row r="2592" spans="13:23">
      <c r="M2592" s="219">
        <f t="shared" ca="1" si="164"/>
        <v>61765</v>
      </c>
      <c r="N2592" s="115" t="e">
        <f ca="1"/>
        <v>#VALUE!</v>
      </c>
      <c r="P2592" s="219">
        <f t="shared" ca="1" si="165"/>
        <v>61765</v>
      </c>
      <c r="Q2592" s="115" t="e">
        <f ca="1"/>
        <v>#VALUE!</v>
      </c>
      <c r="S2592" s="219">
        <f t="shared" ca="1" si="166"/>
        <v>61765</v>
      </c>
      <c r="T2592" s="115" t="e">
        <f ca="1"/>
        <v>#VALUE!</v>
      </c>
      <c r="V2592" s="219">
        <f t="shared" ca="1" si="167"/>
        <v>61765</v>
      </c>
      <c r="W2592" s="115" t="e">
        <f ca="1"/>
        <v>#VALUE!</v>
      </c>
    </row>
    <row r="2593" spans="13:23">
      <c r="M2593" s="219">
        <f t="shared" ca="1" si="164"/>
        <v>61772</v>
      </c>
      <c r="N2593" s="115" t="e">
        <f ca="1"/>
        <v>#VALUE!</v>
      </c>
      <c r="P2593" s="219">
        <f t="shared" ca="1" si="165"/>
        <v>61772</v>
      </c>
      <c r="Q2593" s="115" t="e">
        <f ca="1"/>
        <v>#VALUE!</v>
      </c>
      <c r="S2593" s="219">
        <f t="shared" ca="1" si="166"/>
        <v>61772</v>
      </c>
      <c r="T2593" s="115" t="e">
        <f ca="1"/>
        <v>#VALUE!</v>
      </c>
      <c r="V2593" s="219">
        <f t="shared" ca="1" si="167"/>
        <v>61772</v>
      </c>
      <c r="W2593" s="115" t="e">
        <f ca="1"/>
        <v>#VALUE!</v>
      </c>
    </row>
    <row r="2594" spans="13:23">
      <c r="M2594" s="219">
        <f t="shared" ca="1" si="164"/>
        <v>61779</v>
      </c>
      <c r="N2594" s="115" t="e">
        <f ca="1"/>
        <v>#VALUE!</v>
      </c>
      <c r="P2594" s="219">
        <f t="shared" ca="1" si="165"/>
        <v>61779</v>
      </c>
      <c r="Q2594" s="115" t="e">
        <f ca="1"/>
        <v>#VALUE!</v>
      </c>
      <c r="S2594" s="219">
        <f t="shared" ca="1" si="166"/>
        <v>61779</v>
      </c>
      <c r="T2594" s="115" t="e">
        <f ca="1"/>
        <v>#VALUE!</v>
      </c>
      <c r="V2594" s="219">
        <f t="shared" ca="1" si="167"/>
        <v>61779</v>
      </c>
      <c r="W2594" s="115" t="e">
        <f ca="1"/>
        <v>#VALUE!</v>
      </c>
    </row>
    <row r="2595" spans="13:23">
      <c r="M2595" s="219">
        <f t="shared" ca="1" si="164"/>
        <v>61786</v>
      </c>
      <c r="N2595" s="115" t="e">
        <f ca="1"/>
        <v>#VALUE!</v>
      </c>
      <c r="P2595" s="219">
        <f t="shared" ca="1" si="165"/>
        <v>61786</v>
      </c>
      <c r="Q2595" s="115" t="e">
        <f ca="1"/>
        <v>#VALUE!</v>
      </c>
      <c r="S2595" s="219">
        <f t="shared" ca="1" si="166"/>
        <v>61786</v>
      </c>
      <c r="T2595" s="115" t="e">
        <f ca="1"/>
        <v>#VALUE!</v>
      </c>
      <c r="V2595" s="219">
        <f t="shared" ca="1" si="167"/>
        <v>61786</v>
      </c>
      <c r="W2595" s="115" t="e">
        <f ca="1"/>
        <v>#VALUE!</v>
      </c>
    </row>
    <row r="2596" spans="13:23">
      <c r="M2596" s="219">
        <f t="shared" ca="1" si="164"/>
        <v>61793</v>
      </c>
      <c r="N2596" s="115" t="e">
        <f ca="1"/>
        <v>#VALUE!</v>
      </c>
      <c r="P2596" s="219">
        <f t="shared" ca="1" si="165"/>
        <v>61793</v>
      </c>
      <c r="Q2596" s="115" t="e">
        <f ca="1"/>
        <v>#VALUE!</v>
      </c>
      <c r="S2596" s="219">
        <f t="shared" ca="1" si="166"/>
        <v>61793</v>
      </c>
      <c r="T2596" s="115" t="e">
        <f ca="1"/>
        <v>#VALUE!</v>
      </c>
      <c r="V2596" s="219">
        <f t="shared" ca="1" si="167"/>
        <v>61793</v>
      </c>
      <c r="W2596" s="115" t="e">
        <f ca="1"/>
        <v>#VALUE!</v>
      </c>
    </row>
    <row r="2597" spans="13:23">
      <c r="M2597" s="219">
        <f t="shared" ca="1" si="164"/>
        <v>61800</v>
      </c>
      <c r="N2597" s="115" t="e">
        <f ca="1"/>
        <v>#VALUE!</v>
      </c>
      <c r="P2597" s="219">
        <f t="shared" ca="1" si="165"/>
        <v>61800</v>
      </c>
      <c r="Q2597" s="115" t="e">
        <f ca="1"/>
        <v>#VALUE!</v>
      </c>
      <c r="S2597" s="219">
        <f t="shared" ca="1" si="166"/>
        <v>61800</v>
      </c>
      <c r="T2597" s="115" t="e">
        <f ca="1"/>
        <v>#VALUE!</v>
      </c>
      <c r="V2597" s="219">
        <f t="shared" ca="1" si="167"/>
        <v>61800</v>
      </c>
      <c r="W2597" s="115" t="e">
        <f ca="1"/>
        <v>#VALUE!</v>
      </c>
    </row>
    <row r="2598" spans="13:23">
      <c r="M2598" s="219">
        <f t="shared" ca="1" si="164"/>
        <v>61807</v>
      </c>
      <c r="N2598" s="115" t="e">
        <f ca="1"/>
        <v>#VALUE!</v>
      </c>
      <c r="P2598" s="219">
        <f t="shared" ca="1" si="165"/>
        <v>61807</v>
      </c>
      <c r="Q2598" s="115" t="e">
        <f ca="1"/>
        <v>#VALUE!</v>
      </c>
      <c r="S2598" s="219">
        <f t="shared" ca="1" si="166"/>
        <v>61807</v>
      </c>
      <c r="T2598" s="115" t="e">
        <f ca="1"/>
        <v>#VALUE!</v>
      </c>
      <c r="V2598" s="219">
        <f t="shared" ca="1" si="167"/>
        <v>61807</v>
      </c>
      <c r="W2598" s="115" t="e">
        <f ca="1"/>
        <v>#VALUE!</v>
      </c>
    </row>
    <row r="2599" spans="13:23">
      <c r="M2599" s="219">
        <f t="shared" ca="1" si="164"/>
        <v>61814</v>
      </c>
      <c r="N2599" s="115" t="e">
        <f ca="1"/>
        <v>#VALUE!</v>
      </c>
      <c r="P2599" s="219">
        <f t="shared" ca="1" si="165"/>
        <v>61814</v>
      </c>
      <c r="Q2599" s="115" t="e">
        <f ca="1"/>
        <v>#VALUE!</v>
      </c>
      <c r="S2599" s="219">
        <f t="shared" ca="1" si="166"/>
        <v>61814</v>
      </c>
      <c r="T2599" s="115" t="e">
        <f ca="1"/>
        <v>#VALUE!</v>
      </c>
      <c r="V2599" s="219">
        <f t="shared" ca="1" si="167"/>
        <v>61814</v>
      </c>
      <c r="W2599" s="115" t="e">
        <f ca="1"/>
        <v>#VALUE!</v>
      </c>
    </row>
    <row r="2600" spans="13:23">
      <c r="M2600" s="219">
        <f t="shared" ca="1" si="164"/>
        <v>61821</v>
      </c>
      <c r="N2600" s="115" t="e">
        <f ca="1"/>
        <v>#VALUE!</v>
      </c>
      <c r="P2600" s="219">
        <f t="shared" ca="1" si="165"/>
        <v>61821</v>
      </c>
      <c r="Q2600" s="115" t="e">
        <f ca="1"/>
        <v>#VALUE!</v>
      </c>
      <c r="S2600" s="219">
        <f t="shared" ca="1" si="166"/>
        <v>61821</v>
      </c>
      <c r="T2600" s="115" t="e">
        <f ca="1"/>
        <v>#VALUE!</v>
      </c>
      <c r="V2600" s="219">
        <f t="shared" ca="1" si="167"/>
        <v>61821</v>
      </c>
      <c r="W2600" s="115" t="e">
        <f ca="1"/>
        <v>#VALUE!</v>
      </c>
    </row>
    <row r="2601" spans="13:23">
      <c r="M2601" s="219">
        <f t="shared" ca="1" si="164"/>
        <v>61828</v>
      </c>
      <c r="N2601" s="115" t="e">
        <f ca="1"/>
        <v>#VALUE!</v>
      </c>
      <c r="P2601" s="219">
        <f t="shared" ca="1" si="165"/>
        <v>61828</v>
      </c>
      <c r="Q2601" s="115" t="e">
        <f ca="1"/>
        <v>#VALUE!</v>
      </c>
      <c r="S2601" s="219">
        <f t="shared" ca="1" si="166"/>
        <v>61828</v>
      </c>
      <c r="T2601" s="115" t="e">
        <f ca="1"/>
        <v>#VALUE!</v>
      </c>
      <c r="V2601" s="219">
        <f t="shared" ca="1" si="167"/>
        <v>61828</v>
      </c>
      <c r="W2601" s="115" t="e">
        <f ca="1"/>
        <v>#VALUE!</v>
      </c>
    </row>
    <row r="2602" spans="13:23">
      <c r="M2602" s="219">
        <f t="shared" ca="1" si="164"/>
        <v>61835</v>
      </c>
      <c r="N2602" s="115" t="e">
        <f ca="1"/>
        <v>#VALUE!</v>
      </c>
      <c r="P2602" s="219">
        <f t="shared" ca="1" si="165"/>
        <v>61835</v>
      </c>
      <c r="Q2602" s="115" t="e">
        <f ca="1"/>
        <v>#VALUE!</v>
      </c>
      <c r="S2602" s="219">
        <f t="shared" ca="1" si="166"/>
        <v>61835</v>
      </c>
      <c r="T2602" s="115" t="e">
        <f ca="1"/>
        <v>#VALUE!</v>
      </c>
      <c r="V2602" s="219">
        <f t="shared" ca="1" si="167"/>
        <v>61835</v>
      </c>
      <c r="W2602" s="115" t="e">
        <f ca="1"/>
        <v>#VALUE!</v>
      </c>
    </row>
    <row r="2603" spans="13:23">
      <c r="M2603" s="219">
        <f t="shared" ca="1" si="164"/>
        <v>61842</v>
      </c>
      <c r="N2603" s="115" t="e">
        <f ca="1"/>
        <v>#VALUE!</v>
      </c>
      <c r="P2603" s="219">
        <f t="shared" ca="1" si="165"/>
        <v>61842</v>
      </c>
      <c r="Q2603" s="115" t="e">
        <f ca="1"/>
        <v>#VALUE!</v>
      </c>
      <c r="S2603" s="219">
        <f t="shared" ca="1" si="166"/>
        <v>61842</v>
      </c>
      <c r="T2603" s="115" t="e">
        <f ca="1"/>
        <v>#VALUE!</v>
      </c>
      <c r="V2603" s="219">
        <f t="shared" ca="1" si="167"/>
        <v>61842</v>
      </c>
      <c r="W2603" s="115" t="e">
        <f ca="1"/>
        <v>#VALUE!</v>
      </c>
    </row>
    <row r="2604" spans="13:23">
      <c r="M2604" s="219">
        <f t="shared" ca="1" si="164"/>
        <v>61849</v>
      </c>
      <c r="N2604" s="115" t="e">
        <f ca="1"/>
        <v>#VALUE!</v>
      </c>
      <c r="P2604" s="219">
        <f t="shared" ca="1" si="165"/>
        <v>61849</v>
      </c>
      <c r="Q2604" s="115" t="e">
        <f ca="1"/>
        <v>#VALUE!</v>
      </c>
      <c r="S2604" s="219">
        <f t="shared" ca="1" si="166"/>
        <v>61849</v>
      </c>
      <c r="T2604" s="115" t="e">
        <f ca="1"/>
        <v>#VALUE!</v>
      </c>
      <c r="V2604" s="219">
        <f t="shared" ca="1" si="167"/>
        <v>61849</v>
      </c>
      <c r="W2604" s="115" t="e">
        <f ca="1"/>
        <v>#VALUE!</v>
      </c>
    </row>
    <row r="2605" spans="13:23">
      <c r="M2605" s="219">
        <f t="shared" ca="1" si="164"/>
        <v>61856</v>
      </c>
      <c r="N2605" s="115" t="e">
        <f ca="1"/>
        <v>#VALUE!</v>
      </c>
      <c r="P2605" s="219">
        <f t="shared" ca="1" si="165"/>
        <v>61856</v>
      </c>
      <c r="Q2605" s="115" t="e">
        <f ca="1"/>
        <v>#VALUE!</v>
      </c>
      <c r="S2605" s="219">
        <f t="shared" ca="1" si="166"/>
        <v>61856</v>
      </c>
      <c r="T2605" s="115" t="e">
        <f ca="1"/>
        <v>#VALUE!</v>
      </c>
      <c r="V2605" s="219">
        <f t="shared" ca="1" si="167"/>
        <v>61856</v>
      </c>
      <c r="W2605" s="115" t="e">
        <f ca="1"/>
        <v>#VALUE!</v>
      </c>
    </row>
    <row r="2606" spans="13:23">
      <c r="M2606" s="219">
        <f t="shared" ca="1" si="164"/>
        <v>61863</v>
      </c>
      <c r="N2606" s="115" t="e">
        <f ca="1"/>
        <v>#VALUE!</v>
      </c>
      <c r="P2606" s="219">
        <f t="shared" ca="1" si="165"/>
        <v>61863</v>
      </c>
      <c r="Q2606" s="115" t="e">
        <f ca="1"/>
        <v>#VALUE!</v>
      </c>
      <c r="S2606" s="219">
        <f t="shared" ca="1" si="166"/>
        <v>61863</v>
      </c>
      <c r="T2606" s="115" t="e">
        <f ca="1"/>
        <v>#VALUE!</v>
      </c>
      <c r="V2606" s="219">
        <f t="shared" ca="1" si="167"/>
        <v>61863</v>
      </c>
      <c r="W2606" s="115" t="e">
        <f ca="1"/>
        <v>#VALUE!</v>
      </c>
    </row>
    <row r="2607" spans="13:23">
      <c r="M2607" s="219">
        <f t="shared" ca="1" si="164"/>
        <v>61870</v>
      </c>
      <c r="N2607" s="115" t="e">
        <f ca="1"/>
        <v>#VALUE!</v>
      </c>
      <c r="P2607" s="219">
        <f t="shared" ca="1" si="165"/>
        <v>61870</v>
      </c>
      <c r="Q2607" s="115" t="e">
        <f ca="1"/>
        <v>#VALUE!</v>
      </c>
      <c r="S2607" s="219">
        <f t="shared" ca="1" si="166"/>
        <v>61870</v>
      </c>
      <c r="T2607" s="115" t="e">
        <f ca="1"/>
        <v>#VALUE!</v>
      </c>
      <c r="V2607" s="219">
        <f t="shared" ca="1" si="167"/>
        <v>61870</v>
      </c>
      <c r="W2607" s="115" t="e">
        <f ca="1"/>
        <v>#VALUE!</v>
      </c>
    </row>
    <row r="2608" spans="13:23">
      <c r="M2608" s="219">
        <f t="shared" ca="1" si="164"/>
        <v>61877</v>
      </c>
      <c r="N2608" s="115" t="e">
        <f ca="1"/>
        <v>#VALUE!</v>
      </c>
      <c r="P2608" s="219">
        <f t="shared" ca="1" si="165"/>
        <v>61877</v>
      </c>
      <c r="Q2608" s="115" t="e">
        <f ca="1"/>
        <v>#VALUE!</v>
      </c>
      <c r="S2608" s="219">
        <f t="shared" ca="1" si="166"/>
        <v>61877</v>
      </c>
      <c r="T2608" s="115" t="e">
        <f ca="1"/>
        <v>#VALUE!</v>
      </c>
      <c r="V2608" s="219">
        <f t="shared" ca="1" si="167"/>
        <v>61877</v>
      </c>
      <c r="W2608" s="115" t="e">
        <f ca="1"/>
        <v>#VALUE!</v>
      </c>
    </row>
    <row r="2609" spans="13:23">
      <c r="M2609" s="219">
        <f t="shared" ca="1" si="164"/>
        <v>61884</v>
      </c>
      <c r="N2609" s="115" t="e">
        <f ca="1"/>
        <v>#VALUE!</v>
      </c>
      <c r="P2609" s="219">
        <f t="shared" ca="1" si="165"/>
        <v>61884</v>
      </c>
      <c r="Q2609" s="115" t="e">
        <f ca="1"/>
        <v>#VALUE!</v>
      </c>
      <c r="S2609" s="219">
        <f t="shared" ca="1" si="166"/>
        <v>61884</v>
      </c>
      <c r="T2609" s="115" t="e">
        <f ca="1"/>
        <v>#VALUE!</v>
      </c>
      <c r="V2609" s="219">
        <f t="shared" ca="1" si="167"/>
        <v>61884</v>
      </c>
      <c r="W2609" s="115" t="e">
        <f ca="1"/>
        <v>#VALUE!</v>
      </c>
    </row>
    <row r="2610" spans="13:23">
      <c r="M2610" s="219">
        <f t="shared" ca="1" si="164"/>
        <v>61891</v>
      </c>
      <c r="N2610" s="115" t="e">
        <f ca="1"/>
        <v>#VALUE!</v>
      </c>
      <c r="P2610" s="219">
        <f t="shared" ca="1" si="165"/>
        <v>61891</v>
      </c>
      <c r="Q2610" s="115" t="e">
        <f ca="1"/>
        <v>#VALUE!</v>
      </c>
      <c r="S2610" s="219">
        <f t="shared" ca="1" si="166"/>
        <v>61891</v>
      </c>
      <c r="T2610" s="115" t="e">
        <f ca="1"/>
        <v>#VALUE!</v>
      </c>
      <c r="V2610" s="219">
        <f t="shared" ca="1" si="167"/>
        <v>61891</v>
      </c>
      <c r="W2610" s="115" t="e">
        <f ca="1"/>
        <v>#VALUE!</v>
      </c>
    </row>
    <row r="2611" spans="13:23">
      <c r="M2611" s="219">
        <f t="shared" ca="1" si="164"/>
        <v>61898</v>
      </c>
      <c r="N2611" s="115" t="e">
        <f ca="1"/>
        <v>#VALUE!</v>
      </c>
      <c r="P2611" s="219">
        <f t="shared" ca="1" si="165"/>
        <v>61898</v>
      </c>
      <c r="Q2611" s="115" t="e">
        <f ca="1"/>
        <v>#VALUE!</v>
      </c>
      <c r="S2611" s="219">
        <f t="shared" ca="1" si="166"/>
        <v>61898</v>
      </c>
      <c r="T2611" s="115" t="e">
        <f ca="1"/>
        <v>#VALUE!</v>
      </c>
      <c r="V2611" s="219">
        <f t="shared" ca="1" si="167"/>
        <v>61898</v>
      </c>
      <c r="W2611" s="115" t="e">
        <f ca="1"/>
        <v>#VALUE!</v>
      </c>
    </row>
    <row r="2612" spans="13:23">
      <c r="M2612" s="219">
        <f t="shared" ca="1" si="164"/>
        <v>61905</v>
      </c>
      <c r="N2612" s="115" t="e">
        <f ca="1"/>
        <v>#VALUE!</v>
      </c>
      <c r="P2612" s="219">
        <f t="shared" ca="1" si="165"/>
        <v>61905</v>
      </c>
      <c r="Q2612" s="115" t="e">
        <f ca="1"/>
        <v>#VALUE!</v>
      </c>
      <c r="S2612" s="219">
        <f t="shared" ca="1" si="166"/>
        <v>61905</v>
      </c>
      <c r="T2612" s="115" t="e">
        <f ca="1"/>
        <v>#VALUE!</v>
      </c>
      <c r="V2612" s="219">
        <f t="shared" ca="1" si="167"/>
        <v>61905</v>
      </c>
      <c r="W2612" s="115" t="e">
        <f ca="1"/>
        <v>#VALUE!</v>
      </c>
    </row>
    <row r="2613" spans="13:23">
      <c r="M2613" s="219">
        <f t="shared" ca="1" si="164"/>
        <v>61912</v>
      </c>
      <c r="N2613" s="115" t="e">
        <f ca="1"/>
        <v>#VALUE!</v>
      </c>
      <c r="P2613" s="219">
        <f t="shared" ca="1" si="165"/>
        <v>61912</v>
      </c>
      <c r="Q2613" s="115" t="e">
        <f ca="1"/>
        <v>#VALUE!</v>
      </c>
      <c r="S2613" s="219">
        <f t="shared" ca="1" si="166"/>
        <v>61912</v>
      </c>
      <c r="T2613" s="115" t="e">
        <f ca="1"/>
        <v>#VALUE!</v>
      </c>
      <c r="V2613" s="219">
        <f t="shared" ca="1" si="167"/>
        <v>61912</v>
      </c>
      <c r="W2613" s="115" t="e">
        <f ca="1"/>
        <v>#VALUE!</v>
      </c>
    </row>
    <row r="2614" spans="13:23">
      <c r="M2614" s="219">
        <f t="shared" ca="1" si="164"/>
        <v>61919</v>
      </c>
      <c r="N2614" s="115" t="e">
        <f ca="1"/>
        <v>#VALUE!</v>
      </c>
      <c r="P2614" s="219">
        <f t="shared" ca="1" si="165"/>
        <v>61919</v>
      </c>
      <c r="Q2614" s="115" t="e">
        <f ca="1"/>
        <v>#VALUE!</v>
      </c>
      <c r="S2614" s="219">
        <f t="shared" ca="1" si="166"/>
        <v>61919</v>
      </c>
      <c r="T2614" s="115" t="e">
        <f ca="1"/>
        <v>#VALUE!</v>
      </c>
      <c r="V2614" s="219">
        <f t="shared" ca="1" si="167"/>
        <v>61919</v>
      </c>
      <c r="W2614" s="115" t="e">
        <f ca="1"/>
        <v>#VALUE!</v>
      </c>
    </row>
    <row r="2615" spans="13:23">
      <c r="M2615" s="219">
        <f t="shared" ca="1" si="164"/>
        <v>61926</v>
      </c>
      <c r="N2615" s="115" t="e">
        <f ca="1"/>
        <v>#VALUE!</v>
      </c>
      <c r="P2615" s="219">
        <f t="shared" ca="1" si="165"/>
        <v>61926</v>
      </c>
      <c r="Q2615" s="115" t="e">
        <f ca="1"/>
        <v>#VALUE!</v>
      </c>
      <c r="S2615" s="219">
        <f t="shared" ca="1" si="166"/>
        <v>61926</v>
      </c>
      <c r="T2615" s="115" t="e">
        <f ca="1"/>
        <v>#VALUE!</v>
      </c>
      <c r="V2615" s="219">
        <f t="shared" ca="1" si="167"/>
        <v>61926</v>
      </c>
      <c r="W2615" s="115" t="e">
        <f ca="1"/>
        <v>#VALUE!</v>
      </c>
    </row>
    <row r="2616" spans="13:23">
      <c r="M2616" s="219">
        <f t="shared" ca="1" si="164"/>
        <v>61933</v>
      </c>
      <c r="N2616" s="115" t="e">
        <f ca="1"/>
        <v>#VALUE!</v>
      </c>
      <c r="P2616" s="219">
        <f t="shared" ca="1" si="165"/>
        <v>61933</v>
      </c>
      <c r="Q2616" s="115" t="e">
        <f ca="1"/>
        <v>#VALUE!</v>
      </c>
      <c r="S2616" s="219">
        <f t="shared" ca="1" si="166"/>
        <v>61933</v>
      </c>
      <c r="T2616" s="115" t="e">
        <f ca="1"/>
        <v>#VALUE!</v>
      </c>
      <c r="V2616" s="219">
        <f t="shared" ca="1" si="167"/>
        <v>61933</v>
      </c>
      <c r="W2616" s="115" t="e">
        <f ca="1"/>
        <v>#VALUE!</v>
      </c>
    </row>
    <row r="2617" spans="13:23">
      <c r="M2617" s="219">
        <f t="shared" ca="1" si="164"/>
        <v>61940</v>
      </c>
      <c r="N2617" s="115" t="e">
        <f ca="1"/>
        <v>#VALUE!</v>
      </c>
      <c r="P2617" s="219">
        <f t="shared" ca="1" si="165"/>
        <v>61940</v>
      </c>
      <c r="Q2617" s="115" t="e">
        <f ca="1"/>
        <v>#VALUE!</v>
      </c>
      <c r="S2617" s="219">
        <f t="shared" ca="1" si="166"/>
        <v>61940</v>
      </c>
      <c r="T2617" s="115" t="e">
        <f ca="1"/>
        <v>#VALUE!</v>
      </c>
      <c r="V2617" s="219">
        <f t="shared" ca="1" si="167"/>
        <v>61940</v>
      </c>
      <c r="W2617" s="115" t="e">
        <f ca="1"/>
        <v>#VALUE!</v>
      </c>
    </row>
    <row r="2618" spans="13:23">
      <c r="M2618" s="219">
        <f t="shared" ca="1" si="164"/>
        <v>61947</v>
      </c>
      <c r="N2618" s="115" t="e">
        <f ca="1"/>
        <v>#VALUE!</v>
      </c>
      <c r="P2618" s="219">
        <f t="shared" ca="1" si="165"/>
        <v>61947</v>
      </c>
      <c r="Q2618" s="115" t="e">
        <f ca="1"/>
        <v>#VALUE!</v>
      </c>
      <c r="S2618" s="219">
        <f t="shared" ca="1" si="166"/>
        <v>61947</v>
      </c>
      <c r="T2618" s="115" t="e">
        <f ca="1"/>
        <v>#VALUE!</v>
      </c>
      <c r="V2618" s="219">
        <f t="shared" ca="1" si="167"/>
        <v>61947</v>
      </c>
      <c r="W2618" s="115" t="e">
        <f ca="1"/>
        <v>#VALUE!</v>
      </c>
    </row>
    <row r="2619" spans="13:23">
      <c r="M2619" s="219">
        <f t="shared" ca="1" si="164"/>
        <v>61954</v>
      </c>
      <c r="N2619" s="115" t="e">
        <f ca="1"/>
        <v>#VALUE!</v>
      </c>
      <c r="P2619" s="219">
        <f t="shared" ca="1" si="165"/>
        <v>61954</v>
      </c>
      <c r="Q2619" s="115" t="e">
        <f ca="1"/>
        <v>#VALUE!</v>
      </c>
      <c r="S2619" s="219">
        <f t="shared" ca="1" si="166"/>
        <v>61954</v>
      </c>
      <c r="T2619" s="115" t="e">
        <f ca="1"/>
        <v>#VALUE!</v>
      </c>
      <c r="V2619" s="219">
        <f t="shared" ca="1" si="167"/>
        <v>61954</v>
      </c>
      <c r="W2619" s="115" t="e">
        <f ca="1"/>
        <v>#VALUE!</v>
      </c>
    </row>
    <row r="2620" spans="13:23">
      <c r="M2620" s="219">
        <f t="shared" ca="1" si="164"/>
        <v>61961</v>
      </c>
      <c r="N2620" s="115" t="e">
        <f ca="1"/>
        <v>#VALUE!</v>
      </c>
      <c r="P2620" s="219">
        <f t="shared" ca="1" si="165"/>
        <v>61961</v>
      </c>
      <c r="Q2620" s="115" t="e">
        <f ca="1"/>
        <v>#VALUE!</v>
      </c>
      <c r="S2620" s="219">
        <f t="shared" ca="1" si="166"/>
        <v>61961</v>
      </c>
      <c r="T2620" s="115" t="e">
        <f ca="1"/>
        <v>#VALUE!</v>
      </c>
      <c r="V2620" s="219">
        <f t="shared" ca="1" si="167"/>
        <v>61961</v>
      </c>
      <c r="W2620" s="115" t="e">
        <f ca="1"/>
        <v>#VALUE!</v>
      </c>
    </row>
    <row r="2621" spans="13:23">
      <c r="M2621" s="219">
        <f t="shared" ca="1" si="164"/>
        <v>61968</v>
      </c>
      <c r="N2621" s="115" t="e">
        <f ca="1"/>
        <v>#VALUE!</v>
      </c>
      <c r="P2621" s="219">
        <f t="shared" ca="1" si="165"/>
        <v>61968</v>
      </c>
      <c r="Q2621" s="115" t="e">
        <f ca="1"/>
        <v>#VALUE!</v>
      </c>
      <c r="S2621" s="219">
        <f t="shared" ca="1" si="166"/>
        <v>61968</v>
      </c>
      <c r="T2621" s="115" t="e">
        <f ca="1"/>
        <v>#VALUE!</v>
      </c>
      <c r="V2621" s="219">
        <f t="shared" ca="1" si="167"/>
        <v>61968</v>
      </c>
      <c r="W2621" s="115" t="e">
        <f ca="1"/>
        <v>#VALUE!</v>
      </c>
    </row>
    <row r="2622" spans="13:23">
      <c r="M2622" s="219">
        <f t="shared" ca="1" si="164"/>
        <v>61975</v>
      </c>
      <c r="N2622" s="115" t="e">
        <f ca="1"/>
        <v>#VALUE!</v>
      </c>
      <c r="P2622" s="219">
        <f t="shared" ca="1" si="165"/>
        <v>61975</v>
      </c>
      <c r="Q2622" s="115" t="e">
        <f ca="1"/>
        <v>#VALUE!</v>
      </c>
      <c r="S2622" s="219">
        <f t="shared" ca="1" si="166"/>
        <v>61975</v>
      </c>
      <c r="T2622" s="115" t="e">
        <f ca="1"/>
        <v>#VALUE!</v>
      </c>
      <c r="V2622" s="219">
        <f t="shared" ca="1" si="167"/>
        <v>61975</v>
      </c>
      <c r="W2622" s="115" t="e">
        <f ca="1"/>
        <v>#VALUE!</v>
      </c>
    </row>
    <row r="2623" spans="13:23">
      <c r="M2623" s="219">
        <f t="shared" ca="1" si="164"/>
        <v>61982</v>
      </c>
      <c r="N2623" s="115" t="e">
        <f ca="1"/>
        <v>#VALUE!</v>
      </c>
      <c r="P2623" s="219">
        <f t="shared" ca="1" si="165"/>
        <v>61982</v>
      </c>
      <c r="Q2623" s="115" t="e">
        <f ca="1"/>
        <v>#VALUE!</v>
      </c>
      <c r="S2623" s="219">
        <f t="shared" ca="1" si="166"/>
        <v>61982</v>
      </c>
      <c r="T2623" s="115" t="e">
        <f ca="1"/>
        <v>#VALUE!</v>
      </c>
      <c r="V2623" s="219">
        <f t="shared" ca="1" si="167"/>
        <v>61982</v>
      </c>
      <c r="W2623" s="115" t="e">
        <f ca="1"/>
        <v>#VALUE!</v>
      </c>
    </row>
    <row r="2624" spans="13:23">
      <c r="M2624" s="219">
        <f t="shared" ca="1" si="164"/>
        <v>61989</v>
      </c>
      <c r="N2624" s="115" t="e">
        <f ca="1"/>
        <v>#VALUE!</v>
      </c>
      <c r="P2624" s="219">
        <f t="shared" ca="1" si="165"/>
        <v>61989</v>
      </c>
      <c r="Q2624" s="115" t="e">
        <f ca="1"/>
        <v>#VALUE!</v>
      </c>
      <c r="S2624" s="219">
        <f t="shared" ca="1" si="166"/>
        <v>61989</v>
      </c>
      <c r="T2624" s="115" t="e">
        <f ca="1"/>
        <v>#VALUE!</v>
      </c>
      <c r="V2624" s="219">
        <f t="shared" ca="1" si="167"/>
        <v>61989</v>
      </c>
      <c r="W2624" s="115" t="e">
        <f ca="1"/>
        <v>#VALUE!</v>
      </c>
    </row>
    <row r="2625" spans="13:23">
      <c r="M2625" s="219">
        <f t="shared" ca="1" si="164"/>
        <v>61996</v>
      </c>
      <c r="N2625" s="115" t="e">
        <f ca="1"/>
        <v>#VALUE!</v>
      </c>
      <c r="P2625" s="219">
        <f t="shared" ca="1" si="165"/>
        <v>61996</v>
      </c>
      <c r="Q2625" s="115" t="e">
        <f ca="1"/>
        <v>#VALUE!</v>
      </c>
      <c r="S2625" s="219">
        <f t="shared" ca="1" si="166"/>
        <v>61996</v>
      </c>
      <c r="T2625" s="115" t="e">
        <f ca="1"/>
        <v>#VALUE!</v>
      </c>
      <c r="V2625" s="219">
        <f t="shared" ca="1" si="167"/>
        <v>61996</v>
      </c>
      <c r="W2625" s="115" t="e">
        <f ca="1"/>
        <v>#VALUE!</v>
      </c>
    </row>
    <row r="2626" spans="13:23">
      <c r="M2626" s="219">
        <f t="shared" ca="1" si="164"/>
        <v>62003</v>
      </c>
      <c r="N2626" s="115" t="e">
        <f ca="1"/>
        <v>#VALUE!</v>
      </c>
      <c r="P2626" s="219">
        <f t="shared" ca="1" si="165"/>
        <v>62003</v>
      </c>
      <c r="Q2626" s="115" t="e">
        <f ca="1"/>
        <v>#VALUE!</v>
      </c>
      <c r="S2626" s="219">
        <f t="shared" ca="1" si="166"/>
        <v>62003</v>
      </c>
      <c r="T2626" s="115" t="e">
        <f ca="1"/>
        <v>#VALUE!</v>
      </c>
      <c r="V2626" s="219">
        <f t="shared" ca="1" si="167"/>
        <v>62003</v>
      </c>
      <c r="W2626" s="115" t="e">
        <f ca="1"/>
        <v>#VALUE!</v>
      </c>
    </row>
    <row r="2627" spans="13:23">
      <c r="M2627" s="219">
        <f t="shared" ca="1" si="164"/>
        <v>62010</v>
      </c>
      <c r="N2627" s="115" t="e">
        <f ca="1"/>
        <v>#VALUE!</v>
      </c>
      <c r="P2627" s="219">
        <f t="shared" ca="1" si="165"/>
        <v>62010</v>
      </c>
      <c r="Q2627" s="115" t="e">
        <f ca="1"/>
        <v>#VALUE!</v>
      </c>
      <c r="S2627" s="219">
        <f t="shared" ca="1" si="166"/>
        <v>62010</v>
      </c>
      <c r="T2627" s="115" t="e">
        <f ca="1"/>
        <v>#VALUE!</v>
      </c>
      <c r="V2627" s="219">
        <f t="shared" ca="1" si="167"/>
        <v>62010</v>
      </c>
      <c r="W2627" s="115" t="e">
        <f ca="1"/>
        <v>#VALUE!</v>
      </c>
    </row>
    <row r="2628" spans="13:23">
      <c r="M2628" s="219">
        <f t="shared" ca="1" si="164"/>
        <v>62017</v>
      </c>
      <c r="N2628" s="115" t="e">
        <f ca="1"/>
        <v>#VALUE!</v>
      </c>
      <c r="P2628" s="219">
        <f t="shared" ca="1" si="165"/>
        <v>62017</v>
      </c>
      <c r="Q2628" s="115" t="e">
        <f ca="1"/>
        <v>#VALUE!</v>
      </c>
      <c r="S2628" s="219">
        <f t="shared" ca="1" si="166"/>
        <v>62017</v>
      </c>
      <c r="T2628" s="115" t="e">
        <f ca="1"/>
        <v>#VALUE!</v>
      </c>
      <c r="V2628" s="219">
        <f t="shared" ca="1" si="167"/>
        <v>62017</v>
      </c>
      <c r="W2628" s="115" t="e">
        <f ca="1"/>
        <v>#VALUE!</v>
      </c>
    </row>
    <row r="2629" spans="13:23">
      <c r="M2629" s="219">
        <f t="shared" ca="1" si="164"/>
        <v>62024</v>
      </c>
      <c r="N2629" s="115" t="e">
        <f ca="1"/>
        <v>#VALUE!</v>
      </c>
      <c r="P2629" s="219">
        <f t="shared" ca="1" si="165"/>
        <v>62024</v>
      </c>
      <c r="Q2629" s="115" t="e">
        <f ca="1"/>
        <v>#VALUE!</v>
      </c>
      <c r="S2629" s="219">
        <f t="shared" ca="1" si="166"/>
        <v>62024</v>
      </c>
      <c r="T2629" s="115" t="e">
        <f ca="1"/>
        <v>#VALUE!</v>
      </c>
      <c r="V2629" s="219">
        <f t="shared" ca="1" si="167"/>
        <v>62024</v>
      </c>
      <c r="W2629" s="115" t="e">
        <f ca="1"/>
        <v>#VALUE!</v>
      </c>
    </row>
    <row r="2630" spans="13:23">
      <c r="M2630" s="219">
        <f t="shared" ca="1" si="164"/>
        <v>62031</v>
      </c>
      <c r="N2630" s="115" t="e">
        <f ca="1"/>
        <v>#VALUE!</v>
      </c>
      <c r="P2630" s="219">
        <f t="shared" ca="1" si="165"/>
        <v>62031</v>
      </c>
      <c r="Q2630" s="115" t="e">
        <f ca="1"/>
        <v>#VALUE!</v>
      </c>
      <c r="S2630" s="219">
        <f t="shared" ca="1" si="166"/>
        <v>62031</v>
      </c>
      <c r="T2630" s="115" t="e">
        <f ca="1"/>
        <v>#VALUE!</v>
      </c>
      <c r="V2630" s="219">
        <f t="shared" ca="1" si="167"/>
        <v>62031</v>
      </c>
      <c r="W2630" s="115" t="e">
        <f ca="1"/>
        <v>#VALUE!</v>
      </c>
    </row>
    <row r="2631" spans="13:23">
      <c r="M2631" s="219">
        <f t="shared" ca="1" si="164"/>
        <v>62038</v>
      </c>
      <c r="N2631" s="115" t="e">
        <f ca="1"/>
        <v>#VALUE!</v>
      </c>
      <c r="P2631" s="219">
        <f t="shared" ca="1" si="165"/>
        <v>62038</v>
      </c>
      <c r="Q2631" s="115" t="e">
        <f ca="1"/>
        <v>#VALUE!</v>
      </c>
      <c r="S2631" s="219">
        <f t="shared" ca="1" si="166"/>
        <v>62038</v>
      </c>
      <c r="T2631" s="115" t="e">
        <f ca="1"/>
        <v>#VALUE!</v>
      </c>
      <c r="V2631" s="219">
        <f t="shared" ca="1" si="167"/>
        <v>62038</v>
      </c>
      <c r="W2631" s="115" t="e">
        <f ca="1"/>
        <v>#VALUE!</v>
      </c>
    </row>
    <row r="2632" spans="13:23">
      <c r="M2632" s="219">
        <f t="shared" ca="1" si="164"/>
        <v>62045</v>
      </c>
      <c r="N2632" s="115" t="e">
        <f ca="1"/>
        <v>#VALUE!</v>
      </c>
      <c r="P2632" s="219">
        <f t="shared" ca="1" si="165"/>
        <v>62045</v>
      </c>
      <c r="Q2632" s="115" t="e">
        <f ca="1"/>
        <v>#VALUE!</v>
      </c>
      <c r="S2632" s="219">
        <f t="shared" ca="1" si="166"/>
        <v>62045</v>
      </c>
      <c r="T2632" s="115" t="e">
        <f ca="1"/>
        <v>#VALUE!</v>
      </c>
      <c r="V2632" s="219">
        <f t="shared" ca="1" si="167"/>
        <v>62045</v>
      </c>
      <c r="W2632" s="115" t="e">
        <f ca="1"/>
        <v>#VALUE!</v>
      </c>
    </row>
    <row r="2633" spans="13:23">
      <c r="M2633" s="219">
        <f t="shared" ca="1" si="164"/>
        <v>62052</v>
      </c>
      <c r="N2633" s="115" t="e">
        <f ca="1"/>
        <v>#VALUE!</v>
      </c>
      <c r="P2633" s="219">
        <f t="shared" ca="1" si="165"/>
        <v>62052</v>
      </c>
      <c r="Q2633" s="115" t="e">
        <f ca="1"/>
        <v>#VALUE!</v>
      </c>
      <c r="S2633" s="219">
        <f t="shared" ca="1" si="166"/>
        <v>62052</v>
      </c>
      <c r="T2633" s="115" t="e">
        <f ca="1"/>
        <v>#VALUE!</v>
      </c>
      <c r="V2633" s="219">
        <f t="shared" ca="1" si="167"/>
        <v>62052</v>
      </c>
      <c r="W2633" s="115" t="e">
        <f ca="1"/>
        <v>#VALUE!</v>
      </c>
    </row>
    <row r="2634" spans="13:23">
      <c r="M2634" s="219">
        <f t="shared" ca="1" si="164"/>
        <v>62059</v>
      </c>
      <c r="N2634" s="115" t="e">
        <f ca="1"/>
        <v>#VALUE!</v>
      </c>
      <c r="P2634" s="219">
        <f t="shared" ca="1" si="165"/>
        <v>62059</v>
      </c>
      <c r="Q2634" s="115" t="e">
        <f ca="1"/>
        <v>#VALUE!</v>
      </c>
      <c r="S2634" s="219">
        <f t="shared" ca="1" si="166"/>
        <v>62059</v>
      </c>
      <c r="T2634" s="115" t="e">
        <f ca="1"/>
        <v>#VALUE!</v>
      </c>
      <c r="V2634" s="219">
        <f t="shared" ca="1" si="167"/>
        <v>62059</v>
      </c>
      <c r="W2634" s="115" t="e">
        <f ca="1"/>
        <v>#VALUE!</v>
      </c>
    </row>
    <row r="2635" spans="13:23">
      <c r="M2635" s="219">
        <f t="shared" ca="1" si="164"/>
        <v>62066</v>
      </c>
      <c r="N2635" s="115" t="e">
        <f ca="1"/>
        <v>#VALUE!</v>
      </c>
      <c r="P2635" s="219">
        <f t="shared" ca="1" si="165"/>
        <v>62066</v>
      </c>
      <c r="Q2635" s="115" t="e">
        <f ca="1"/>
        <v>#VALUE!</v>
      </c>
      <c r="S2635" s="219">
        <f t="shared" ca="1" si="166"/>
        <v>62066</v>
      </c>
      <c r="T2635" s="115" t="e">
        <f ca="1"/>
        <v>#VALUE!</v>
      </c>
      <c r="V2635" s="219">
        <f t="shared" ca="1" si="167"/>
        <v>62066</v>
      </c>
      <c r="W2635" s="115" t="e">
        <f ca="1"/>
        <v>#VALUE!</v>
      </c>
    </row>
    <row r="2636" spans="13:23">
      <c r="M2636" s="219">
        <f t="shared" ca="1" si="164"/>
        <v>62073</v>
      </c>
      <c r="N2636" s="115" t="e">
        <f ca="1"/>
        <v>#VALUE!</v>
      </c>
      <c r="P2636" s="219">
        <f t="shared" ca="1" si="165"/>
        <v>62073</v>
      </c>
      <c r="Q2636" s="115" t="e">
        <f ca="1"/>
        <v>#VALUE!</v>
      </c>
      <c r="S2636" s="219">
        <f t="shared" ca="1" si="166"/>
        <v>62073</v>
      </c>
      <c r="T2636" s="115" t="e">
        <f ca="1"/>
        <v>#VALUE!</v>
      </c>
      <c r="V2636" s="219">
        <f t="shared" ca="1" si="167"/>
        <v>62073</v>
      </c>
      <c r="W2636" s="115" t="e">
        <f ca="1"/>
        <v>#VALUE!</v>
      </c>
    </row>
    <row r="2637" spans="13:23">
      <c r="M2637" s="219">
        <f t="shared" ref="M2637:M2700" ca="1" si="168">M2636+7</f>
        <v>62080</v>
      </c>
      <c r="N2637" s="115" t="e">
        <f ca="1"/>
        <v>#VALUE!</v>
      </c>
      <c r="P2637" s="219">
        <f t="shared" ca="1" si="165"/>
        <v>62080</v>
      </c>
      <c r="Q2637" s="115" t="e">
        <f ca="1"/>
        <v>#VALUE!</v>
      </c>
      <c r="S2637" s="219">
        <f t="shared" ca="1" si="166"/>
        <v>62080</v>
      </c>
      <c r="T2637" s="115" t="e">
        <f ca="1"/>
        <v>#VALUE!</v>
      </c>
      <c r="V2637" s="219">
        <f t="shared" ca="1" si="167"/>
        <v>62080</v>
      </c>
      <c r="W2637" s="115" t="e">
        <f ca="1"/>
        <v>#VALUE!</v>
      </c>
    </row>
    <row r="2638" spans="13:23">
      <c r="M2638" s="219">
        <f t="shared" ca="1" si="168"/>
        <v>62087</v>
      </c>
      <c r="N2638" s="115" t="e">
        <f ca="1"/>
        <v>#VALUE!</v>
      </c>
      <c r="P2638" s="219">
        <f t="shared" ca="1" si="165"/>
        <v>62087</v>
      </c>
      <c r="Q2638" s="115" t="e">
        <f ca="1"/>
        <v>#VALUE!</v>
      </c>
      <c r="S2638" s="219">
        <f t="shared" ca="1" si="166"/>
        <v>62087</v>
      </c>
      <c r="T2638" s="115" t="e">
        <f ca="1"/>
        <v>#VALUE!</v>
      </c>
      <c r="V2638" s="219">
        <f t="shared" ca="1" si="167"/>
        <v>62087</v>
      </c>
      <c r="W2638" s="115" t="e">
        <f ca="1"/>
        <v>#VALUE!</v>
      </c>
    </row>
    <row r="2639" spans="13:23">
      <c r="M2639" s="219">
        <f t="shared" ca="1" si="168"/>
        <v>62094</v>
      </c>
      <c r="N2639" s="115" t="e">
        <f ca="1"/>
        <v>#VALUE!</v>
      </c>
      <c r="P2639" s="219">
        <f t="shared" ca="1" si="165"/>
        <v>62094</v>
      </c>
      <c r="Q2639" s="115" t="e">
        <f ca="1"/>
        <v>#VALUE!</v>
      </c>
      <c r="S2639" s="219">
        <f t="shared" ca="1" si="166"/>
        <v>62094</v>
      </c>
      <c r="T2639" s="115" t="e">
        <f ca="1"/>
        <v>#VALUE!</v>
      </c>
      <c r="V2639" s="219">
        <f t="shared" ca="1" si="167"/>
        <v>62094</v>
      </c>
      <c r="W2639" s="115" t="e">
        <f ca="1"/>
        <v>#VALUE!</v>
      </c>
    </row>
    <row r="2640" spans="13:23">
      <c r="M2640" s="219">
        <f t="shared" ca="1" si="168"/>
        <v>62101</v>
      </c>
      <c r="N2640" s="115" t="e">
        <f ca="1"/>
        <v>#VALUE!</v>
      </c>
      <c r="P2640" s="219">
        <f t="shared" ca="1" si="165"/>
        <v>62101</v>
      </c>
      <c r="Q2640" s="115" t="e">
        <f ca="1"/>
        <v>#VALUE!</v>
      </c>
      <c r="S2640" s="219">
        <f t="shared" ca="1" si="166"/>
        <v>62101</v>
      </c>
      <c r="T2640" s="115" t="e">
        <f ca="1"/>
        <v>#VALUE!</v>
      </c>
      <c r="V2640" s="219">
        <f t="shared" ca="1" si="167"/>
        <v>62101</v>
      </c>
      <c r="W2640" s="115" t="e">
        <f ca="1"/>
        <v>#VALUE!</v>
      </c>
    </row>
    <row r="2641" spans="13:23">
      <c r="M2641" s="219">
        <f t="shared" ca="1" si="168"/>
        <v>62108</v>
      </c>
      <c r="N2641" s="115" t="e">
        <f ca="1"/>
        <v>#VALUE!</v>
      </c>
      <c r="P2641" s="219">
        <f t="shared" ca="1" si="165"/>
        <v>62108</v>
      </c>
      <c r="Q2641" s="115" t="e">
        <f ca="1"/>
        <v>#VALUE!</v>
      </c>
      <c r="S2641" s="219">
        <f t="shared" ca="1" si="166"/>
        <v>62108</v>
      </c>
      <c r="T2641" s="115" t="e">
        <f ca="1"/>
        <v>#VALUE!</v>
      </c>
      <c r="V2641" s="219">
        <f t="shared" ca="1" si="167"/>
        <v>62108</v>
      </c>
      <c r="W2641" s="115" t="e">
        <f ca="1"/>
        <v>#VALUE!</v>
      </c>
    </row>
    <row r="2642" spans="13:23">
      <c r="M2642" s="219">
        <f t="shared" ca="1" si="168"/>
        <v>62115</v>
      </c>
      <c r="N2642" s="115" t="e">
        <f ca="1"/>
        <v>#VALUE!</v>
      </c>
      <c r="P2642" s="219">
        <f t="shared" ca="1" si="165"/>
        <v>62115</v>
      </c>
      <c r="Q2642" s="115" t="e">
        <f ca="1"/>
        <v>#VALUE!</v>
      </c>
      <c r="S2642" s="219">
        <f t="shared" ca="1" si="166"/>
        <v>62115</v>
      </c>
      <c r="T2642" s="115" t="e">
        <f ca="1"/>
        <v>#VALUE!</v>
      </c>
      <c r="V2642" s="219">
        <f t="shared" ca="1" si="167"/>
        <v>62115</v>
      </c>
      <c r="W2642" s="115" t="e">
        <f ca="1"/>
        <v>#VALUE!</v>
      </c>
    </row>
    <row r="2643" spans="13:23">
      <c r="M2643" s="219">
        <f t="shared" ca="1" si="168"/>
        <v>62122</v>
      </c>
      <c r="N2643" s="115" t="e">
        <f ca="1"/>
        <v>#VALUE!</v>
      </c>
      <c r="P2643" s="219">
        <f t="shared" ca="1" si="165"/>
        <v>62122</v>
      </c>
      <c r="Q2643" s="115" t="e">
        <f ca="1"/>
        <v>#VALUE!</v>
      </c>
      <c r="S2643" s="219">
        <f t="shared" ca="1" si="166"/>
        <v>62122</v>
      </c>
      <c r="T2643" s="115" t="e">
        <f ca="1"/>
        <v>#VALUE!</v>
      </c>
      <c r="V2643" s="219">
        <f t="shared" ca="1" si="167"/>
        <v>62122</v>
      </c>
      <c r="W2643" s="115" t="e">
        <f ca="1"/>
        <v>#VALUE!</v>
      </c>
    </row>
    <row r="2644" spans="13:23">
      <c r="M2644" s="219">
        <f t="shared" ca="1" si="168"/>
        <v>62129</v>
      </c>
      <c r="N2644" s="115" t="e">
        <f ca="1"/>
        <v>#VALUE!</v>
      </c>
      <c r="P2644" s="219">
        <f t="shared" ca="1" si="165"/>
        <v>62129</v>
      </c>
      <c r="Q2644" s="115" t="e">
        <f ca="1"/>
        <v>#VALUE!</v>
      </c>
      <c r="S2644" s="219">
        <f t="shared" ca="1" si="166"/>
        <v>62129</v>
      </c>
      <c r="T2644" s="115" t="e">
        <f ca="1"/>
        <v>#VALUE!</v>
      </c>
      <c r="V2644" s="219">
        <f t="shared" ca="1" si="167"/>
        <v>62129</v>
      </c>
      <c r="W2644" s="115" t="e">
        <f ca="1"/>
        <v>#VALUE!</v>
      </c>
    </row>
    <row r="2645" spans="13:23">
      <c r="M2645" s="219">
        <f t="shared" ca="1" si="168"/>
        <v>62136</v>
      </c>
      <c r="N2645" s="115" t="e">
        <f ca="1"/>
        <v>#VALUE!</v>
      </c>
      <c r="P2645" s="219">
        <f t="shared" ca="1" si="165"/>
        <v>62136</v>
      </c>
      <c r="Q2645" s="115" t="e">
        <f ca="1"/>
        <v>#VALUE!</v>
      </c>
      <c r="S2645" s="219">
        <f t="shared" ca="1" si="166"/>
        <v>62136</v>
      </c>
      <c r="T2645" s="115" t="e">
        <f ca="1"/>
        <v>#VALUE!</v>
      </c>
      <c r="V2645" s="219">
        <f t="shared" ca="1" si="167"/>
        <v>62136</v>
      </c>
      <c r="W2645" s="115" t="e">
        <f ca="1"/>
        <v>#VALUE!</v>
      </c>
    </row>
    <row r="2646" spans="13:23">
      <c r="M2646" s="219">
        <f t="shared" ca="1" si="168"/>
        <v>62143</v>
      </c>
      <c r="N2646" s="115" t="e">
        <f ca="1"/>
        <v>#VALUE!</v>
      </c>
      <c r="P2646" s="219">
        <f t="shared" ca="1" si="165"/>
        <v>62143</v>
      </c>
      <c r="Q2646" s="115" t="e">
        <f ca="1"/>
        <v>#VALUE!</v>
      </c>
      <c r="S2646" s="219">
        <f t="shared" ca="1" si="166"/>
        <v>62143</v>
      </c>
      <c r="T2646" s="115" t="e">
        <f ca="1"/>
        <v>#VALUE!</v>
      </c>
      <c r="V2646" s="219">
        <f t="shared" ca="1" si="167"/>
        <v>62143</v>
      </c>
      <c r="W2646" s="115" t="e">
        <f ca="1"/>
        <v>#VALUE!</v>
      </c>
    </row>
    <row r="2647" spans="13:23">
      <c r="M2647" s="219">
        <f t="shared" ca="1" si="168"/>
        <v>62150</v>
      </c>
      <c r="N2647" s="115" t="e">
        <f ca="1"/>
        <v>#VALUE!</v>
      </c>
      <c r="P2647" s="219">
        <f t="shared" ca="1" si="165"/>
        <v>62150</v>
      </c>
      <c r="Q2647" s="115" t="e">
        <f ca="1"/>
        <v>#VALUE!</v>
      </c>
      <c r="S2647" s="219">
        <f t="shared" ca="1" si="166"/>
        <v>62150</v>
      </c>
      <c r="T2647" s="115" t="e">
        <f ca="1"/>
        <v>#VALUE!</v>
      </c>
      <c r="V2647" s="219">
        <f t="shared" ca="1" si="167"/>
        <v>62150</v>
      </c>
      <c r="W2647" s="115" t="e">
        <f ca="1"/>
        <v>#VALUE!</v>
      </c>
    </row>
    <row r="2648" spans="13:23">
      <c r="M2648" s="219">
        <f t="shared" ca="1" si="168"/>
        <v>62157</v>
      </c>
      <c r="N2648" s="115" t="e">
        <f ca="1"/>
        <v>#VALUE!</v>
      </c>
      <c r="P2648" s="219">
        <f t="shared" ca="1" si="165"/>
        <v>62157</v>
      </c>
      <c r="Q2648" s="115" t="e">
        <f ca="1"/>
        <v>#VALUE!</v>
      </c>
      <c r="S2648" s="219">
        <f t="shared" ca="1" si="166"/>
        <v>62157</v>
      </c>
      <c r="T2648" s="115" t="e">
        <f ca="1"/>
        <v>#VALUE!</v>
      </c>
      <c r="V2648" s="219">
        <f t="shared" ca="1" si="167"/>
        <v>62157</v>
      </c>
      <c r="W2648" s="115" t="e">
        <f ca="1"/>
        <v>#VALUE!</v>
      </c>
    </row>
    <row r="2649" spans="13:23">
      <c r="M2649" s="219">
        <f t="shared" ca="1" si="168"/>
        <v>62164</v>
      </c>
      <c r="N2649" s="115" t="e">
        <f ca="1"/>
        <v>#VALUE!</v>
      </c>
      <c r="P2649" s="219">
        <f t="shared" ca="1" si="165"/>
        <v>62164</v>
      </c>
      <c r="Q2649" s="115" t="e">
        <f ca="1"/>
        <v>#VALUE!</v>
      </c>
      <c r="S2649" s="219">
        <f t="shared" ca="1" si="166"/>
        <v>62164</v>
      </c>
      <c r="T2649" s="115" t="e">
        <f ca="1"/>
        <v>#VALUE!</v>
      </c>
      <c r="V2649" s="219">
        <f t="shared" ca="1" si="167"/>
        <v>62164</v>
      </c>
      <c r="W2649" s="115" t="e">
        <f ca="1"/>
        <v>#VALUE!</v>
      </c>
    </row>
    <row r="2650" spans="13:23">
      <c r="M2650" s="219">
        <f t="shared" ca="1" si="168"/>
        <v>62171</v>
      </c>
      <c r="N2650" s="115" t="e">
        <f ca="1"/>
        <v>#VALUE!</v>
      </c>
      <c r="P2650" s="219">
        <f t="shared" ca="1" si="165"/>
        <v>62171</v>
      </c>
      <c r="Q2650" s="115" t="e">
        <f ca="1"/>
        <v>#VALUE!</v>
      </c>
      <c r="S2650" s="219">
        <f t="shared" ca="1" si="166"/>
        <v>62171</v>
      </c>
      <c r="T2650" s="115" t="e">
        <f ca="1"/>
        <v>#VALUE!</v>
      </c>
      <c r="V2650" s="219">
        <f t="shared" ca="1" si="167"/>
        <v>62171</v>
      </c>
      <c r="W2650" s="115" t="e">
        <f ca="1"/>
        <v>#VALUE!</v>
      </c>
    </row>
    <row r="2651" spans="13:23">
      <c r="M2651" s="219">
        <f t="shared" ca="1" si="168"/>
        <v>62178</v>
      </c>
      <c r="N2651" s="115" t="e">
        <f ca="1"/>
        <v>#VALUE!</v>
      </c>
      <c r="P2651" s="219">
        <f t="shared" ca="1" si="165"/>
        <v>62178</v>
      </c>
      <c r="Q2651" s="115" t="e">
        <f ca="1"/>
        <v>#VALUE!</v>
      </c>
      <c r="S2651" s="219">
        <f t="shared" ca="1" si="166"/>
        <v>62178</v>
      </c>
      <c r="T2651" s="115" t="e">
        <f ca="1"/>
        <v>#VALUE!</v>
      </c>
      <c r="V2651" s="219">
        <f t="shared" ca="1" si="167"/>
        <v>62178</v>
      </c>
      <c r="W2651" s="115" t="e">
        <f ca="1"/>
        <v>#VALUE!</v>
      </c>
    </row>
    <row r="2652" spans="13:23">
      <c r="M2652" s="219">
        <f t="shared" ca="1" si="168"/>
        <v>62185</v>
      </c>
      <c r="N2652" s="115" t="e">
        <f ca="1"/>
        <v>#VALUE!</v>
      </c>
      <c r="P2652" s="219">
        <f t="shared" ca="1" si="165"/>
        <v>62185</v>
      </c>
      <c r="Q2652" s="115" t="e">
        <f ca="1"/>
        <v>#VALUE!</v>
      </c>
      <c r="S2652" s="219">
        <f t="shared" ca="1" si="166"/>
        <v>62185</v>
      </c>
      <c r="T2652" s="115" t="e">
        <f ca="1"/>
        <v>#VALUE!</v>
      </c>
      <c r="V2652" s="219">
        <f t="shared" ca="1" si="167"/>
        <v>62185</v>
      </c>
      <c r="W2652" s="115" t="e">
        <f ca="1"/>
        <v>#VALUE!</v>
      </c>
    </row>
    <row r="2653" spans="13:23">
      <c r="M2653" s="219">
        <f t="shared" ca="1" si="168"/>
        <v>62192</v>
      </c>
      <c r="N2653" s="115" t="e">
        <f ca="1"/>
        <v>#VALUE!</v>
      </c>
      <c r="P2653" s="219">
        <f t="shared" ref="P2653:P2716" ca="1" si="169">P2652+7</f>
        <v>62192</v>
      </c>
      <c r="Q2653" s="115" t="e">
        <f ca="1"/>
        <v>#VALUE!</v>
      </c>
      <c r="S2653" s="219">
        <f t="shared" ref="S2653:S2716" ca="1" si="170">S2652+7</f>
        <v>62192</v>
      </c>
      <c r="T2653" s="115" t="e">
        <f ca="1"/>
        <v>#VALUE!</v>
      </c>
      <c r="V2653" s="219">
        <f t="shared" ref="V2653:V2716" ca="1" si="171">V2652+7</f>
        <v>62192</v>
      </c>
      <c r="W2653" s="115" t="e">
        <f ca="1"/>
        <v>#VALUE!</v>
      </c>
    </row>
    <row r="2654" spans="13:23">
      <c r="M2654" s="219">
        <f t="shared" ca="1" si="168"/>
        <v>62199</v>
      </c>
      <c r="N2654" s="115" t="e">
        <f ca="1"/>
        <v>#VALUE!</v>
      </c>
      <c r="P2654" s="219">
        <f t="shared" ca="1" si="169"/>
        <v>62199</v>
      </c>
      <c r="Q2654" s="115" t="e">
        <f ca="1"/>
        <v>#VALUE!</v>
      </c>
      <c r="S2654" s="219">
        <f t="shared" ca="1" si="170"/>
        <v>62199</v>
      </c>
      <c r="T2654" s="115" t="e">
        <f ca="1"/>
        <v>#VALUE!</v>
      </c>
      <c r="V2654" s="219">
        <f t="shared" ca="1" si="171"/>
        <v>62199</v>
      </c>
      <c r="W2654" s="115" t="e">
        <f ca="1"/>
        <v>#VALUE!</v>
      </c>
    </row>
    <row r="2655" spans="13:23">
      <c r="M2655" s="219">
        <f t="shared" ca="1" si="168"/>
        <v>62206</v>
      </c>
      <c r="N2655" s="115" t="e">
        <f ca="1"/>
        <v>#VALUE!</v>
      </c>
      <c r="P2655" s="219">
        <f t="shared" ca="1" si="169"/>
        <v>62206</v>
      </c>
      <c r="Q2655" s="115" t="e">
        <f ca="1"/>
        <v>#VALUE!</v>
      </c>
      <c r="S2655" s="219">
        <f t="shared" ca="1" si="170"/>
        <v>62206</v>
      </c>
      <c r="T2655" s="115" t="e">
        <f ca="1"/>
        <v>#VALUE!</v>
      </c>
      <c r="V2655" s="219">
        <f t="shared" ca="1" si="171"/>
        <v>62206</v>
      </c>
      <c r="W2655" s="115" t="e">
        <f ca="1"/>
        <v>#VALUE!</v>
      </c>
    </row>
    <row r="2656" spans="13:23">
      <c r="M2656" s="219">
        <f t="shared" ca="1" si="168"/>
        <v>62213</v>
      </c>
      <c r="N2656" s="115" t="e">
        <f ca="1"/>
        <v>#VALUE!</v>
      </c>
      <c r="P2656" s="219">
        <f t="shared" ca="1" si="169"/>
        <v>62213</v>
      </c>
      <c r="Q2656" s="115" t="e">
        <f ca="1"/>
        <v>#VALUE!</v>
      </c>
      <c r="S2656" s="219">
        <f t="shared" ca="1" si="170"/>
        <v>62213</v>
      </c>
      <c r="T2656" s="115" t="e">
        <f ca="1"/>
        <v>#VALUE!</v>
      </c>
      <c r="V2656" s="219">
        <f t="shared" ca="1" si="171"/>
        <v>62213</v>
      </c>
      <c r="W2656" s="115" t="e">
        <f ca="1"/>
        <v>#VALUE!</v>
      </c>
    </row>
    <row r="2657" spans="13:23">
      <c r="M2657" s="219">
        <f t="shared" ca="1" si="168"/>
        <v>62220</v>
      </c>
      <c r="N2657" s="115" t="e">
        <f ca="1"/>
        <v>#VALUE!</v>
      </c>
      <c r="P2657" s="219">
        <f t="shared" ca="1" si="169"/>
        <v>62220</v>
      </c>
      <c r="Q2657" s="115" t="e">
        <f ca="1"/>
        <v>#VALUE!</v>
      </c>
      <c r="S2657" s="219">
        <f t="shared" ca="1" si="170"/>
        <v>62220</v>
      </c>
      <c r="T2657" s="115" t="e">
        <f ca="1"/>
        <v>#VALUE!</v>
      </c>
      <c r="V2657" s="219">
        <f t="shared" ca="1" si="171"/>
        <v>62220</v>
      </c>
      <c r="W2657" s="115" t="e">
        <f ca="1"/>
        <v>#VALUE!</v>
      </c>
    </row>
    <row r="2658" spans="13:23">
      <c r="M2658" s="219">
        <f t="shared" ca="1" si="168"/>
        <v>62227</v>
      </c>
      <c r="N2658" s="115" t="e">
        <f ca="1"/>
        <v>#VALUE!</v>
      </c>
      <c r="P2658" s="219">
        <f t="shared" ca="1" si="169"/>
        <v>62227</v>
      </c>
      <c r="Q2658" s="115" t="e">
        <f ca="1"/>
        <v>#VALUE!</v>
      </c>
      <c r="S2658" s="219">
        <f t="shared" ca="1" si="170"/>
        <v>62227</v>
      </c>
      <c r="T2658" s="115" t="e">
        <f ca="1"/>
        <v>#VALUE!</v>
      </c>
      <c r="V2658" s="219">
        <f t="shared" ca="1" si="171"/>
        <v>62227</v>
      </c>
      <c r="W2658" s="115" t="e">
        <f ca="1"/>
        <v>#VALUE!</v>
      </c>
    </row>
    <row r="2659" spans="13:23">
      <c r="M2659" s="219">
        <f t="shared" ca="1" si="168"/>
        <v>62234</v>
      </c>
      <c r="N2659" s="115" t="e">
        <f ca="1"/>
        <v>#VALUE!</v>
      </c>
      <c r="P2659" s="219">
        <f t="shared" ca="1" si="169"/>
        <v>62234</v>
      </c>
      <c r="Q2659" s="115" t="e">
        <f ca="1"/>
        <v>#VALUE!</v>
      </c>
      <c r="S2659" s="219">
        <f t="shared" ca="1" si="170"/>
        <v>62234</v>
      </c>
      <c r="T2659" s="115" t="e">
        <f ca="1"/>
        <v>#VALUE!</v>
      </c>
      <c r="V2659" s="219">
        <f t="shared" ca="1" si="171"/>
        <v>62234</v>
      </c>
      <c r="W2659" s="115" t="e">
        <f ca="1"/>
        <v>#VALUE!</v>
      </c>
    </row>
    <row r="2660" spans="13:23">
      <c r="M2660" s="219">
        <f t="shared" ca="1" si="168"/>
        <v>62241</v>
      </c>
      <c r="N2660" s="115" t="e">
        <f ca="1"/>
        <v>#VALUE!</v>
      </c>
      <c r="P2660" s="219">
        <f t="shared" ca="1" si="169"/>
        <v>62241</v>
      </c>
      <c r="Q2660" s="115" t="e">
        <f ca="1"/>
        <v>#VALUE!</v>
      </c>
      <c r="S2660" s="219">
        <f t="shared" ca="1" si="170"/>
        <v>62241</v>
      </c>
      <c r="T2660" s="115" t="e">
        <f ca="1"/>
        <v>#VALUE!</v>
      </c>
      <c r="V2660" s="219">
        <f t="shared" ca="1" si="171"/>
        <v>62241</v>
      </c>
      <c r="W2660" s="115" t="e">
        <f ca="1"/>
        <v>#VALUE!</v>
      </c>
    </row>
    <row r="2661" spans="13:23">
      <c r="M2661" s="219">
        <f t="shared" ca="1" si="168"/>
        <v>62248</v>
      </c>
      <c r="N2661" s="115" t="e">
        <f ca="1"/>
        <v>#VALUE!</v>
      </c>
      <c r="P2661" s="219">
        <f t="shared" ca="1" si="169"/>
        <v>62248</v>
      </c>
      <c r="Q2661" s="115" t="e">
        <f ca="1"/>
        <v>#VALUE!</v>
      </c>
      <c r="S2661" s="219">
        <f t="shared" ca="1" si="170"/>
        <v>62248</v>
      </c>
      <c r="T2661" s="115" t="e">
        <f ca="1"/>
        <v>#VALUE!</v>
      </c>
      <c r="V2661" s="219">
        <f t="shared" ca="1" si="171"/>
        <v>62248</v>
      </c>
      <c r="W2661" s="115" t="e">
        <f ca="1"/>
        <v>#VALUE!</v>
      </c>
    </row>
    <row r="2662" spans="13:23">
      <c r="M2662" s="219">
        <f t="shared" ca="1" si="168"/>
        <v>62255</v>
      </c>
      <c r="N2662" s="115" t="e">
        <f ca="1"/>
        <v>#VALUE!</v>
      </c>
      <c r="P2662" s="219">
        <f t="shared" ca="1" si="169"/>
        <v>62255</v>
      </c>
      <c r="Q2662" s="115" t="e">
        <f ca="1"/>
        <v>#VALUE!</v>
      </c>
      <c r="S2662" s="219">
        <f t="shared" ca="1" si="170"/>
        <v>62255</v>
      </c>
      <c r="T2662" s="115" t="e">
        <f ca="1"/>
        <v>#VALUE!</v>
      </c>
      <c r="V2662" s="219">
        <f t="shared" ca="1" si="171"/>
        <v>62255</v>
      </c>
      <c r="W2662" s="115" t="e">
        <f ca="1"/>
        <v>#VALUE!</v>
      </c>
    </row>
    <row r="2663" spans="13:23">
      <c r="M2663" s="219">
        <f t="shared" ca="1" si="168"/>
        <v>62262</v>
      </c>
      <c r="N2663" s="115" t="e">
        <f ca="1"/>
        <v>#VALUE!</v>
      </c>
      <c r="P2663" s="219">
        <f t="shared" ca="1" si="169"/>
        <v>62262</v>
      </c>
      <c r="Q2663" s="115" t="e">
        <f ca="1"/>
        <v>#VALUE!</v>
      </c>
      <c r="S2663" s="219">
        <f t="shared" ca="1" si="170"/>
        <v>62262</v>
      </c>
      <c r="T2663" s="115" t="e">
        <f ca="1"/>
        <v>#VALUE!</v>
      </c>
      <c r="V2663" s="219">
        <f t="shared" ca="1" si="171"/>
        <v>62262</v>
      </c>
      <c r="W2663" s="115" t="e">
        <f ca="1"/>
        <v>#VALUE!</v>
      </c>
    </row>
    <row r="2664" spans="13:23">
      <c r="M2664" s="219">
        <f t="shared" ca="1" si="168"/>
        <v>62269</v>
      </c>
      <c r="N2664" s="115" t="e">
        <f ca="1"/>
        <v>#VALUE!</v>
      </c>
      <c r="P2664" s="219">
        <f t="shared" ca="1" si="169"/>
        <v>62269</v>
      </c>
      <c r="Q2664" s="115" t="e">
        <f ca="1"/>
        <v>#VALUE!</v>
      </c>
      <c r="S2664" s="219">
        <f t="shared" ca="1" si="170"/>
        <v>62269</v>
      </c>
      <c r="T2664" s="115" t="e">
        <f ca="1"/>
        <v>#VALUE!</v>
      </c>
      <c r="V2664" s="219">
        <f t="shared" ca="1" si="171"/>
        <v>62269</v>
      </c>
      <c r="W2664" s="115" t="e">
        <f ca="1"/>
        <v>#VALUE!</v>
      </c>
    </row>
    <row r="2665" spans="13:23">
      <c r="M2665" s="219">
        <f t="shared" ca="1" si="168"/>
        <v>62276</v>
      </c>
      <c r="N2665" s="115" t="e">
        <f ca="1"/>
        <v>#VALUE!</v>
      </c>
      <c r="P2665" s="219">
        <f t="shared" ca="1" si="169"/>
        <v>62276</v>
      </c>
      <c r="Q2665" s="115" t="e">
        <f ca="1"/>
        <v>#VALUE!</v>
      </c>
      <c r="S2665" s="219">
        <f t="shared" ca="1" si="170"/>
        <v>62276</v>
      </c>
      <c r="T2665" s="115" t="e">
        <f ca="1"/>
        <v>#VALUE!</v>
      </c>
      <c r="V2665" s="219">
        <f t="shared" ca="1" si="171"/>
        <v>62276</v>
      </c>
      <c r="W2665" s="115" t="e">
        <f ca="1"/>
        <v>#VALUE!</v>
      </c>
    </row>
    <row r="2666" spans="13:23">
      <c r="M2666" s="219">
        <f t="shared" ca="1" si="168"/>
        <v>62283</v>
      </c>
      <c r="N2666" s="115" t="e">
        <f ca="1"/>
        <v>#VALUE!</v>
      </c>
      <c r="P2666" s="219">
        <f t="shared" ca="1" si="169"/>
        <v>62283</v>
      </c>
      <c r="Q2666" s="115" t="e">
        <f ca="1"/>
        <v>#VALUE!</v>
      </c>
      <c r="S2666" s="219">
        <f t="shared" ca="1" si="170"/>
        <v>62283</v>
      </c>
      <c r="T2666" s="115" t="e">
        <f ca="1"/>
        <v>#VALUE!</v>
      </c>
      <c r="V2666" s="219">
        <f t="shared" ca="1" si="171"/>
        <v>62283</v>
      </c>
      <c r="W2666" s="115" t="e">
        <f ca="1"/>
        <v>#VALUE!</v>
      </c>
    </row>
    <row r="2667" spans="13:23">
      <c r="M2667" s="219">
        <f t="shared" ca="1" si="168"/>
        <v>62290</v>
      </c>
      <c r="N2667" s="115" t="e">
        <f ca="1"/>
        <v>#VALUE!</v>
      </c>
      <c r="P2667" s="219">
        <f t="shared" ca="1" si="169"/>
        <v>62290</v>
      </c>
      <c r="Q2667" s="115" t="e">
        <f ca="1"/>
        <v>#VALUE!</v>
      </c>
      <c r="S2667" s="219">
        <f t="shared" ca="1" si="170"/>
        <v>62290</v>
      </c>
      <c r="T2667" s="115" t="e">
        <f ca="1"/>
        <v>#VALUE!</v>
      </c>
      <c r="V2667" s="219">
        <f t="shared" ca="1" si="171"/>
        <v>62290</v>
      </c>
      <c r="W2667" s="115" t="e">
        <f ca="1"/>
        <v>#VALUE!</v>
      </c>
    </row>
    <row r="2668" spans="13:23">
      <c r="M2668" s="219">
        <f t="shared" ca="1" si="168"/>
        <v>62297</v>
      </c>
      <c r="N2668" s="115" t="e">
        <f ca="1"/>
        <v>#VALUE!</v>
      </c>
      <c r="P2668" s="219">
        <f t="shared" ca="1" si="169"/>
        <v>62297</v>
      </c>
      <c r="Q2668" s="115" t="e">
        <f ca="1"/>
        <v>#VALUE!</v>
      </c>
      <c r="S2668" s="219">
        <f t="shared" ca="1" si="170"/>
        <v>62297</v>
      </c>
      <c r="T2668" s="115" t="e">
        <f ca="1"/>
        <v>#VALUE!</v>
      </c>
      <c r="V2668" s="219">
        <f t="shared" ca="1" si="171"/>
        <v>62297</v>
      </c>
      <c r="W2668" s="115" t="e">
        <f ca="1"/>
        <v>#VALUE!</v>
      </c>
    </row>
    <row r="2669" spans="13:23">
      <c r="M2669" s="219">
        <f t="shared" ca="1" si="168"/>
        <v>62304</v>
      </c>
      <c r="N2669" s="115" t="e">
        <f ca="1"/>
        <v>#VALUE!</v>
      </c>
      <c r="P2669" s="219">
        <f t="shared" ca="1" si="169"/>
        <v>62304</v>
      </c>
      <c r="Q2669" s="115" t="e">
        <f ca="1"/>
        <v>#VALUE!</v>
      </c>
      <c r="S2669" s="219">
        <f t="shared" ca="1" si="170"/>
        <v>62304</v>
      </c>
      <c r="T2669" s="115" t="e">
        <f ca="1"/>
        <v>#VALUE!</v>
      </c>
      <c r="V2669" s="219">
        <f t="shared" ca="1" si="171"/>
        <v>62304</v>
      </c>
      <c r="W2669" s="115" t="e">
        <f ca="1"/>
        <v>#VALUE!</v>
      </c>
    </row>
    <row r="2670" spans="13:23">
      <c r="M2670" s="219">
        <f t="shared" ca="1" si="168"/>
        <v>62311</v>
      </c>
      <c r="N2670" s="115" t="e">
        <f ca="1"/>
        <v>#VALUE!</v>
      </c>
      <c r="P2670" s="219">
        <f t="shared" ca="1" si="169"/>
        <v>62311</v>
      </c>
      <c r="Q2670" s="115" t="e">
        <f ca="1"/>
        <v>#VALUE!</v>
      </c>
      <c r="S2670" s="219">
        <f t="shared" ca="1" si="170"/>
        <v>62311</v>
      </c>
      <c r="T2670" s="115" t="e">
        <f ca="1"/>
        <v>#VALUE!</v>
      </c>
      <c r="V2670" s="219">
        <f t="shared" ca="1" si="171"/>
        <v>62311</v>
      </c>
      <c r="W2670" s="115" t="e">
        <f ca="1"/>
        <v>#VALUE!</v>
      </c>
    </row>
    <row r="2671" spans="13:23">
      <c r="M2671" s="219">
        <f t="shared" ca="1" si="168"/>
        <v>62318</v>
      </c>
      <c r="N2671" s="115" t="e">
        <f ca="1"/>
        <v>#VALUE!</v>
      </c>
      <c r="P2671" s="219">
        <f t="shared" ca="1" si="169"/>
        <v>62318</v>
      </c>
      <c r="Q2671" s="115" t="e">
        <f ca="1"/>
        <v>#VALUE!</v>
      </c>
      <c r="S2671" s="219">
        <f t="shared" ca="1" si="170"/>
        <v>62318</v>
      </c>
      <c r="T2671" s="115" t="e">
        <f ca="1"/>
        <v>#VALUE!</v>
      </c>
      <c r="V2671" s="219">
        <f t="shared" ca="1" si="171"/>
        <v>62318</v>
      </c>
      <c r="W2671" s="115" t="e">
        <f ca="1"/>
        <v>#VALUE!</v>
      </c>
    </row>
    <row r="2672" spans="13:23">
      <c r="M2672" s="219">
        <f t="shared" ca="1" si="168"/>
        <v>62325</v>
      </c>
      <c r="N2672" s="115" t="e">
        <f ca="1"/>
        <v>#VALUE!</v>
      </c>
      <c r="P2672" s="219">
        <f t="shared" ca="1" si="169"/>
        <v>62325</v>
      </c>
      <c r="Q2672" s="115" t="e">
        <f ca="1"/>
        <v>#VALUE!</v>
      </c>
      <c r="S2672" s="219">
        <f t="shared" ca="1" si="170"/>
        <v>62325</v>
      </c>
      <c r="T2672" s="115" t="e">
        <f ca="1"/>
        <v>#VALUE!</v>
      </c>
      <c r="V2672" s="219">
        <f t="shared" ca="1" si="171"/>
        <v>62325</v>
      </c>
      <c r="W2672" s="115" t="e">
        <f ca="1"/>
        <v>#VALUE!</v>
      </c>
    </row>
    <row r="2673" spans="13:23">
      <c r="M2673" s="219">
        <f t="shared" ca="1" si="168"/>
        <v>62332</v>
      </c>
      <c r="N2673" s="115" t="e">
        <f ca="1"/>
        <v>#VALUE!</v>
      </c>
      <c r="P2673" s="219">
        <f t="shared" ca="1" si="169"/>
        <v>62332</v>
      </c>
      <c r="Q2673" s="115" t="e">
        <f ca="1"/>
        <v>#VALUE!</v>
      </c>
      <c r="S2673" s="219">
        <f t="shared" ca="1" si="170"/>
        <v>62332</v>
      </c>
      <c r="T2673" s="115" t="e">
        <f ca="1"/>
        <v>#VALUE!</v>
      </c>
      <c r="V2673" s="219">
        <f t="shared" ca="1" si="171"/>
        <v>62332</v>
      </c>
      <c r="W2673" s="115" t="e">
        <f ca="1"/>
        <v>#VALUE!</v>
      </c>
    </row>
    <row r="2674" spans="13:23">
      <c r="M2674" s="219">
        <f t="shared" ca="1" si="168"/>
        <v>62339</v>
      </c>
      <c r="N2674" s="115" t="e">
        <f ca="1"/>
        <v>#VALUE!</v>
      </c>
      <c r="P2674" s="219">
        <f t="shared" ca="1" si="169"/>
        <v>62339</v>
      </c>
      <c r="Q2674" s="115" t="e">
        <f ca="1"/>
        <v>#VALUE!</v>
      </c>
      <c r="S2674" s="219">
        <f t="shared" ca="1" si="170"/>
        <v>62339</v>
      </c>
      <c r="T2674" s="115" t="e">
        <f ca="1"/>
        <v>#VALUE!</v>
      </c>
      <c r="V2674" s="219">
        <f t="shared" ca="1" si="171"/>
        <v>62339</v>
      </c>
      <c r="W2674" s="115" t="e">
        <f ca="1"/>
        <v>#VALUE!</v>
      </c>
    </row>
    <row r="2675" spans="13:23">
      <c r="M2675" s="219">
        <f t="shared" ca="1" si="168"/>
        <v>62346</v>
      </c>
      <c r="N2675" s="115" t="e">
        <f ca="1"/>
        <v>#VALUE!</v>
      </c>
      <c r="P2675" s="219">
        <f t="shared" ca="1" si="169"/>
        <v>62346</v>
      </c>
      <c r="Q2675" s="115" t="e">
        <f ca="1"/>
        <v>#VALUE!</v>
      </c>
      <c r="S2675" s="219">
        <f t="shared" ca="1" si="170"/>
        <v>62346</v>
      </c>
      <c r="T2675" s="115" t="e">
        <f ca="1"/>
        <v>#VALUE!</v>
      </c>
      <c r="V2675" s="219">
        <f t="shared" ca="1" si="171"/>
        <v>62346</v>
      </c>
      <c r="W2675" s="115" t="e">
        <f ca="1"/>
        <v>#VALUE!</v>
      </c>
    </row>
    <row r="2676" spans="13:23">
      <c r="M2676" s="219">
        <f t="shared" ca="1" si="168"/>
        <v>62353</v>
      </c>
      <c r="N2676" s="115" t="e">
        <f ca="1"/>
        <v>#VALUE!</v>
      </c>
      <c r="P2676" s="219">
        <f t="shared" ca="1" si="169"/>
        <v>62353</v>
      </c>
      <c r="Q2676" s="115" t="e">
        <f ca="1"/>
        <v>#VALUE!</v>
      </c>
      <c r="S2676" s="219">
        <f t="shared" ca="1" si="170"/>
        <v>62353</v>
      </c>
      <c r="T2676" s="115" t="e">
        <f ca="1"/>
        <v>#VALUE!</v>
      </c>
      <c r="V2676" s="219">
        <f t="shared" ca="1" si="171"/>
        <v>62353</v>
      </c>
      <c r="W2676" s="115" t="e">
        <f ca="1"/>
        <v>#VALUE!</v>
      </c>
    </row>
    <row r="2677" spans="13:23">
      <c r="M2677" s="219">
        <f t="shared" ca="1" si="168"/>
        <v>62360</v>
      </c>
      <c r="N2677" s="115" t="e">
        <f ca="1"/>
        <v>#VALUE!</v>
      </c>
      <c r="P2677" s="219">
        <f t="shared" ca="1" si="169"/>
        <v>62360</v>
      </c>
      <c r="Q2677" s="115" t="e">
        <f ca="1"/>
        <v>#VALUE!</v>
      </c>
      <c r="S2677" s="219">
        <f t="shared" ca="1" si="170"/>
        <v>62360</v>
      </c>
      <c r="T2677" s="115" t="e">
        <f ca="1"/>
        <v>#VALUE!</v>
      </c>
      <c r="V2677" s="219">
        <f t="shared" ca="1" si="171"/>
        <v>62360</v>
      </c>
      <c r="W2677" s="115" t="e">
        <f ca="1"/>
        <v>#VALUE!</v>
      </c>
    </row>
    <row r="2678" spans="13:23">
      <c r="M2678" s="219">
        <f t="shared" ca="1" si="168"/>
        <v>62367</v>
      </c>
      <c r="N2678" s="115" t="e">
        <f ca="1"/>
        <v>#VALUE!</v>
      </c>
      <c r="P2678" s="219">
        <f t="shared" ca="1" si="169"/>
        <v>62367</v>
      </c>
      <c r="Q2678" s="115" t="e">
        <f ca="1"/>
        <v>#VALUE!</v>
      </c>
      <c r="S2678" s="219">
        <f t="shared" ca="1" si="170"/>
        <v>62367</v>
      </c>
      <c r="T2678" s="115" t="e">
        <f ca="1"/>
        <v>#VALUE!</v>
      </c>
      <c r="V2678" s="219">
        <f t="shared" ca="1" si="171"/>
        <v>62367</v>
      </c>
      <c r="W2678" s="115" t="e">
        <f ca="1"/>
        <v>#VALUE!</v>
      </c>
    </row>
    <row r="2679" spans="13:23">
      <c r="M2679" s="219">
        <f t="shared" ca="1" si="168"/>
        <v>62374</v>
      </c>
      <c r="N2679" s="115" t="e">
        <f ca="1"/>
        <v>#VALUE!</v>
      </c>
      <c r="P2679" s="219">
        <f t="shared" ca="1" si="169"/>
        <v>62374</v>
      </c>
      <c r="Q2679" s="115" t="e">
        <f ca="1"/>
        <v>#VALUE!</v>
      </c>
      <c r="S2679" s="219">
        <f t="shared" ca="1" si="170"/>
        <v>62374</v>
      </c>
      <c r="T2679" s="115" t="e">
        <f ca="1"/>
        <v>#VALUE!</v>
      </c>
      <c r="V2679" s="219">
        <f t="shared" ca="1" si="171"/>
        <v>62374</v>
      </c>
      <c r="W2679" s="115" t="e">
        <f ca="1"/>
        <v>#VALUE!</v>
      </c>
    </row>
    <row r="2680" spans="13:23">
      <c r="M2680" s="219">
        <f t="shared" ca="1" si="168"/>
        <v>62381</v>
      </c>
      <c r="N2680" s="115" t="e">
        <f ca="1"/>
        <v>#VALUE!</v>
      </c>
      <c r="P2680" s="219">
        <f t="shared" ca="1" si="169"/>
        <v>62381</v>
      </c>
      <c r="Q2680" s="115" t="e">
        <f ca="1"/>
        <v>#VALUE!</v>
      </c>
      <c r="S2680" s="219">
        <f t="shared" ca="1" si="170"/>
        <v>62381</v>
      </c>
      <c r="T2680" s="115" t="e">
        <f ca="1"/>
        <v>#VALUE!</v>
      </c>
      <c r="V2680" s="219">
        <f t="shared" ca="1" si="171"/>
        <v>62381</v>
      </c>
      <c r="W2680" s="115" t="e">
        <f ca="1"/>
        <v>#VALUE!</v>
      </c>
    </row>
    <row r="2681" spans="13:23">
      <c r="M2681" s="219">
        <f t="shared" ca="1" si="168"/>
        <v>62388</v>
      </c>
      <c r="N2681" s="115" t="e">
        <f ca="1"/>
        <v>#VALUE!</v>
      </c>
      <c r="P2681" s="219">
        <f t="shared" ca="1" si="169"/>
        <v>62388</v>
      </c>
      <c r="Q2681" s="115" t="e">
        <f ca="1"/>
        <v>#VALUE!</v>
      </c>
      <c r="S2681" s="219">
        <f t="shared" ca="1" si="170"/>
        <v>62388</v>
      </c>
      <c r="T2681" s="115" t="e">
        <f ca="1"/>
        <v>#VALUE!</v>
      </c>
      <c r="V2681" s="219">
        <f t="shared" ca="1" si="171"/>
        <v>62388</v>
      </c>
      <c r="W2681" s="115" t="e">
        <f ca="1"/>
        <v>#VALUE!</v>
      </c>
    </row>
    <row r="2682" spans="13:23">
      <c r="M2682" s="219">
        <f t="shared" ca="1" si="168"/>
        <v>62395</v>
      </c>
      <c r="N2682" s="115" t="e">
        <f ca="1"/>
        <v>#VALUE!</v>
      </c>
      <c r="P2682" s="219">
        <f t="shared" ca="1" si="169"/>
        <v>62395</v>
      </c>
      <c r="Q2682" s="115" t="e">
        <f ca="1"/>
        <v>#VALUE!</v>
      </c>
      <c r="S2682" s="219">
        <f t="shared" ca="1" si="170"/>
        <v>62395</v>
      </c>
      <c r="T2682" s="115" t="e">
        <f ca="1"/>
        <v>#VALUE!</v>
      </c>
      <c r="V2682" s="219">
        <f t="shared" ca="1" si="171"/>
        <v>62395</v>
      </c>
      <c r="W2682" s="115" t="e">
        <f ca="1"/>
        <v>#VALUE!</v>
      </c>
    </row>
    <row r="2683" spans="13:23">
      <c r="M2683" s="219">
        <f t="shared" ca="1" si="168"/>
        <v>62402</v>
      </c>
      <c r="N2683" s="115" t="e">
        <f ca="1"/>
        <v>#VALUE!</v>
      </c>
      <c r="P2683" s="219">
        <f t="shared" ca="1" si="169"/>
        <v>62402</v>
      </c>
      <c r="Q2683" s="115" t="e">
        <f ca="1"/>
        <v>#VALUE!</v>
      </c>
      <c r="S2683" s="219">
        <f t="shared" ca="1" si="170"/>
        <v>62402</v>
      </c>
      <c r="T2683" s="115" t="e">
        <f ca="1"/>
        <v>#VALUE!</v>
      </c>
      <c r="V2683" s="219">
        <f t="shared" ca="1" si="171"/>
        <v>62402</v>
      </c>
      <c r="W2683" s="115" t="e">
        <f ca="1"/>
        <v>#VALUE!</v>
      </c>
    </row>
    <row r="2684" spans="13:23">
      <c r="M2684" s="219">
        <f t="shared" ca="1" si="168"/>
        <v>62409</v>
      </c>
      <c r="N2684" s="115" t="e">
        <f ca="1"/>
        <v>#VALUE!</v>
      </c>
      <c r="P2684" s="219">
        <f t="shared" ca="1" si="169"/>
        <v>62409</v>
      </c>
      <c r="Q2684" s="115" t="e">
        <f ca="1"/>
        <v>#VALUE!</v>
      </c>
      <c r="S2684" s="219">
        <f t="shared" ca="1" si="170"/>
        <v>62409</v>
      </c>
      <c r="T2684" s="115" t="e">
        <f ca="1"/>
        <v>#VALUE!</v>
      </c>
      <c r="V2684" s="219">
        <f t="shared" ca="1" si="171"/>
        <v>62409</v>
      </c>
      <c r="W2684" s="115" t="e">
        <f ca="1"/>
        <v>#VALUE!</v>
      </c>
    </row>
    <row r="2685" spans="13:23">
      <c r="M2685" s="219">
        <f t="shared" ca="1" si="168"/>
        <v>62416</v>
      </c>
      <c r="N2685" s="115" t="e">
        <f ca="1"/>
        <v>#VALUE!</v>
      </c>
      <c r="P2685" s="219">
        <f t="shared" ca="1" si="169"/>
        <v>62416</v>
      </c>
      <c r="Q2685" s="115" t="e">
        <f ca="1"/>
        <v>#VALUE!</v>
      </c>
      <c r="S2685" s="219">
        <f t="shared" ca="1" si="170"/>
        <v>62416</v>
      </c>
      <c r="T2685" s="115" t="e">
        <f ca="1"/>
        <v>#VALUE!</v>
      </c>
      <c r="V2685" s="219">
        <f t="shared" ca="1" si="171"/>
        <v>62416</v>
      </c>
      <c r="W2685" s="115" t="e">
        <f ca="1"/>
        <v>#VALUE!</v>
      </c>
    </row>
    <row r="2686" spans="13:23">
      <c r="M2686" s="219">
        <f t="shared" ca="1" si="168"/>
        <v>62423</v>
      </c>
      <c r="N2686" s="115" t="e">
        <f ca="1"/>
        <v>#VALUE!</v>
      </c>
      <c r="P2686" s="219">
        <f t="shared" ca="1" si="169"/>
        <v>62423</v>
      </c>
      <c r="Q2686" s="115" t="e">
        <f ca="1"/>
        <v>#VALUE!</v>
      </c>
      <c r="S2686" s="219">
        <f t="shared" ca="1" si="170"/>
        <v>62423</v>
      </c>
      <c r="T2686" s="115" t="e">
        <f ca="1"/>
        <v>#VALUE!</v>
      </c>
      <c r="V2686" s="219">
        <f t="shared" ca="1" si="171"/>
        <v>62423</v>
      </c>
      <c r="W2686" s="115" t="e">
        <f ca="1"/>
        <v>#VALUE!</v>
      </c>
    </row>
    <row r="2687" spans="13:23">
      <c r="M2687" s="219">
        <f t="shared" ca="1" si="168"/>
        <v>62430</v>
      </c>
      <c r="N2687" s="115" t="e">
        <f ca="1"/>
        <v>#VALUE!</v>
      </c>
      <c r="P2687" s="219">
        <f t="shared" ca="1" si="169"/>
        <v>62430</v>
      </c>
      <c r="Q2687" s="115" t="e">
        <f ca="1"/>
        <v>#VALUE!</v>
      </c>
      <c r="S2687" s="219">
        <f t="shared" ca="1" si="170"/>
        <v>62430</v>
      </c>
      <c r="T2687" s="115" t="e">
        <f ca="1"/>
        <v>#VALUE!</v>
      </c>
      <c r="V2687" s="219">
        <f t="shared" ca="1" si="171"/>
        <v>62430</v>
      </c>
      <c r="W2687" s="115" t="e">
        <f ca="1"/>
        <v>#VALUE!</v>
      </c>
    </row>
    <row r="2688" spans="13:23">
      <c r="M2688" s="219">
        <f t="shared" ca="1" si="168"/>
        <v>62437</v>
      </c>
      <c r="N2688" s="115" t="e">
        <f ca="1"/>
        <v>#VALUE!</v>
      </c>
      <c r="P2688" s="219">
        <f t="shared" ca="1" si="169"/>
        <v>62437</v>
      </c>
      <c r="Q2688" s="115" t="e">
        <f ca="1"/>
        <v>#VALUE!</v>
      </c>
      <c r="S2688" s="219">
        <f t="shared" ca="1" si="170"/>
        <v>62437</v>
      </c>
      <c r="T2688" s="115" t="e">
        <f ca="1"/>
        <v>#VALUE!</v>
      </c>
      <c r="V2688" s="219">
        <f t="shared" ca="1" si="171"/>
        <v>62437</v>
      </c>
      <c r="W2688" s="115" t="e">
        <f ca="1"/>
        <v>#VALUE!</v>
      </c>
    </row>
    <row r="2689" spans="13:23">
      <c r="M2689" s="219">
        <f t="shared" ca="1" si="168"/>
        <v>62444</v>
      </c>
      <c r="N2689" s="115" t="e">
        <f ca="1"/>
        <v>#VALUE!</v>
      </c>
      <c r="P2689" s="219">
        <f t="shared" ca="1" si="169"/>
        <v>62444</v>
      </c>
      <c r="Q2689" s="115" t="e">
        <f ca="1"/>
        <v>#VALUE!</v>
      </c>
      <c r="S2689" s="219">
        <f t="shared" ca="1" si="170"/>
        <v>62444</v>
      </c>
      <c r="T2689" s="115" t="e">
        <f ca="1"/>
        <v>#VALUE!</v>
      </c>
      <c r="V2689" s="219">
        <f t="shared" ca="1" si="171"/>
        <v>62444</v>
      </c>
      <c r="W2689" s="115" t="e">
        <f ca="1"/>
        <v>#VALUE!</v>
      </c>
    </row>
    <row r="2690" spans="13:23">
      <c r="M2690" s="219">
        <f t="shared" ca="1" si="168"/>
        <v>62451</v>
      </c>
      <c r="N2690" s="115" t="e">
        <f ca="1"/>
        <v>#VALUE!</v>
      </c>
      <c r="P2690" s="219">
        <f t="shared" ca="1" si="169"/>
        <v>62451</v>
      </c>
      <c r="Q2690" s="115" t="e">
        <f ca="1"/>
        <v>#VALUE!</v>
      </c>
      <c r="S2690" s="219">
        <f t="shared" ca="1" si="170"/>
        <v>62451</v>
      </c>
      <c r="T2690" s="115" t="e">
        <f ca="1"/>
        <v>#VALUE!</v>
      </c>
      <c r="V2690" s="219">
        <f t="shared" ca="1" si="171"/>
        <v>62451</v>
      </c>
      <c r="W2690" s="115" t="e">
        <f ca="1"/>
        <v>#VALUE!</v>
      </c>
    </row>
    <row r="2691" spans="13:23">
      <c r="M2691" s="219">
        <f t="shared" ca="1" si="168"/>
        <v>62458</v>
      </c>
      <c r="N2691" s="115" t="e">
        <f ca="1"/>
        <v>#VALUE!</v>
      </c>
      <c r="P2691" s="219">
        <f t="shared" ca="1" si="169"/>
        <v>62458</v>
      </c>
      <c r="Q2691" s="115" t="e">
        <f ca="1"/>
        <v>#VALUE!</v>
      </c>
      <c r="S2691" s="219">
        <f t="shared" ca="1" si="170"/>
        <v>62458</v>
      </c>
      <c r="T2691" s="115" t="e">
        <f ca="1"/>
        <v>#VALUE!</v>
      </c>
      <c r="V2691" s="219">
        <f t="shared" ca="1" si="171"/>
        <v>62458</v>
      </c>
      <c r="W2691" s="115" t="e">
        <f ca="1"/>
        <v>#VALUE!</v>
      </c>
    </row>
    <row r="2692" spans="13:23">
      <c r="M2692" s="219">
        <f t="shared" ca="1" si="168"/>
        <v>62465</v>
      </c>
      <c r="N2692" s="115" t="e">
        <f ca="1"/>
        <v>#VALUE!</v>
      </c>
      <c r="P2692" s="219">
        <f t="shared" ca="1" si="169"/>
        <v>62465</v>
      </c>
      <c r="Q2692" s="115" t="e">
        <f ca="1"/>
        <v>#VALUE!</v>
      </c>
      <c r="S2692" s="219">
        <f t="shared" ca="1" si="170"/>
        <v>62465</v>
      </c>
      <c r="T2692" s="115" t="e">
        <f ca="1"/>
        <v>#VALUE!</v>
      </c>
      <c r="V2692" s="219">
        <f t="shared" ca="1" si="171"/>
        <v>62465</v>
      </c>
      <c r="W2692" s="115" t="e">
        <f ca="1"/>
        <v>#VALUE!</v>
      </c>
    </row>
    <row r="2693" spans="13:23">
      <c r="M2693" s="219">
        <f t="shared" ca="1" si="168"/>
        <v>62472</v>
      </c>
      <c r="N2693" s="115" t="e">
        <f ca="1"/>
        <v>#VALUE!</v>
      </c>
      <c r="P2693" s="219">
        <f t="shared" ca="1" si="169"/>
        <v>62472</v>
      </c>
      <c r="Q2693" s="115" t="e">
        <f ca="1"/>
        <v>#VALUE!</v>
      </c>
      <c r="S2693" s="219">
        <f t="shared" ca="1" si="170"/>
        <v>62472</v>
      </c>
      <c r="T2693" s="115" t="e">
        <f ca="1"/>
        <v>#VALUE!</v>
      </c>
      <c r="V2693" s="219">
        <f t="shared" ca="1" si="171"/>
        <v>62472</v>
      </c>
      <c r="W2693" s="115" t="e">
        <f ca="1"/>
        <v>#VALUE!</v>
      </c>
    </row>
    <row r="2694" spans="13:23">
      <c r="M2694" s="219">
        <f t="shared" ca="1" si="168"/>
        <v>62479</v>
      </c>
      <c r="N2694" s="115" t="e">
        <f ca="1"/>
        <v>#VALUE!</v>
      </c>
      <c r="P2694" s="219">
        <f t="shared" ca="1" si="169"/>
        <v>62479</v>
      </c>
      <c r="Q2694" s="115" t="e">
        <f ca="1"/>
        <v>#VALUE!</v>
      </c>
      <c r="S2694" s="219">
        <f t="shared" ca="1" si="170"/>
        <v>62479</v>
      </c>
      <c r="T2694" s="115" t="e">
        <f ca="1"/>
        <v>#VALUE!</v>
      </c>
      <c r="V2694" s="219">
        <f t="shared" ca="1" si="171"/>
        <v>62479</v>
      </c>
      <c r="W2694" s="115" t="e">
        <f ca="1"/>
        <v>#VALUE!</v>
      </c>
    </row>
    <row r="2695" spans="13:23">
      <c r="M2695" s="219">
        <f t="shared" ca="1" si="168"/>
        <v>62486</v>
      </c>
      <c r="N2695" s="115" t="e">
        <f ca="1"/>
        <v>#VALUE!</v>
      </c>
      <c r="P2695" s="219">
        <f t="shared" ca="1" si="169"/>
        <v>62486</v>
      </c>
      <c r="Q2695" s="115" t="e">
        <f ca="1"/>
        <v>#VALUE!</v>
      </c>
      <c r="S2695" s="219">
        <f t="shared" ca="1" si="170"/>
        <v>62486</v>
      </c>
      <c r="T2695" s="115" t="e">
        <f ca="1"/>
        <v>#VALUE!</v>
      </c>
      <c r="V2695" s="219">
        <f t="shared" ca="1" si="171"/>
        <v>62486</v>
      </c>
      <c r="W2695" s="115" t="e">
        <f ca="1"/>
        <v>#VALUE!</v>
      </c>
    </row>
    <row r="2696" spans="13:23">
      <c r="M2696" s="219">
        <f t="shared" ca="1" si="168"/>
        <v>62493</v>
      </c>
      <c r="N2696" s="115" t="e">
        <f ca="1"/>
        <v>#VALUE!</v>
      </c>
      <c r="P2696" s="219">
        <f t="shared" ca="1" si="169"/>
        <v>62493</v>
      </c>
      <c r="Q2696" s="115" t="e">
        <f ca="1"/>
        <v>#VALUE!</v>
      </c>
      <c r="S2696" s="219">
        <f t="shared" ca="1" si="170"/>
        <v>62493</v>
      </c>
      <c r="T2696" s="115" t="e">
        <f ca="1"/>
        <v>#VALUE!</v>
      </c>
      <c r="V2696" s="219">
        <f t="shared" ca="1" si="171"/>
        <v>62493</v>
      </c>
      <c r="W2696" s="115" t="e">
        <f ca="1"/>
        <v>#VALUE!</v>
      </c>
    </row>
    <row r="2697" spans="13:23">
      <c r="M2697" s="219">
        <f t="shared" ca="1" si="168"/>
        <v>62500</v>
      </c>
      <c r="N2697" s="115" t="e">
        <f ca="1"/>
        <v>#VALUE!</v>
      </c>
      <c r="P2697" s="219">
        <f t="shared" ca="1" si="169"/>
        <v>62500</v>
      </c>
      <c r="Q2697" s="115" t="e">
        <f ca="1"/>
        <v>#VALUE!</v>
      </c>
      <c r="S2697" s="219">
        <f t="shared" ca="1" si="170"/>
        <v>62500</v>
      </c>
      <c r="T2697" s="115" t="e">
        <f ca="1"/>
        <v>#VALUE!</v>
      </c>
      <c r="V2697" s="219">
        <f t="shared" ca="1" si="171"/>
        <v>62500</v>
      </c>
      <c r="W2697" s="115" t="e">
        <f ca="1"/>
        <v>#VALUE!</v>
      </c>
    </row>
    <row r="2698" spans="13:23">
      <c r="M2698" s="219">
        <f t="shared" ca="1" si="168"/>
        <v>62507</v>
      </c>
      <c r="N2698" s="115" t="e">
        <f ca="1"/>
        <v>#VALUE!</v>
      </c>
      <c r="P2698" s="219">
        <f t="shared" ca="1" si="169"/>
        <v>62507</v>
      </c>
      <c r="Q2698" s="115" t="e">
        <f ca="1"/>
        <v>#VALUE!</v>
      </c>
      <c r="S2698" s="219">
        <f t="shared" ca="1" si="170"/>
        <v>62507</v>
      </c>
      <c r="T2698" s="115" t="e">
        <f ca="1"/>
        <v>#VALUE!</v>
      </c>
      <c r="V2698" s="219">
        <f t="shared" ca="1" si="171"/>
        <v>62507</v>
      </c>
      <c r="W2698" s="115" t="e">
        <f ca="1"/>
        <v>#VALUE!</v>
      </c>
    </row>
    <row r="2699" spans="13:23">
      <c r="M2699" s="219">
        <f t="shared" ca="1" si="168"/>
        <v>62514</v>
      </c>
      <c r="N2699" s="115" t="e">
        <f ca="1"/>
        <v>#VALUE!</v>
      </c>
      <c r="P2699" s="219">
        <f t="shared" ca="1" si="169"/>
        <v>62514</v>
      </c>
      <c r="Q2699" s="115" t="e">
        <f ca="1"/>
        <v>#VALUE!</v>
      </c>
      <c r="S2699" s="219">
        <f t="shared" ca="1" si="170"/>
        <v>62514</v>
      </c>
      <c r="T2699" s="115" t="e">
        <f ca="1"/>
        <v>#VALUE!</v>
      </c>
      <c r="V2699" s="219">
        <f t="shared" ca="1" si="171"/>
        <v>62514</v>
      </c>
      <c r="W2699" s="115" t="e">
        <f ca="1"/>
        <v>#VALUE!</v>
      </c>
    </row>
    <row r="2700" spans="13:23">
      <c r="M2700" s="219">
        <f t="shared" ca="1" si="168"/>
        <v>62521</v>
      </c>
      <c r="N2700" s="115" t="e">
        <f ca="1"/>
        <v>#VALUE!</v>
      </c>
      <c r="P2700" s="219">
        <f t="shared" ca="1" si="169"/>
        <v>62521</v>
      </c>
      <c r="Q2700" s="115" t="e">
        <f ca="1"/>
        <v>#VALUE!</v>
      </c>
      <c r="S2700" s="219">
        <f t="shared" ca="1" si="170"/>
        <v>62521</v>
      </c>
      <c r="T2700" s="115" t="e">
        <f ca="1"/>
        <v>#VALUE!</v>
      </c>
      <c r="V2700" s="219">
        <f t="shared" ca="1" si="171"/>
        <v>62521</v>
      </c>
      <c r="W2700" s="115" t="e">
        <f ca="1"/>
        <v>#VALUE!</v>
      </c>
    </row>
    <row r="2701" spans="13:23">
      <c r="M2701" s="219">
        <f t="shared" ref="M2701:M2730" ca="1" si="172">M2700+7</f>
        <v>62528</v>
      </c>
      <c r="N2701" s="115" t="e">
        <f ca="1"/>
        <v>#VALUE!</v>
      </c>
      <c r="P2701" s="219">
        <f t="shared" ca="1" si="169"/>
        <v>62528</v>
      </c>
      <c r="Q2701" s="115" t="e">
        <f ca="1"/>
        <v>#VALUE!</v>
      </c>
      <c r="S2701" s="219">
        <f t="shared" ca="1" si="170"/>
        <v>62528</v>
      </c>
      <c r="T2701" s="115" t="e">
        <f ca="1"/>
        <v>#VALUE!</v>
      </c>
      <c r="V2701" s="219">
        <f t="shared" ca="1" si="171"/>
        <v>62528</v>
      </c>
      <c r="W2701" s="115" t="e">
        <f ca="1"/>
        <v>#VALUE!</v>
      </c>
    </row>
    <row r="2702" spans="13:23">
      <c r="M2702" s="219">
        <f t="shared" ca="1" si="172"/>
        <v>62535</v>
      </c>
      <c r="N2702" s="115" t="e">
        <f ca="1"/>
        <v>#VALUE!</v>
      </c>
      <c r="P2702" s="219">
        <f t="shared" ca="1" si="169"/>
        <v>62535</v>
      </c>
      <c r="Q2702" s="115" t="e">
        <f ca="1"/>
        <v>#VALUE!</v>
      </c>
      <c r="S2702" s="219">
        <f t="shared" ca="1" si="170"/>
        <v>62535</v>
      </c>
      <c r="T2702" s="115" t="e">
        <f ca="1"/>
        <v>#VALUE!</v>
      </c>
      <c r="V2702" s="219">
        <f t="shared" ca="1" si="171"/>
        <v>62535</v>
      </c>
      <c r="W2702" s="115" t="e">
        <f ca="1"/>
        <v>#VALUE!</v>
      </c>
    </row>
    <row r="2703" spans="13:23">
      <c r="M2703" s="219">
        <f t="shared" ca="1" si="172"/>
        <v>62542</v>
      </c>
      <c r="N2703" s="115" t="e">
        <f ca="1"/>
        <v>#VALUE!</v>
      </c>
      <c r="P2703" s="219">
        <f t="shared" ca="1" si="169"/>
        <v>62542</v>
      </c>
      <c r="Q2703" s="115" t="e">
        <f ca="1"/>
        <v>#VALUE!</v>
      </c>
      <c r="S2703" s="219">
        <f t="shared" ca="1" si="170"/>
        <v>62542</v>
      </c>
      <c r="T2703" s="115" t="e">
        <f ca="1"/>
        <v>#VALUE!</v>
      </c>
      <c r="V2703" s="219">
        <f t="shared" ca="1" si="171"/>
        <v>62542</v>
      </c>
      <c r="W2703" s="115" t="e">
        <f ca="1"/>
        <v>#VALUE!</v>
      </c>
    </row>
    <row r="2704" spans="13:23">
      <c r="M2704" s="219">
        <f t="shared" ca="1" si="172"/>
        <v>62549</v>
      </c>
      <c r="N2704" s="115" t="e">
        <f ca="1"/>
        <v>#VALUE!</v>
      </c>
      <c r="P2704" s="219">
        <f t="shared" ca="1" si="169"/>
        <v>62549</v>
      </c>
      <c r="Q2704" s="115" t="e">
        <f ca="1"/>
        <v>#VALUE!</v>
      </c>
      <c r="S2704" s="219">
        <f t="shared" ca="1" si="170"/>
        <v>62549</v>
      </c>
      <c r="T2704" s="115" t="e">
        <f ca="1"/>
        <v>#VALUE!</v>
      </c>
      <c r="V2704" s="219">
        <f t="shared" ca="1" si="171"/>
        <v>62549</v>
      </c>
      <c r="W2704" s="115" t="e">
        <f ca="1"/>
        <v>#VALUE!</v>
      </c>
    </row>
    <row r="2705" spans="13:23">
      <c r="M2705" s="219">
        <f t="shared" ca="1" si="172"/>
        <v>62556</v>
      </c>
      <c r="N2705" s="115" t="e">
        <f ca="1"/>
        <v>#VALUE!</v>
      </c>
      <c r="P2705" s="219">
        <f t="shared" ca="1" si="169"/>
        <v>62556</v>
      </c>
      <c r="Q2705" s="115" t="e">
        <f ca="1"/>
        <v>#VALUE!</v>
      </c>
      <c r="S2705" s="219">
        <f t="shared" ca="1" si="170"/>
        <v>62556</v>
      </c>
      <c r="T2705" s="115" t="e">
        <f ca="1"/>
        <v>#VALUE!</v>
      </c>
      <c r="V2705" s="219">
        <f t="shared" ca="1" si="171"/>
        <v>62556</v>
      </c>
      <c r="W2705" s="115" t="e">
        <f ca="1"/>
        <v>#VALUE!</v>
      </c>
    </row>
    <row r="2706" spans="13:23">
      <c r="M2706" s="219">
        <f t="shared" ca="1" si="172"/>
        <v>62563</v>
      </c>
      <c r="N2706" s="115" t="e">
        <f ca="1"/>
        <v>#VALUE!</v>
      </c>
      <c r="P2706" s="219">
        <f t="shared" ca="1" si="169"/>
        <v>62563</v>
      </c>
      <c r="Q2706" s="115" t="e">
        <f ca="1"/>
        <v>#VALUE!</v>
      </c>
      <c r="S2706" s="219">
        <f t="shared" ca="1" si="170"/>
        <v>62563</v>
      </c>
      <c r="T2706" s="115" t="e">
        <f ca="1"/>
        <v>#VALUE!</v>
      </c>
      <c r="V2706" s="219">
        <f t="shared" ca="1" si="171"/>
        <v>62563</v>
      </c>
      <c r="W2706" s="115" t="e">
        <f ca="1"/>
        <v>#VALUE!</v>
      </c>
    </row>
    <row r="2707" spans="13:23">
      <c r="M2707" s="219">
        <f t="shared" ca="1" si="172"/>
        <v>62570</v>
      </c>
      <c r="N2707" s="115" t="e">
        <f ca="1"/>
        <v>#VALUE!</v>
      </c>
      <c r="P2707" s="219">
        <f t="shared" ca="1" si="169"/>
        <v>62570</v>
      </c>
      <c r="Q2707" s="115" t="e">
        <f ca="1"/>
        <v>#VALUE!</v>
      </c>
      <c r="S2707" s="219">
        <f t="shared" ca="1" si="170"/>
        <v>62570</v>
      </c>
      <c r="T2707" s="115" t="e">
        <f ca="1"/>
        <v>#VALUE!</v>
      </c>
      <c r="V2707" s="219">
        <f t="shared" ca="1" si="171"/>
        <v>62570</v>
      </c>
      <c r="W2707" s="115" t="e">
        <f ca="1"/>
        <v>#VALUE!</v>
      </c>
    </row>
    <row r="2708" spans="13:23">
      <c r="M2708" s="219">
        <f t="shared" ca="1" si="172"/>
        <v>62577</v>
      </c>
      <c r="N2708" s="115" t="e">
        <f ca="1"/>
        <v>#VALUE!</v>
      </c>
      <c r="P2708" s="219">
        <f t="shared" ca="1" si="169"/>
        <v>62577</v>
      </c>
      <c r="Q2708" s="115" t="e">
        <f ca="1"/>
        <v>#VALUE!</v>
      </c>
      <c r="S2708" s="219">
        <f t="shared" ca="1" si="170"/>
        <v>62577</v>
      </c>
      <c r="T2708" s="115" t="e">
        <f ca="1"/>
        <v>#VALUE!</v>
      </c>
      <c r="V2708" s="219">
        <f t="shared" ca="1" si="171"/>
        <v>62577</v>
      </c>
      <c r="W2708" s="115" t="e">
        <f ca="1"/>
        <v>#VALUE!</v>
      </c>
    </row>
    <row r="2709" spans="13:23">
      <c r="M2709" s="219">
        <f t="shared" ca="1" si="172"/>
        <v>62584</v>
      </c>
      <c r="N2709" s="115" t="e">
        <f ca="1"/>
        <v>#VALUE!</v>
      </c>
      <c r="P2709" s="219">
        <f t="shared" ca="1" si="169"/>
        <v>62584</v>
      </c>
      <c r="Q2709" s="115" t="e">
        <f ca="1"/>
        <v>#VALUE!</v>
      </c>
      <c r="S2709" s="219">
        <f t="shared" ca="1" si="170"/>
        <v>62584</v>
      </c>
      <c r="T2709" s="115" t="e">
        <f ca="1"/>
        <v>#VALUE!</v>
      </c>
      <c r="V2709" s="219">
        <f t="shared" ca="1" si="171"/>
        <v>62584</v>
      </c>
      <c r="W2709" s="115" t="e">
        <f ca="1"/>
        <v>#VALUE!</v>
      </c>
    </row>
    <row r="2710" spans="13:23">
      <c r="M2710" s="219">
        <f t="shared" ca="1" si="172"/>
        <v>62591</v>
      </c>
      <c r="N2710" s="115" t="e">
        <f ca="1"/>
        <v>#VALUE!</v>
      </c>
      <c r="P2710" s="219">
        <f t="shared" ca="1" si="169"/>
        <v>62591</v>
      </c>
      <c r="Q2710" s="115" t="e">
        <f ca="1"/>
        <v>#VALUE!</v>
      </c>
      <c r="S2710" s="219">
        <f t="shared" ca="1" si="170"/>
        <v>62591</v>
      </c>
      <c r="T2710" s="115" t="e">
        <f ca="1"/>
        <v>#VALUE!</v>
      </c>
      <c r="V2710" s="219">
        <f t="shared" ca="1" si="171"/>
        <v>62591</v>
      </c>
      <c r="W2710" s="115" t="e">
        <f ca="1"/>
        <v>#VALUE!</v>
      </c>
    </row>
    <row r="2711" spans="13:23">
      <c r="M2711" s="219">
        <f t="shared" ca="1" si="172"/>
        <v>62598</v>
      </c>
      <c r="N2711" s="115" t="e">
        <f ca="1"/>
        <v>#VALUE!</v>
      </c>
      <c r="P2711" s="219">
        <f t="shared" ca="1" si="169"/>
        <v>62598</v>
      </c>
      <c r="Q2711" s="115" t="e">
        <f ca="1"/>
        <v>#VALUE!</v>
      </c>
      <c r="S2711" s="219">
        <f t="shared" ca="1" si="170"/>
        <v>62598</v>
      </c>
      <c r="T2711" s="115" t="e">
        <f ca="1"/>
        <v>#VALUE!</v>
      </c>
      <c r="V2711" s="219">
        <f t="shared" ca="1" si="171"/>
        <v>62598</v>
      </c>
      <c r="W2711" s="115" t="e">
        <f ca="1"/>
        <v>#VALUE!</v>
      </c>
    </row>
    <row r="2712" spans="13:23">
      <c r="M2712" s="219">
        <f t="shared" ca="1" si="172"/>
        <v>62605</v>
      </c>
      <c r="N2712" s="115" t="e">
        <f ca="1"/>
        <v>#VALUE!</v>
      </c>
      <c r="P2712" s="219">
        <f t="shared" ca="1" si="169"/>
        <v>62605</v>
      </c>
      <c r="Q2712" s="115" t="e">
        <f ca="1"/>
        <v>#VALUE!</v>
      </c>
      <c r="S2712" s="219">
        <f t="shared" ca="1" si="170"/>
        <v>62605</v>
      </c>
      <c r="T2712" s="115" t="e">
        <f ca="1"/>
        <v>#VALUE!</v>
      </c>
      <c r="V2712" s="219">
        <f t="shared" ca="1" si="171"/>
        <v>62605</v>
      </c>
      <c r="W2712" s="115" t="e">
        <f ca="1"/>
        <v>#VALUE!</v>
      </c>
    </row>
    <row r="2713" spans="13:23">
      <c r="M2713" s="219">
        <f t="shared" ca="1" si="172"/>
        <v>62612</v>
      </c>
      <c r="N2713" s="115" t="e">
        <f ca="1"/>
        <v>#VALUE!</v>
      </c>
      <c r="P2713" s="219">
        <f t="shared" ca="1" si="169"/>
        <v>62612</v>
      </c>
      <c r="Q2713" s="115" t="e">
        <f ca="1"/>
        <v>#VALUE!</v>
      </c>
      <c r="S2713" s="219">
        <f t="shared" ca="1" si="170"/>
        <v>62612</v>
      </c>
      <c r="T2713" s="115" t="e">
        <f ca="1"/>
        <v>#VALUE!</v>
      </c>
      <c r="V2713" s="219">
        <f t="shared" ca="1" si="171"/>
        <v>62612</v>
      </c>
      <c r="W2713" s="115" t="e">
        <f ca="1"/>
        <v>#VALUE!</v>
      </c>
    </row>
    <row r="2714" spans="13:23">
      <c r="M2714" s="219">
        <f t="shared" ca="1" si="172"/>
        <v>62619</v>
      </c>
      <c r="N2714" s="115" t="e">
        <f ca="1"/>
        <v>#VALUE!</v>
      </c>
      <c r="P2714" s="219">
        <f t="shared" ca="1" si="169"/>
        <v>62619</v>
      </c>
      <c r="Q2714" s="115" t="e">
        <f ca="1"/>
        <v>#VALUE!</v>
      </c>
      <c r="S2714" s="219">
        <f t="shared" ca="1" si="170"/>
        <v>62619</v>
      </c>
      <c r="T2714" s="115" t="e">
        <f ca="1"/>
        <v>#VALUE!</v>
      </c>
      <c r="V2714" s="219">
        <f t="shared" ca="1" si="171"/>
        <v>62619</v>
      </c>
      <c r="W2714" s="115" t="e">
        <f ca="1"/>
        <v>#VALUE!</v>
      </c>
    </row>
    <row r="2715" spans="13:23">
      <c r="M2715" s="219">
        <f t="shared" ca="1" si="172"/>
        <v>62626</v>
      </c>
      <c r="N2715" s="115" t="e">
        <f ca="1"/>
        <v>#VALUE!</v>
      </c>
      <c r="P2715" s="219">
        <f t="shared" ca="1" si="169"/>
        <v>62626</v>
      </c>
      <c r="Q2715" s="115" t="e">
        <f ca="1"/>
        <v>#VALUE!</v>
      </c>
      <c r="S2715" s="219">
        <f t="shared" ca="1" si="170"/>
        <v>62626</v>
      </c>
      <c r="T2715" s="115" t="e">
        <f ca="1"/>
        <v>#VALUE!</v>
      </c>
      <c r="V2715" s="219">
        <f t="shared" ca="1" si="171"/>
        <v>62626</v>
      </c>
      <c r="W2715" s="115" t="e">
        <f ca="1"/>
        <v>#VALUE!</v>
      </c>
    </row>
    <row r="2716" spans="13:23">
      <c r="M2716" s="219">
        <f t="shared" ca="1" si="172"/>
        <v>62633</v>
      </c>
      <c r="N2716" s="115" t="e">
        <f ca="1"/>
        <v>#VALUE!</v>
      </c>
      <c r="P2716" s="219">
        <f t="shared" ca="1" si="169"/>
        <v>62633</v>
      </c>
      <c r="Q2716" s="115" t="e">
        <f ca="1"/>
        <v>#VALUE!</v>
      </c>
      <c r="S2716" s="219">
        <f t="shared" ca="1" si="170"/>
        <v>62633</v>
      </c>
      <c r="T2716" s="115" t="e">
        <f ca="1"/>
        <v>#VALUE!</v>
      </c>
      <c r="V2716" s="219">
        <f t="shared" ca="1" si="171"/>
        <v>62633</v>
      </c>
      <c r="W2716" s="115" t="e">
        <f ca="1"/>
        <v>#VALUE!</v>
      </c>
    </row>
    <row r="2717" spans="13:23">
      <c r="M2717" s="219">
        <f t="shared" ca="1" si="172"/>
        <v>62640</v>
      </c>
      <c r="N2717" s="115" t="e">
        <f ca="1"/>
        <v>#VALUE!</v>
      </c>
      <c r="P2717" s="219">
        <f t="shared" ref="P2717:P2730" ca="1" si="173">P2716+7</f>
        <v>62640</v>
      </c>
      <c r="Q2717" s="115" t="e">
        <f ca="1"/>
        <v>#VALUE!</v>
      </c>
      <c r="S2717" s="219">
        <f t="shared" ref="S2717:S2730" ca="1" si="174">S2716+7</f>
        <v>62640</v>
      </c>
      <c r="T2717" s="115" t="e">
        <f ca="1"/>
        <v>#VALUE!</v>
      </c>
      <c r="V2717" s="219">
        <f t="shared" ref="V2717:V2730" ca="1" si="175">V2716+7</f>
        <v>62640</v>
      </c>
      <c r="W2717" s="115" t="e">
        <f ca="1"/>
        <v>#VALUE!</v>
      </c>
    </row>
    <row r="2718" spans="13:23">
      <c r="M2718" s="219">
        <f t="shared" ca="1" si="172"/>
        <v>62647</v>
      </c>
      <c r="N2718" s="115" t="e">
        <f ca="1"/>
        <v>#VALUE!</v>
      </c>
      <c r="P2718" s="219">
        <f t="shared" ca="1" si="173"/>
        <v>62647</v>
      </c>
      <c r="Q2718" s="115" t="e">
        <f ca="1"/>
        <v>#VALUE!</v>
      </c>
      <c r="S2718" s="219">
        <f t="shared" ca="1" si="174"/>
        <v>62647</v>
      </c>
      <c r="T2718" s="115" t="e">
        <f ca="1"/>
        <v>#VALUE!</v>
      </c>
      <c r="V2718" s="219">
        <f t="shared" ca="1" si="175"/>
        <v>62647</v>
      </c>
      <c r="W2718" s="115" t="e">
        <f ca="1"/>
        <v>#VALUE!</v>
      </c>
    </row>
    <row r="2719" spans="13:23">
      <c r="M2719" s="219">
        <f t="shared" ca="1" si="172"/>
        <v>62654</v>
      </c>
      <c r="N2719" s="115" t="e">
        <f ca="1"/>
        <v>#VALUE!</v>
      </c>
      <c r="P2719" s="219">
        <f t="shared" ca="1" si="173"/>
        <v>62654</v>
      </c>
      <c r="Q2719" s="115" t="e">
        <f ca="1"/>
        <v>#VALUE!</v>
      </c>
      <c r="S2719" s="219">
        <f t="shared" ca="1" si="174"/>
        <v>62654</v>
      </c>
      <c r="T2719" s="115" t="e">
        <f ca="1"/>
        <v>#VALUE!</v>
      </c>
      <c r="V2719" s="219">
        <f t="shared" ca="1" si="175"/>
        <v>62654</v>
      </c>
      <c r="W2719" s="115" t="e">
        <f ca="1"/>
        <v>#VALUE!</v>
      </c>
    </row>
    <row r="2720" spans="13:23">
      <c r="M2720" s="219">
        <f t="shared" ca="1" si="172"/>
        <v>62661</v>
      </c>
      <c r="N2720" s="115" t="e">
        <f ca="1"/>
        <v>#VALUE!</v>
      </c>
      <c r="P2720" s="219">
        <f t="shared" ca="1" si="173"/>
        <v>62661</v>
      </c>
      <c r="Q2720" s="115" t="e">
        <f ca="1"/>
        <v>#VALUE!</v>
      </c>
      <c r="S2720" s="219">
        <f t="shared" ca="1" si="174"/>
        <v>62661</v>
      </c>
      <c r="T2720" s="115" t="e">
        <f ca="1"/>
        <v>#VALUE!</v>
      </c>
      <c r="V2720" s="219">
        <f t="shared" ca="1" si="175"/>
        <v>62661</v>
      </c>
      <c r="W2720" s="115" t="e">
        <f ca="1"/>
        <v>#VALUE!</v>
      </c>
    </row>
    <row r="2721" spans="13:23">
      <c r="M2721" s="219">
        <f t="shared" ca="1" si="172"/>
        <v>62668</v>
      </c>
      <c r="N2721" s="115" t="e">
        <f ca="1"/>
        <v>#VALUE!</v>
      </c>
      <c r="P2721" s="219">
        <f t="shared" ca="1" si="173"/>
        <v>62668</v>
      </c>
      <c r="Q2721" s="115" t="e">
        <f ca="1"/>
        <v>#VALUE!</v>
      </c>
      <c r="S2721" s="219">
        <f t="shared" ca="1" si="174"/>
        <v>62668</v>
      </c>
      <c r="T2721" s="115" t="e">
        <f ca="1"/>
        <v>#VALUE!</v>
      </c>
      <c r="V2721" s="219">
        <f t="shared" ca="1" si="175"/>
        <v>62668</v>
      </c>
      <c r="W2721" s="115" t="e">
        <f ca="1"/>
        <v>#VALUE!</v>
      </c>
    </row>
    <row r="2722" spans="13:23">
      <c r="M2722" s="219">
        <f t="shared" ca="1" si="172"/>
        <v>62675</v>
      </c>
      <c r="N2722" s="115" t="e">
        <f ca="1"/>
        <v>#VALUE!</v>
      </c>
      <c r="P2722" s="219">
        <f t="shared" ca="1" si="173"/>
        <v>62675</v>
      </c>
      <c r="Q2722" s="115" t="e">
        <f ca="1"/>
        <v>#VALUE!</v>
      </c>
      <c r="S2722" s="219">
        <f t="shared" ca="1" si="174"/>
        <v>62675</v>
      </c>
      <c r="T2722" s="115" t="e">
        <f ca="1"/>
        <v>#VALUE!</v>
      </c>
      <c r="V2722" s="219">
        <f t="shared" ca="1" si="175"/>
        <v>62675</v>
      </c>
      <c r="W2722" s="115" t="e">
        <f ca="1"/>
        <v>#VALUE!</v>
      </c>
    </row>
    <row r="2723" spans="13:23">
      <c r="M2723" s="219">
        <f t="shared" ca="1" si="172"/>
        <v>62682</v>
      </c>
      <c r="N2723" s="115" t="e">
        <f ca="1"/>
        <v>#VALUE!</v>
      </c>
      <c r="P2723" s="219">
        <f t="shared" ca="1" si="173"/>
        <v>62682</v>
      </c>
      <c r="Q2723" s="115" t="e">
        <f ca="1"/>
        <v>#VALUE!</v>
      </c>
      <c r="S2723" s="219">
        <f t="shared" ca="1" si="174"/>
        <v>62682</v>
      </c>
      <c r="T2723" s="115" t="e">
        <f ca="1"/>
        <v>#VALUE!</v>
      </c>
      <c r="V2723" s="219">
        <f t="shared" ca="1" si="175"/>
        <v>62682</v>
      </c>
      <c r="W2723" s="115" t="e">
        <f ca="1"/>
        <v>#VALUE!</v>
      </c>
    </row>
    <row r="2724" spans="13:23">
      <c r="M2724" s="219">
        <f t="shared" ca="1" si="172"/>
        <v>62689</v>
      </c>
      <c r="N2724" s="115" t="e">
        <f ca="1"/>
        <v>#VALUE!</v>
      </c>
      <c r="P2724" s="219">
        <f t="shared" ca="1" si="173"/>
        <v>62689</v>
      </c>
      <c r="Q2724" s="115" t="e">
        <f ca="1"/>
        <v>#VALUE!</v>
      </c>
      <c r="S2724" s="219">
        <f t="shared" ca="1" si="174"/>
        <v>62689</v>
      </c>
      <c r="T2724" s="115" t="e">
        <f ca="1"/>
        <v>#VALUE!</v>
      </c>
      <c r="V2724" s="219">
        <f t="shared" ca="1" si="175"/>
        <v>62689</v>
      </c>
      <c r="W2724" s="115" t="e">
        <f ca="1"/>
        <v>#VALUE!</v>
      </c>
    </row>
    <row r="2725" spans="13:23">
      <c r="M2725" s="219">
        <f t="shared" ca="1" si="172"/>
        <v>62696</v>
      </c>
      <c r="N2725" s="115" t="e">
        <f ca="1"/>
        <v>#VALUE!</v>
      </c>
      <c r="P2725" s="219">
        <f t="shared" ca="1" si="173"/>
        <v>62696</v>
      </c>
      <c r="Q2725" s="115" t="e">
        <f ca="1"/>
        <v>#VALUE!</v>
      </c>
      <c r="S2725" s="219">
        <f t="shared" ca="1" si="174"/>
        <v>62696</v>
      </c>
      <c r="T2725" s="115" t="e">
        <f ca="1"/>
        <v>#VALUE!</v>
      </c>
      <c r="V2725" s="219">
        <f t="shared" ca="1" si="175"/>
        <v>62696</v>
      </c>
      <c r="W2725" s="115" t="e">
        <f ca="1"/>
        <v>#VALUE!</v>
      </c>
    </row>
    <row r="2726" spans="13:23">
      <c r="M2726" s="219">
        <f t="shared" ca="1" si="172"/>
        <v>62703</v>
      </c>
      <c r="N2726" s="115" t="e">
        <f ca="1"/>
        <v>#VALUE!</v>
      </c>
      <c r="P2726" s="219">
        <f t="shared" ca="1" si="173"/>
        <v>62703</v>
      </c>
      <c r="Q2726" s="115" t="e">
        <f ca="1"/>
        <v>#VALUE!</v>
      </c>
      <c r="S2726" s="219">
        <f t="shared" ca="1" si="174"/>
        <v>62703</v>
      </c>
      <c r="T2726" s="115" t="e">
        <f ca="1"/>
        <v>#VALUE!</v>
      </c>
      <c r="V2726" s="219">
        <f t="shared" ca="1" si="175"/>
        <v>62703</v>
      </c>
      <c r="W2726" s="115" t="e">
        <f ca="1"/>
        <v>#VALUE!</v>
      </c>
    </row>
    <row r="2727" spans="13:23">
      <c r="M2727" s="219">
        <f t="shared" ca="1" si="172"/>
        <v>62710</v>
      </c>
      <c r="N2727" s="115" t="e">
        <f ca="1"/>
        <v>#VALUE!</v>
      </c>
      <c r="P2727" s="219">
        <f t="shared" ca="1" si="173"/>
        <v>62710</v>
      </c>
      <c r="Q2727" s="115" t="e">
        <f ca="1"/>
        <v>#VALUE!</v>
      </c>
      <c r="S2727" s="219">
        <f t="shared" ca="1" si="174"/>
        <v>62710</v>
      </c>
      <c r="T2727" s="115" t="e">
        <f ca="1"/>
        <v>#VALUE!</v>
      </c>
      <c r="V2727" s="219">
        <f t="shared" ca="1" si="175"/>
        <v>62710</v>
      </c>
      <c r="W2727" s="115" t="e">
        <f ca="1"/>
        <v>#VALUE!</v>
      </c>
    </row>
    <row r="2728" spans="13:23">
      <c r="M2728" s="219">
        <f t="shared" ca="1" si="172"/>
        <v>62717</v>
      </c>
      <c r="N2728" s="115" t="e">
        <f ca="1"/>
        <v>#VALUE!</v>
      </c>
      <c r="P2728" s="219">
        <f t="shared" ca="1" si="173"/>
        <v>62717</v>
      </c>
      <c r="Q2728" s="115" t="e">
        <f ca="1"/>
        <v>#VALUE!</v>
      </c>
      <c r="S2728" s="219">
        <f t="shared" ca="1" si="174"/>
        <v>62717</v>
      </c>
      <c r="T2728" s="115" t="e">
        <f ca="1"/>
        <v>#VALUE!</v>
      </c>
      <c r="V2728" s="219">
        <f t="shared" ca="1" si="175"/>
        <v>62717</v>
      </c>
      <c r="W2728" s="115" t="e">
        <f ca="1"/>
        <v>#VALUE!</v>
      </c>
    </row>
    <row r="2729" spans="13:23">
      <c r="M2729" s="219">
        <f t="shared" ca="1" si="172"/>
        <v>62724</v>
      </c>
      <c r="N2729" s="115" t="e">
        <f ca="1"/>
        <v>#VALUE!</v>
      </c>
      <c r="P2729" s="219">
        <f t="shared" ca="1" si="173"/>
        <v>62724</v>
      </c>
      <c r="Q2729" s="115" t="e">
        <f ca="1"/>
        <v>#VALUE!</v>
      </c>
      <c r="S2729" s="219">
        <f t="shared" ca="1" si="174"/>
        <v>62724</v>
      </c>
      <c r="T2729" s="115" t="e">
        <f ca="1"/>
        <v>#VALUE!</v>
      </c>
      <c r="V2729" s="219">
        <f t="shared" ca="1" si="175"/>
        <v>62724</v>
      </c>
      <c r="W2729" s="115" t="e">
        <f ca="1"/>
        <v>#VALUE!</v>
      </c>
    </row>
    <row r="2730" spans="13:23">
      <c r="M2730" s="219">
        <f t="shared" ca="1" si="172"/>
        <v>62731</v>
      </c>
      <c r="N2730" s="115" t="e">
        <f ca="1"/>
        <v>#VALUE!</v>
      </c>
      <c r="P2730" s="219">
        <f t="shared" ca="1" si="173"/>
        <v>62731</v>
      </c>
      <c r="Q2730" s="115" t="e">
        <f ca="1"/>
        <v>#VALUE!</v>
      </c>
      <c r="S2730" s="219">
        <f t="shared" ca="1" si="174"/>
        <v>62731</v>
      </c>
      <c r="T2730" s="115" t="e">
        <f ca="1"/>
        <v>#VALUE!</v>
      </c>
      <c r="V2730" s="219">
        <f t="shared" ca="1" si="175"/>
        <v>62731</v>
      </c>
      <c r="W2730" s="115" t="e">
        <f ca="1"/>
        <v>#VALUE!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F4:BC132"/>
  <sheetViews>
    <sheetView topLeftCell="H71" workbookViewId="0">
      <selection activeCell="U99" sqref="U99"/>
    </sheetView>
  </sheetViews>
  <sheetFormatPr defaultRowHeight="15"/>
  <cols>
    <col min="9" max="9" width="10.7109375" bestFit="1" customWidth="1"/>
    <col min="18" max="18" width="28.5703125" customWidth="1"/>
    <col min="19" max="19" width="12.7109375" bestFit="1" customWidth="1"/>
    <col min="20" max="21" width="10.140625" bestFit="1" customWidth="1"/>
  </cols>
  <sheetData>
    <row r="4" spans="6:30" ht="24">
      <c r="L4" s="498" t="s">
        <v>304</v>
      </c>
      <c r="M4" s="499"/>
      <c r="N4" s="500"/>
      <c r="P4" s="501" t="s">
        <v>304</v>
      </c>
      <c r="Q4" s="502"/>
      <c r="R4" s="503"/>
      <c r="T4" s="422"/>
      <c r="U4" s="424">
        <v>42501</v>
      </c>
      <c r="V4" s="424">
        <v>42502</v>
      </c>
      <c r="W4" s="424">
        <v>42503</v>
      </c>
      <c r="X4" s="424">
        <v>42509</v>
      </c>
      <c r="Y4" s="424">
        <v>42534</v>
      </c>
      <c r="Z4" s="424">
        <v>42563</v>
      </c>
      <c r="AA4" s="424">
        <v>42594</v>
      </c>
      <c r="AB4" s="424">
        <v>42625</v>
      </c>
      <c r="AC4" s="424">
        <v>42655</v>
      </c>
      <c r="AD4" s="424">
        <v>42688</v>
      </c>
    </row>
    <row r="5" spans="6:30">
      <c r="L5" s="418" t="s">
        <v>810</v>
      </c>
      <c r="M5" s="418" t="s">
        <v>245</v>
      </c>
      <c r="N5" s="418" t="s">
        <v>811</v>
      </c>
      <c r="P5" s="437" t="s">
        <v>810</v>
      </c>
      <c r="Q5" s="437" t="s">
        <v>245</v>
      </c>
      <c r="R5" s="437" t="s">
        <v>811</v>
      </c>
      <c r="T5" s="424">
        <v>42501</v>
      </c>
      <c r="U5" s="425">
        <v>1.005943544685195</v>
      </c>
      <c r="V5" s="426">
        <v>0</v>
      </c>
      <c r="W5" s="426">
        <v>0</v>
      </c>
      <c r="X5" s="426">
        <v>0</v>
      </c>
      <c r="Y5" s="426">
        <v>0</v>
      </c>
      <c r="Z5" s="426">
        <v>0</v>
      </c>
      <c r="AA5" s="426">
        <v>0</v>
      </c>
      <c r="AB5" s="426">
        <v>0</v>
      </c>
      <c r="AC5" s="426">
        <v>0</v>
      </c>
      <c r="AD5" s="426">
        <v>0</v>
      </c>
    </row>
    <row r="6" spans="6:30">
      <c r="L6" s="416" t="s">
        <v>193</v>
      </c>
      <c r="M6" s="416">
        <v>0</v>
      </c>
      <c r="N6" s="420">
        <v>0.59420846821378603</v>
      </c>
      <c r="P6" s="435" t="s">
        <v>193</v>
      </c>
      <c r="Q6" s="435">
        <v>0</v>
      </c>
      <c r="R6" s="439">
        <v>0.60420846820985474</v>
      </c>
      <c r="S6" s="172">
        <f t="shared" ref="S6:S39" si="0">(R6-N6)/0.01</f>
        <v>0.99999999960687092</v>
      </c>
      <c r="T6" s="423">
        <v>42502</v>
      </c>
      <c r="U6" s="427">
        <v>0.50297162701440357</v>
      </c>
      <c r="V6" s="428">
        <v>0.50297166720447706</v>
      </c>
      <c r="W6" s="428">
        <v>0</v>
      </c>
      <c r="X6" s="428">
        <v>0</v>
      </c>
      <c r="Y6" s="428">
        <v>0</v>
      </c>
      <c r="Z6" s="428">
        <v>0</v>
      </c>
      <c r="AA6" s="428">
        <v>0</v>
      </c>
      <c r="AB6" s="428">
        <v>0</v>
      </c>
      <c r="AC6" s="428">
        <v>0</v>
      </c>
      <c r="AD6" s="428">
        <v>0</v>
      </c>
    </row>
    <row r="7" spans="6:30">
      <c r="L7" s="414" t="s">
        <v>188</v>
      </c>
      <c r="M7" s="414">
        <v>0</v>
      </c>
      <c r="N7" s="421">
        <v>0.59420846822177964</v>
      </c>
      <c r="P7" s="433" t="s">
        <v>188</v>
      </c>
      <c r="Q7" s="433">
        <v>0</v>
      </c>
      <c r="R7" s="440">
        <v>0.59420846822177964</v>
      </c>
      <c r="S7">
        <f t="shared" si="0"/>
        <v>0</v>
      </c>
      <c r="T7" s="423">
        <v>42503</v>
      </c>
      <c r="U7" s="427">
        <v>0.3353144146789333</v>
      </c>
      <c r="V7" s="428">
        <v>0.3353144415463305</v>
      </c>
      <c r="W7" s="428">
        <v>0.3353144415463305</v>
      </c>
      <c r="X7" s="428">
        <v>0</v>
      </c>
      <c r="Y7" s="428">
        <v>0</v>
      </c>
      <c r="Z7" s="428">
        <v>0</v>
      </c>
      <c r="AA7" s="428">
        <v>0</v>
      </c>
      <c r="AB7" s="428">
        <v>0</v>
      </c>
      <c r="AC7" s="428">
        <v>0</v>
      </c>
      <c r="AD7" s="428">
        <v>0</v>
      </c>
    </row>
    <row r="8" spans="6:30">
      <c r="F8" t="s">
        <v>368</v>
      </c>
      <c r="G8" t="str">
        <f>'USD 3m'!Y10</f>
        <v>USD_OIS_COL#0000</v>
      </c>
      <c r="L8" s="414" t="s">
        <v>812</v>
      </c>
      <c r="M8" s="414" t="s">
        <v>206</v>
      </c>
      <c r="N8" s="421">
        <v>0.59421827615224743</v>
      </c>
      <c r="P8" s="433" t="s">
        <v>812</v>
      </c>
      <c r="Q8" s="433" t="s">
        <v>206</v>
      </c>
      <c r="R8" s="440">
        <v>0.59421827615224743</v>
      </c>
      <c r="S8">
        <f t="shared" si="0"/>
        <v>0</v>
      </c>
      <c r="T8" s="423">
        <v>42509</v>
      </c>
      <c r="U8" s="427">
        <v>0.1117272117046042</v>
      </c>
      <c r="V8" s="428">
        <v>0.1117272205863884</v>
      </c>
      <c r="W8" s="428">
        <v>0</v>
      </c>
      <c r="X8" s="428">
        <v>0.7820211005427069</v>
      </c>
      <c r="Y8" s="428">
        <v>0</v>
      </c>
      <c r="Z8" s="428">
        <v>0</v>
      </c>
      <c r="AA8" s="428">
        <v>0</v>
      </c>
      <c r="AB8" s="428">
        <v>0</v>
      </c>
      <c r="AC8" s="428">
        <v>0</v>
      </c>
      <c r="AD8" s="428">
        <v>0</v>
      </c>
    </row>
    <row r="9" spans="6:30">
      <c r="L9" s="414" t="s">
        <v>812</v>
      </c>
      <c r="M9" s="414" t="s">
        <v>207</v>
      </c>
      <c r="N9" s="421">
        <v>0.54333019458420651</v>
      </c>
      <c r="P9" s="433" t="s">
        <v>812</v>
      </c>
      <c r="Q9" s="433" t="s">
        <v>207</v>
      </c>
      <c r="R9" s="440">
        <v>0.54333019458534837</v>
      </c>
      <c r="S9">
        <f t="shared" si="0"/>
        <v>1.1418643808269735E-10</v>
      </c>
      <c r="T9" s="423">
        <v>42534</v>
      </c>
      <c r="U9" s="427">
        <v>2.9578209659320009E-2</v>
      </c>
      <c r="V9" s="428">
        <v>2.9578211879766059E-2</v>
      </c>
      <c r="W9" s="428">
        <v>0</v>
      </c>
      <c r="X9" s="428">
        <v>0</v>
      </c>
      <c r="Y9" s="428">
        <v>0.94604422407051914</v>
      </c>
      <c r="Z9" s="428">
        <v>0</v>
      </c>
      <c r="AA9" s="428">
        <v>0</v>
      </c>
      <c r="AB9" s="428">
        <v>0</v>
      </c>
      <c r="AC9" s="428">
        <v>0</v>
      </c>
      <c r="AD9" s="428">
        <v>0</v>
      </c>
    </row>
    <row r="10" spans="6:30">
      <c r="I10" s="92">
        <f t="array" ref="I10:I52">_xll.qlScheduleDates('CCS EUR_USD col USD'!Y32)</f>
        <v>43707</v>
      </c>
      <c r="J10">
        <f>_xll.qlYieldTSForwardRate($G$8,I10,I11,"Actual/360","compounded","annual")</f>
        <v>3.8099253386321141E-3</v>
      </c>
      <c r="L10" s="414" t="s">
        <v>812</v>
      </c>
      <c r="M10" s="414" t="s">
        <v>208</v>
      </c>
      <c r="N10" s="421">
        <v>0.56435301954549377</v>
      </c>
      <c r="P10" s="433" t="s">
        <v>812</v>
      </c>
      <c r="Q10" s="433" t="s">
        <v>208</v>
      </c>
      <c r="R10" s="440">
        <v>0.56435301955423678</v>
      </c>
      <c r="S10">
        <f t="shared" si="0"/>
        <v>8.7430063189231078E-10</v>
      </c>
      <c r="T10" s="423">
        <v>42563</v>
      </c>
      <c r="U10" s="427">
        <v>1.5968691480239272E-2</v>
      </c>
      <c r="V10" s="428">
        <v>1.5968692812506902E-2</v>
      </c>
      <c r="W10" s="428">
        <v>0</v>
      </c>
      <c r="X10" s="428">
        <v>0</v>
      </c>
      <c r="Y10" s="428">
        <v>0</v>
      </c>
      <c r="Z10" s="429">
        <v>0.97311211799677722</v>
      </c>
      <c r="AA10" s="429">
        <v>0</v>
      </c>
      <c r="AB10" s="429">
        <v>0</v>
      </c>
      <c r="AC10" s="428">
        <v>0</v>
      </c>
      <c r="AD10" s="428">
        <v>0</v>
      </c>
    </row>
    <row r="11" spans="6:30">
      <c r="I11" s="92">
        <v>43801</v>
      </c>
      <c r="J11" s="115">
        <f>_xll.qlYieldTSForwardRate($G$8,I11,I12,"Actual/360","compounded","annual")</f>
        <v>5.0194635649121189E-3</v>
      </c>
      <c r="L11" s="414" t="s">
        <v>812</v>
      </c>
      <c r="M11" s="414" t="s">
        <v>209</v>
      </c>
      <c r="N11" s="421">
        <v>0.60318688074159577</v>
      </c>
      <c r="P11" s="433" t="s">
        <v>812</v>
      </c>
      <c r="Q11" s="433" t="s">
        <v>209</v>
      </c>
      <c r="R11" s="440">
        <v>0.60318688076806648</v>
      </c>
      <c r="S11">
        <f t="shared" si="0"/>
        <v>2.647071450923022E-9</v>
      </c>
      <c r="T11" s="423">
        <v>42594</v>
      </c>
      <c r="U11" s="427">
        <v>1.0705831554602696E-2</v>
      </c>
      <c r="V11" s="428">
        <v>1.0705831554602696E-2</v>
      </c>
      <c r="W11" s="428">
        <v>0</v>
      </c>
      <c r="X11" s="428">
        <v>0</v>
      </c>
      <c r="Y11" s="428">
        <v>0</v>
      </c>
      <c r="Z11" s="429">
        <v>0</v>
      </c>
      <c r="AA11" s="429">
        <v>0.98335519527203985</v>
      </c>
      <c r="AB11" s="429">
        <v>0</v>
      </c>
      <c r="AC11" s="428">
        <v>0</v>
      </c>
      <c r="AD11" s="428">
        <v>0</v>
      </c>
    </row>
    <row r="12" spans="6:30">
      <c r="I12" s="92">
        <v>43892</v>
      </c>
      <c r="J12" s="115">
        <f>_xll.qlYieldTSForwardRate($G$8,I12,I13,"Actual/360","compounded","annual")</f>
        <v>5.8249860984400659E-3</v>
      </c>
      <c r="L12" s="414" t="s">
        <v>812</v>
      </c>
      <c r="M12" s="414" t="s">
        <v>210</v>
      </c>
      <c r="N12" s="421">
        <v>0.63584999995197866</v>
      </c>
      <c r="P12" s="433" t="s">
        <v>812</v>
      </c>
      <c r="Q12" s="433" t="s">
        <v>210</v>
      </c>
      <c r="R12" s="440">
        <v>0.63585000000011416</v>
      </c>
      <c r="S12">
        <f t="shared" si="0"/>
        <v>4.8135495589463062E-9</v>
      </c>
      <c r="T12" s="423">
        <v>42625</v>
      </c>
      <c r="U12" s="427">
        <v>8.0521309619996373E-3</v>
      </c>
      <c r="V12" s="428">
        <v>8.0521316281334521E-3</v>
      </c>
      <c r="W12" s="428">
        <v>0</v>
      </c>
      <c r="X12" s="428">
        <v>0</v>
      </c>
      <c r="Y12" s="428">
        <v>0</v>
      </c>
      <c r="Z12" s="429">
        <v>0</v>
      </c>
      <c r="AA12" s="429">
        <v>0</v>
      </c>
      <c r="AB12" s="429">
        <v>0.98822457839098377</v>
      </c>
      <c r="AC12" s="428">
        <v>0</v>
      </c>
      <c r="AD12" s="428">
        <v>0</v>
      </c>
    </row>
    <row r="13" spans="6:30">
      <c r="I13" s="92">
        <v>43983</v>
      </c>
      <c r="J13" s="115">
        <f>_xll.qlYieldTSForwardRate($G$8,I13,I14,"Actual/360","compounded","annual")</f>
        <v>6.6174879313238844E-3</v>
      </c>
      <c r="L13" s="414" t="s">
        <v>812</v>
      </c>
      <c r="M13" s="414" t="s">
        <v>226</v>
      </c>
      <c r="N13" s="421">
        <v>0.65283200702589761</v>
      </c>
      <c r="P13" s="433" t="s">
        <v>812</v>
      </c>
      <c r="Q13" s="433" t="s">
        <v>226</v>
      </c>
      <c r="R13" s="440">
        <v>0.65283200708757194</v>
      </c>
      <c r="S13">
        <f t="shared" si="0"/>
        <v>6.1674332307859459E-9</v>
      </c>
      <c r="T13" s="423">
        <v>42655</v>
      </c>
      <c r="U13" s="427">
        <v>6.4949683409309955E-3</v>
      </c>
      <c r="V13" s="428">
        <v>6.4949694511540201E-3</v>
      </c>
      <c r="W13" s="428">
        <v>0</v>
      </c>
      <c r="X13" s="428">
        <v>0</v>
      </c>
      <c r="Y13" s="428">
        <v>0</v>
      </c>
      <c r="Z13" s="429">
        <v>0</v>
      </c>
      <c r="AA13" s="429">
        <v>0</v>
      </c>
      <c r="AB13" s="429">
        <v>0</v>
      </c>
      <c r="AC13" s="428">
        <v>0.99091104655002482</v>
      </c>
      <c r="AD13" s="428">
        <v>0</v>
      </c>
    </row>
    <row r="14" spans="6:30">
      <c r="I14" s="92">
        <v>44074</v>
      </c>
      <c r="J14" s="115">
        <f>_xll.qlYieldTSForwardRate($G$8,I14,I15,"Actual/360","compounded","annual")</f>
        <v>7.105797724408669E-3</v>
      </c>
      <c r="L14" s="414" t="s">
        <v>812</v>
      </c>
      <c r="M14" s="417" t="s">
        <v>227</v>
      </c>
      <c r="N14" s="421">
        <v>0.67339650131275208</v>
      </c>
      <c r="P14" s="433" t="s">
        <v>812</v>
      </c>
      <c r="Q14" s="436" t="s">
        <v>227</v>
      </c>
      <c r="R14" s="440">
        <v>0.67339650136745344</v>
      </c>
      <c r="S14">
        <f t="shared" si="0"/>
        <v>5.4701354557096238E-9</v>
      </c>
      <c r="T14" s="423">
        <v>42688</v>
      </c>
      <c r="U14" s="427">
        <v>5.3562048130118001E-3</v>
      </c>
      <c r="V14" s="428">
        <v>5.3562057011902198E-3</v>
      </c>
      <c r="W14" s="428">
        <v>0</v>
      </c>
      <c r="X14" s="428">
        <v>0</v>
      </c>
      <c r="Y14" s="428">
        <v>0</v>
      </c>
      <c r="Z14" s="429">
        <v>0</v>
      </c>
      <c r="AA14" s="429">
        <v>0</v>
      </c>
      <c r="AB14" s="429">
        <v>0</v>
      </c>
      <c r="AC14" s="428">
        <v>0</v>
      </c>
      <c r="AD14" s="428">
        <v>0.99268965247922836</v>
      </c>
    </row>
    <row r="15" spans="6:30">
      <c r="I15" s="92">
        <v>44165</v>
      </c>
      <c r="J15" s="115">
        <f>_xll.qlYieldTSForwardRate($G$8,I15,I16,"Actual/360","compounded","annual")</f>
        <v>7.6057521039167852E-3</v>
      </c>
      <c r="L15" s="414" t="s">
        <v>812</v>
      </c>
      <c r="M15" s="414" t="s">
        <v>228</v>
      </c>
      <c r="N15" s="421">
        <v>0.69824742981522592</v>
      </c>
      <c r="P15" s="433" t="s">
        <v>812</v>
      </c>
      <c r="Q15" s="433" t="s">
        <v>228</v>
      </c>
      <c r="R15" s="440">
        <v>0.69824742983005272</v>
      </c>
      <c r="S15">
        <f t="shared" si="0"/>
        <v>1.4826806449264041E-9</v>
      </c>
      <c r="T15" s="423">
        <v>42716</v>
      </c>
      <c r="U15" s="427">
        <v>4.662624286666528E-3</v>
      </c>
      <c r="V15" s="428">
        <v>4.662624286666528E-3</v>
      </c>
      <c r="W15" s="428">
        <v>0</v>
      </c>
      <c r="X15" s="428">
        <v>0</v>
      </c>
      <c r="Y15" s="428">
        <v>0</v>
      </c>
      <c r="Z15" s="429">
        <v>0</v>
      </c>
      <c r="AA15" s="429">
        <v>0</v>
      </c>
      <c r="AB15" s="429">
        <v>0</v>
      </c>
      <c r="AC15" s="428">
        <v>0</v>
      </c>
      <c r="AD15" s="428">
        <v>0</v>
      </c>
    </row>
    <row r="16" spans="6:30">
      <c r="I16" s="92">
        <v>44256</v>
      </c>
      <c r="J16" s="115">
        <f>_xll.qlYieldTSForwardRate($G$8,I16,I17,"Actual/360","compounded","annual")</f>
        <v>8.3870343474863329E-3</v>
      </c>
      <c r="L16" s="414" t="s">
        <v>812</v>
      </c>
      <c r="M16" s="414" t="s">
        <v>229</v>
      </c>
      <c r="N16" s="421">
        <v>0.71442542918749796</v>
      </c>
      <c r="P16" s="433" t="s">
        <v>812</v>
      </c>
      <c r="Q16" s="433" t="s">
        <v>229</v>
      </c>
      <c r="R16" s="440">
        <v>0.71442542913673479</v>
      </c>
      <c r="S16">
        <f t="shared" si="0"/>
        <v>-5.0763171444145883E-9</v>
      </c>
      <c r="T16" s="423">
        <v>42747</v>
      </c>
      <c r="U16" s="427">
        <v>4.0780692156516807E-3</v>
      </c>
      <c r="V16" s="428">
        <v>4.0780696597408905E-3</v>
      </c>
      <c r="W16" s="428">
        <v>0</v>
      </c>
      <c r="X16" s="428">
        <v>0</v>
      </c>
      <c r="Y16" s="428">
        <v>0</v>
      </c>
      <c r="Z16" s="429">
        <v>0</v>
      </c>
      <c r="AA16" s="429">
        <v>0</v>
      </c>
      <c r="AB16" s="429">
        <v>0</v>
      </c>
      <c r="AC16" s="428">
        <v>0</v>
      </c>
      <c r="AD16" s="428">
        <v>0</v>
      </c>
    </row>
    <row r="17" spans="9:30">
      <c r="I17" s="92">
        <v>44348</v>
      </c>
      <c r="J17" s="115">
        <f>_xll.qlYieldTSForwardRate($G$8,I17,I18,"Actual/360","compounded","annual")</f>
        <v>8.8926523962662429E-3</v>
      </c>
      <c r="L17" s="414" t="s">
        <v>812</v>
      </c>
      <c r="M17" s="414" t="s">
        <v>230</v>
      </c>
      <c r="N17" s="421">
        <v>0.73022919147944654</v>
      </c>
      <c r="P17" s="433" t="s">
        <v>812</v>
      </c>
      <c r="Q17" s="433" t="s">
        <v>230</v>
      </c>
      <c r="R17" s="440">
        <v>0.73022919132065101</v>
      </c>
      <c r="S17">
        <f t="shared" si="0"/>
        <v>-1.5879553227904353E-8</v>
      </c>
      <c r="T17" s="423">
        <v>42779</v>
      </c>
      <c r="U17" s="427">
        <v>3.6110801016064897E-3</v>
      </c>
      <c r="V17" s="428">
        <v>3.6110805456956996E-3</v>
      </c>
      <c r="W17" s="428">
        <v>0</v>
      </c>
      <c r="X17" s="428">
        <v>0</v>
      </c>
      <c r="Y17" s="428">
        <v>0</v>
      </c>
      <c r="Z17" s="429">
        <v>0</v>
      </c>
      <c r="AA17" s="429">
        <v>0</v>
      </c>
      <c r="AB17" s="429">
        <v>0</v>
      </c>
      <c r="AC17" s="428">
        <v>0</v>
      </c>
      <c r="AD17" s="428">
        <v>0</v>
      </c>
    </row>
    <row r="18" spans="9:30">
      <c r="I18" s="92">
        <v>44438</v>
      </c>
      <c r="J18" s="115">
        <f>_xll.qlYieldTSForwardRate($G$8,I18,I19,"Actual/360","compounded","annual")</f>
        <v>1.0191511536751019E-2</v>
      </c>
      <c r="L18" s="414" t="s">
        <v>812</v>
      </c>
      <c r="M18" s="414" t="s">
        <v>231</v>
      </c>
      <c r="N18" s="421">
        <v>0.7512791832555733</v>
      </c>
      <c r="P18" s="433" t="s">
        <v>812</v>
      </c>
      <c r="Q18" s="433" t="s">
        <v>231</v>
      </c>
      <c r="R18" s="440">
        <v>0.75127918295582763</v>
      </c>
      <c r="S18">
        <f t="shared" si="0"/>
        <v>-2.9974567272716968E-8</v>
      </c>
      <c r="T18" s="423">
        <v>42807</v>
      </c>
      <c r="U18" s="427">
        <v>3.2822236040175312E-3</v>
      </c>
      <c r="V18" s="428">
        <v>3.2822238260621361E-3</v>
      </c>
      <c r="W18" s="428">
        <v>-2.2204460492503131E-10</v>
      </c>
      <c r="X18" s="428">
        <v>-2.2204460492503131E-10</v>
      </c>
      <c r="Y18" s="428">
        <v>-2.2204460492503131E-10</v>
      </c>
      <c r="Z18" s="429">
        <v>-2.2204460492503131E-10</v>
      </c>
      <c r="AA18" s="429">
        <v>-2.2204460492503131E-10</v>
      </c>
      <c r="AB18" s="429">
        <v>-2.2204460492503131E-10</v>
      </c>
      <c r="AC18" s="428">
        <v>-2.2204460492503131E-10</v>
      </c>
      <c r="AD18" s="428">
        <v>-2.2204460492503131E-10</v>
      </c>
    </row>
    <row r="19" spans="9:30">
      <c r="I19" s="92">
        <v>44530</v>
      </c>
      <c r="J19" s="115">
        <f>_xll.qlYieldTSForwardRate($G$8,I19,I20,"Actual/360","compounded","annual")</f>
        <v>1.0191511536750797E-2</v>
      </c>
      <c r="L19" s="414" t="s">
        <v>812</v>
      </c>
      <c r="M19" s="414" t="s">
        <v>232</v>
      </c>
      <c r="N19" s="421">
        <v>0.76660747580154298</v>
      </c>
      <c r="P19" s="433" t="s">
        <v>812</v>
      </c>
      <c r="Q19" s="433" t="s">
        <v>232</v>
      </c>
      <c r="R19" s="440">
        <v>0.7666074753556833</v>
      </c>
      <c r="S19">
        <f t="shared" si="0"/>
        <v>-4.4585968250743235E-8</v>
      </c>
      <c r="T19" s="423">
        <v>42837</v>
      </c>
      <c r="U19" s="427">
        <v>2.990460101770509E-3</v>
      </c>
      <c r="V19" s="428">
        <v>2.990460323815114E-3</v>
      </c>
      <c r="W19" s="428">
        <v>0</v>
      </c>
      <c r="X19" s="428">
        <v>0</v>
      </c>
      <c r="Y19" s="428">
        <v>0</v>
      </c>
      <c r="Z19" s="429">
        <v>0</v>
      </c>
      <c r="AA19" s="429">
        <v>0</v>
      </c>
      <c r="AB19" s="429">
        <v>0</v>
      </c>
      <c r="AC19" s="428">
        <v>0</v>
      </c>
      <c r="AD19" s="428">
        <v>0</v>
      </c>
    </row>
    <row r="20" spans="9:30">
      <c r="I20" s="92">
        <v>44620</v>
      </c>
      <c r="J20" s="115">
        <f>_xll.qlYieldTSForwardRate($G$8,I20,I21,"Actual/360","compounded","annual")</f>
        <v>1.0191511536751019E-2</v>
      </c>
      <c r="L20" s="414" t="s">
        <v>812</v>
      </c>
      <c r="M20" s="414" t="s">
        <v>233</v>
      </c>
      <c r="N20" s="421">
        <v>0.78106023858946394</v>
      </c>
      <c r="P20" s="433" t="s">
        <v>812</v>
      </c>
      <c r="Q20" s="433" t="s">
        <v>233</v>
      </c>
      <c r="R20" s="440">
        <v>0.78106023797235757</v>
      </c>
      <c r="S20">
        <f t="shared" si="0"/>
        <v>-6.1710636600764701E-8</v>
      </c>
      <c r="T20" s="423">
        <v>42867</v>
      </c>
      <c r="U20" s="430">
        <v>2.74646150266733E-3</v>
      </c>
      <c r="V20" s="431">
        <v>2.7464617247119349E-3</v>
      </c>
      <c r="W20" s="431">
        <v>0</v>
      </c>
      <c r="X20" s="431">
        <v>0</v>
      </c>
      <c r="Y20" s="431">
        <v>0</v>
      </c>
      <c r="Z20" s="432">
        <v>0</v>
      </c>
      <c r="AA20" s="432">
        <v>0</v>
      </c>
      <c r="AB20" s="432">
        <v>0</v>
      </c>
      <c r="AC20" s="431">
        <v>0</v>
      </c>
      <c r="AD20" s="431">
        <v>0</v>
      </c>
    </row>
    <row r="21" spans="9:30">
      <c r="I21" s="92">
        <v>44712</v>
      </c>
      <c r="J21" s="115">
        <f>_xll.qlYieldTSForwardRate($G$8,I21,I22,"Actual/360","compounded","annual")</f>
        <v>1.0191511536750353E-2</v>
      </c>
      <c r="L21" s="414" t="s">
        <v>812</v>
      </c>
      <c r="M21" s="414" t="s">
        <v>332</v>
      </c>
      <c r="N21" s="421">
        <v>0.79795643471674438</v>
      </c>
      <c r="P21" s="433" t="s">
        <v>812</v>
      </c>
      <c r="Q21" s="433" t="s">
        <v>332</v>
      </c>
      <c r="R21" s="440">
        <v>0.7979564339320131</v>
      </c>
      <c r="S21">
        <f t="shared" si="0"/>
        <v>-7.8473127995692948E-8</v>
      </c>
    </row>
    <row r="22" spans="9:30">
      <c r="I22" s="92">
        <v>44803</v>
      </c>
      <c r="J22" s="115">
        <f>_xll.qlYieldTSForwardRate($G$8,I22,I23,"Actual/360","compounded","annual")</f>
        <v>1.2259178737683563E-2</v>
      </c>
      <c r="L22" s="414" t="s">
        <v>812</v>
      </c>
      <c r="M22" s="414" t="s">
        <v>237</v>
      </c>
      <c r="N22" s="421">
        <v>0.84158904579369176</v>
      </c>
      <c r="P22" s="433" t="s">
        <v>812</v>
      </c>
      <c r="Q22" s="433" t="s">
        <v>237</v>
      </c>
      <c r="R22" s="440">
        <v>0.8415890449860115</v>
      </c>
      <c r="S22">
        <f t="shared" si="0"/>
        <v>-8.0768025600974624E-8</v>
      </c>
    </row>
    <row r="23" spans="9:30">
      <c r="I23" s="92">
        <v>44895</v>
      </c>
      <c r="J23" s="115">
        <f>_xll.qlYieldTSForwardRate($G$8,I23,I24,"Actual/360","compounded","annual")</f>
        <v>1.2259178737683785E-2</v>
      </c>
      <c r="L23" s="414" t="s">
        <v>812</v>
      </c>
      <c r="M23" s="414" t="s">
        <v>238</v>
      </c>
      <c r="N23" s="421">
        <v>0.87962376542539633</v>
      </c>
      <c r="P23" s="433" t="s">
        <v>812</v>
      </c>
      <c r="Q23" s="433" t="s">
        <v>238</v>
      </c>
      <c r="R23" s="440">
        <v>0.87962376444003532</v>
      </c>
      <c r="S23">
        <f t="shared" si="0"/>
        <v>-9.8536101500457107E-8</v>
      </c>
    </row>
    <row r="24" spans="9:30">
      <c r="I24" s="92">
        <v>44985</v>
      </c>
      <c r="J24" s="115">
        <f>_xll.qlYieldTSForwardRate($G$8,I24,I25,"Actual/360","compounded","annual")</f>
        <v>1.2259178737684007E-2</v>
      </c>
      <c r="L24" s="414" t="s">
        <v>813</v>
      </c>
      <c r="M24" s="414" t="s">
        <v>240</v>
      </c>
      <c r="N24" s="421">
        <v>0.9514734768277886</v>
      </c>
      <c r="P24" s="433" t="s">
        <v>813</v>
      </c>
      <c r="Q24" s="433" t="s">
        <v>240</v>
      </c>
      <c r="R24" s="440">
        <v>0.95147347606805377</v>
      </c>
      <c r="S24">
        <f t="shared" si="0"/>
        <v>-7.5973483060209901E-8</v>
      </c>
    </row>
    <row r="25" spans="9:30">
      <c r="I25" s="92">
        <v>45076</v>
      </c>
      <c r="J25" s="115">
        <f>_xll.qlYieldTSForwardRate($G$8,I25,I26,"Actual/360","compounded","annual")</f>
        <v>1.2259178737684451E-2</v>
      </c>
      <c r="L25" s="414" t="s">
        <v>813</v>
      </c>
      <c r="M25" s="414" t="s">
        <v>211</v>
      </c>
      <c r="N25" s="421">
        <v>1.0822898566254477</v>
      </c>
      <c r="P25" s="433" t="s">
        <v>813</v>
      </c>
      <c r="Q25" s="433" t="s">
        <v>211</v>
      </c>
      <c r="R25" s="440">
        <v>1.0822898555860878</v>
      </c>
      <c r="S25">
        <f t="shared" si="0"/>
        <v>-1.039359931453987E-7</v>
      </c>
    </row>
    <row r="26" spans="9:30">
      <c r="I26" s="92">
        <v>45168</v>
      </c>
      <c r="J26" s="115">
        <f>_xll.qlYieldTSForwardRate($G$8,I26,I27,"Actual/360","compounded","annual")</f>
        <v>1.4230609864049892E-2</v>
      </c>
      <c r="L26" s="414" t="s">
        <v>813</v>
      </c>
      <c r="M26" s="414" t="s">
        <v>212</v>
      </c>
      <c r="N26" s="421">
        <v>1.1966211603731554</v>
      </c>
      <c r="P26" s="433" t="s">
        <v>813</v>
      </c>
      <c r="Q26" s="433" t="s">
        <v>212</v>
      </c>
      <c r="R26" s="440">
        <v>1.1966211600828387</v>
      </c>
      <c r="S26">
        <f t="shared" si="0"/>
        <v>-2.9031665960133068E-8</v>
      </c>
    </row>
    <row r="27" spans="9:30">
      <c r="I27" s="92">
        <v>45260</v>
      </c>
      <c r="J27" s="115">
        <f>_xll.qlYieldTSForwardRate($G$8,I27,I28,"Actual/360","compounded","annual")</f>
        <v>1.4230609864049892E-2</v>
      </c>
      <c r="L27" s="414" t="s">
        <v>813</v>
      </c>
      <c r="M27" s="414" t="s">
        <v>213</v>
      </c>
      <c r="N27" s="421">
        <v>1.3077938244945531</v>
      </c>
      <c r="P27" s="433" t="s">
        <v>813</v>
      </c>
      <c r="Q27" s="433" t="s">
        <v>213</v>
      </c>
      <c r="R27" s="440">
        <v>1.3077938254861823</v>
      </c>
      <c r="S27">
        <f t="shared" si="0"/>
        <v>9.9162922317930224E-8</v>
      </c>
    </row>
    <row r="28" spans="9:30">
      <c r="I28" s="92">
        <v>45351</v>
      </c>
      <c r="J28" s="115">
        <f>_xll.qlYieldTSForwardRate($G$8,I28,I29,"Actual/360","compounded","annual")</f>
        <v>1.4230609864049892E-2</v>
      </c>
      <c r="L28" s="414" t="s">
        <v>813</v>
      </c>
      <c r="M28" s="414" t="s">
        <v>214</v>
      </c>
      <c r="N28" s="421">
        <v>1.4024944172069933</v>
      </c>
      <c r="P28" s="433" t="s">
        <v>813</v>
      </c>
      <c r="Q28" s="433" t="s">
        <v>214</v>
      </c>
      <c r="R28" s="440">
        <v>1.4024944194888009</v>
      </c>
      <c r="S28">
        <f t="shared" si="0"/>
        <v>2.2818076317321356E-7</v>
      </c>
    </row>
    <row r="29" spans="9:30">
      <c r="I29" s="92">
        <v>45442</v>
      </c>
      <c r="J29" s="115">
        <f>_xll.qlYieldTSForwardRate($G$8,I29,I30,"Actual/360","compounded","annual")</f>
        <v>1.4230609864049892E-2</v>
      </c>
      <c r="L29" s="414" t="s">
        <v>813</v>
      </c>
      <c r="M29" s="414" t="s">
        <v>215</v>
      </c>
      <c r="N29" s="421">
        <v>1.5033490645796308</v>
      </c>
      <c r="P29" s="433" t="s">
        <v>813</v>
      </c>
      <c r="Q29" s="433" t="s">
        <v>215</v>
      </c>
      <c r="R29" s="440">
        <v>1.5033490674586294</v>
      </c>
      <c r="S29">
        <f t="shared" si="0"/>
        <v>2.8789985950794517E-7</v>
      </c>
    </row>
    <row r="30" spans="9:30">
      <c r="I30" s="92">
        <v>45534</v>
      </c>
      <c r="J30" s="115">
        <f>_xll.qlYieldTSForwardRate($G$8,I30,I31,"Actual/360","compounded","annual")</f>
        <v>1.5429938351891437E-2</v>
      </c>
      <c r="L30" s="419" t="s">
        <v>813</v>
      </c>
      <c r="M30" s="419" t="s">
        <v>216</v>
      </c>
      <c r="N30" s="421">
        <v>1.5908089494582716</v>
      </c>
      <c r="P30" s="438" t="s">
        <v>813</v>
      </c>
      <c r="Q30" s="438" t="s">
        <v>216</v>
      </c>
      <c r="R30" s="440">
        <v>1.5908089526014908</v>
      </c>
      <c r="S30">
        <f t="shared" si="0"/>
        <v>3.1432192404423631E-7</v>
      </c>
    </row>
    <row r="31" spans="9:30">
      <c r="I31" s="92">
        <v>45628</v>
      </c>
      <c r="J31" s="115">
        <f>_xll.qlYieldTSForwardRate($G$8,I31,I32,"Actual/360","compounded","annual")</f>
        <v>1.5429938351891215E-2</v>
      </c>
      <c r="L31" s="419" t="s">
        <v>813</v>
      </c>
      <c r="M31" s="419" t="s">
        <v>217</v>
      </c>
      <c r="N31" s="421">
        <v>1.6667564507588988</v>
      </c>
      <c r="P31" s="438" t="s">
        <v>813</v>
      </c>
      <c r="Q31" s="438" t="s">
        <v>217</v>
      </c>
      <c r="R31" s="440">
        <v>1.6667564539325281</v>
      </c>
      <c r="S31">
        <f t="shared" si="0"/>
        <v>3.1736293593098708E-7</v>
      </c>
    </row>
    <row r="32" spans="9:30">
      <c r="I32" s="92">
        <v>45716</v>
      </c>
      <c r="J32" s="115">
        <f>_xll.qlYieldTSForwardRate($G$8,I32,I33,"Actual/360","compounded","annual")</f>
        <v>1.5429938351890771E-2</v>
      </c>
      <c r="L32" s="419" t="s">
        <v>813</v>
      </c>
      <c r="M32" s="419" t="s">
        <v>218</v>
      </c>
      <c r="N32" s="421">
        <v>1.7376426896929598</v>
      </c>
      <c r="P32" s="438" t="s">
        <v>813</v>
      </c>
      <c r="Q32" s="438" t="s">
        <v>218</v>
      </c>
      <c r="R32" s="440">
        <v>1.7376426927069353</v>
      </c>
      <c r="S32">
        <f t="shared" si="0"/>
        <v>3.0139755136104895E-7</v>
      </c>
    </row>
    <row r="33" spans="9:19">
      <c r="I33" s="92">
        <v>45807</v>
      </c>
      <c r="J33" s="115">
        <f>_xll.qlYieldTSForwardRate($G$8,I33,I34,"Actual/360","compounded","annual")</f>
        <v>1.5457753034337385E-2</v>
      </c>
      <c r="L33" s="419" t="s">
        <v>813</v>
      </c>
      <c r="M33" s="419" t="s">
        <v>219</v>
      </c>
      <c r="N33" s="421">
        <v>1.8608271667142759</v>
      </c>
      <c r="P33" s="438" t="s">
        <v>813</v>
      </c>
      <c r="Q33" s="438" t="s">
        <v>219</v>
      </c>
      <c r="R33" s="440">
        <v>1.8608271692059932</v>
      </c>
      <c r="S33">
        <f t="shared" si="0"/>
        <v>2.4917172769534091E-7</v>
      </c>
    </row>
    <row r="34" spans="9:19">
      <c r="I34" s="92">
        <v>45902</v>
      </c>
      <c r="J34" s="115">
        <f>_xll.qlYieldTSForwardRate($G$8,I34,I35,"Actual/360","compounded","annual")</f>
        <v>1.8075737960493443E-2</v>
      </c>
      <c r="L34" s="419" t="s">
        <v>813</v>
      </c>
      <c r="M34" s="419" t="s">
        <v>220</v>
      </c>
      <c r="N34" s="421">
        <v>1.9902839566080706</v>
      </c>
      <c r="P34" s="438" t="s">
        <v>813</v>
      </c>
      <c r="Q34" s="438" t="s">
        <v>220</v>
      </c>
      <c r="R34" s="440">
        <v>1.990283958419977</v>
      </c>
      <c r="S34">
        <f t="shared" si="0"/>
        <v>1.8119064026933529E-7</v>
      </c>
    </row>
    <row r="35" spans="9:19">
      <c r="I35" s="92">
        <v>45992</v>
      </c>
      <c r="J35" s="115">
        <f>_xll.qlYieldTSForwardRate($G$8,I35,I36,"Actual/360","compounded","annual")</f>
        <v>1.8075737960492777E-2</v>
      </c>
      <c r="L35" s="419" t="s">
        <v>813</v>
      </c>
      <c r="M35" s="419" t="s">
        <v>221</v>
      </c>
      <c r="N35" s="421">
        <v>2.1238841784298761</v>
      </c>
      <c r="P35" s="438" t="s">
        <v>813</v>
      </c>
      <c r="Q35" s="438" t="s">
        <v>221</v>
      </c>
      <c r="R35" s="440">
        <v>2.1238841793376517</v>
      </c>
      <c r="S35">
        <f t="shared" si="0"/>
        <v>9.0777563244159865E-8</v>
      </c>
    </row>
    <row r="36" spans="9:19">
      <c r="I36" s="92">
        <v>46083</v>
      </c>
      <c r="J36" s="115">
        <f>_xll.qlYieldTSForwardRate($G$8,I36,I37,"Actual/360","compounded","annual")</f>
        <v>1.8075737960492777E-2</v>
      </c>
      <c r="L36" s="419" t="s">
        <v>813</v>
      </c>
      <c r="M36" s="419" t="s">
        <v>222</v>
      </c>
      <c r="N36" s="421">
        <v>2.190544440723595</v>
      </c>
      <c r="P36" s="438" t="s">
        <v>813</v>
      </c>
      <c r="Q36" s="438" t="s">
        <v>222</v>
      </c>
      <c r="R36" s="440">
        <v>2.1905444412266828</v>
      </c>
      <c r="S36">
        <f t="shared" si="0"/>
        <v>5.0308779364627298E-8</v>
      </c>
    </row>
    <row r="37" spans="9:19">
      <c r="I37" s="92">
        <v>46174</v>
      </c>
      <c r="J37" s="115">
        <f>_xll.qlYieldTSForwardRate($G$8,I37,I38,"Actual/360","compounded","annual")</f>
        <v>1.8075737960492777E-2</v>
      </c>
      <c r="L37" s="419" t="s">
        <v>813</v>
      </c>
      <c r="M37" s="419" t="s">
        <v>223</v>
      </c>
      <c r="N37" s="421">
        <v>2.2267316426822763</v>
      </c>
      <c r="P37" s="438" t="s">
        <v>813</v>
      </c>
      <c r="Q37" s="438" t="s">
        <v>223</v>
      </c>
      <c r="R37" s="440">
        <v>2.2267316429952886</v>
      </c>
      <c r="S37">
        <f t="shared" si="0"/>
        <v>3.1301228275992798E-8</v>
      </c>
    </row>
    <row r="38" spans="9:19">
      <c r="I38" s="92">
        <v>46265</v>
      </c>
      <c r="J38" s="115">
        <f>_xll.qlYieldTSForwardRate($G$8,I38,I39,"Actual/360","compounded","annual")</f>
        <v>1.875042946352945E-2</v>
      </c>
      <c r="L38" s="419" t="s">
        <v>813</v>
      </c>
      <c r="M38" s="419" t="s">
        <v>224</v>
      </c>
      <c r="N38" s="421">
        <v>2.2433578565188199</v>
      </c>
      <c r="P38" s="438" t="s">
        <v>813</v>
      </c>
      <c r="Q38" s="438" t="s">
        <v>224</v>
      </c>
      <c r="R38" s="440">
        <v>2.2433578565590828</v>
      </c>
      <c r="S38">
        <f t="shared" si="0"/>
        <v>4.0262904121846077E-9</v>
      </c>
    </row>
    <row r="39" spans="9:19">
      <c r="I39" s="92">
        <v>46356</v>
      </c>
      <c r="J39" s="115">
        <f>_xll.qlYieldTSForwardRate($G$8,I39,I40,"Actual/360","compounded","annual")</f>
        <v>1.875042946352945E-2</v>
      </c>
      <c r="L39" s="419" t="s">
        <v>813</v>
      </c>
      <c r="M39" s="419" t="s">
        <v>225</v>
      </c>
      <c r="N39" s="421">
        <v>2.2326956022455438</v>
      </c>
      <c r="P39" s="438" t="s">
        <v>813</v>
      </c>
      <c r="Q39" s="438" t="s">
        <v>225</v>
      </c>
      <c r="R39" s="440">
        <v>2.2326955735541656</v>
      </c>
      <c r="S39">
        <f t="shared" si="0"/>
        <v>-2.8691378162193359E-6</v>
      </c>
    </row>
    <row r="40" spans="9:19">
      <c r="I40" s="92">
        <v>46447</v>
      </c>
      <c r="J40" s="115">
        <f>_xll.qlYieldTSForwardRate($G$8,I40,I41,"Actual/360","compounded","annual")</f>
        <v>1.8750429463529006E-2</v>
      </c>
      <c r="L40" s="419">
        <v>0</v>
      </c>
      <c r="M40" s="419">
        <v>0</v>
      </c>
      <c r="N40" s="415" t="e">
        <v>#N/A</v>
      </c>
      <c r="P40" s="438">
        <v>0</v>
      </c>
      <c r="Q40" s="438">
        <v>0</v>
      </c>
      <c r="R40" s="434" t="e">
        <v>#N/A</v>
      </c>
    </row>
    <row r="41" spans="9:19">
      <c r="I41" s="92">
        <v>46539</v>
      </c>
      <c r="J41" s="115">
        <f>_xll.qlYieldTSForwardRate($G$8,I41,I42,"Actual/360","compounded","annual")</f>
        <v>1.8750429463528784E-2</v>
      </c>
      <c r="L41" s="419">
        <v>0</v>
      </c>
      <c r="M41" s="419">
        <v>0</v>
      </c>
      <c r="N41" s="415" t="e">
        <v>#N/A</v>
      </c>
      <c r="P41" s="438">
        <v>0</v>
      </c>
      <c r="Q41" s="438">
        <v>0</v>
      </c>
      <c r="R41" s="434" t="e">
        <v>#N/A</v>
      </c>
    </row>
    <row r="42" spans="9:19">
      <c r="I42" s="92">
        <v>46629</v>
      </c>
      <c r="J42" s="115">
        <f>_xll.qlYieldTSForwardRate($G$8,I42,I43,"Actual/360","compounded","annual")</f>
        <v>1.9578337291776382E-2</v>
      </c>
      <c r="L42" s="414" t="e">
        <v>#N/A</v>
      </c>
      <c r="M42" s="414" t="e">
        <v>#N/A</v>
      </c>
      <c r="N42" s="415" t="e">
        <v>#N/A</v>
      </c>
      <c r="P42" s="433" t="e">
        <v>#N/A</v>
      </c>
      <c r="Q42" s="433" t="e">
        <v>#N/A</v>
      </c>
      <c r="R42" s="434" t="e">
        <v>#N/A</v>
      </c>
    </row>
    <row r="43" spans="9:19">
      <c r="I43" s="92">
        <v>46721</v>
      </c>
      <c r="J43" s="115">
        <f>_xll.qlYieldTSForwardRate($G$8,I43,I44,"Actual/360","compounded","annual")</f>
        <v>1.9578337291776826E-2</v>
      </c>
      <c r="L43" s="414" t="e">
        <v>#N/A</v>
      </c>
      <c r="M43" s="414" t="e">
        <v>#N/A</v>
      </c>
      <c r="N43" s="415" t="e">
        <v>#N/A</v>
      </c>
      <c r="P43" s="433" t="e">
        <v>#N/A</v>
      </c>
      <c r="Q43" s="433" t="e">
        <v>#N/A</v>
      </c>
      <c r="R43" s="434" t="e">
        <v>#N/A</v>
      </c>
    </row>
    <row r="44" spans="9:19">
      <c r="I44" s="92">
        <v>46812</v>
      </c>
      <c r="J44" s="115">
        <f>_xll.qlYieldTSForwardRate($G$8,I44,I45,"Actual/360","compounded","annual")</f>
        <v>1.9578337291775938E-2</v>
      </c>
      <c r="L44" s="414" t="e">
        <v>#N/A</v>
      </c>
      <c r="M44" s="414" t="e">
        <v>#N/A</v>
      </c>
      <c r="N44" s="415" t="e">
        <v>#N/A</v>
      </c>
      <c r="P44" s="433" t="e">
        <v>#N/A</v>
      </c>
      <c r="Q44" s="433" t="e">
        <v>#N/A</v>
      </c>
      <c r="R44" s="434" t="e">
        <v>#N/A</v>
      </c>
    </row>
    <row r="45" spans="9:19">
      <c r="I45" s="92">
        <v>46903</v>
      </c>
      <c r="J45" s="115">
        <f>_xll.qlYieldTSForwardRate($G$8,I45,I46,"Actual/360","compounded","annual")</f>
        <v>1.9578337291776382E-2</v>
      </c>
      <c r="L45" s="414" t="e">
        <v>#N/A</v>
      </c>
      <c r="M45" s="414" t="e">
        <v>#N/A</v>
      </c>
      <c r="N45" s="415" t="e">
        <v>#N/A</v>
      </c>
      <c r="P45" s="433" t="e">
        <v>#N/A</v>
      </c>
      <c r="Q45" s="433" t="e">
        <v>#N/A</v>
      </c>
      <c r="R45" s="434" t="e">
        <v>#N/A</v>
      </c>
    </row>
    <row r="46" spans="9:19">
      <c r="I46" s="92">
        <v>46995</v>
      </c>
      <c r="J46" s="115">
        <f>_xll.qlYieldTSForwardRate($G$8,I46,I47,"Actual/360","compounded","annual")</f>
        <v>2.0690295070680875E-2</v>
      </c>
    </row>
    <row r="47" spans="9:19">
      <c r="I47" s="92">
        <v>47087</v>
      </c>
      <c r="J47" s="115">
        <f>_xll.qlYieldTSForwardRate($G$8,I47,I48,"Actual/360","compounded","annual")</f>
        <v>2.0690295070680431E-2</v>
      </c>
    </row>
    <row r="48" spans="9:19">
      <c r="I48" s="92">
        <v>47177</v>
      </c>
      <c r="J48" s="115">
        <f>_xll.qlYieldTSForwardRate($G$8,I48,I49,"Actual/360","compounded","annual")</f>
        <v>2.0690295070680431E-2</v>
      </c>
    </row>
    <row r="49" spans="9:55">
      <c r="I49" s="92">
        <v>47268</v>
      </c>
      <c r="J49" s="115">
        <f>_xll.qlYieldTSForwardRate($G$8,I49,I50,"Actual/360","compounded","annual")</f>
        <v>2.0690295070680875E-2</v>
      </c>
      <c r="S49" s="115">
        <v>9.9999999999999995E-7</v>
      </c>
    </row>
    <row r="50" spans="9:55">
      <c r="I50" s="92">
        <v>47360</v>
      </c>
      <c r="J50" s="115" t="e">
        <f>_xll.qlYieldTSForwardRate($G$8,I50,I51,"Actual/360","compounded","annual")</f>
        <v>#NUM!</v>
      </c>
    </row>
    <row r="51" spans="9:55" ht="24">
      <c r="I51" s="92" t="e">
        <v>#N/A</v>
      </c>
      <c r="J51" s="115" t="e">
        <f>_xll.qlYieldTSForwardRate($G$8,I51,I52,"Actual/360","compounded","annual")</f>
        <v>#NUM!</v>
      </c>
      <c r="L51" s="495" t="s">
        <v>303</v>
      </c>
      <c r="M51" s="496"/>
      <c r="N51" s="497"/>
      <c r="P51" s="504" t="s">
        <v>303</v>
      </c>
      <c r="Q51" s="505"/>
      <c r="R51" s="506"/>
    </row>
    <row r="52" spans="9:55">
      <c r="I52" s="92" t="e">
        <v>#N/A</v>
      </c>
      <c r="J52" s="115" t="e">
        <f>_xll.qlYieldTSForwardRate($G$8,I52,I53,"Actual/360","compounded","annual")</f>
        <v>#NUM!</v>
      </c>
      <c r="L52" s="457" t="s">
        <v>810</v>
      </c>
      <c r="M52" s="457" t="s">
        <v>245</v>
      </c>
      <c r="N52" s="457" t="s">
        <v>811</v>
      </c>
      <c r="P52" s="464" t="s">
        <v>810</v>
      </c>
      <c r="Q52" s="464" t="s">
        <v>245</v>
      </c>
      <c r="R52" s="464" t="s">
        <v>811</v>
      </c>
      <c r="T52" s="441"/>
      <c r="U52" s="443">
        <v>42501</v>
      </c>
      <c r="V52" s="443"/>
      <c r="W52" s="443"/>
      <c r="X52" s="443"/>
      <c r="Y52" s="443"/>
      <c r="Z52" s="443"/>
      <c r="AA52" s="443"/>
      <c r="AB52" s="443"/>
      <c r="AC52" s="443"/>
      <c r="AD52" s="443"/>
      <c r="AE52" s="443"/>
      <c r="AF52" s="443"/>
      <c r="AG52" s="443"/>
      <c r="AH52" s="443"/>
      <c r="AI52" s="443"/>
      <c r="AJ52" s="443"/>
      <c r="AK52" s="443"/>
      <c r="AL52" s="443"/>
      <c r="AM52" s="443"/>
      <c r="AN52" s="443"/>
      <c r="AO52" s="443"/>
      <c r="AP52" s="443"/>
      <c r="AQ52" s="443"/>
      <c r="AR52" s="443"/>
      <c r="AS52" s="443"/>
      <c r="AT52" s="443"/>
      <c r="AU52" s="443"/>
      <c r="AV52" s="443"/>
      <c r="AW52" s="443"/>
      <c r="AX52" s="443"/>
      <c r="AY52" s="443"/>
      <c r="AZ52" s="443"/>
      <c r="BA52" s="443"/>
      <c r="BB52" s="443"/>
      <c r="BC52" s="443"/>
    </row>
    <row r="53" spans="9:55">
      <c r="L53" s="458" t="s">
        <v>193</v>
      </c>
      <c r="M53" s="458">
        <v>0</v>
      </c>
      <c r="N53" s="460">
        <v>0.39500000000458613</v>
      </c>
      <c r="P53" s="465" t="s">
        <v>193</v>
      </c>
      <c r="Q53" s="465">
        <v>0</v>
      </c>
      <c r="R53" s="467">
        <v>0.39500100013256656</v>
      </c>
      <c r="S53" s="172">
        <f t="shared" ref="S53:S92" si="1">(R53-N53)/$S$49</f>
        <v>1.0001279804328078</v>
      </c>
      <c r="T53" s="443">
        <v>42501</v>
      </c>
      <c r="U53" s="444">
        <v>1.0039469999999999</v>
      </c>
      <c r="V53" s="445"/>
      <c r="W53" s="445"/>
      <c r="X53" s="445"/>
      <c r="Y53" s="445"/>
      <c r="Z53" s="445"/>
      <c r="AA53" s="445"/>
      <c r="AB53" s="445"/>
      <c r="AC53" s="445"/>
      <c r="AD53" s="445"/>
      <c r="AE53" s="445"/>
      <c r="AF53" s="445"/>
      <c r="AG53" s="445"/>
      <c r="AH53" s="445"/>
      <c r="AI53" s="445"/>
      <c r="AJ53" s="445"/>
      <c r="AK53" s="445"/>
      <c r="AL53" s="445"/>
      <c r="AM53" s="445"/>
      <c r="AN53" s="445"/>
      <c r="AO53" s="445"/>
      <c r="AP53" s="445"/>
      <c r="AQ53" s="445"/>
      <c r="AR53" s="445"/>
      <c r="AS53" s="445"/>
      <c r="AT53" s="445"/>
      <c r="AU53" s="445"/>
      <c r="AV53" s="445"/>
      <c r="AW53" s="445"/>
      <c r="AX53" s="445"/>
      <c r="AY53" s="445"/>
      <c r="AZ53" s="445"/>
      <c r="BA53" s="445"/>
      <c r="BB53" s="445"/>
      <c r="BC53" s="446"/>
    </row>
    <row r="54" spans="9:55">
      <c r="L54" s="459" t="s">
        <v>188</v>
      </c>
      <c r="M54" s="459">
        <v>0</v>
      </c>
      <c r="N54" s="461">
        <v>0.39500000000458613</v>
      </c>
      <c r="P54" s="466" t="s">
        <v>188</v>
      </c>
      <c r="Q54" s="466">
        <v>0</v>
      </c>
      <c r="R54" s="468">
        <v>0.39500000013248382</v>
      </c>
      <c r="S54" s="343">
        <f>(R54-N54)/$S$49</f>
        <v>1.2789769243681803E-4</v>
      </c>
      <c r="T54" s="442">
        <v>42502</v>
      </c>
      <c r="U54" s="447">
        <v>0.50197400000000003</v>
      </c>
      <c r="V54" s="448"/>
      <c r="W54" s="448"/>
      <c r="X54" s="448"/>
      <c r="Y54" s="448"/>
      <c r="Z54" s="448"/>
      <c r="AA54" s="448"/>
      <c r="AB54" s="448"/>
      <c r="AC54" s="448"/>
      <c r="AD54" s="448"/>
      <c r="AE54" s="448"/>
      <c r="AF54" s="448"/>
      <c r="AG54" s="448"/>
      <c r="AH54" s="448"/>
      <c r="AI54" s="448"/>
      <c r="AJ54" s="448"/>
      <c r="AK54" s="448"/>
      <c r="AL54" s="448"/>
      <c r="AM54" s="448"/>
      <c r="AN54" s="448"/>
      <c r="AO54" s="448"/>
      <c r="AP54" s="448"/>
      <c r="AQ54" s="448"/>
      <c r="AR54" s="448"/>
      <c r="AS54" s="448"/>
      <c r="AT54" s="448"/>
      <c r="AU54" s="448"/>
      <c r="AV54" s="448"/>
      <c r="AW54" s="448"/>
      <c r="AX54" s="448"/>
      <c r="AY54" s="448"/>
      <c r="AZ54" s="448"/>
      <c r="BA54" s="448"/>
      <c r="BB54" s="448"/>
      <c r="BC54" s="449"/>
    </row>
    <row r="55" spans="9:55">
      <c r="L55" s="459" t="s">
        <v>814</v>
      </c>
      <c r="M55" s="459">
        <v>0</v>
      </c>
      <c r="N55" s="461">
        <v>0.39499999999659252</v>
      </c>
      <c r="P55" s="466" t="s">
        <v>814</v>
      </c>
      <c r="Q55" s="466">
        <v>0</v>
      </c>
      <c r="R55" s="468">
        <v>0.39500000011649661</v>
      </c>
      <c r="S55" s="343">
        <f t="shared" si="1"/>
        <v>1.1990408665951691E-4</v>
      </c>
      <c r="T55" s="442">
        <v>42503</v>
      </c>
      <c r="U55" s="447">
        <v>0.33464899999999997</v>
      </c>
      <c r="V55" s="448"/>
      <c r="W55" s="448"/>
      <c r="X55" s="448"/>
      <c r="Y55" s="448"/>
      <c r="Z55" s="448"/>
      <c r="AA55" s="448"/>
      <c r="AB55" s="448"/>
      <c r="AC55" s="448"/>
      <c r="AD55" s="448"/>
      <c r="AE55" s="448"/>
      <c r="AF55" s="448"/>
      <c r="AG55" s="448"/>
      <c r="AH55" s="448"/>
      <c r="AI55" s="448"/>
      <c r="AJ55" s="448"/>
      <c r="AK55" s="448"/>
      <c r="AL55" s="448"/>
      <c r="AM55" s="448"/>
      <c r="AN55" s="448"/>
      <c r="AO55" s="448"/>
      <c r="AP55" s="448"/>
      <c r="AQ55" s="448"/>
      <c r="AR55" s="448"/>
      <c r="AS55" s="448"/>
      <c r="AT55" s="448"/>
      <c r="AU55" s="448"/>
      <c r="AV55" s="448"/>
      <c r="AW55" s="448"/>
      <c r="AX55" s="448"/>
      <c r="AY55" s="448"/>
      <c r="AZ55" s="448"/>
      <c r="BA55" s="448"/>
      <c r="BB55" s="448"/>
      <c r="BC55" s="449"/>
    </row>
    <row r="56" spans="9:55">
      <c r="L56" s="459" t="s">
        <v>812</v>
      </c>
      <c r="M56" s="459" t="s">
        <v>207</v>
      </c>
      <c r="N56" s="461">
        <v>0.36699999999914973</v>
      </c>
      <c r="P56" s="466" t="s">
        <v>812</v>
      </c>
      <c r="Q56" s="466" t="s">
        <v>207</v>
      </c>
      <c r="R56" s="468">
        <v>0.36700000001742084</v>
      </c>
      <c r="S56" s="343">
        <f t="shared" si="1"/>
        <v>1.8271106849709895E-5</v>
      </c>
      <c r="T56" s="442">
        <v>42509</v>
      </c>
      <c r="U56" s="447">
        <v>0.111525</v>
      </c>
      <c r="V56" s="448"/>
      <c r="W56" s="448"/>
      <c r="X56" s="448"/>
      <c r="Y56" s="448"/>
      <c r="Z56" s="448"/>
      <c r="AA56" s="448"/>
      <c r="AB56" s="448"/>
      <c r="AC56" s="448"/>
      <c r="AD56" s="448"/>
      <c r="AE56" s="448"/>
      <c r="AF56" s="448"/>
      <c r="AG56" s="448"/>
      <c r="AH56" s="448"/>
      <c r="AI56" s="448"/>
      <c r="AJ56" s="448"/>
      <c r="AK56" s="448"/>
      <c r="AL56" s="448"/>
      <c r="AM56" s="448"/>
      <c r="AN56" s="448"/>
      <c r="AO56" s="448"/>
      <c r="AP56" s="448"/>
      <c r="AQ56" s="448"/>
      <c r="AR56" s="448"/>
      <c r="AS56" s="448"/>
      <c r="AT56" s="448"/>
      <c r="AU56" s="448"/>
      <c r="AV56" s="448"/>
      <c r="AW56" s="448"/>
      <c r="AX56" s="448"/>
      <c r="AY56" s="448"/>
      <c r="AZ56" s="448"/>
      <c r="BA56" s="448"/>
      <c r="BB56" s="448"/>
      <c r="BC56" s="449"/>
    </row>
    <row r="57" spans="9:55">
      <c r="L57" s="459" t="s">
        <v>812</v>
      </c>
      <c r="M57" s="459" t="s">
        <v>208</v>
      </c>
      <c r="N57" s="461">
        <v>0.36399999999983668</v>
      </c>
      <c r="P57" s="466" t="s">
        <v>812</v>
      </c>
      <c r="Q57" s="466" t="s">
        <v>208</v>
      </c>
      <c r="R57" s="468">
        <v>0.36400000000358368</v>
      </c>
      <c r="S57" s="343">
        <f t="shared" si="1"/>
        <v>3.7470027081099033E-6</v>
      </c>
      <c r="T57" s="442">
        <v>42534</v>
      </c>
      <c r="U57" s="447">
        <v>2.9519E-2</v>
      </c>
      <c r="V57" s="448"/>
      <c r="W57" s="448"/>
      <c r="X57" s="448"/>
      <c r="Y57" s="448"/>
      <c r="Z57" s="448"/>
      <c r="AA57" s="448"/>
      <c r="AB57" s="448"/>
      <c r="AC57" s="448"/>
      <c r="AD57" s="448"/>
      <c r="AE57" s="448"/>
      <c r="AF57" s="448"/>
      <c r="AG57" s="448"/>
      <c r="AH57" s="448"/>
      <c r="AI57" s="448"/>
      <c r="AJ57" s="448"/>
      <c r="AK57" s="448"/>
      <c r="AL57" s="448"/>
      <c r="AM57" s="448"/>
      <c r="AN57" s="448"/>
      <c r="AO57" s="448"/>
      <c r="AP57" s="448"/>
      <c r="AQ57" s="448"/>
      <c r="AR57" s="448"/>
      <c r="AS57" s="448"/>
      <c r="AT57" s="448"/>
      <c r="AU57" s="448"/>
      <c r="AV57" s="448"/>
      <c r="AW57" s="448"/>
      <c r="AX57" s="448"/>
      <c r="AY57" s="448"/>
      <c r="AZ57" s="448"/>
      <c r="BA57" s="448"/>
      <c r="BB57" s="448"/>
      <c r="BC57" s="449"/>
    </row>
    <row r="58" spans="9:55">
      <c r="L58" s="459" t="s">
        <v>812</v>
      </c>
      <c r="M58" s="459" t="s">
        <v>209</v>
      </c>
      <c r="N58" s="461">
        <v>0.3729999999998948</v>
      </c>
      <c r="P58" s="466" t="s">
        <v>812</v>
      </c>
      <c r="Q58" s="466" t="s">
        <v>209</v>
      </c>
      <c r="R58" s="468">
        <v>0.37300000000186045</v>
      </c>
      <c r="S58" s="343">
        <f t="shared" si="1"/>
        <v>1.9656498650988397E-6</v>
      </c>
      <c r="T58" s="442">
        <v>42563</v>
      </c>
      <c r="U58" s="447">
        <v>1.5932000000000002E-2</v>
      </c>
      <c r="V58" s="448"/>
      <c r="W58" s="448"/>
      <c r="X58" s="448"/>
      <c r="Y58" s="448"/>
      <c r="Z58" s="450"/>
      <c r="AA58" s="450"/>
      <c r="AB58" s="450"/>
      <c r="AC58" s="448"/>
      <c r="AD58" s="448"/>
      <c r="AE58" s="448"/>
      <c r="AF58" s="448"/>
      <c r="AG58" s="448"/>
      <c r="AH58" s="448"/>
      <c r="AI58" s="448"/>
      <c r="AJ58" s="448"/>
      <c r="AK58" s="448"/>
      <c r="AL58" s="448"/>
      <c r="AM58" s="448"/>
      <c r="AN58" s="448"/>
      <c r="AO58" s="448"/>
      <c r="AP58" s="448"/>
      <c r="AQ58" s="448"/>
      <c r="AR58" s="448"/>
      <c r="AS58" s="448"/>
      <c r="AT58" s="448"/>
      <c r="AU58" s="448"/>
      <c r="AV58" s="448"/>
      <c r="AW58" s="448"/>
      <c r="AX58" s="448"/>
      <c r="AY58" s="448"/>
      <c r="AZ58" s="448"/>
      <c r="BA58" s="448"/>
      <c r="BB58" s="448"/>
      <c r="BC58" s="449"/>
    </row>
    <row r="59" spans="9:55">
      <c r="L59" s="459" t="s">
        <v>812</v>
      </c>
      <c r="M59" s="459" t="s">
        <v>210</v>
      </c>
      <c r="N59" s="461">
        <v>0.3820000000000176</v>
      </c>
      <c r="P59" s="466" t="s">
        <v>812</v>
      </c>
      <c r="Q59" s="466" t="s">
        <v>210</v>
      </c>
      <c r="R59" s="468">
        <v>0.38200000000132089</v>
      </c>
      <c r="S59" s="343">
        <f t="shared" si="1"/>
        <v>1.3032908086074713E-6</v>
      </c>
      <c r="T59" s="442">
        <v>42594</v>
      </c>
      <c r="U59" s="447">
        <v>1.0678999999999999E-2</v>
      </c>
      <c r="V59" s="448"/>
      <c r="W59" s="448"/>
      <c r="X59" s="448"/>
      <c r="Y59" s="448"/>
      <c r="Z59" s="450"/>
      <c r="AA59" s="450"/>
      <c r="AB59" s="450"/>
      <c r="AC59" s="448"/>
      <c r="AD59" s="448"/>
      <c r="AE59" s="448"/>
      <c r="AF59" s="448"/>
      <c r="AG59" s="448"/>
      <c r="AH59" s="448"/>
      <c r="AI59" s="448"/>
      <c r="AJ59" s="448"/>
      <c r="AK59" s="448"/>
      <c r="AL59" s="448"/>
      <c r="AM59" s="448"/>
      <c r="AN59" s="448"/>
      <c r="AO59" s="448"/>
      <c r="AP59" s="448"/>
      <c r="AQ59" s="448"/>
      <c r="AR59" s="448"/>
      <c r="AS59" s="448"/>
      <c r="AT59" s="448"/>
      <c r="AU59" s="448"/>
      <c r="AV59" s="448"/>
      <c r="AW59" s="448"/>
      <c r="AX59" s="448"/>
      <c r="AY59" s="448"/>
      <c r="AZ59" s="448"/>
      <c r="BA59" s="448"/>
      <c r="BB59" s="448"/>
      <c r="BC59" s="449"/>
    </row>
    <row r="60" spans="9:55">
      <c r="L60" s="459" t="s">
        <v>812</v>
      </c>
      <c r="M60" s="459" t="s">
        <v>226</v>
      </c>
      <c r="N60" s="461">
        <v>0.39000000000005292</v>
      </c>
      <c r="P60" s="466" t="s">
        <v>812</v>
      </c>
      <c r="Q60" s="466" t="s">
        <v>226</v>
      </c>
      <c r="R60" s="468">
        <v>0.39000000000102775</v>
      </c>
      <c r="S60" s="343">
        <f t="shared" si="1"/>
        <v>9.748313267721187E-7</v>
      </c>
      <c r="T60" s="442">
        <v>42625</v>
      </c>
      <c r="U60" s="447">
        <v>8.0309999999999999E-3</v>
      </c>
      <c r="V60" s="448"/>
      <c r="W60" s="448"/>
      <c r="X60" s="448"/>
      <c r="Y60" s="448"/>
      <c r="Z60" s="450"/>
      <c r="AA60" s="450"/>
      <c r="AB60" s="450"/>
      <c r="AC60" s="448"/>
      <c r="AD60" s="448"/>
      <c r="AE60" s="448"/>
      <c r="AF60" s="448"/>
      <c r="AG60" s="448"/>
      <c r="AH60" s="448"/>
      <c r="AI60" s="448"/>
      <c r="AJ60" s="448"/>
      <c r="AK60" s="448"/>
      <c r="AL60" s="448"/>
      <c r="AM60" s="448"/>
      <c r="AN60" s="448"/>
      <c r="AO60" s="448"/>
      <c r="AP60" s="448"/>
      <c r="AQ60" s="448"/>
      <c r="AR60" s="448"/>
      <c r="AS60" s="448"/>
      <c r="AT60" s="448"/>
      <c r="AU60" s="448"/>
      <c r="AV60" s="448"/>
      <c r="AW60" s="448"/>
      <c r="AX60" s="448"/>
      <c r="AY60" s="448"/>
      <c r="AZ60" s="448"/>
      <c r="BA60" s="448"/>
      <c r="BB60" s="448"/>
      <c r="BC60" s="449"/>
    </row>
    <row r="61" spans="9:55">
      <c r="L61" s="459" t="s">
        <v>812</v>
      </c>
      <c r="M61" s="459" t="s">
        <v>227</v>
      </c>
      <c r="N61" s="461">
        <v>0.4009999999999912</v>
      </c>
      <c r="P61" s="466" t="s">
        <v>812</v>
      </c>
      <c r="Q61" s="466" t="s">
        <v>227</v>
      </c>
      <c r="R61" s="468">
        <v>0.40100000000082719</v>
      </c>
      <c r="S61" s="343">
        <f t="shared" si="1"/>
        <v>8.3599793754274287E-7</v>
      </c>
      <c r="T61" s="442">
        <v>42655</v>
      </c>
      <c r="U61" s="447">
        <v>6.4770000000000001E-3</v>
      </c>
      <c r="V61" s="448"/>
      <c r="W61" s="448"/>
      <c r="X61" s="448"/>
      <c r="Y61" s="448"/>
      <c r="Z61" s="450"/>
      <c r="AA61" s="450"/>
      <c r="AB61" s="450"/>
      <c r="AC61" s="448"/>
      <c r="AD61" s="448"/>
      <c r="AE61" s="448"/>
      <c r="AF61" s="448"/>
      <c r="AG61" s="448"/>
      <c r="AH61" s="448"/>
      <c r="AI61" s="448"/>
      <c r="AJ61" s="448"/>
      <c r="AK61" s="448"/>
      <c r="AL61" s="448"/>
      <c r="AM61" s="448"/>
      <c r="AN61" s="448"/>
      <c r="AO61" s="448"/>
      <c r="AP61" s="448"/>
      <c r="AQ61" s="448"/>
      <c r="AR61" s="448"/>
      <c r="AS61" s="448"/>
      <c r="AT61" s="448"/>
      <c r="AU61" s="448"/>
      <c r="AV61" s="448"/>
      <c r="AW61" s="448"/>
      <c r="AX61" s="448"/>
      <c r="AY61" s="448"/>
      <c r="AZ61" s="448"/>
      <c r="BA61" s="448"/>
      <c r="BB61" s="448"/>
      <c r="BC61" s="449"/>
    </row>
    <row r="62" spans="9:55">
      <c r="L62" s="459" t="s">
        <v>812</v>
      </c>
      <c r="M62" s="459" t="s">
        <v>228</v>
      </c>
      <c r="N62" s="461">
        <v>0.412999999999968</v>
      </c>
      <c r="P62" s="466" t="s">
        <v>812</v>
      </c>
      <c r="Q62" s="466" t="s">
        <v>228</v>
      </c>
      <c r="R62" s="468">
        <v>0.4130000000006126</v>
      </c>
      <c r="S62" s="343">
        <f t="shared" si="1"/>
        <v>6.4459548809736589E-7</v>
      </c>
      <c r="T62" s="442">
        <v>42688</v>
      </c>
      <c r="U62" s="447">
        <v>5.3410000000000003E-3</v>
      </c>
      <c r="V62" s="448"/>
      <c r="W62" s="448"/>
      <c r="X62" s="448"/>
      <c r="Y62" s="448"/>
      <c r="Z62" s="450"/>
      <c r="AA62" s="450"/>
      <c r="AB62" s="450"/>
      <c r="AC62" s="448"/>
      <c r="AD62" s="448"/>
      <c r="AE62" s="448"/>
      <c r="AF62" s="448"/>
      <c r="AG62" s="448"/>
      <c r="AH62" s="448"/>
      <c r="AI62" s="448"/>
      <c r="AJ62" s="448"/>
      <c r="AK62" s="448"/>
      <c r="AL62" s="448"/>
      <c r="AM62" s="448"/>
      <c r="AN62" s="448"/>
      <c r="AO62" s="448"/>
      <c r="AP62" s="448"/>
      <c r="AQ62" s="448"/>
      <c r="AR62" s="448"/>
      <c r="AS62" s="448"/>
      <c r="AT62" s="448"/>
      <c r="AU62" s="448"/>
      <c r="AV62" s="448"/>
      <c r="AW62" s="448"/>
      <c r="AX62" s="448"/>
      <c r="AY62" s="448"/>
      <c r="AZ62" s="448"/>
      <c r="BA62" s="448"/>
      <c r="BB62" s="448"/>
      <c r="BC62" s="449"/>
    </row>
    <row r="63" spans="9:55">
      <c r="L63" s="459" t="s">
        <v>812</v>
      </c>
      <c r="M63" s="459" t="s">
        <v>229</v>
      </c>
      <c r="N63" s="461">
        <v>0.41999999999998738</v>
      </c>
      <c r="P63" s="466" t="s">
        <v>812</v>
      </c>
      <c r="Q63" s="466" t="s">
        <v>229</v>
      </c>
      <c r="R63" s="468">
        <v>0.42000000000058502</v>
      </c>
      <c r="S63" s="343">
        <f t="shared" si="1"/>
        <v>5.9763305415572177E-7</v>
      </c>
      <c r="T63" s="442">
        <v>42716</v>
      </c>
      <c r="U63" s="447">
        <v>4.6490000000000004E-3</v>
      </c>
      <c r="V63" s="448"/>
      <c r="W63" s="448"/>
      <c r="X63" s="448"/>
      <c r="Y63" s="448"/>
      <c r="Z63" s="450"/>
      <c r="AA63" s="450"/>
      <c r="AB63" s="450"/>
      <c r="AC63" s="448"/>
      <c r="AD63" s="448"/>
      <c r="AE63" s="448"/>
      <c r="AF63" s="448"/>
      <c r="AG63" s="448"/>
      <c r="AH63" s="448"/>
      <c r="AI63" s="448"/>
      <c r="AJ63" s="448"/>
      <c r="AK63" s="448"/>
      <c r="AL63" s="448"/>
      <c r="AM63" s="448"/>
      <c r="AN63" s="448"/>
      <c r="AO63" s="448"/>
      <c r="AP63" s="448"/>
      <c r="AQ63" s="448"/>
      <c r="AR63" s="448"/>
      <c r="AS63" s="448"/>
      <c r="AT63" s="448"/>
      <c r="AU63" s="448"/>
      <c r="AV63" s="448"/>
      <c r="AW63" s="448"/>
      <c r="AX63" s="448"/>
      <c r="AY63" s="448"/>
      <c r="AZ63" s="448"/>
      <c r="BA63" s="448"/>
      <c r="BB63" s="448"/>
      <c r="BC63" s="449"/>
    </row>
    <row r="64" spans="9:55">
      <c r="L64" s="459" t="s">
        <v>812</v>
      </c>
      <c r="M64" s="459" t="s">
        <v>230</v>
      </c>
      <c r="N64" s="461">
        <v>0.43199999999999161</v>
      </c>
      <c r="P64" s="466" t="s">
        <v>812</v>
      </c>
      <c r="Q64" s="466" t="s">
        <v>230</v>
      </c>
      <c r="R64" s="468">
        <v>0.43200000000051358</v>
      </c>
      <c r="S64" s="343">
        <f t="shared" si="1"/>
        <v>5.2197135502751735E-7</v>
      </c>
      <c r="T64" s="442">
        <v>42747</v>
      </c>
      <c r="U64" s="447">
        <v>4.0660000000000002E-3</v>
      </c>
      <c r="V64" s="448"/>
      <c r="W64" s="448"/>
      <c r="X64" s="448"/>
      <c r="Y64" s="448"/>
      <c r="Z64" s="450"/>
      <c r="AA64" s="450"/>
      <c r="AB64" s="450"/>
      <c r="AC64" s="448"/>
      <c r="AD64" s="448"/>
      <c r="AE64" s="448"/>
      <c r="AF64" s="448"/>
      <c r="AG64" s="448"/>
      <c r="AH64" s="448"/>
      <c r="AI64" s="448"/>
      <c r="AJ64" s="448"/>
      <c r="AK64" s="448"/>
      <c r="AL64" s="448"/>
      <c r="AM64" s="448"/>
      <c r="AN64" s="448"/>
      <c r="AO64" s="448"/>
      <c r="AP64" s="448"/>
      <c r="AQ64" s="448"/>
      <c r="AR64" s="448"/>
      <c r="AS64" s="448"/>
      <c r="AT64" s="448"/>
      <c r="AU64" s="448"/>
      <c r="AV64" s="448"/>
      <c r="AW64" s="448"/>
      <c r="AX64" s="448"/>
      <c r="AY64" s="448"/>
      <c r="AZ64" s="448"/>
      <c r="BA64" s="448"/>
      <c r="BB64" s="448"/>
      <c r="BC64" s="449"/>
    </row>
    <row r="65" spans="12:55">
      <c r="L65" s="459" t="s">
        <v>812</v>
      </c>
      <c r="M65" s="459" t="s">
        <v>231</v>
      </c>
      <c r="N65" s="461">
        <v>0.44399999999995943</v>
      </c>
      <c r="P65" s="466" t="s">
        <v>812</v>
      </c>
      <c r="Q65" s="466" t="s">
        <v>231</v>
      </c>
      <c r="R65" s="468">
        <v>0.4440000000004789</v>
      </c>
      <c r="S65" s="343">
        <f t="shared" si="1"/>
        <v>5.1947335322211075E-7</v>
      </c>
      <c r="T65" s="442">
        <v>42779</v>
      </c>
      <c r="U65" s="447">
        <v>3.5999999999999999E-3</v>
      </c>
      <c r="V65" s="448"/>
      <c r="W65" s="448"/>
      <c r="X65" s="448"/>
      <c r="Y65" s="448"/>
      <c r="Z65" s="450"/>
      <c r="AA65" s="450"/>
      <c r="AB65" s="450"/>
      <c r="AC65" s="448"/>
      <c r="AD65" s="448"/>
      <c r="AE65" s="448"/>
      <c r="AF65" s="448"/>
      <c r="AG65" s="448"/>
      <c r="AH65" s="448"/>
      <c r="AI65" s="448"/>
      <c r="AJ65" s="448"/>
      <c r="AK65" s="448"/>
      <c r="AL65" s="448"/>
      <c r="AM65" s="448"/>
      <c r="AN65" s="448"/>
      <c r="AO65" s="448"/>
      <c r="AP65" s="448"/>
      <c r="AQ65" s="448"/>
      <c r="AR65" s="448"/>
      <c r="AS65" s="448"/>
      <c r="AT65" s="448"/>
      <c r="AU65" s="448"/>
      <c r="AV65" s="448"/>
      <c r="AW65" s="448"/>
      <c r="AX65" s="448"/>
      <c r="AY65" s="448"/>
      <c r="AZ65" s="448"/>
      <c r="BA65" s="448"/>
      <c r="BB65" s="448"/>
      <c r="BC65" s="449"/>
    </row>
    <row r="66" spans="12:55">
      <c r="L66" s="459" t="s">
        <v>812</v>
      </c>
      <c r="M66" s="459" t="s">
        <v>232</v>
      </c>
      <c r="N66" s="461">
        <v>0.45199999999986856</v>
      </c>
      <c r="P66" s="466" t="s">
        <v>812</v>
      </c>
      <c r="Q66" s="466" t="s">
        <v>232</v>
      </c>
      <c r="R66" s="468">
        <v>0.4520000000004189</v>
      </c>
      <c r="S66" s="343">
        <f t="shared" si="1"/>
        <v>5.503375533066901E-7</v>
      </c>
      <c r="T66" s="442">
        <v>42807</v>
      </c>
      <c r="U66" s="447">
        <v>3.2720000000000002E-3</v>
      </c>
      <c r="V66" s="448"/>
      <c r="W66" s="448"/>
      <c r="X66" s="448"/>
      <c r="Y66" s="448"/>
      <c r="Z66" s="450"/>
      <c r="AA66" s="450"/>
      <c r="AB66" s="450"/>
      <c r="AC66" s="448"/>
      <c r="AD66" s="448"/>
      <c r="AE66" s="448"/>
      <c r="AF66" s="448"/>
      <c r="AG66" s="448"/>
      <c r="AH66" s="448"/>
      <c r="AI66" s="448"/>
      <c r="AJ66" s="448"/>
      <c r="AK66" s="448"/>
      <c r="AL66" s="448"/>
      <c r="AM66" s="448"/>
      <c r="AN66" s="448"/>
      <c r="AO66" s="448"/>
      <c r="AP66" s="448"/>
      <c r="AQ66" s="448"/>
      <c r="AR66" s="448"/>
      <c r="AS66" s="448"/>
      <c r="AT66" s="448"/>
      <c r="AU66" s="448"/>
      <c r="AV66" s="448"/>
      <c r="AW66" s="448"/>
      <c r="AX66" s="448"/>
      <c r="AY66" s="448"/>
      <c r="AZ66" s="448"/>
      <c r="BA66" s="448"/>
      <c r="BB66" s="448"/>
      <c r="BC66" s="449"/>
    </row>
    <row r="67" spans="12:55">
      <c r="L67" s="459" t="s">
        <v>812</v>
      </c>
      <c r="M67" s="459" t="s">
        <v>233</v>
      </c>
      <c r="N67" s="461">
        <v>0.46199999999991276</v>
      </c>
      <c r="P67" s="466" t="s">
        <v>812</v>
      </c>
      <c r="Q67" s="466" t="s">
        <v>233</v>
      </c>
      <c r="R67" s="468">
        <v>0.46200000000048536</v>
      </c>
      <c r="S67" s="343">
        <f t="shared" si="1"/>
        <v>5.7259752495042449E-7</v>
      </c>
      <c r="T67" s="442">
        <v>42837</v>
      </c>
      <c r="U67" s="447">
        <v>2.9810000000000001E-3</v>
      </c>
      <c r="V67" s="448"/>
      <c r="W67" s="448"/>
      <c r="X67" s="448"/>
      <c r="Y67" s="448"/>
      <c r="Z67" s="450"/>
      <c r="AA67" s="450"/>
      <c r="AB67" s="450"/>
      <c r="AC67" s="448"/>
      <c r="AD67" s="448"/>
      <c r="AE67" s="448"/>
      <c r="AF67" s="448"/>
      <c r="AG67" s="448"/>
      <c r="AH67" s="448"/>
      <c r="AI67" s="448"/>
      <c r="AJ67" s="448"/>
      <c r="AK67" s="448"/>
      <c r="AL67" s="448"/>
      <c r="AM67" s="448"/>
      <c r="AN67" s="448"/>
      <c r="AO67" s="448"/>
      <c r="AP67" s="448"/>
      <c r="AQ67" s="448"/>
      <c r="AR67" s="448"/>
      <c r="AS67" s="448"/>
      <c r="AT67" s="448"/>
      <c r="AU67" s="448"/>
      <c r="AV67" s="448"/>
      <c r="AW67" s="448"/>
      <c r="AX67" s="448"/>
      <c r="AY67" s="448"/>
      <c r="AZ67" s="448"/>
      <c r="BA67" s="448"/>
      <c r="BB67" s="448"/>
      <c r="BC67" s="449"/>
    </row>
    <row r="68" spans="12:55">
      <c r="L68" s="459" t="s">
        <v>812</v>
      </c>
      <c r="M68" s="459" t="s">
        <v>332</v>
      </c>
      <c r="N68" s="461">
        <v>0.47099999999984982</v>
      </c>
      <c r="P68" s="466" t="s">
        <v>812</v>
      </c>
      <c r="Q68" s="466" t="s">
        <v>332</v>
      </c>
      <c r="R68" s="468">
        <v>0.47100000000046305</v>
      </c>
      <c r="S68" s="343">
        <f t="shared" si="1"/>
        <v>6.1323168765170522E-7</v>
      </c>
      <c r="T68" s="442">
        <v>42867</v>
      </c>
      <c r="U68" s="451">
        <v>2.738E-3</v>
      </c>
      <c r="V68" s="452"/>
      <c r="W68" s="452"/>
      <c r="X68" s="452"/>
      <c r="Y68" s="452"/>
      <c r="Z68" s="453"/>
      <c r="AA68" s="453"/>
      <c r="AB68" s="453"/>
      <c r="AC68" s="452"/>
      <c r="AD68" s="452"/>
      <c r="AE68" s="452"/>
      <c r="AF68" s="452"/>
      <c r="AG68" s="452"/>
      <c r="AH68" s="452"/>
      <c r="AI68" s="452"/>
      <c r="AJ68" s="452"/>
      <c r="AK68" s="452"/>
      <c r="AL68" s="452"/>
      <c r="AM68" s="452"/>
      <c r="AN68" s="452"/>
      <c r="AO68" s="452"/>
      <c r="AP68" s="452"/>
      <c r="AQ68" s="452"/>
      <c r="AR68" s="452"/>
      <c r="AS68" s="452"/>
      <c r="AT68" s="452"/>
      <c r="AU68" s="452"/>
      <c r="AV68" s="452"/>
      <c r="AW68" s="452"/>
      <c r="AX68" s="452"/>
      <c r="AY68" s="452"/>
      <c r="AZ68" s="452"/>
      <c r="BA68" s="452"/>
      <c r="BB68" s="452"/>
      <c r="BC68" s="454"/>
    </row>
    <row r="69" spans="12:55">
      <c r="L69" s="459" t="s">
        <v>812</v>
      </c>
      <c r="M69" s="459" t="s">
        <v>237</v>
      </c>
      <c r="N69" s="461">
        <v>0.49499974016858089</v>
      </c>
      <c r="P69" s="466" t="s">
        <v>812</v>
      </c>
      <c r="Q69" s="466" t="s">
        <v>237</v>
      </c>
      <c r="R69" s="468">
        <v>0.49499974016933923</v>
      </c>
      <c r="S69" s="343">
        <f t="shared" si="1"/>
        <v>7.5833783697021317E-7</v>
      </c>
      <c r="T69" s="115">
        <v>42961</v>
      </c>
      <c r="U69" s="115">
        <v>2.1800000000000001E-3</v>
      </c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  <c r="AZ69" s="115"/>
      <c r="BA69" s="115"/>
      <c r="BB69" s="115"/>
      <c r="BC69" s="115"/>
    </row>
    <row r="70" spans="12:55">
      <c r="L70" s="459" t="s">
        <v>812</v>
      </c>
      <c r="M70" s="459" t="s">
        <v>238</v>
      </c>
      <c r="N70" s="461">
        <v>0.51600040937806435</v>
      </c>
      <c r="P70" s="466" t="s">
        <v>812</v>
      </c>
      <c r="Q70" s="466" t="s">
        <v>238</v>
      </c>
      <c r="R70" s="468">
        <v>0.51600040937893332</v>
      </c>
      <c r="S70" s="343">
        <f t="shared" si="1"/>
        <v>8.6897156137411002E-7</v>
      </c>
      <c r="T70" s="115"/>
      <c r="U70" s="115">
        <v>1.8209999999999999E-3</v>
      </c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  <c r="AZ70" s="115"/>
      <c r="BA70" s="115"/>
      <c r="BB70" s="115"/>
      <c r="BC70" s="115"/>
    </row>
    <row r="71" spans="12:55">
      <c r="L71" s="459" t="s">
        <v>812</v>
      </c>
      <c r="M71" s="459" t="s">
        <v>239</v>
      </c>
      <c r="N71" s="461">
        <v>0.53900042113767133</v>
      </c>
      <c r="P71" s="466" t="s">
        <v>812</v>
      </c>
      <c r="Q71" s="466" t="s">
        <v>239</v>
      </c>
      <c r="R71" s="468">
        <v>0.53900042113874669</v>
      </c>
      <c r="S71" s="343">
        <f t="shared" si="1"/>
        <v>1.0753620216519266E-6</v>
      </c>
      <c r="T71" s="115"/>
      <c r="U71" s="115">
        <v>1.5640000000000001E-3</v>
      </c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  <c r="AZ71" s="115"/>
      <c r="BA71" s="115"/>
      <c r="BB71" s="115"/>
      <c r="BC71" s="115"/>
    </row>
    <row r="72" spans="12:55">
      <c r="L72" s="459" t="s">
        <v>812</v>
      </c>
      <c r="M72" s="459" t="s">
        <v>240</v>
      </c>
      <c r="N72" s="461">
        <v>0.56099908018835665</v>
      </c>
      <c r="P72" s="466" t="s">
        <v>812</v>
      </c>
      <c r="Q72" s="466" t="s">
        <v>240</v>
      </c>
      <c r="R72" s="468">
        <v>0.5609990801896243</v>
      </c>
      <c r="S72" s="343">
        <f t="shared" si="1"/>
        <v>1.2676526495170037E-6</v>
      </c>
      <c r="T72" s="115"/>
      <c r="U72" s="115">
        <v>1.3699999999999999E-3</v>
      </c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  <c r="AZ72" s="115"/>
      <c r="BA72" s="115"/>
      <c r="BB72" s="115"/>
      <c r="BC72" s="115"/>
    </row>
    <row r="73" spans="12:55">
      <c r="L73" s="459" t="s">
        <v>815</v>
      </c>
      <c r="M73" s="459" t="s">
        <v>211</v>
      </c>
      <c r="N73" s="461">
        <v>0.64326918220924878</v>
      </c>
      <c r="P73" s="466" t="s">
        <v>815</v>
      </c>
      <c r="Q73" s="466" t="s">
        <v>211</v>
      </c>
      <c r="R73" s="468">
        <v>0.64326918220981322</v>
      </c>
      <c r="S73" s="343">
        <f t="shared" si="1"/>
        <v>5.6443738571942959E-7</v>
      </c>
      <c r="T73" s="115"/>
      <c r="U73" s="115">
        <v>9.1699999999999995E-4</v>
      </c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  <c r="AZ73" s="115"/>
      <c r="BA73" s="115"/>
      <c r="BB73" s="115"/>
      <c r="BC73" s="115"/>
    </row>
    <row r="74" spans="12:55">
      <c r="L74" s="459" t="s">
        <v>815</v>
      </c>
      <c r="M74" s="459" t="s">
        <v>212</v>
      </c>
      <c r="N74" s="461">
        <v>0.72831399369611594</v>
      </c>
      <c r="P74" s="466" t="s">
        <v>815</v>
      </c>
      <c r="Q74" s="466" t="s">
        <v>212</v>
      </c>
      <c r="R74" s="468">
        <v>0.72831399369088579</v>
      </c>
      <c r="S74" s="343">
        <f t="shared" si="1"/>
        <v>-5.2301496467066499E-6</v>
      </c>
      <c r="T74" s="115"/>
      <c r="U74" s="115">
        <v>6.8900000000000005E-4</v>
      </c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  <c r="AZ74" s="115"/>
      <c r="BA74" s="115"/>
      <c r="BB74" s="115"/>
      <c r="BC74" s="115"/>
    </row>
    <row r="75" spans="12:55">
      <c r="L75" s="459" t="s">
        <v>815</v>
      </c>
      <c r="M75" s="459" t="s">
        <v>213</v>
      </c>
      <c r="N75" s="461">
        <v>0.82189599938789237</v>
      </c>
      <c r="P75" s="466" t="s">
        <v>815</v>
      </c>
      <c r="Q75" s="466" t="s">
        <v>213</v>
      </c>
      <c r="R75" s="468">
        <v>0.82189599937025259</v>
      </c>
      <c r="S75" s="343">
        <f t="shared" si="1"/>
        <v>-1.76397785267568E-5</v>
      </c>
      <c r="T75" s="115"/>
      <c r="U75" s="115">
        <v>5.5199999999999997E-4</v>
      </c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  <c r="AZ75" s="115"/>
      <c r="BA75" s="115"/>
      <c r="BB75" s="115"/>
      <c r="BC75" s="115"/>
    </row>
    <row r="76" spans="12:55">
      <c r="L76" s="459" t="s">
        <v>815</v>
      </c>
      <c r="M76" s="459" t="s">
        <v>214</v>
      </c>
      <c r="N76" s="461">
        <v>0.91450031450367708</v>
      </c>
      <c r="P76" s="466" t="s">
        <v>815</v>
      </c>
      <c r="Q76" s="466" t="s">
        <v>214</v>
      </c>
      <c r="R76" s="468">
        <v>0.91450031447088254</v>
      </c>
      <c r="S76" s="343">
        <f t="shared" si="1"/>
        <v>-3.2794544857495112E-5</v>
      </c>
      <c r="T76" s="115"/>
      <c r="U76" s="115">
        <v>4.6000000000000001E-4</v>
      </c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</row>
    <row r="77" spans="12:55">
      <c r="L77" s="459" t="s">
        <v>815</v>
      </c>
      <c r="M77" s="459" t="s">
        <v>215</v>
      </c>
      <c r="N77" s="461">
        <v>1.0076381508158521</v>
      </c>
      <c r="P77" s="466" t="s">
        <v>815</v>
      </c>
      <c r="Q77" s="466" t="s">
        <v>215</v>
      </c>
      <c r="R77" s="468">
        <v>1.0076381507634296</v>
      </c>
      <c r="S77" s="343">
        <f t="shared" si="1"/>
        <v>-5.2422510776750642E-5</v>
      </c>
      <c r="T77" s="115"/>
      <c r="U77" s="115">
        <v>3.9500000000000001E-4</v>
      </c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  <c r="AZ77" s="115"/>
      <c r="BA77" s="115"/>
      <c r="BB77" s="115"/>
      <c r="BC77" s="115"/>
    </row>
    <row r="78" spans="12:55">
      <c r="L78" s="459" t="s">
        <v>815</v>
      </c>
      <c r="M78" s="459" t="s">
        <v>216</v>
      </c>
      <c r="N78" s="461">
        <v>1.0917805413341681</v>
      </c>
      <c r="P78" s="466" t="s">
        <v>815</v>
      </c>
      <c r="Q78" s="466" t="s">
        <v>216</v>
      </c>
      <c r="R78" s="468">
        <v>1.0917805412612871</v>
      </c>
      <c r="S78" s="343">
        <f t="shared" si="1"/>
        <v>-7.2881034540728251E-5</v>
      </c>
      <c r="T78" s="115"/>
      <c r="U78" s="115">
        <v>3.4600000000000001E-4</v>
      </c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  <c r="AZ78" s="115"/>
      <c r="BA78" s="115"/>
      <c r="BB78" s="115"/>
      <c r="BC78" s="115"/>
    </row>
    <row r="79" spans="12:55">
      <c r="L79" s="459" t="s">
        <v>815</v>
      </c>
      <c r="M79" s="459" t="s">
        <v>217</v>
      </c>
      <c r="N79" s="461">
        <v>1.1644110672521528</v>
      </c>
      <c r="P79" s="466" t="s">
        <v>815</v>
      </c>
      <c r="Q79" s="466" t="s">
        <v>217</v>
      </c>
      <c r="R79" s="468">
        <v>1.1644110671582484</v>
      </c>
      <c r="S79" s="343">
        <f t="shared" si="1"/>
        <v>-9.390443977963514E-5</v>
      </c>
      <c r="T79" s="115"/>
      <c r="U79" s="115">
        <v>3.0800000000000001E-4</v>
      </c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  <c r="AZ79" s="115"/>
      <c r="BA79" s="115"/>
      <c r="BB79" s="115"/>
      <c r="BC79" s="115"/>
    </row>
    <row r="80" spans="12:55">
      <c r="L80" s="459" t="s">
        <v>815</v>
      </c>
      <c r="M80" s="459" t="s">
        <v>218</v>
      </c>
      <c r="N80" s="461">
        <v>1.2300391853892947</v>
      </c>
      <c r="P80" s="466" t="s">
        <v>815</v>
      </c>
      <c r="Q80" s="466" t="s">
        <v>218</v>
      </c>
      <c r="R80" s="468">
        <v>1.2300391852735</v>
      </c>
      <c r="S80" s="343">
        <f t="shared" si="1"/>
        <v>-1.1579470715616935E-4</v>
      </c>
      <c r="T80" s="115"/>
      <c r="U80" s="115">
        <v>2.7700000000000001E-4</v>
      </c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  <c r="AZ80" s="115"/>
      <c r="BA80" s="115"/>
      <c r="BB80" s="115"/>
      <c r="BC80" s="115"/>
    </row>
    <row r="81" spans="12:55">
      <c r="L81" s="459" t="s">
        <v>815</v>
      </c>
      <c r="M81" s="459" t="s">
        <v>219</v>
      </c>
      <c r="N81" s="461">
        <v>1.3528198642724507</v>
      </c>
      <c r="P81" s="466" t="s">
        <v>815</v>
      </c>
      <c r="Q81" s="466" t="s">
        <v>219</v>
      </c>
      <c r="R81" s="468">
        <v>1.3528198641269615</v>
      </c>
      <c r="S81" s="343">
        <f t="shared" si="1"/>
        <v>-1.4548917626200364E-4</v>
      </c>
      <c r="T81" s="115"/>
      <c r="U81" s="115">
        <v>2.31E-4</v>
      </c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</row>
    <row r="82" spans="12:55">
      <c r="L82" s="459" t="s">
        <v>815</v>
      </c>
      <c r="M82" s="459" t="s">
        <v>220</v>
      </c>
      <c r="N82" s="461">
        <v>1.4866380224660536</v>
      </c>
      <c r="P82" s="466" t="s">
        <v>815</v>
      </c>
      <c r="Q82" s="466" t="s">
        <v>220</v>
      </c>
      <c r="R82" s="468">
        <v>1.4866380223224467</v>
      </c>
      <c r="S82" s="343">
        <f t="shared" si="1"/>
        <v>-1.4360690414605415E-4</v>
      </c>
      <c r="T82" s="115"/>
      <c r="U82" s="115">
        <v>1.85E-4</v>
      </c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</row>
    <row r="83" spans="12:55">
      <c r="L83" s="459" t="s">
        <v>815</v>
      </c>
      <c r="M83" s="459" t="s">
        <v>221</v>
      </c>
      <c r="N83" s="461">
        <v>1.6224699835813952</v>
      </c>
      <c r="P83" s="466" t="s">
        <v>815</v>
      </c>
      <c r="Q83" s="466" t="s">
        <v>221</v>
      </c>
      <c r="R83" s="468">
        <v>1.6224699835885186</v>
      </c>
      <c r="S83" s="343">
        <f t="shared" si="1"/>
        <v>7.1234129705999294E-6</v>
      </c>
      <c r="T83" s="115"/>
      <c r="U83" s="115">
        <v>1.3899999999999999E-4</v>
      </c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</row>
    <row r="84" spans="12:55">
      <c r="L84" s="459" t="s">
        <v>815</v>
      </c>
      <c r="M84" s="459" t="s">
        <v>222</v>
      </c>
      <c r="N84" s="461">
        <v>1.6881106514190922</v>
      </c>
      <c r="P84" s="466" t="s">
        <v>815</v>
      </c>
      <c r="Q84" s="466" t="s">
        <v>222</v>
      </c>
      <c r="R84" s="468">
        <v>1.6881106517984963</v>
      </c>
      <c r="S84" s="343">
        <f t="shared" si="1"/>
        <v>3.794040637217222E-4</v>
      </c>
      <c r="T84" s="115"/>
      <c r="U84" s="115">
        <v>1.11E-4</v>
      </c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  <c r="AZ84" s="115"/>
      <c r="BA84" s="115"/>
      <c r="BB84" s="115"/>
      <c r="BC84" s="115"/>
    </row>
    <row r="85" spans="12:55">
      <c r="L85" s="459" t="s">
        <v>815</v>
      </c>
      <c r="M85" s="459" t="s">
        <v>223</v>
      </c>
      <c r="N85" s="461">
        <v>1.7332116181377168</v>
      </c>
      <c r="P85" s="466" t="s">
        <v>815</v>
      </c>
      <c r="Q85" s="466" t="s">
        <v>223</v>
      </c>
      <c r="R85" s="468">
        <v>1.7332116189623885</v>
      </c>
      <c r="S85" s="343">
        <f t="shared" si="1"/>
        <v>8.2467166429012195E-4</v>
      </c>
      <c r="T85" s="115"/>
      <c r="U85" s="115">
        <v>9.2999999999999997E-5</v>
      </c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  <c r="AZ85" s="115"/>
      <c r="BA85" s="115"/>
      <c r="BB85" s="115"/>
      <c r="BC85" s="115"/>
    </row>
    <row r="86" spans="12:55">
      <c r="L86" s="459" t="s">
        <v>815</v>
      </c>
      <c r="M86" s="459" t="s">
        <v>224</v>
      </c>
      <c r="N86" s="461">
        <v>1.7499620177334509</v>
      </c>
      <c r="P86" s="466" t="s">
        <v>815</v>
      </c>
      <c r="Q86" s="466" t="s">
        <v>224</v>
      </c>
      <c r="R86" s="468">
        <v>1.7499620189866898</v>
      </c>
      <c r="S86" s="343">
        <f t="shared" si="1"/>
        <v>1.2532388460329003E-3</v>
      </c>
      <c r="T86" s="115"/>
      <c r="U86" s="115">
        <v>6.9999999999999994E-5</v>
      </c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  <c r="AZ86" s="115"/>
      <c r="BA86" s="115"/>
      <c r="BB86" s="115"/>
      <c r="BC86" s="115"/>
    </row>
    <row r="87" spans="12:55">
      <c r="L87" s="459" t="s">
        <v>815</v>
      </c>
      <c r="M87" s="459" t="s">
        <v>225</v>
      </c>
      <c r="N87" s="461">
        <v>1.7371416656915388</v>
      </c>
      <c r="P87" s="466" t="s">
        <v>815</v>
      </c>
      <c r="Q87" s="466" t="s">
        <v>225</v>
      </c>
      <c r="R87" s="468">
        <v>1.7371416649185707</v>
      </c>
      <c r="S87" s="343">
        <f t="shared" si="1"/>
        <v>-7.7296813394411856E-4</v>
      </c>
      <c r="T87" s="115"/>
      <c r="U87" s="115">
        <v>5.5999999999999999E-5</v>
      </c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  <c r="AZ87" s="115"/>
      <c r="BA87" s="115"/>
      <c r="BB87" s="115"/>
      <c r="BC87" s="115"/>
    </row>
    <row r="88" spans="12:55">
      <c r="L88" s="459" t="s">
        <v>743</v>
      </c>
      <c r="M88" s="459" t="s">
        <v>743</v>
      </c>
      <c r="N88" s="456" t="e">
        <v>#N/A</v>
      </c>
      <c r="P88" s="466" t="s">
        <v>743</v>
      </c>
      <c r="Q88" s="466" t="s">
        <v>743</v>
      </c>
      <c r="R88" s="463" t="e">
        <v>#N/A</v>
      </c>
      <c r="S88" s="343" t="e">
        <f t="shared" si="1"/>
        <v>#N/A</v>
      </c>
    </row>
    <row r="89" spans="12:55">
      <c r="L89" s="455" t="e">
        <v>#N/A</v>
      </c>
      <c r="M89" s="455" t="e">
        <v>#N/A</v>
      </c>
      <c r="N89" s="456"/>
      <c r="P89" s="462" t="e">
        <v>#N/A</v>
      </c>
      <c r="Q89" s="462" t="e">
        <v>#N/A</v>
      </c>
      <c r="R89" s="463"/>
      <c r="S89" s="343">
        <f t="shared" si="1"/>
        <v>0</v>
      </c>
    </row>
    <row r="90" spans="12:55">
      <c r="L90" s="455" t="e">
        <v>#N/A</v>
      </c>
      <c r="M90" s="455" t="e">
        <v>#N/A</v>
      </c>
      <c r="N90" s="456"/>
      <c r="P90" s="462" t="e">
        <v>#N/A</v>
      </c>
      <c r="Q90" s="462" t="e">
        <v>#N/A</v>
      </c>
      <c r="R90" s="463"/>
      <c r="S90" s="343">
        <f t="shared" si="1"/>
        <v>0</v>
      </c>
    </row>
    <row r="91" spans="12:55">
      <c r="L91" s="455" t="e">
        <v>#N/A</v>
      </c>
      <c r="M91" s="455" t="e">
        <v>#N/A</v>
      </c>
      <c r="N91" s="456"/>
      <c r="P91" s="462" t="e">
        <v>#N/A</v>
      </c>
      <c r="Q91" s="462" t="e">
        <v>#N/A</v>
      </c>
      <c r="R91" s="463"/>
      <c r="S91" s="343">
        <f t="shared" si="1"/>
        <v>0</v>
      </c>
    </row>
    <row r="92" spans="12:55">
      <c r="L92" s="455" t="e">
        <v>#N/A</v>
      </c>
      <c r="M92" s="455" t="e">
        <v>#N/A</v>
      </c>
      <c r="N92" s="456"/>
      <c r="P92" s="462" t="e">
        <v>#N/A</v>
      </c>
      <c r="Q92" s="462" t="e">
        <v>#N/A</v>
      </c>
      <c r="R92" s="463"/>
      <c r="S92" s="343">
        <f t="shared" si="1"/>
        <v>0</v>
      </c>
    </row>
    <row r="96" spans="12:55" ht="24">
      <c r="L96" s="495" t="s">
        <v>303</v>
      </c>
      <c r="M96" s="496"/>
      <c r="N96" s="497"/>
      <c r="P96" s="495" t="s">
        <v>303</v>
      </c>
      <c r="Q96" s="496"/>
      <c r="R96" s="497"/>
      <c r="U96" s="115">
        <v>42501</v>
      </c>
      <c r="V96" s="115"/>
      <c r="W96" s="115"/>
    </row>
    <row r="97" spans="12:28">
      <c r="L97" s="457" t="s">
        <v>810</v>
      </c>
      <c r="M97" s="457" t="s">
        <v>245</v>
      </c>
      <c r="N97" s="457" t="s">
        <v>811</v>
      </c>
      <c r="P97" s="457" t="s">
        <v>810</v>
      </c>
      <c r="Q97" s="457" t="s">
        <v>245</v>
      </c>
      <c r="R97" s="457" t="s">
        <v>811</v>
      </c>
      <c r="U97" s="115"/>
      <c r="V97" s="115"/>
      <c r="W97" s="115"/>
      <c r="X97" s="115"/>
      <c r="Y97" s="115"/>
      <c r="Z97" s="115"/>
      <c r="AA97" s="115"/>
      <c r="AB97" s="115"/>
    </row>
    <row r="98" spans="12:28">
      <c r="L98" s="465" t="s">
        <v>193</v>
      </c>
      <c r="M98" s="465">
        <v>0</v>
      </c>
      <c r="N98" s="460">
        <v>0.39500000000458613</v>
      </c>
      <c r="P98" s="465" t="s">
        <v>193</v>
      </c>
      <c r="Q98" s="465">
        <v>0</v>
      </c>
      <c r="R98" s="469">
        <v>0.39500000000458613</v>
      </c>
      <c r="S98" s="172">
        <f t="shared" ref="S98:S132" si="2">(R98-N98)/$S$49</f>
        <v>0</v>
      </c>
      <c r="U98" s="115">
        <v>0</v>
      </c>
      <c r="V98" s="115"/>
      <c r="W98" s="115"/>
      <c r="X98" s="115"/>
      <c r="Y98" s="115"/>
      <c r="Z98" s="115"/>
      <c r="AA98" s="115"/>
      <c r="AB98" s="115"/>
    </row>
    <row r="99" spans="12:28">
      <c r="L99" s="466" t="s">
        <v>188</v>
      </c>
      <c r="M99" s="466">
        <v>0</v>
      </c>
      <c r="N99" s="461">
        <v>0.39500000000458613</v>
      </c>
      <c r="P99" s="466" t="s">
        <v>188</v>
      </c>
      <c r="Q99" s="466">
        <v>0</v>
      </c>
      <c r="R99" s="470">
        <v>0.39500100000466887</v>
      </c>
      <c r="S99">
        <f t="shared" si="2"/>
        <v>1.000000082740371</v>
      </c>
      <c r="U99" s="115">
        <v>0.50197400000000003</v>
      </c>
      <c r="V99" s="115"/>
      <c r="W99" s="115"/>
      <c r="X99" s="115"/>
      <c r="Y99" s="115"/>
      <c r="Z99" s="115"/>
      <c r="AA99" s="115"/>
      <c r="AB99" s="115"/>
    </row>
    <row r="100" spans="12:28">
      <c r="L100" s="466" t="s">
        <v>814</v>
      </c>
      <c r="M100" s="466">
        <v>0</v>
      </c>
      <c r="N100" s="461">
        <v>0.39499999999659252</v>
      </c>
      <c r="P100" s="466" t="s">
        <v>814</v>
      </c>
      <c r="Q100" s="466">
        <v>0</v>
      </c>
      <c r="R100" s="470">
        <v>0.39499999999659252</v>
      </c>
      <c r="S100">
        <f t="shared" si="2"/>
        <v>0</v>
      </c>
      <c r="U100" s="115">
        <v>0.33464899999999997</v>
      </c>
      <c r="V100" s="115"/>
      <c r="W100" s="115"/>
      <c r="X100" s="115"/>
      <c r="Y100" s="115"/>
      <c r="Z100" s="115"/>
      <c r="AA100" s="115"/>
      <c r="AB100" s="115"/>
    </row>
    <row r="101" spans="12:28">
      <c r="L101" s="466" t="s">
        <v>812</v>
      </c>
      <c r="M101" s="466" t="s">
        <v>207</v>
      </c>
      <c r="N101" s="461">
        <v>0.36699999999914973</v>
      </c>
      <c r="P101" s="466" t="s">
        <v>812</v>
      </c>
      <c r="Q101" s="466" t="s">
        <v>207</v>
      </c>
      <c r="R101" s="470">
        <v>0.36699999999914973</v>
      </c>
      <c r="S101">
        <f t="shared" si="2"/>
        <v>0</v>
      </c>
      <c r="U101" s="115">
        <v>0.111525</v>
      </c>
      <c r="V101" s="115"/>
      <c r="W101" s="115"/>
      <c r="X101" s="115"/>
      <c r="Y101" s="115"/>
      <c r="Z101" s="115"/>
      <c r="AA101" s="115"/>
      <c r="AB101" s="115"/>
    </row>
    <row r="102" spans="12:28">
      <c r="L102" s="466" t="s">
        <v>812</v>
      </c>
      <c r="M102" s="466" t="s">
        <v>208</v>
      </c>
      <c r="N102" s="461">
        <v>0.36399999999983668</v>
      </c>
      <c r="P102" s="466" t="s">
        <v>812</v>
      </c>
      <c r="Q102" s="466" t="s">
        <v>208</v>
      </c>
      <c r="R102" s="470">
        <v>0.36399999999983668</v>
      </c>
      <c r="S102">
        <f t="shared" si="2"/>
        <v>0</v>
      </c>
      <c r="U102" s="115">
        <v>2.9519E-2</v>
      </c>
      <c r="V102" s="115"/>
      <c r="W102" s="115"/>
      <c r="X102" s="115"/>
      <c r="Y102" s="115"/>
      <c r="Z102" s="115"/>
      <c r="AA102" s="115"/>
      <c r="AB102" s="115"/>
    </row>
    <row r="103" spans="12:28">
      <c r="L103" s="466" t="s">
        <v>812</v>
      </c>
      <c r="M103" s="466" t="s">
        <v>209</v>
      </c>
      <c r="N103" s="461">
        <v>0.3729999999998948</v>
      </c>
      <c r="P103" s="466" t="s">
        <v>812</v>
      </c>
      <c r="Q103" s="466" t="s">
        <v>209</v>
      </c>
      <c r="R103" s="470">
        <v>0.3729999999998948</v>
      </c>
      <c r="S103">
        <f t="shared" si="2"/>
        <v>0</v>
      </c>
      <c r="U103" s="115">
        <v>1.5932000000000002E-2</v>
      </c>
      <c r="V103" s="115"/>
      <c r="W103" s="115"/>
      <c r="X103" s="115"/>
      <c r="Y103" s="115"/>
      <c r="Z103" s="115"/>
      <c r="AA103" s="115"/>
      <c r="AB103" s="115"/>
    </row>
    <row r="104" spans="12:28">
      <c r="L104" s="466" t="s">
        <v>812</v>
      </c>
      <c r="M104" s="466" t="s">
        <v>210</v>
      </c>
      <c r="N104" s="461">
        <v>0.3820000000000176</v>
      </c>
      <c r="P104" s="466" t="s">
        <v>812</v>
      </c>
      <c r="Q104" s="466" t="s">
        <v>210</v>
      </c>
      <c r="R104" s="470">
        <v>0.3820000000000176</v>
      </c>
      <c r="S104">
        <f t="shared" si="2"/>
        <v>0</v>
      </c>
      <c r="U104" s="115">
        <v>1.0678999999999999E-2</v>
      </c>
      <c r="V104" s="115"/>
      <c r="W104" s="115"/>
      <c r="X104" s="115"/>
      <c r="Y104" s="115"/>
      <c r="Z104" s="115"/>
      <c r="AA104" s="115"/>
      <c r="AB104" s="115"/>
    </row>
    <row r="105" spans="12:28">
      <c r="L105" s="466" t="s">
        <v>812</v>
      </c>
      <c r="M105" s="466" t="s">
        <v>226</v>
      </c>
      <c r="N105" s="461">
        <v>0.39000000000005292</v>
      </c>
      <c r="P105" s="466" t="s">
        <v>812</v>
      </c>
      <c r="Q105" s="466" t="s">
        <v>226</v>
      </c>
      <c r="R105" s="470">
        <v>0.39000000000005292</v>
      </c>
      <c r="S105">
        <f t="shared" si="2"/>
        <v>0</v>
      </c>
      <c r="U105" s="115">
        <v>8.0309999999999999E-3</v>
      </c>
      <c r="V105" s="115"/>
      <c r="W105" s="115"/>
      <c r="X105" s="115"/>
      <c r="Y105" s="115"/>
      <c r="Z105" s="115"/>
      <c r="AA105" s="115"/>
      <c r="AB105" s="115"/>
    </row>
    <row r="106" spans="12:28">
      <c r="L106" s="466" t="s">
        <v>812</v>
      </c>
      <c r="M106" s="466" t="s">
        <v>227</v>
      </c>
      <c r="N106" s="461">
        <v>0.4009999999999912</v>
      </c>
      <c r="P106" s="466" t="s">
        <v>812</v>
      </c>
      <c r="Q106" s="466" t="s">
        <v>227</v>
      </c>
      <c r="R106" s="470">
        <v>0.4009999999999912</v>
      </c>
      <c r="S106">
        <f t="shared" si="2"/>
        <v>0</v>
      </c>
      <c r="U106" s="115">
        <v>6.4770000000000001E-3</v>
      </c>
      <c r="V106" s="115"/>
      <c r="W106" s="115"/>
      <c r="X106" s="115"/>
      <c r="Y106" s="115"/>
      <c r="Z106" s="115"/>
      <c r="AA106" s="115"/>
      <c r="AB106" s="115"/>
    </row>
    <row r="107" spans="12:28">
      <c r="L107" s="466" t="s">
        <v>812</v>
      </c>
      <c r="M107" s="466" t="s">
        <v>228</v>
      </c>
      <c r="N107" s="461">
        <v>0.412999999999968</v>
      </c>
      <c r="P107" s="466" t="s">
        <v>812</v>
      </c>
      <c r="Q107" s="466" t="s">
        <v>228</v>
      </c>
      <c r="R107" s="470">
        <v>0.412999999999968</v>
      </c>
      <c r="S107">
        <f t="shared" si="2"/>
        <v>0</v>
      </c>
      <c r="U107" s="115">
        <v>5.3410000000000003E-3</v>
      </c>
      <c r="V107" s="115"/>
      <c r="W107" s="115"/>
      <c r="X107" s="115"/>
      <c r="Y107" s="115"/>
      <c r="Z107" s="115"/>
      <c r="AA107" s="115"/>
      <c r="AB107" s="115"/>
    </row>
    <row r="108" spans="12:28">
      <c r="L108" s="466" t="s">
        <v>812</v>
      </c>
      <c r="M108" s="466" t="s">
        <v>229</v>
      </c>
      <c r="N108" s="461">
        <v>0.41999999999998738</v>
      </c>
      <c r="P108" s="466" t="s">
        <v>812</v>
      </c>
      <c r="Q108" s="466" t="s">
        <v>229</v>
      </c>
      <c r="R108" s="470">
        <v>0.42000000000002469</v>
      </c>
      <c r="S108">
        <f t="shared" si="2"/>
        <v>3.730349362740526E-8</v>
      </c>
      <c r="U108" s="115">
        <v>4.6490000000000004E-3</v>
      </c>
      <c r="V108" s="115"/>
      <c r="W108" s="115"/>
      <c r="X108" s="115"/>
      <c r="Y108" s="115"/>
      <c r="Z108" s="115"/>
      <c r="AA108" s="115"/>
      <c r="AB108" s="115"/>
    </row>
    <row r="109" spans="12:28">
      <c r="L109" s="466" t="s">
        <v>812</v>
      </c>
      <c r="M109" s="466" t="s">
        <v>230</v>
      </c>
      <c r="N109" s="461">
        <v>0.43199999999999161</v>
      </c>
      <c r="P109" s="466" t="s">
        <v>812</v>
      </c>
      <c r="Q109" s="466" t="s">
        <v>230</v>
      </c>
      <c r="R109" s="470">
        <v>0.4320000000000242</v>
      </c>
      <c r="S109">
        <f t="shared" si="2"/>
        <v>3.2585045772748344E-8</v>
      </c>
      <c r="U109" s="115">
        <v>4.0660000000000002E-3</v>
      </c>
      <c r="V109" s="115"/>
      <c r="W109" s="115"/>
      <c r="X109" s="115"/>
      <c r="Y109" s="115"/>
      <c r="Z109" s="115"/>
      <c r="AA109" s="115"/>
      <c r="AB109" s="115"/>
    </row>
    <row r="110" spans="12:28">
      <c r="L110" s="466" t="s">
        <v>812</v>
      </c>
      <c r="M110" s="466" t="s">
        <v>231</v>
      </c>
      <c r="N110" s="461">
        <v>0.44399999999995943</v>
      </c>
      <c r="P110" s="466" t="s">
        <v>812</v>
      </c>
      <c r="Q110" s="466" t="s">
        <v>231</v>
      </c>
      <c r="R110" s="470">
        <v>0.44400000000004602</v>
      </c>
      <c r="S110">
        <f t="shared" si="2"/>
        <v>8.659739592076221E-8</v>
      </c>
      <c r="U110" s="115">
        <v>3.5999999999999999E-3</v>
      </c>
      <c r="V110" s="115"/>
      <c r="W110" s="115"/>
      <c r="X110" s="115"/>
      <c r="Y110" s="115"/>
      <c r="Z110" s="115"/>
      <c r="AA110" s="115"/>
      <c r="AB110" s="115"/>
    </row>
    <row r="111" spans="12:28">
      <c r="L111" s="466" t="s">
        <v>812</v>
      </c>
      <c r="M111" s="466" t="s">
        <v>232</v>
      </c>
      <c r="N111" s="461">
        <v>0.45199999999986856</v>
      </c>
      <c r="P111" s="466" t="s">
        <v>812</v>
      </c>
      <c r="Q111" s="466" t="s">
        <v>232</v>
      </c>
      <c r="R111" s="470">
        <v>0.45200000000002583</v>
      </c>
      <c r="S111">
        <f t="shared" si="2"/>
        <v>1.5726309143815342E-7</v>
      </c>
      <c r="U111" s="115">
        <v>3.2720000000000002E-3</v>
      </c>
      <c r="V111" s="115"/>
      <c r="W111" s="115"/>
      <c r="X111" s="115"/>
      <c r="Y111" s="115"/>
      <c r="Z111" s="115"/>
      <c r="AA111" s="115"/>
      <c r="AB111" s="115"/>
    </row>
    <row r="112" spans="12:28">
      <c r="L112" s="466" t="s">
        <v>812</v>
      </c>
      <c r="M112" s="466" t="s">
        <v>233</v>
      </c>
      <c r="N112" s="461">
        <v>0.46199999999991276</v>
      </c>
      <c r="P112" s="466" t="s">
        <v>812</v>
      </c>
      <c r="Q112" s="466" t="s">
        <v>233</v>
      </c>
      <c r="R112" s="470">
        <v>0.46200000000012748</v>
      </c>
      <c r="S112">
        <f t="shared" si="2"/>
        <v>2.1471713296250527E-7</v>
      </c>
      <c r="U112" s="115">
        <v>2.9810000000000001E-3</v>
      </c>
      <c r="V112" s="115"/>
      <c r="W112" s="115"/>
      <c r="X112" s="115"/>
      <c r="Y112" s="115"/>
      <c r="Z112" s="115"/>
      <c r="AA112" s="115"/>
      <c r="AB112" s="115"/>
    </row>
    <row r="113" spans="12:28">
      <c r="L113" s="466" t="s">
        <v>812</v>
      </c>
      <c r="M113" s="466" t="s">
        <v>332</v>
      </c>
      <c r="N113" s="461">
        <v>0.47099999999984982</v>
      </c>
      <c r="P113" s="466" t="s">
        <v>812</v>
      </c>
      <c r="Q113" s="466" t="s">
        <v>332</v>
      </c>
      <c r="R113" s="470">
        <v>0.47100000000013459</v>
      </c>
      <c r="S113">
        <f t="shared" si="2"/>
        <v>2.8477220581635265E-7</v>
      </c>
      <c r="U113" s="115">
        <v>2.738E-3</v>
      </c>
      <c r="V113" s="115"/>
      <c r="W113" s="115"/>
      <c r="X113" s="115"/>
      <c r="Y113" s="115"/>
      <c r="Z113" s="115"/>
      <c r="AA113" s="115"/>
      <c r="AB113" s="115"/>
    </row>
    <row r="114" spans="12:28">
      <c r="L114" s="466" t="s">
        <v>812</v>
      </c>
      <c r="M114" s="466" t="s">
        <v>237</v>
      </c>
      <c r="N114" s="461">
        <v>0.49499974016858089</v>
      </c>
      <c r="P114" s="466" t="s">
        <v>812</v>
      </c>
      <c r="Q114" s="466" t="s">
        <v>237</v>
      </c>
      <c r="R114" s="470">
        <v>0.49499974016908044</v>
      </c>
      <c r="S114">
        <f t="shared" si="2"/>
        <v>4.9954484993008919E-7</v>
      </c>
      <c r="U114" s="115">
        <v>2.1800000000000001E-3</v>
      </c>
      <c r="V114" s="115"/>
      <c r="W114" s="115"/>
      <c r="X114" s="115"/>
      <c r="Y114" s="115"/>
      <c r="Z114" s="115"/>
      <c r="AA114" s="115"/>
      <c r="AB114" s="115"/>
    </row>
    <row r="115" spans="12:28">
      <c r="L115" s="466" t="s">
        <v>812</v>
      </c>
      <c r="M115" s="466" t="s">
        <v>238</v>
      </c>
      <c r="N115" s="461">
        <v>0.51600040937806435</v>
      </c>
      <c r="P115" s="466" t="s">
        <v>812</v>
      </c>
      <c r="Q115" s="466" t="s">
        <v>238</v>
      </c>
      <c r="R115" s="470">
        <v>0.51600040937877489</v>
      </c>
      <c r="S115">
        <f t="shared" si="2"/>
        <v>7.1054273576010019E-7</v>
      </c>
      <c r="U115" s="115">
        <v>1.8209999999999999E-3</v>
      </c>
      <c r="V115" s="115"/>
      <c r="W115" s="115"/>
      <c r="X115" s="115"/>
      <c r="Y115" s="115"/>
      <c r="Z115" s="115"/>
      <c r="AA115" s="115"/>
      <c r="AB115" s="115"/>
    </row>
    <row r="116" spans="12:28">
      <c r="L116" s="466" t="s">
        <v>812</v>
      </c>
      <c r="M116" s="466" t="s">
        <v>239</v>
      </c>
      <c r="N116" s="461">
        <v>0.53900042113767133</v>
      </c>
      <c r="P116" s="466" t="s">
        <v>812</v>
      </c>
      <c r="Q116" s="466" t="s">
        <v>239</v>
      </c>
      <c r="R116" s="470">
        <v>0.53900042113862856</v>
      </c>
      <c r="S116">
        <f t="shared" si="2"/>
        <v>9.5723429183180997E-7</v>
      </c>
      <c r="U116" s="115">
        <v>1.5640000000000001E-3</v>
      </c>
      <c r="V116" s="115"/>
      <c r="W116" s="115"/>
      <c r="X116" s="115"/>
      <c r="Y116" s="115"/>
      <c r="Z116" s="115"/>
      <c r="AA116" s="115"/>
      <c r="AB116" s="115"/>
    </row>
    <row r="117" spans="12:28">
      <c r="L117" s="466" t="s">
        <v>812</v>
      </c>
      <c r="M117" s="466" t="s">
        <v>240</v>
      </c>
      <c r="N117" s="461">
        <v>0.56099908018835665</v>
      </c>
      <c r="P117" s="466" t="s">
        <v>812</v>
      </c>
      <c r="Q117" s="466" t="s">
        <v>240</v>
      </c>
      <c r="R117" s="470">
        <v>0.56099908018952538</v>
      </c>
      <c r="S117">
        <f t="shared" si="2"/>
        <v>1.1687317780229023E-6</v>
      </c>
      <c r="U117" s="115">
        <v>1.3699999999999999E-3</v>
      </c>
      <c r="V117" s="115"/>
      <c r="W117" s="115"/>
      <c r="X117" s="115"/>
      <c r="Y117" s="115"/>
      <c r="Z117" s="115"/>
      <c r="AA117" s="115"/>
      <c r="AB117" s="115"/>
    </row>
    <row r="118" spans="12:28">
      <c r="L118" s="466" t="s">
        <v>815</v>
      </c>
      <c r="M118" s="466" t="s">
        <v>211</v>
      </c>
      <c r="N118" s="461">
        <v>0.64326918220924878</v>
      </c>
      <c r="P118" s="466" t="s">
        <v>815</v>
      </c>
      <c r="Q118" s="466" t="s">
        <v>211</v>
      </c>
      <c r="R118" s="470">
        <v>0.64326918220976304</v>
      </c>
      <c r="S118">
        <f t="shared" si="2"/>
        <v>5.1425530500637251E-7</v>
      </c>
      <c r="U118" s="115">
        <v>9.1699999999999995E-4</v>
      </c>
      <c r="V118" s="115"/>
      <c r="W118" s="115"/>
      <c r="X118" s="115"/>
      <c r="Y118" s="115"/>
      <c r="Z118" s="115"/>
      <c r="AA118" s="115"/>
      <c r="AB118" s="115"/>
    </row>
    <row r="119" spans="12:28">
      <c r="L119" s="466" t="s">
        <v>815</v>
      </c>
      <c r="M119" s="466" t="s">
        <v>212</v>
      </c>
      <c r="N119" s="461">
        <v>0.72831399369611594</v>
      </c>
      <c r="P119" s="466" t="s">
        <v>815</v>
      </c>
      <c r="Q119" s="466" t="s">
        <v>212</v>
      </c>
      <c r="R119" s="470">
        <v>0.72831399369085703</v>
      </c>
      <c r="S119">
        <f t="shared" si="2"/>
        <v>-5.2589044230444415E-6</v>
      </c>
      <c r="U119" s="115">
        <v>6.8900000000000005E-4</v>
      </c>
      <c r="V119" s="115"/>
      <c r="W119" s="115"/>
      <c r="X119" s="115"/>
      <c r="Y119" s="115"/>
      <c r="Z119" s="115"/>
      <c r="AA119" s="115"/>
      <c r="AB119" s="115"/>
    </row>
    <row r="120" spans="12:28">
      <c r="L120" s="466" t="s">
        <v>815</v>
      </c>
      <c r="M120" s="466" t="s">
        <v>213</v>
      </c>
      <c r="N120" s="461">
        <v>0.82189599938789237</v>
      </c>
      <c r="P120" s="466" t="s">
        <v>815</v>
      </c>
      <c r="Q120" s="466" t="s">
        <v>213</v>
      </c>
      <c r="R120" s="470">
        <v>0.82189599937023217</v>
      </c>
      <c r="S120">
        <f t="shared" si="2"/>
        <v>-1.7660206630409903E-5</v>
      </c>
      <c r="U120" s="115">
        <v>5.5199999999999997E-4</v>
      </c>
      <c r="V120" s="115"/>
      <c r="W120" s="115"/>
      <c r="X120" s="115"/>
      <c r="Y120" s="115"/>
      <c r="Z120" s="115"/>
      <c r="AA120" s="115"/>
      <c r="AB120" s="115"/>
    </row>
    <row r="121" spans="12:28">
      <c r="L121" s="466" t="s">
        <v>815</v>
      </c>
      <c r="M121" s="466" t="s">
        <v>214</v>
      </c>
      <c r="N121" s="461">
        <v>0.91450031450367708</v>
      </c>
      <c r="P121" s="466" t="s">
        <v>815</v>
      </c>
      <c r="Q121" s="466" t="s">
        <v>214</v>
      </c>
      <c r="R121" s="470">
        <v>0.91450031447086744</v>
      </c>
      <c r="S121">
        <f t="shared" si="2"/>
        <v>-3.2809643890630014E-5</v>
      </c>
      <c r="U121" s="115">
        <v>4.6000000000000001E-4</v>
      </c>
      <c r="V121" s="115"/>
      <c r="W121" s="115"/>
      <c r="X121" s="115"/>
      <c r="Y121" s="115"/>
      <c r="Z121" s="115"/>
      <c r="AA121" s="115"/>
      <c r="AB121" s="115"/>
    </row>
    <row r="122" spans="12:28">
      <c r="L122" s="466" t="s">
        <v>815</v>
      </c>
      <c r="M122" s="466" t="s">
        <v>215</v>
      </c>
      <c r="N122" s="461">
        <v>1.0076381508158521</v>
      </c>
      <c r="P122" s="466" t="s">
        <v>815</v>
      </c>
      <c r="Q122" s="466" t="s">
        <v>215</v>
      </c>
      <c r="R122" s="470">
        <v>1.007638150763418</v>
      </c>
      <c r="S122">
        <f t="shared" si="2"/>
        <v>-5.2434057096206743E-5</v>
      </c>
      <c r="U122" s="115">
        <v>3.9500000000000001E-4</v>
      </c>
      <c r="V122" s="115"/>
      <c r="W122" s="115"/>
      <c r="X122" s="115"/>
      <c r="Y122" s="115"/>
      <c r="Z122" s="115"/>
      <c r="AA122" s="115"/>
      <c r="AB122" s="115"/>
    </row>
    <row r="123" spans="12:28">
      <c r="L123" s="466" t="s">
        <v>815</v>
      </c>
      <c r="M123" s="466" t="s">
        <v>216</v>
      </c>
      <c r="N123" s="461">
        <v>1.0917805413341681</v>
      </c>
      <c r="P123" s="466" t="s">
        <v>815</v>
      </c>
      <c r="Q123" s="466" t="s">
        <v>216</v>
      </c>
      <c r="R123" s="470">
        <v>1.0917805412612782</v>
      </c>
      <c r="S123">
        <f t="shared" si="2"/>
        <v>-7.2889916324925252E-5</v>
      </c>
      <c r="U123" s="115">
        <v>3.4600000000000001E-4</v>
      </c>
      <c r="V123" s="115"/>
      <c r="W123" s="115"/>
      <c r="X123" s="115"/>
      <c r="Y123" s="115"/>
      <c r="Z123" s="115"/>
      <c r="AA123" s="115"/>
      <c r="AB123" s="115"/>
    </row>
    <row r="124" spans="12:28">
      <c r="L124" s="466" t="s">
        <v>815</v>
      </c>
      <c r="M124" s="466" t="s">
        <v>217</v>
      </c>
      <c r="N124" s="461">
        <v>1.1644110672521528</v>
      </c>
      <c r="P124" s="466" t="s">
        <v>815</v>
      </c>
      <c r="Q124" s="466" t="s">
        <v>217</v>
      </c>
      <c r="R124" s="470">
        <v>1.1644110671582402</v>
      </c>
      <c r="S124">
        <f t="shared" si="2"/>
        <v>-9.3912655430017367E-5</v>
      </c>
      <c r="U124" s="115">
        <v>3.0800000000000001E-4</v>
      </c>
      <c r="V124" s="115"/>
      <c r="W124" s="115"/>
      <c r="X124" s="115"/>
      <c r="Y124" s="115"/>
      <c r="Z124" s="115"/>
      <c r="AA124" s="115"/>
      <c r="AB124" s="115"/>
    </row>
    <row r="125" spans="12:28">
      <c r="L125" s="466" t="s">
        <v>815</v>
      </c>
      <c r="M125" s="466" t="s">
        <v>218</v>
      </c>
      <c r="N125" s="461">
        <v>1.2300391853892947</v>
      </c>
      <c r="P125" s="466" t="s">
        <v>815</v>
      </c>
      <c r="Q125" s="466" t="s">
        <v>218</v>
      </c>
      <c r="R125" s="470">
        <v>1.2300391852734924</v>
      </c>
      <c r="S125">
        <f t="shared" si="2"/>
        <v>-1.158022566727368E-4</v>
      </c>
      <c r="U125" s="115">
        <v>2.7700000000000001E-4</v>
      </c>
      <c r="V125" s="115"/>
      <c r="W125" s="115"/>
      <c r="X125" s="115"/>
      <c r="Y125" s="115"/>
      <c r="Z125" s="115"/>
      <c r="AA125" s="115"/>
      <c r="AB125" s="115"/>
    </row>
    <row r="126" spans="12:28">
      <c r="L126" s="466" t="s">
        <v>815</v>
      </c>
      <c r="M126" s="466" t="s">
        <v>219</v>
      </c>
      <c r="N126" s="461">
        <v>1.3528198642724507</v>
      </c>
      <c r="P126" s="466" t="s">
        <v>815</v>
      </c>
      <c r="Q126" s="466" t="s">
        <v>219</v>
      </c>
      <c r="R126" s="470">
        <v>1.3528198641269549</v>
      </c>
      <c r="S126">
        <f t="shared" si="2"/>
        <v>-1.4549583760015139E-4</v>
      </c>
      <c r="U126" s="115">
        <v>2.31E-4</v>
      </c>
      <c r="V126" s="115"/>
      <c r="W126" s="115"/>
      <c r="X126" s="115"/>
      <c r="Y126" s="115"/>
      <c r="Z126" s="115"/>
      <c r="AA126" s="115"/>
      <c r="AB126" s="115"/>
    </row>
    <row r="127" spans="12:28">
      <c r="L127" s="466" t="s">
        <v>815</v>
      </c>
      <c r="M127" s="466" t="s">
        <v>220</v>
      </c>
      <c r="N127" s="461">
        <v>1.4866380224660536</v>
      </c>
      <c r="P127" s="466" t="s">
        <v>815</v>
      </c>
      <c r="Q127" s="466" t="s">
        <v>220</v>
      </c>
      <c r="R127" s="470">
        <v>1.4866380223224431</v>
      </c>
      <c r="S127">
        <f t="shared" si="2"/>
        <v>-1.4361045685973295E-4</v>
      </c>
      <c r="U127" s="115">
        <v>1.85E-4</v>
      </c>
      <c r="V127" s="115"/>
      <c r="W127" s="115"/>
      <c r="X127" s="115"/>
      <c r="Y127" s="115"/>
      <c r="Z127" s="115"/>
      <c r="AA127" s="115"/>
      <c r="AB127" s="115"/>
    </row>
    <row r="128" spans="12:28">
      <c r="L128" s="466" t="s">
        <v>815</v>
      </c>
      <c r="M128" s="466" t="s">
        <v>221</v>
      </c>
      <c r="N128" s="461">
        <v>1.6224699835813952</v>
      </c>
      <c r="P128" s="466" t="s">
        <v>815</v>
      </c>
      <c r="Q128" s="466" t="s">
        <v>221</v>
      </c>
      <c r="R128" s="470">
        <v>1.6224699835885137</v>
      </c>
      <c r="S128">
        <f t="shared" si="2"/>
        <v>7.1185279892915787E-6</v>
      </c>
      <c r="U128" s="115">
        <v>1.3899999999999999E-4</v>
      </c>
      <c r="V128" s="115"/>
      <c r="W128" s="115"/>
      <c r="X128" s="115"/>
      <c r="Y128" s="115"/>
      <c r="Z128" s="115"/>
      <c r="AA128" s="115"/>
      <c r="AB128" s="115"/>
    </row>
    <row r="129" spans="12:28">
      <c r="L129" s="466" t="s">
        <v>815</v>
      </c>
      <c r="M129" s="466" t="s">
        <v>222</v>
      </c>
      <c r="N129" s="461">
        <v>1.6881106514190922</v>
      </c>
      <c r="P129" s="466" t="s">
        <v>815</v>
      </c>
      <c r="Q129" s="466" t="s">
        <v>222</v>
      </c>
      <c r="R129" s="470">
        <v>1.6881106517984874</v>
      </c>
      <c r="S129">
        <f t="shared" si="2"/>
        <v>3.7939518193752519E-4</v>
      </c>
      <c r="U129" s="115">
        <v>1.11E-4</v>
      </c>
      <c r="V129" s="115"/>
      <c r="W129" s="115"/>
      <c r="X129" s="115"/>
      <c r="Y129" s="115"/>
      <c r="Z129" s="115"/>
      <c r="AA129" s="115"/>
      <c r="AB129" s="115"/>
    </row>
    <row r="130" spans="12:28">
      <c r="L130" s="466" t="s">
        <v>815</v>
      </c>
      <c r="M130" s="466" t="s">
        <v>223</v>
      </c>
      <c r="N130" s="461">
        <v>1.7332116181377168</v>
      </c>
      <c r="P130" s="466" t="s">
        <v>815</v>
      </c>
      <c r="Q130" s="466" t="s">
        <v>223</v>
      </c>
      <c r="R130" s="470">
        <v>1.7332116189623752</v>
      </c>
      <c r="S130">
        <f t="shared" si="2"/>
        <v>8.2465834161382645E-4</v>
      </c>
      <c r="U130" s="115">
        <v>9.2999999999999997E-5</v>
      </c>
      <c r="V130" s="115"/>
      <c r="W130" s="115"/>
      <c r="X130" s="115"/>
      <c r="Y130" s="115"/>
      <c r="Z130" s="115"/>
      <c r="AA130" s="115"/>
      <c r="AB130" s="115"/>
    </row>
    <row r="131" spans="12:28">
      <c r="L131" s="466" t="s">
        <v>815</v>
      </c>
      <c r="M131" s="466" t="s">
        <v>224</v>
      </c>
      <c r="N131" s="461">
        <v>1.7499620177334509</v>
      </c>
      <c r="P131" s="466" t="s">
        <v>815</v>
      </c>
      <c r="Q131" s="466" t="s">
        <v>224</v>
      </c>
      <c r="R131" s="470">
        <v>1.7499620189866665</v>
      </c>
      <c r="S131">
        <f t="shared" si="2"/>
        <v>1.2532155313493831E-3</v>
      </c>
      <c r="U131" s="115">
        <v>6.9999999999999994E-5</v>
      </c>
      <c r="V131" s="115"/>
      <c r="W131" s="115"/>
      <c r="X131" s="115"/>
      <c r="Y131" s="115"/>
      <c r="Z131" s="115"/>
      <c r="AA131" s="115"/>
      <c r="AB131" s="115"/>
    </row>
    <row r="132" spans="12:28">
      <c r="L132" s="466" t="s">
        <v>815</v>
      </c>
      <c r="M132" s="466" t="s">
        <v>225</v>
      </c>
      <c r="N132" s="461">
        <v>1.7371416656915388</v>
      </c>
      <c r="P132" s="466" t="s">
        <v>815</v>
      </c>
      <c r="Q132" s="466" t="s">
        <v>225</v>
      </c>
      <c r="R132" s="470">
        <v>1.7371416649185683</v>
      </c>
      <c r="S132">
        <f t="shared" si="2"/>
        <v>-7.7297057643477274E-4</v>
      </c>
      <c r="U132" s="115">
        <v>5.5999999999999999E-5</v>
      </c>
      <c r="V132" s="115"/>
      <c r="W132" s="115"/>
      <c r="X132" s="115"/>
      <c r="Y132" s="115"/>
      <c r="Z132" s="115"/>
      <c r="AA132" s="115"/>
      <c r="AB132" s="115"/>
    </row>
  </sheetData>
  <mergeCells count="6">
    <mergeCell ref="L96:N96"/>
    <mergeCell ref="P96:R96"/>
    <mergeCell ref="L4:N4"/>
    <mergeCell ref="P4:R4"/>
    <mergeCell ref="L51:N51"/>
    <mergeCell ref="P51:R5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1:W1677"/>
  <sheetViews>
    <sheetView topLeftCell="A10" zoomScale="80" zoomScaleNormal="80" workbookViewId="0">
      <selection activeCell="N24" sqref="N24"/>
    </sheetView>
  </sheetViews>
  <sheetFormatPr defaultRowHeight="15"/>
  <cols>
    <col min="1" max="1" width="14.140625" style="115" bestFit="1" customWidth="1"/>
    <col min="2" max="2" width="19.85546875" style="115" bestFit="1" customWidth="1"/>
    <col min="3" max="3" width="15.140625" style="115" bestFit="1" customWidth="1"/>
    <col min="4" max="5" width="9.140625" style="115"/>
    <col min="6" max="6" width="18.28515625" style="115" bestFit="1" customWidth="1"/>
    <col min="7" max="7" width="19.28515625" style="115" bestFit="1" customWidth="1"/>
    <col min="8" max="8" width="9.140625" style="115"/>
    <col min="9" max="9" width="12.28515625" style="115" bestFit="1" customWidth="1"/>
    <col min="10" max="12" width="9.140625" style="115"/>
    <col min="13" max="13" width="17" style="115" bestFit="1" customWidth="1"/>
    <col min="14" max="15" width="13.85546875" style="115" bestFit="1" customWidth="1"/>
    <col min="16" max="16384" width="9.140625" style="115"/>
  </cols>
  <sheetData>
    <row r="11" spans="2:20" ht="15.75" thickBot="1"/>
    <row r="12" spans="2:20">
      <c r="B12" s="262"/>
      <c r="C12" s="263"/>
    </row>
    <row r="13" spans="2:20">
      <c r="B13" s="264" t="s">
        <v>739</v>
      </c>
      <c r="C13" s="265">
        <f ca="1">TODAY()</f>
        <v>43705</v>
      </c>
    </row>
    <row r="14" spans="2:20" ht="15.75" thickBot="1">
      <c r="B14" s="266" t="s">
        <v>740</v>
      </c>
      <c r="C14" s="179" t="s">
        <v>806</v>
      </c>
    </row>
    <row r="15" spans="2:20" ht="15.75" thickBot="1">
      <c r="S15" s="115" t="s">
        <v>742</v>
      </c>
    </row>
    <row r="16" spans="2:20">
      <c r="S16" s="262" t="s">
        <v>744</v>
      </c>
      <c r="T16" s="267" t="str">
        <f>_xll.qlFlatForward(T18,T19,T20,T21,T22,T23,T24,T25,T26)</f>
        <v>EstimationFlat#0000</v>
      </c>
    </row>
    <row r="17" spans="1:20" ht="15.75" thickBot="1">
      <c r="S17" s="266" t="s">
        <v>243</v>
      </c>
      <c r="T17" s="268" t="s">
        <v>743</v>
      </c>
    </row>
    <row r="18" spans="1:20">
      <c r="B18" s="88" t="s">
        <v>270</v>
      </c>
      <c r="C18" s="269" t="s">
        <v>280</v>
      </c>
      <c r="F18" s="88" t="s">
        <v>270</v>
      </c>
      <c r="G18" s="269" t="s">
        <v>280</v>
      </c>
      <c r="S18" s="262" t="s">
        <v>244</v>
      </c>
      <c r="T18" s="263" t="s">
        <v>745</v>
      </c>
    </row>
    <row r="19" spans="1:20">
      <c r="B19" s="270" t="s">
        <v>269</v>
      </c>
      <c r="C19" s="271" t="s">
        <v>331</v>
      </c>
      <c r="F19" s="270" t="s">
        <v>269</v>
      </c>
      <c r="G19" s="271" t="s">
        <v>331</v>
      </c>
      <c r="S19" s="264" t="s">
        <v>268</v>
      </c>
      <c r="T19" s="272"/>
    </row>
    <row r="20" spans="1:20">
      <c r="B20" s="270" t="s">
        <v>271</v>
      </c>
      <c r="C20" s="271" t="s">
        <v>746</v>
      </c>
      <c r="F20" s="270" t="s">
        <v>271</v>
      </c>
      <c r="G20" s="271" t="s">
        <v>272</v>
      </c>
      <c r="S20" s="264" t="s">
        <v>269</v>
      </c>
      <c r="T20" s="273" t="s">
        <v>749</v>
      </c>
    </row>
    <row r="21" spans="1:20">
      <c r="B21" s="274" t="s">
        <v>273</v>
      </c>
      <c r="C21" s="275" t="s">
        <v>278</v>
      </c>
      <c r="F21" s="274" t="s">
        <v>273</v>
      </c>
      <c r="G21" s="275" t="s">
        <v>274</v>
      </c>
      <c r="S21" s="264" t="s">
        <v>751</v>
      </c>
      <c r="T21" s="276">
        <v>0.12</v>
      </c>
    </row>
    <row r="22" spans="1:20">
      <c r="B22" s="277" t="s">
        <v>328</v>
      </c>
      <c r="F22" s="277" t="s">
        <v>328</v>
      </c>
      <c r="S22" s="264" t="s">
        <v>270</v>
      </c>
      <c r="T22" s="273"/>
    </row>
    <row r="23" spans="1:20">
      <c r="C23" s="279"/>
      <c r="G23" s="279"/>
      <c r="S23" s="264" t="s">
        <v>754</v>
      </c>
      <c r="T23" s="273" t="s">
        <v>755</v>
      </c>
    </row>
    <row r="24" spans="1:20">
      <c r="S24" s="264" t="s">
        <v>758</v>
      </c>
      <c r="T24" s="273" t="s">
        <v>256</v>
      </c>
    </row>
    <row r="25" spans="1:20">
      <c r="B25" s="179" t="s">
        <v>792</v>
      </c>
      <c r="F25" s="179" t="s">
        <v>793</v>
      </c>
      <c r="S25" s="264" t="s">
        <v>247</v>
      </c>
      <c r="T25" s="273"/>
    </row>
    <row r="26" spans="1:20" ht="15.75" thickBot="1">
      <c r="B26" s="115" t="s">
        <v>787</v>
      </c>
      <c r="F26" s="115" t="s">
        <v>788</v>
      </c>
      <c r="S26" s="266" t="s">
        <v>248</v>
      </c>
      <c r="T26" s="280"/>
    </row>
    <row r="27" spans="1:20">
      <c r="B27" s="281">
        <f ca="1">hoy</f>
        <v>43705</v>
      </c>
      <c r="C27" s="282">
        <v>4.3470000000000002E-3</v>
      </c>
      <c r="F27" s="283">
        <v>42478</v>
      </c>
      <c r="G27" s="284">
        <v>1</v>
      </c>
      <c r="H27" s="177"/>
    </row>
    <row r="28" spans="1:20">
      <c r="A28" s="115">
        <v>7</v>
      </c>
      <c r="B28" s="281">
        <f t="shared" ref="B28:B91" ca="1" si="0">B27+$A$28</f>
        <v>43712</v>
      </c>
      <c r="C28" s="282">
        <v>4.3949999999999996E-3</v>
      </c>
      <c r="D28" s="115" t="e">
        <f ca="1">_xll.qlYieldTSDiscount($B$25,B28)</f>
        <v>#NUM!</v>
      </c>
      <c r="F28" s="283">
        <v>42485</v>
      </c>
      <c r="G28" s="284">
        <v>0.99992835000000002</v>
      </c>
      <c r="H28" s="177" t="e">
        <f>_xll.qlYieldTSForwardRate($F$25,$F$27,F28,"Actual/365","simple","annual")</f>
        <v>#NUM!</v>
      </c>
    </row>
    <row r="29" spans="1:20">
      <c r="B29" s="281">
        <f t="shared" ca="1" si="0"/>
        <v>43719</v>
      </c>
      <c r="C29" s="282">
        <v>4.4479999999999997E-3</v>
      </c>
      <c r="D29" s="115" t="e">
        <f ca="1">_xll.qlYieldTSDiscount($B$25,B29)</f>
        <v>#NUM!</v>
      </c>
      <c r="F29" s="283">
        <v>42492</v>
      </c>
      <c r="G29" s="284">
        <v>0.99986025000000001</v>
      </c>
      <c r="H29" s="177" t="e">
        <f>_xll.qlYieldTSForwardRate($F$25,$F$27,F29,"Actual/365","simple","annual")</f>
        <v>#NUM!</v>
      </c>
    </row>
    <row r="30" spans="1:20" ht="15.75" thickBot="1">
      <c r="B30" s="281">
        <f t="shared" ca="1" si="0"/>
        <v>43726</v>
      </c>
      <c r="C30" s="282">
        <v>4.4869999999999997E-3</v>
      </c>
      <c r="D30" s="115" t="e">
        <f ca="1">_xll.qlYieldTSDiscount($B$25,B30)</f>
        <v>#NUM!</v>
      </c>
      <c r="F30" s="283">
        <v>42499</v>
      </c>
      <c r="G30" s="284">
        <v>0.99978931000000004</v>
      </c>
      <c r="H30" s="177" t="e">
        <f>_xll.qlYieldTSForwardRate($F$25,$F$27,F30,"Actual/365","simple","annual")</f>
        <v>#NUM!</v>
      </c>
    </row>
    <row r="31" spans="1:20">
      <c r="B31" s="281">
        <f t="shared" ca="1" si="0"/>
        <v>43733</v>
      </c>
      <c r="C31" s="282">
        <v>4.542E-3</v>
      </c>
      <c r="D31" s="115" t="e">
        <f ca="1">_xll.qlYieldTSDiscount($B$25,B31)</f>
        <v>#NUM!</v>
      </c>
      <c r="F31" s="283">
        <v>42506</v>
      </c>
      <c r="G31" s="284">
        <v>0.99971741999999997</v>
      </c>
      <c r="H31" s="195" t="e">
        <f>_xll.qlYieldTSForwardRate($F$25,$F$27,F31,"Actual/365","simple","annual")</f>
        <v>#NUM!</v>
      </c>
      <c r="I31" s="195">
        <f t="shared" ref="I31:I51" si="1">(1/G31-1)/(F31-$F$27)*365</f>
        <v>3.6846733578560498E-3</v>
      </c>
      <c r="S31" s="262" t="s">
        <v>744</v>
      </c>
      <c r="T31" s="267" t="e">
        <f>_xll.qlFlatForward(T33,T34,T35,T36,T37,T38,T39,#REF!,T41)</f>
        <v>#NUM!</v>
      </c>
    </row>
    <row r="32" spans="1:20" ht="15.75" thickBot="1">
      <c r="B32" s="281">
        <f t="shared" ca="1" si="0"/>
        <v>43740</v>
      </c>
      <c r="C32" s="282">
        <v>4.614E-3</v>
      </c>
      <c r="D32" s="115" t="e">
        <f ca="1">_xll.qlYieldTSDiscount($B$25,B32)</f>
        <v>#NUM!</v>
      </c>
      <c r="F32" s="283">
        <v>42513</v>
      </c>
      <c r="G32" s="284">
        <v>0.99964576000000005</v>
      </c>
      <c r="H32" s="177" t="e">
        <f>_xll.qlYieldTSForwardRate($F$25,$F$27,F32,"Actual/365","simple","annual")</f>
        <v>#NUM!</v>
      </c>
      <c r="I32" s="195">
        <f t="shared" si="1"/>
        <v>3.6955262460738009E-3</v>
      </c>
      <c r="S32" s="266" t="s">
        <v>243</v>
      </c>
      <c r="T32" s="268" t="s">
        <v>743</v>
      </c>
    </row>
    <row r="33" spans="2:23">
      <c r="B33" s="281">
        <f t="shared" ca="1" si="0"/>
        <v>43747</v>
      </c>
      <c r="C33" s="282">
        <v>4.6820000000000004E-3</v>
      </c>
      <c r="D33" s="115" t="e">
        <f ca="1">_xll.qlYieldTSDiscount($B$25,B33)</f>
        <v>#NUM!</v>
      </c>
      <c r="F33" s="283">
        <v>42520</v>
      </c>
      <c r="G33" s="284">
        <v>0.99957397000000003</v>
      </c>
      <c r="H33" s="177" t="e">
        <f>_xll.qlYieldTSForwardRate($F$25,$F$27,F33,"Actual/365","simple","annual")</f>
        <v>#NUM!</v>
      </c>
      <c r="I33" s="195">
        <f t="shared" si="1"/>
        <v>3.703981578699677E-3</v>
      </c>
      <c r="S33" s="262" t="s">
        <v>244</v>
      </c>
      <c r="T33" s="263" t="s">
        <v>762</v>
      </c>
    </row>
    <row r="34" spans="2:23">
      <c r="B34" s="281">
        <f t="shared" ca="1" si="0"/>
        <v>43754</v>
      </c>
      <c r="C34" s="282">
        <v>4.7829999999999999E-3</v>
      </c>
      <c r="D34" s="115" t="e">
        <f ca="1">_xll.qlYieldTSDiscount($B$25,B34)</f>
        <v>#NUM!</v>
      </c>
      <c r="F34" s="283">
        <v>42527</v>
      </c>
      <c r="G34" s="284">
        <v>0.99950190999999999</v>
      </c>
      <c r="H34" s="177" t="e">
        <f>_xll.qlYieldTSForwardRate($F$25,$F$27,F34,"Actual/365","simple","annual")</f>
        <v>#NUM!</v>
      </c>
      <c r="I34" s="195">
        <f t="shared" si="1"/>
        <v>3.7121112103713893E-3</v>
      </c>
      <c r="S34" s="264" t="s">
        <v>268</v>
      </c>
      <c r="T34" s="272"/>
    </row>
    <row r="35" spans="2:23">
      <c r="B35" s="281">
        <f t="shared" ca="1" si="0"/>
        <v>43761</v>
      </c>
      <c r="C35" s="282">
        <v>4.8760000000000001E-3</v>
      </c>
      <c r="D35" s="115" t="e">
        <f ca="1">_xll.qlYieldTSDiscount($B$25,B35)</f>
        <v>#NUM!</v>
      </c>
      <c r="F35" s="283">
        <v>42534</v>
      </c>
      <c r="G35" s="284">
        <v>0.99942903000000005</v>
      </c>
      <c r="H35" s="177" t="e">
        <f>_xll.qlYieldTSForwardRate($F$25,$F$27,F35,"Actual/365","simple","annual")</f>
        <v>#NUM!</v>
      </c>
      <c r="I35" s="195">
        <f t="shared" si="1"/>
        <v>3.723626972149674E-3</v>
      </c>
      <c r="S35" s="264" t="s">
        <v>269</v>
      </c>
      <c r="T35" s="273" t="s">
        <v>749</v>
      </c>
    </row>
    <row r="36" spans="2:23">
      <c r="B36" s="281">
        <f t="shared" ca="1" si="0"/>
        <v>43768</v>
      </c>
      <c r="C36" s="282">
        <v>4.9529999999999999E-3</v>
      </c>
      <c r="D36" s="115" t="e">
        <f ca="1">_xll.qlYieldTSDiscount($B$25,B36)</f>
        <v>#NUM!</v>
      </c>
      <c r="F36" s="283">
        <v>42541</v>
      </c>
      <c r="G36" s="284">
        <v>0.99935490000000005</v>
      </c>
      <c r="H36" s="177" t="e">
        <f>_xll.qlYieldTSForwardRate($F$25,$F$27,F36,"Actual/365","simple","annual")</f>
        <v>#NUM!</v>
      </c>
      <c r="I36" s="195">
        <f t="shared" si="1"/>
        <v>3.7398967343672488E-3</v>
      </c>
      <c r="S36" s="264" t="s">
        <v>751</v>
      </c>
      <c r="T36" s="276">
        <v>0.03</v>
      </c>
    </row>
    <row r="37" spans="2:23">
      <c r="B37" s="281">
        <f t="shared" ca="1" si="0"/>
        <v>43775</v>
      </c>
      <c r="C37" s="282">
        <v>5.0200000000000002E-3</v>
      </c>
      <c r="D37" s="115" t="e">
        <f ca="1">_xll.qlYieldTSDiscount($B$25,B37)</f>
        <v>#NUM!</v>
      </c>
      <c r="F37" s="283">
        <v>42548</v>
      </c>
      <c r="G37" s="284">
        <v>0.99927980000000005</v>
      </c>
      <c r="H37" s="177" t="e">
        <f>_xll.qlYieldTSForwardRate($F$25,$F$27,F37,"Actual/365","simple","annual")</f>
        <v>#NUM!</v>
      </c>
      <c r="I37" s="195">
        <f t="shared" si="1"/>
        <v>3.7580351083134063E-3</v>
      </c>
      <c r="S37" s="264" t="s">
        <v>270</v>
      </c>
      <c r="T37" s="273"/>
    </row>
    <row r="38" spans="2:23">
      <c r="B38" s="281">
        <f t="shared" ca="1" si="0"/>
        <v>43782</v>
      </c>
      <c r="C38" s="282">
        <v>5.091E-3</v>
      </c>
      <c r="D38" s="115" t="e">
        <f ca="1">_xll.qlYieldTSDiscount($B$25,B38)</f>
        <v>#NUM!</v>
      </c>
      <c r="F38" s="283">
        <v>42555</v>
      </c>
      <c r="G38" s="284">
        <v>0.99920394999999995</v>
      </c>
      <c r="H38" s="177" t="e">
        <f>_xll.qlYieldTSForwardRate($F$25,$F$27,F38,"Actual/365","simple","annual")</f>
        <v>#NUM!</v>
      </c>
      <c r="I38" s="195">
        <f t="shared" si="1"/>
        <v>3.7764900411314355E-3</v>
      </c>
      <c r="S38" s="264" t="s">
        <v>754</v>
      </c>
      <c r="T38" s="273" t="s">
        <v>755</v>
      </c>
      <c r="W38" s="115">
        <f>SQRT(SUMPRODUCT(W22:W37,W22:W37))</f>
        <v>0</v>
      </c>
    </row>
    <row r="39" spans="2:23">
      <c r="B39" s="281">
        <f t="shared" ca="1" si="0"/>
        <v>43789</v>
      </c>
      <c r="C39" s="282">
        <v>5.1469999999999997E-3</v>
      </c>
      <c r="D39" s="115" t="e">
        <f ca="1">_xll.qlYieldTSDiscount($B$25,B39)</f>
        <v>#NUM!</v>
      </c>
      <c r="F39" s="283">
        <v>42562</v>
      </c>
      <c r="G39" s="284">
        <v>0.99912705000000002</v>
      </c>
      <c r="H39" s="177" t="e">
        <f>_xll.qlYieldTSForwardRate($F$25,$F$27,F39,"Actual/365","simple","annual")</f>
        <v>#NUM!</v>
      </c>
      <c r="I39" s="195">
        <f t="shared" si="1"/>
        <v>3.7964897409574812E-3</v>
      </c>
      <c r="S39" s="264" t="s">
        <v>758</v>
      </c>
      <c r="T39" s="273" t="s">
        <v>256</v>
      </c>
    </row>
    <row r="40" spans="2:23">
      <c r="B40" s="281">
        <f t="shared" ca="1" si="0"/>
        <v>43796</v>
      </c>
      <c r="C40" s="282">
        <v>5.2059999999999997E-3</v>
      </c>
      <c r="F40" s="283">
        <v>42569</v>
      </c>
      <c r="G40" s="284">
        <v>0.99904868000000002</v>
      </c>
      <c r="H40" s="177" t="e">
        <f>_xll.qlYieldTSForwardRate($F$25,$F$27,F40,"Actual/365","simple","annual")</f>
        <v>#NUM!</v>
      </c>
      <c r="I40" s="195">
        <f t="shared" si="1"/>
        <v>3.819367506630107E-3</v>
      </c>
      <c r="S40" s="264" t="s">
        <v>247</v>
      </c>
    </row>
    <row r="41" spans="2:23" ht="15.75" thickBot="1">
      <c r="B41" s="281">
        <f t="shared" ca="1" si="0"/>
        <v>43803</v>
      </c>
      <c r="C41" s="282">
        <v>5.2690000000000002E-3</v>
      </c>
      <c r="D41" s="115" t="e">
        <f ca="1">_xll.qlYieldTSDiscount($B$25,B41)</f>
        <v>#NUM!</v>
      </c>
      <c r="F41" s="283">
        <v>42576</v>
      </c>
      <c r="G41" s="284">
        <v>0.99896883999999997</v>
      </c>
      <c r="H41" s="177" t="e">
        <f>_xll.qlYieldTSForwardRate($F$25,$F$27,F41,"Actual/365","simple","annual")</f>
        <v>#NUM!</v>
      </c>
      <c r="I41" s="195">
        <f t="shared" si="1"/>
        <v>3.8445092020677005E-3</v>
      </c>
      <c r="S41" s="266" t="s">
        <v>248</v>
      </c>
      <c r="T41" s="280"/>
    </row>
    <row r="42" spans="2:23">
      <c r="B42" s="281">
        <f t="shared" ca="1" si="0"/>
        <v>43810</v>
      </c>
      <c r="C42" s="282">
        <v>5.326E-3</v>
      </c>
      <c r="D42" s="115" t="e">
        <f ca="1">_xll.qlYieldTSDiscount($B$25,B42)</f>
        <v>#NUM!</v>
      </c>
      <c r="F42" s="283">
        <v>42583</v>
      </c>
      <c r="G42" s="284">
        <v>0.99888748000000005</v>
      </c>
      <c r="H42" s="177" t="e">
        <f>_xll.qlYieldTSForwardRate($F$25,$F$27,F42,"Actual/365","simple","annual")</f>
        <v>#NUM!</v>
      </c>
      <c r="I42" s="195">
        <f t="shared" si="1"/>
        <v>3.871638704061989E-3</v>
      </c>
    </row>
    <row r="43" spans="2:23">
      <c r="B43" s="281">
        <f t="shared" ca="1" si="0"/>
        <v>43817</v>
      </c>
      <c r="C43" s="282">
        <v>5.3800000000000002E-3</v>
      </c>
      <c r="D43" s="115" t="e">
        <f ca="1">_xll.qlYieldTSDiscount($B$25,B43)</f>
        <v>#NUM!</v>
      </c>
      <c r="F43" s="283">
        <v>42590</v>
      </c>
      <c r="G43" s="284">
        <v>0.99880473999999997</v>
      </c>
      <c r="H43" s="177" t="e">
        <f>_xll.qlYieldTSForwardRate($F$25,$F$27,F43,"Actual/365","simple","annual")</f>
        <v>#NUM!</v>
      </c>
      <c r="I43" s="195">
        <f t="shared" si="1"/>
        <v>3.8999283926966543E-3</v>
      </c>
    </row>
    <row r="44" spans="2:23">
      <c r="B44" s="281">
        <f t="shared" ca="1" si="0"/>
        <v>43824</v>
      </c>
      <c r="C44" s="282">
        <v>5.4450000000000002E-3</v>
      </c>
      <c r="F44" s="283">
        <v>42597</v>
      </c>
      <c r="G44" s="284">
        <v>0.99872101999999996</v>
      </c>
      <c r="H44" s="177" t="e">
        <f>_xll.qlYieldTSForwardRate($F$25,$F$27,F44,"Actual/365","simple","annual")</f>
        <v>#NUM!</v>
      </c>
      <c r="I44" s="195">
        <f t="shared" si="1"/>
        <v>3.9279456126195735E-3</v>
      </c>
    </row>
    <row r="45" spans="2:23">
      <c r="B45" s="281">
        <f t="shared" ca="1" si="0"/>
        <v>43831</v>
      </c>
      <c r="C45" s="282">
        <v>5.5160000000000001E-3</v>
      </c>
      <c r="D45" s="115" t="e">
        <f ca="1">_xll.qlYieldTSDiscount($B$25,B45)</f>
        <v>#NUM!</v>
      </c>
      <c r="F45" s="283">
        <v>42604</v>
      </c>
      <c r="G45" s="284">
        <v>0.99863654999999996</v>
      </c>
      <c r="H45" s="177" t="e">
        <f>_xll.qlYieldTSForwardRate($F$25,$F$27,F45,"Actual/365","simple","annual")</f>
        <v>#NUM!</v>
      </c>
      <c r="I45" s="195">
        <f t="shared" si="1"/>
        <v>3.9550691263019761E-3</v>
      </c>
    </row>
    <row r="46" spans="2:23">
      <c r="B46" s="281">
        <f t="shared" ca="1" si="0"/>
        <v>43838</v>
      </c>
      <c r="C46" s="282">
        <v>5.5770000000000004E-3</v>
      </c>
      <c r="D46" s="115" t="e">
        <f ca="1">_xll.qlYieldTSDiscount($B$25,B46)</f>
        <v>#NUM!</v>
      </c>
      <c r="F46" s="283">
        <v>42611</v>
      </c>
      <c r="G46" s="284">
        <v>0.99855126000000005</v>
      </c>
      <c r="H46" s="177" t="e">
        <f>_xll.qlYieldTSForwardRate($F$25,$F$27,F46,"Actual/365","simple","annual")</f>
        <v>#NUM!</v>
      </c>
      <c r="I46" s="195">
        <f t="shared" si="1"/>
        <v>3.9816337656352211E-3</v>
      </c>
    </row>
    <row r="47" spans="2:23">
      <c r="B47" s="281">
        <f t="shared" ca="1" si="0"/>
        <v>43845</v>
      </c>
      <c r="C47" s="282">
        <v>5.6629999999999996E-3</v>
      </c>
      <c r="D47" s="115" t="e">
        <f ca="1">_xll.qlYieldTSDiscount($B$25,B47)</f>
        <v>#NUM!</v>
      </c>
      <c r="F47" s="283">
        <v>42618</v>
      </c>
      <c r="G47" s="284">
        <v>0.99846513999999997</v>
      </c>
      <c r="H47" s="177" t="e">
        <f>_xll.qlYieldTSForwardRate($F$25,$F$27,F47,"Actual/365","simple","annual")</f>
        <v>#NUM!</v>
      </c>
      <c r="I47" s="195">
        <f t="shared" si="1"/>
        <v>4.00775062183353E-3</v>
      </c>
    </row>
    <row r="48" spans="2:23">
      <c r="B48" s="281">
        <f t="shared" ca="1" si="0"/>
        <v>43852</v>
      </c>
      <c r="C48" s="282">
        <v>5.7479999999999996E-3</v>
      </c>
      <c r="D48" s="115" t="e">
        <f ca="1">_xll.qlYieldTSDiscount($B$25,B48)</f>
        <v>#NUM!</v>
      </c>
      <c r="F48" s="283">
        <v>42625</v>
      </c>
      <c r="G48" s="284">
        <v>0.99837796000000001</v>
      </c>
      <c r="H48" s="177" t="e">
        <f>_xll.qlYieldTSForwardRate($F$25,$F$27,F48,"Actual/365","simple","annual")</f>
        <v>#NUM!</v>
      </c>
      <c r="I48" s="195">
        <f t="shared" si="1"/>
        <v>4.034057688647669E-3</v>
      </c>
    </row>
    <row r="49" spans="2:9">
      <c r="B49" s="281">
        <f t="shared" ca="1" si="0"/>
        <v>43859</v>
      </c>
      <c r="C49" s="282">
        <v>5.8259999999999996E-3</v>
      </c>
      <c r="D49" s="115" t="e">
        <f ca="1">_xll.qlYieldTSDiscount($B$25,B49)</f>
        <v>#NUM!</v>
      </c>
      <c r="F49" s="283">
        <v>42632</v>
      </c>
      <c r="G49" s="284">
        <v>0.99828949</v>
      </c>
      <c r="H49" s="177" t="e">
        <f>_xll.qlYieldTSForwardRate($F$25,$F$27,F49,"Actual/365","simple","annual")</f>
        <v>#NUM!</v>
      </c>
      <c r="I49" s="195">
        <f t="shared" si="1"/>
        <v>4.0610773575867091E-3</v>
      </c>
    </row>
    <row r="50" spans="2:9">
      <c r="B50" s="281">
        <f t="shared" ca="1" si="0"/>
        <v>43866</v>
      </c>
      <c r="C50" s="282">
        <v>5.9030000000000003E-3</v>
      </c>
      <c r="D50" s="115" t="e">
        <f ca="1">_xll.qlYieldTSDiscount($B$25,B50)</f>
        <v>#NUM!</v>
      </c>
      <c r="F50" s="283">
        <v>42639</v>
      </c>
      <c r="G50" s="284">
        <v>0.99819966000000004</v>
      </c>
      <c r="H50" s="177" t="e">
        <f>_xll.qlYieldTSForwardRate($F$25,$F$27,F50,"Actual/365","simple","annual")</f>
        <v>#NUM!</v>
      </c>
      <c r="I50" s="195">
        <f t="shared" si="1"/>
        <v>4.0888775188206447E-3</v>
      </c>
    </row>
    <row r="51" spans="2:9">
      <c r="B51" s="281">
        <f t="shared" ca="1" si="0"/>
        <v>43873</v>
      </c>
      <c r="C51" s="282">
        <v>6.0029999999999997E-3</v>
      </c>
      <c r="D51" s="115" t="e">
        <f ca="1">_xll.qlYieldTSDiscount($B$25,B51)</f>
        <v>#NUM!</v>
      </c>
      <c r="F51" s="283">
        <v>42646</v>
      </c>
      <c r="G51" s="284">
        <v>0.99810825000000003</v>
      </c>
      <c r="H51" s="195" t="e">
        <f>_xll.qlYieldTSForwardRate($F$25,$F$27,F51,"Actual/365","simple","annual")</f>
        <v>#NUM!</v>
      </c>
      <c r="I51" s="195">
        <f t="shared" si="1"/>
        <v>4.1178420109575882E-3</v>
      </c>
    </row>
    <row r="52" spans="2:9">
      <c r="B52" s="281">
        <f t="shared" ca="1" si="0"/>
        <v>43880</v>
      </c>
      <c r="C52" s="282">
        <v>6.071E-3</v>
      </c>
      <c r="D52" s="115" t="e">
        <f ca="1">_xll.qlYieldTSDiscount($B$25,B52)</f>
        <v>#NUM!</v>
      </c>
      <c r="F52" s="283">
        <v>42653</v>
      </c>
      <c r="G52" s="284">
        <v>0.99801574999999998</v>
      </c>
      <c r="H52" s="195" t="e">
        <f>_xll.qlYieldTSForwardRate($F$25,$F$27,F52,"Actual/365","simple","annual")</f>
        <v>#NUM!</v>
      </c>
      <c r="I52" s="195"/>
    </row>
    <row r="53" spans="2:9">
      <c r="B53" s="281">
        <f t="shared" ca="1" si="0"/>
        <v>43887</v>
      </c>
      <c r="C53" s="282">
        <v>6.1180000000000002E-3</v>
      </c>
      <c r="D53" s="115" t="e">
        <f ca="1">_xll.qlYieldTSDiscount($B$25,B53)</f>
        <v>#NUM!</v>
      </c>
      <c r="F53" s="283">
        <v>42660</v>
      </c>
      <c r="G53" s="284">
        <v>0.99792291</v>
      </c>
      <c r="H53" s="195" t="e">
        <f>_xll.qlYieldTSForwardRate($F$25,$F$27,F53,"Actual/365","simple","annual")</f>
        <v>#NUM!</v>
      </c>
    </row>
    <row r="54" spans="2:9">
      <c r="B54" s="281">
        <f t="shared" ca="1" si="0"/>
        <v>43894</v>
      </c>
      <c r="C54" s="282">
        <v>6.1409999999999998E-3</v>
      </c>
      <c r="D54" s="115" t="e">
        <f ca="1">_xll.qlYieldTSDiscount($B$25,B54)</f>
        <v>#NUM!</v>
      </c>
      <c r="F54" s="283">
        <v>42667</v>
      </c>
      <c r="G54" s="284">
        <v>0.99782983000000003</v>
      </c>
      <c r="H54" s="195" t="e">
        <f>_xll.qlYieldTSForwardRate($F$25,$F$27,F54,"Actual/365","simple","annual")</f>
        <v>#NUM!</v>
      </c>
    </row>
    <row r="55" spans="2:9">
      <c r="B55" s="281">
        <f t="shared" ca="1" si="0"/>
        <v>43901</v>
      </c>
      <c r="C55" s="282">
        <v>6.1380000000000002E-3</v>
      </c>
      <c r="D55" s="115" t="e">
        <f ca="1">_xll.qlYieldTSDiscount($B$25,B55)</f>
        <v>#NUM!</v>
      </c>
      <c r="F55" s="283">
        <v>42674</v>
      </c>
      <c r="G55" s="284">
        <v>0.99773603</v>
      </c>
      <c r="H55" s="195" t="e">
        <f>_xll.qlYieldTSForwardRate($F$25,$F$27,F55,"Actual/365","simple","annual")</f>
        <v>#NUM!</v>
      </c>
    </row>
    <row r="56" spans="2:9">
      <c r="B56" s="281">
        <f t="shared" ca="1" si="0"/>
        <v>43908</v>
      </c>
      <c r="C56" s="282">
        <v>6.1110000000000001E-3</v>
      </c>
      <c r="D56" s="115" t="e">
        <f ca="1">_xll.qlYieldTSDiscount($B$25,B56)</f>
        <v>#NUM!</v>
      </c>
      <c r="F56" s="283">
        <v>42681</v>
      </c>
      <c r="G56" s="284">
        <v>0.99764158999999997</v>
      </c>
      <c r="H56" s="195" t="e">
        <f>_xll.qlYieldTSForwardRate($F$25,$F$27,F56,"Actual/365","simple","annual")</f>
        <v>#NUM!</v>
      </c>
    </row>
    <row r="57" spans="2:9">
      <c r="B57" s="281">
        <f t="shared" ca="1" si="0"/>
        <v>43915</v>
      </c>
      <c r="C57" s="282">
        <v>6.1120000000000002E-3</v>
      </c>
      <c r="D57" s="115" t="e">
        <f ca="1">_xll.qlYieldTSDiscount($B$25,B57)</f>
        <v>#NUM!</v>
      </c>
      <c r="F57" s="283">
        <v>42688</v>
      </c>
      <c r="G57" s="284">
        <v>0.99754692</v>
      </c>
      <c r="H57" s="195" t="e">
        <f>_xll.qlYieldTSForwardRate($F$25,$F$27,F57,"Actual/365","simple","annual")</f>
        <v>#NUM!</v>
      </c>
    </row>
    <row r="58" spans="2:9">
      <c r="B58" s="281">
        <f t="shared" ca="1" si="0"/>
        <v>43922</v>
      </c>
      <c r="C58" s="282">
        <v>6.1570000000000001E-3</v>
      </c>
      <c r="D58" s="115" t="e">
        <f ca="1">_xll.qlYieldTSDiscount($B$25,B58)</f>
        <v>#NUM!</v>
      </c>
      <c r="F58" s="283">
        <v>42695</v>
      </c>
      <c r="G58" s="284">
        <v>0.99745229000000002</v>
      </c>
      <c r="H58" s="195" t="e">
        <f>_xll.qlYieldTSForwardRate($F$25,$F$27,F58,"Actual/365","simple","annual")</f>
        <v>#NUM!</v>
      </c>
    </row>
    <row r="59" spans="2:9">
      <c r="B59" s="281">
        <f t="shared" ca="1" si="0"/>
        <v>43929</v>
      </c>
      <c r="C59" s="282">
        <v>6.2430000000000003E-3</v>
      </c>
      <c r="D59" s="115" t="e">
        <f ca="1">_xll.qlYieldTSDiscount($B$25,B59)</f>
        <v>#NUM!</v>
      </c>
      <c r="F59" s="283">
        <v>42702</v>
      </c>
      <c r="G59" s="284">
        <v>0.99735790999999996</v>
      </c>
      <c r="H59" s="195" t="e">
        <f>_xll.qlYieldTSForwardRate($F$25,$F$27,F59,"Actual/365","simple","annual")</f>
        <v>#NUM!</v>
      </c>
    </row>
    <row r="60" spans="2:9">
      <c r="B60" s="281">
        <f t="shared" ca="1" si="0"/>
        <v>43936</v>
      </c>
      <c r="C60" s="282">
        <v>6.3899999999999998E-3</v>
      </c>
      <c r="D60" s="115" t="e">
        <f ca="1">_xll.qlYieldTSDiscount($B$25,B60)</f>
        <v>#NUM!</v>
      </c>
      <c r="F60" s="283">
        <v>42709</v>
      </c>
      <c r="G60" s="284">
        <v>0.99726420000000005</v>
      </c>
      <c r="H60" s="195" t="e">
        <f>_xll.qlYieldTSForwardRate($F$25,$F$27,F60,"Actual/365","simple","annual")</f>
        <v>#NUM!</v>
      </c>
    </row>
    <row r="61" spans="2:9">
      <c r="B61" s="281">
        <f t="shared" ca="1" si="0"/>
        <v>43943</v>
      </c>
      <c r="C61" s="282">
        <v>6.4989999999999996E-3</v>
      </c>
      <c r="D61" s="115" t="e">
        <f ca="1">_xll.qlYieldTSDiscount($B$25,B61)</f>
        <v>#NUM!</v>
      </c>
      <c r="F61" s="283">
        <v>42716</v>
      </c>
      <c r="G61" s="284">
        <v>0.99716969</v>
      </c>
      <c r="H61" s="195" t="e">
        <f>_xll.qlYieldTSForwardRate($F$25,$F$27,F61,"Actual/365","simple","annual")</f>
        <v>#NUM!</v>
      </c>
    </row>
    <row r="62" spans="2:9">
      <c r="B62" s="281">
        <f t="shared" ca="1" si="0"/>
        <v>43950</v>
      </c>
      <c r="C62" s="282">
        <v>6.5659999999999998E-3</v>
      </c>
      <c r="D62" s="115" t="e">
        <f ca="1">_xll.qlYieldTSDiscount($B$25,B62)</f>
        <v>#NUM!</v>
      </c>
      <c r="F62" s="283">
        <v>42723</v>
      </c>
      <c r="G62" s="284">
        <v>0.99707272999999996</v>
      </c>
      <c r="H62" s="195" t="e">
        <f>_xll.qlYieldTSForwardRate($F$25,$F$27,F62,"Actual/365","simple","annual")</f>
        <v>#NUM!</v>
      </c>
    </row>
    <row r="63" spans="2:9">
      <c r="B63" s="281">
        <f t="shared" ca="1" si="0"/>
        <v>43957</v>
      </c>
      <c r="C63" s="282">
        <v>6.6160000000000004E-3</v>
      </c>
      <c r="D63" s="115" t="e">
        <f ca="1">_xll.qlYieldTSDiscount($B$25,B63)</f>
        <v>#NUM!</v>
      </c>
      <c r="F63" s="283">
        <v>42730</v>
      </c>
      <c r="G63" s="284">
        <v>0.99697343999999999</v>
      </c>
      <c r="H63" s="195" t="e">
        <f>_xll.qlYieldTSForwardRate($F$25,$F$27,F63,"Actual/365","simple","annual")</f>
        <v>#NUM!</v>
      </c>
    </row>
    <row r="64" spans="2:9">
      <c r="B64" s="281">
        <f t="shared" ca="1" si="0"/>
        <v>43964</v>
      </c>
      <c r="C64" s="282">
        <v>6.6350000000000003E-3</v>
      </c>
      <c r="D64" s="115" t="e">
        <f ca="1">_xll.qlYieldTSDiscount($B$25,B64)</f>
        <v>#NUM!</v>
      </c>
      <c r="F64" s="283">
        <v>42737</v>
      </c>
      <c r="G64" s="284">
        <v>0.99687188000000004</v>
      </c>
      <c r="H64" s="195" t="e">
        <f>_xll.qlYieldTSForwardRate($F$25,$F$27,F64,"Actual/365","simple","annual")</f>
        <v>#NUM!</v>
      </c>
    </row>
    <row r="65" spans="2:8">
      <c r="B65" s="281">
        <f t="shared" ca="1" si="0"/>
        <v>43971</v>
      </c>
      <c r="C65" s="282">
        <v>6.6519999999999999E-3</v>
      </c>
      <c r="D65" s="115" t="e">
        <f ca="1">_xll.qlYieldTSDiscount($B$25,B65)</f>
        <v>#NUM!</v>
      </c>
      <c r="F65" s="283">
        <v>42744</v>
      </c>
      <c r="G65" s="284">
        <v>0.99676867999999996</v>
      </c>
      <c r="H65" s="195" t="e">
        <f>_xll.qlYieldTSForwardRate($F$25,$F$27,F65,"Actual/365","simple","annual")</f>
        <v>#NUM!</v>
      </c>
    </row>
    <row r="66" spans="2:8">
      <c r="B66" s="281">
        <f t="shared" ca="1" si="0"/>
        <v>43978</v>
      </c>
      <c r="C66" s="282">
        <v>6.6899999999999998E-3</v>
      </c>
      <c r="D66" s="115" t="e">
        <f ca="1">_xll.qlYieldTSDiscount($B$25,B66)</f>
        <v>#NUM!</v>
      </c>
      <c r="F66" s="283">
        <v>42751</v>
      </c>
      <c r="G66" s="284">
        <v>0.99666491000000001</v>
      </c>
      <c r="H66" s="195" t="e">
        <f>_xll.qlYieldTSForwardRate($F$25,$F$27,F66,"Actual/365","simple","annual")</f>
        <v>#NUM!</v>
      </c>
    </row>
    <row r="67" spans="2:8">
      <c r="B67" s="281">
        <f t="shared" ca="1" si="0"/>
        <v>43985</v>
      </c>
      <c r="C67" s="282">
        <v>6.7359999999999998E-3</v>
      </c>
      <c r="D67" s="115" t="e">
        <f ca="1">_xll.qlYieldTSDiscount($B$25,B67)</f>
        <v>#NUM!</v>
      </c>
      <c r="F67" s="283">
        <v>42758</v>
      </c>
      <c r="G67" s="284">
        <v>0.99656082000000001</v>
      </c>
      <c r="H67" s="195" t="e">
        <f>_xll.qlYieldTSForwardRate($F$25,$F$27,F67,"Actual/365","simple","annual")</f>
        <v>#NUM!</v>
      </c>
    </row>
    <row r="68" spans="2:8">
      <c r="B68" s="285">
        <f t="shared" ca="1" si="0"/>
        <v>43992</v>
      </c>
      <c r="C68" s="282">
        <v>6.7730000000000004E-3</v>
      </c>
      <c r="D68" s="115" t="e">
        <f ca="1">_xll.qlYieldTSDiscount($B$25,B68)</f>
        <v>#NUM!</v>
      </c>
      <c r="F68" s="283">
        <v>42765</v>
      </c>
      <c r="G68" s="284">
        <v>0.99645570999999999</v>
      </c>
      <c r="H68" s="195" t="e">
        <f>_xll.qlYieldTSForwardRate($F$25,$F$27,F68,"Actual/365","simple","annual")</f>
        <v>#NUM!</v>
      </c>
    </row>
    <row r="69" spans="2:8">
      <c r="B69" s="281">
        <f t="shared" ca="1" si="0"/>
        <v>43999</v>
      </c>
      <c r="C69" s="282">
        <v>6.8519999999999996E-3</v>
      </c>
      <c r="D69" s="115" t="e">
        <f ca="1">_xll.qlYieldTSDiscount($B$25,B69)</f>
        <v>#NUM!</v>
      </c>
      <c r="F69" s="283">
        <v>42772</v>
      </c>
      <c r="G69" s="284">
        <v>0.99634955000000003</v>
      </c>
      <c r="H69" s="195" t="e">
        <f>_xll.qlYieldTSForwardRate($F$25,$F$27,F69,"Actual/365","simple","annual")</f>
        <v>#NUM!</v>
      </c>
    </row>
    <row r="70" spans="2:8">
      <c r="B70" s="281">
        <f t="shared" ca="1" si="0"/>
        <v>44006</v>
      </c>
      <c r="C70" s="282">
        <v>6.9150000000000001E-3</v>
      </c>
      <c r="D70" s="115" t="e">
        <f ca="1">_xll.qlYieldTSDiscount($B$25,B70)</f>
        <v>#NUM!</v>
      </c>
      <c r="F70" s="283">
        <v>42779</v>
      </c>
      <c r="G70" s="284">
        <v>0.99624301000000004</v>
      </c>
      <c r="H70" s="195" t="e">
        <f>_xll.qlYieldTSForwardRate($F$25,$F$27,F70,"Actual/365","simple","annual")</f>
        <v>#NUM!</v>
      </c>
    </row>
    <row r="71" spans="2:8">
      <c r="B71" s="281">
        <f t="shared" ca="1" si="0"/>
        <v>44013</v>
      </c>
      <c r="C71" s="282">
        <v>6.9420000000000003E-3</v>
      </c>
      <c r="D71" s="115" t="e">
        <f ca="1">_xll.qlYieldTSDiscount($B$25,B71)</f>
        <v>#NUM!</v>
      </c>
      <c r="F71" s="283">
        <v>42786</v>
      </c>
      <c r="G71" s="284">
        <v>0.99613664999999996</v>
      </c>
      <c r="H71" s="195" t="e">
        <f>_xll.qlYieldTSForwardRate($F$25,$F$27,F71,"Actual/365","simple","annual")</f>
        <v>#NUM!</v>
      </c>
    </row>
    <row r="72" spans="2:8">
      <c r="B72" s="281">
        <f t="shared" ca="1" si="0"/>
        <v>44020</v>
      </c>
      <c r="C72" s="282">
        <v>6.914E-3</v>
      </c>
      <c r="F72" s="283">
        <v>42793</v>
      </c>
      <c r="G72" s="284">
        <v>0.99603036</v>
      </c>
    </row>
    <row r="73" spans="2:8">
      <c r="B73" s="281">
        <f t="shared" ca="1" si="0"/>
        <v>44027</v>
      </c>
      <c r="C73" s="282">
        <v>6.8760000000000002E-3</v>
      </c>
      <c r="F73" s="283">
        <v>42800</v>
      </c>
      <c r="G73" s="284">
        <v>0.99592417</v>
      </c>
    </row>
    <row r="74" spans="2:8">
      <c r="B74" s="281">
        <f t="shared" ca="1" si="0"/>
        <v>44034</v>
      </c>
      <c r="C74" s="282">
        <v>6.8599999999999998E-3</v>
      </c>
      <c r="F74" s="283">
        <v>42807</v>
      </c>
      <c r="G74" s="284">
        <v>0.99581759999999997</v>
      </c>
    </row>
    <row r="75" spans="2:8">
      <c r="B75" s="281">
        <f t="shared" ca="1" si="0"/>
        <v>44041</v>
      </c>
      <c r="C75" s="282">
        <v>6.8719999999999996E-3</v>
      </c>
      <c r="F75" s="283">
        <v>42814</v>
      </c>
      <c r="G75" s="284">
        <v>0.99571010999999998</v>
      </c>
    </row>
    <row r="76" spans="2:8">
      <c r="B76" s="281">
        <f t="shared" ca="1" si="0"/>
        <v>44048</v>
      </c>
      <c r="C76" s="282">
        <v>6.8979999999999996E-3</v>
      </c>
      <c r="F76" s="283">
        <v>42821</v>
      </c>
      <c r="G76" s="284">
        <v>0.99560179999999998</v>
      </c>
    </row>
    <row r="77" spans="2:8">
      <c r="B77" s="281">
        <f t="shared" ca="1" si="0"/>
        <v>44055</v>
      </c>
      <c r="C77" s="282">
        <v>6.9670000000000001E-3</v>
      </c>
      <c r="F77" s="283">
        <v>42828</v>
      </c>
      <c r="G77" s="284">
        <v>0.99549273000000005</v>
      </c>
    </row>
    <row r="78" spans="2:8">
      <c r="B78" s="281">
        <f t="shared" ca="1" si="0"/>
        <v>44062</v>
      </c>
      <c r="C78" s="282">
        <v>7.0479999999999996E-3</v>
      </c>
      <c r="F78" s="283">
        <v>42835</v>
      </c>
      <c r="G78" s="284">
        <v>0.99538302999999995</v>
      </c>
    </row>
    <row r="79" spans="2:8">
      <c r="B79" s="281">
        <f t="shared" ca="1" si="0"/>
        <v>44069</v>
      </c>
      <c r="C79" s="282">
        <v>7.1240000000000001E-3</v>
      </c>
      <c r="F79" s="283">
        <v>42842</v>
      </c>
      <c r="G79" s="284">
        <v>0.99527281999999995</v>
      </c>
    </row>
    <row r="80" spans="2:8">
      <c r="B80" s="281">
        <f t="shared" ca="1" si="0"/>
        <v>44076</v>
      </c>
      <c r="C80" s="282">
        <v>7.1970000000000003E-3</v>
      </c>
      <c r="F80" s="283">
        <v>42849</v>
      </c>
      <c r="G80" s="284">
        <v>0.99516212000000004</v>
      </c>
    </row>
    <row r="81" spans="2:7">
      <c r="B81" s="281">
        <f t="shared" ca="1" si="0"/>
        <v>44083</v>
      </c>
      <c r="C81" s="282">
        <v>7.2810000000000001E-3</v>
      </c>
      <c r="F81" s="283">
        <v>42856</v>
      </c>
      <c r="G81" s="284">
        <v>0.99505085999999998</v>
      </c>
    </row>
    <row r="82" spans="2:7">
      <c r="B82" s="281">
        <f t="shared" ca="1" si="0"/>
        <v>44090</v>
      </c>
      <c r="C82" s="282">
        <v>7.3419999999999996E-3</v>
      </c>
      <c r="F82" s="283">
        <v>42863</v>
      </c>
      <c r="G82" s="284">
        <v>0.99493900999999996</v>
      </c>
    </row>
    <row r="83" spans="2:7">
      <c r="B83" s="281">
        <f t="shared" ca="1" si="0"/>
        <v>44097</v>
      </c>
      <c r="C83" s="282">
        <v>7.3930000000000003E-3</v>
      </c>
      <c r="F83" s="283">
        <v>42870</v>
      </c>
      <c r="G83" s="284">
        <v>0.99482658000000002</v>
      </c>
    </row>
    <row r="84" spans="2:7">
      <c r="B84" s="281">
        <f t="shared" ca="1" si="0"/>
        <v>44104</v>
      </c>
      <c r="C84" s="282">
        <v>7.4330000000000004E-3</v>
      </c>
      <c r="F84" s="283">
        <v>42877</v>
      </c>
      <c r="G84" s="284">
        <v>0.99471357000000005</v>
      </c>
    </row>
    <row r="85" spans="2:7">
      <c r="B85" s="281">
        <f t="shared" ca="1" si="0"/>
        <v>44111</v>
      </c>
      <c r="C85" s="282">
        <v>7.4580000000000002E-3</v>
      </c>
      <c r="F85" s="283">
        <v>42884</v>
      </c>
      <c r="G85" s="284">
        <v>0.99460000000000004</v>
      </c>
    </row>
    <row r="86" spans="2:7">
      <c r="B86" s="281">
        <f t="shared" ca="1" si="0"/>
        <v>44118</v>
      </c>
      <c r="C86" s="282">
        <v>7.4790000000000004E-3</v>
      </c>
      <c r="F86" s="283">
        <v>42891</v>
      </c>
      <c r="G86" s="284">
        <v>0.99448588999999998</v>
      </c>
    </row>
    <row r="87" spans="2:7">
      <c r="B87" s="281">
        <f t="shared" ca="1" si="0"/>
        <v>44125</v>
      </c>
      <c r="C87" s="282">
        <v>7.4929999999999997E-3</v>
      </c>
      <c r="F87" s="283">
        <v>42898</v>
      </c>
      <c r="G87" s="284">
        <v>0.99437125000000004</v>
      </c>
    </row>
    <row r="88" spans="2:7">
      <c r="B88" s="281">
        <f t="shared" ca="1" si="0"/>
        <v>44132</v>
      </c>
      <c r="C88" s="282">
        <v>7.5040000000000003E-3</v>
      </c>
      <c r="F88" s="283">
        <v>42905</v>
      </c>
      <c r="G88" s="284">
        <v>0.99425611999999997</v>
      </c>
    </row>
    <row r="89" spans="2:7">
      <c r="B89" s="281">
        <f t="shared" ca="1" si="0"/>
        <v>44139</v>
      </c>
      <c r="C89" s="282">
        <v>7.5180000000000004E-3</v>
      </c>
      <c r="F89" s="283">
        <v>42912</v>
      </c>
      <c r="G89" s="284">
        <v>0.99414051999999997</v>
      </c>
    </row>
    <row r="90" spans="2:7">
      <c r="B90" s="281">
        <f t="shared" ca="1" si="0"/>
        <v>44146</v>
      </c>
      <c r="C90" s="282">
        <v>7.5399999999999998E-3</v>
      </c>
      <c r="F90" s="283">
        <v>42919</v>
      </c>
      <c r="G90" s="284">
        <v>0.99402444999999995</v>
      </c>
    </row>
    <row r="91" spans="2:7">
      <c r="B91" s="281">
        <f t="shared" ca="1" si="0"/>
        <v>44153</v>
      </c>
      <c r="C91" s="282">
        <v>7.5599999999999999E-3</v>
      </c>
      <c r="F91" s="283">
        <v>42926</v>
      </c>
      <c r="G91" s="284">
        <v>0.99390794000000005</v>
      </c>
    </row>
    <row r="92" spans="2:7">
      <c r="B92" s="281">
        <f t="shared" ref="B92:B155" ca="1" si="2">B91+$A$28</f>
        <v>44160</v>
      </c>
      <c r="C92" s="282">
        <v>7.5810000000000001E-3</v>
      </c>
      <c r="F92" s="283">
        <v>42933</v>
      </c>
      <c r="G92" s="284">
        <v>0.99379096</v>
      </c>
    </row>
    <row r="93" spans="2:7">
      <c r="B93" s="281">
        <f t="shared" ca="1" si="2"/>
        <v>44167</v>
      </c>
      <c r="C93" s="282">
        <v>7.6049999999999998E-3</v>
      </c>
      <c r="F93" s="283">
        <v>42940</v>
      </c>
      <c r="G93" s="284">
        <v>0.99367349999999999</v>
      </c>
    </row>
    <row r="94" spans="2:7">
      <c r="B94" s="281">
        <f t="shared" ca="1" si="2"/>
        <v>44174</v>
      </c>
      <c r="C94" s="282">
        <v>7.6280000000000002E-3</v>
      </c>
      <c r="F94" s="283">
        <v>42947</v>
      </c>
      <c r="G94" s="284">
        <v>0.99355557000000005</v>
      </c>
    </row>
    <row r="95" spans="2:7">
      <c r="B95" s="281">
        <f t="shared" ca="1" si="2"/>
        <v>44181</v>
      </c>
      <c r="C95" s="282">
        <v>7.6519999999999999E-3</v>
      </c>
      <c r="F95" s="283">
        <v>42954</v>
      </c>
      <c r="G95" s="284">
        <v>0.99343720999999996</v>
      </c>
    </row>
    <row r="96" spans="2:7">
      <c r="B96" s="281">
        <f t="shared" ca="1" si="2"/>
        <v>44188</v>
      </c>
      <c r="C96" s="282">
        <v>7.6819999999999996E-3</v>
      </c>
      <c r="F96" s="283">
        <v>42961</v>
      </c>
      <c r="G96" s="284">
        <v>0.99331840999999998</v>
      </c>
    </row>
    <row r="97" spans="2:7">
      <c r="B97" s="281">
        <f t="shared" ca="1" si="2"/>
        <v>44195</v>
      </c>
      <c r="C97" s="282">
        <v>7.7159999999999998E-3</v>
      </c>
      <c r="F97" s="283">
        <v>42968</v>
      </c>
      <c r="G97" s="284">
        <v>0.99319917000000002</v>
      </c>
    </row>
    <row r="98" spans="2:7">
      <c r="B98" s="281">
        <f t="shared" ca="1" si="2"/>
        <v>44202</v>
      </c>
      <c r="C98" s="282">
        <v>7.7460000000000003E-3</v>
      </c>
      <c r="F98" s="283">
        <v>42975</v>
      </c>
      <c r="G98" s="284">
        <v>0.99307946999999996</v>
      </c>
    </row>
    <row r="99" spans="2:7">
      <c r="B99" s="281">
        <f t="shared" ca="1" si="2"/>
        <v>44209</v>
      </c>
      <c r="C99" s="282">
        <v>7.7879999999999998E-3</v>
      </c>
      <c r="F99" s="283">
        <v>42982</v>
      </c>
      <c r="G99" s="284">
        <v>0.99295926999999995</v>
      </c>
    </row>
    <row r="100" spans="2:7">
      <c r="B100" s="281">
        <f t="shared" ca="1" si="2"/>
        <v>44216</v>
      </c>
      <c r="C100" s="282">
        <v>7.8329999999999997E-3</v>
      </c>
      <c r="F100" s="283">
        <v>42989</v>
      </c>
      <c r="G100" s="284">
        <v>0.99283853</v>
      </c>
    </row>
    <row r="101" spans="2:7">
      <c r="B101" s="281">
        <f t="shared" ca="1" si="2"/>
        <v>44223</v>
      </c>
      <c r="C101" s="282">
        <v>7.8799999999999999E-3</v>
      </c>
      <c r="F101" s="283">
        <v>42996</v>
      </c>
      <c r="G101" s="284">
        <v>0.99271723000000001</v>
      </c>
    </row>
    <row r="102" spans="2:7">
      <c r="B102" s="281">
        <f t="shared" ca="1" si="2"/>
        <v>44230</v>
      </c>
      <c r="C102" s="282">
        <v>7.9249999999999998E-3</v>
      </c>
      <c r="F102" s="283">
        <v>43003</v>
      </c>
      <c r="G102" s="284">
        <v>0.99259531999999995</v>
      </c>
    </row>
    <row r="103" spans="2:7">
      <c r="B103" s="281">
        <f t="shared" ca="1" si="2"/>
        <v>44237</v>
      </c>
      <c r="C103" s="282">
        <v>7.9780000000000007E-3</v>
      </c>
      <c r="F103" s="283">
        <v>43010</v>
      </c>
      <c r="G103" s="284">
        <v>0.99247280000000004</v>
      </c>
    </row>
    <row r="104" spans="2:7">
      <c r="B104" s="281">
        <f t="shared" ca="1" si="2"/>
        <v>44244</v>
      </c>
      <c r="C104" s="282">
        <v>8.0190000000000001E-3</v>
      </c>
      <c r="F104" s="283">
        <v>43017</v>
      </c>
      <c r="G104" s="284">
        <v>0.99234964000000003</v>
      </c>
    </row>
    <row r="105" spans="2:7">
      <c r="B105" s="281">
        <f t="shared" ca="1" si="2"/>
        <v>44251</v>
      </c>
      <c r="C105" s="282">
        <v>8.0579999999999992E-3</v>
      </c>
      <c r="F105" s="283">
        <v>43024</v>
      </c>
      <c r="G105" s="284">
        <v>0.99222584999999996</v>
      </c>
    </row>
    <row r="106" spans="2:7">
      <c r="B106" s="281">
        <f t="shared" ca="1" si="2"/>
        <v>44258</v>
      </c>
      <c r="C106" s="282">
        <v>8.097E-3</v>
      </c>
      <c r="F106" s="283">
        <v>43031</v>
      </c>
      <c r="G106" s="284">
        <v>0.99210147000000004</v>
      </c>
    </row>
    <row r="107" spans="2:7">
      <c r="B107" s="281">
        <f t="shared" ca="1" si="2"/>
        <v>44265</v>
      </c>
      <c r="C107" s="282">
        <v>8.1259999999999995E-3</v>
      </c>
      <c r="F107" s="283">
        <v>43038</v>
      </c>
      <c r="G107" s="284">
        <v>0.99197656000000001</v>
      </c>
    </row>
    <row r="108" spans="2:7">
      <c r="B108" s="281">
        <f t="shared" ca="1" si="2"/>
        <v>44272</v>
      </c>
      <c r="C108" s="282">
        <v>8.1639999999999994E-3</v>
      </c>
      <c r="F108" s="283">
        <v>43045</v>
      </c>
      <c r="G108" s="284">
        <v>0.99185120999999998</v>
      </c>
    </row>
    <row r="109" spans="2:7">
      <c r="B109" s="281">
        <f t="shared" ca="1" si="2"/>
        <v>44279</v>
      </c>
      <c r="C109" s="282">
        <v>8.2019999999999992E-3</v>
      </c>
      <c r="F109" s="283">
        <v>43052</v>
      </c>
      <c r="G109" s="284">
        <v>0.99172543999999996</v>
      </c>
    </row>
    <row r="110" spans="2:7">
      <c r="B110" s="281">
        <f t="shared" ca="1" si="2"/>
        <v>44286</v>
      </c>
      <c r="C110" s="282">
        <v>8.2410000000000001E-3</v>
      </c>
      <c r="F110" s="283">
        <v>43059</v>
      </c>
      <c r="G110" s="284">
        <v>0.99159923000000005</v>
      </c>
    </row>
    <row r="111" spans="2:7">
      <c r="B111" s="281">
        <f t="shared" ca="1" si="2"/>
        <v>44293</v>
      </c>
      <c r="C111" s="282">
        <v>8.2789999999999999E-3</v>
      </c>
      <c r="F111" s="283">
        <v>43066</v>
      </c>
      <c r="G111" s="284">
        <v>0.99147253999999996</v>
      </c>
    </row>
    <row r="112" spans="2:7">
      <c r="B112" s="281">
        <f t="shared" ca="1" si="2"/>
        <v>44300</v>
      </c>
      <c r="C112" s="282">
        <v>8.3260000000000001E-3</v>
      </c>
      <c r="F112" s="283">
        <v>43073</v>
      </c>
      <c r="G112" s="284">
        <v>0.99134529000000005</v>
      </c>
    </row>
    <row r="113" spans="2:7">
      <c r="B113" s="281">
        <f t="shared" ca="1" si="2"/>
        <v>44307</v>
      </c>
      <c r="C113" s="282">
        <v>8.3680000000000004E-3</v>
      </c>
      <c r="F113" s="283">
        <v>43080</v>
      </c>
      <c r="G113" s="284">
        <v>0.99121738999999998</v>
      </c>
    </row>
    <row r="114" spans="2:7">
      <c r="B114" s="281">
        <f t="shared" ca="1" si="2"/>
        <v>44314</v>
      </c>
      <c r="C114" s="282">
        <v>8.4049999999999993E-3</v>
      </c>
      <c r="F114" s="283">
        <v>43087</v>
      </c>
      <c r="G114" s="284">
        <v>0.99108874999999996</v>
      </c>
    </row>
    <row r="115" spans="2:7">
      <c r="B115" s="281">
        <f t="shared" ca="1" si="2"/>
        <v>44321</v>
      </c>
      <c r="C115" s="282">
        <v>8.4480000000000006E-3</v>
      </c>
      <c r="F115" s="283">
        <v>43094</v>
      </c>
      <c r="G115" s="284">
        <v>0.99095929000000005</v>
      </c>
    </row>
    <row r="116" spans="2:7">
      <c r="B116" s="281">
        <f t="shared" ca="1" si="2"/>
        <v>44328</v>
      </c>
      <c r="C116" s="282">
        <v>8.4860000000000005E-3</v>
      </c>
      <c r="F116" s="283">
        <v>43101</v>
      </c>
      <c r="G116" s="284">
        <v>0.99082895000000004</v>
      </c>
    </row>
    <row r="117" spans="2:7">
      <c r="B117" s="281">
        <f t="shared" ca="1" si="2"/>
        <v>44335</v>
      </c>
      <c r="C117" s="282">
        <v>8.5269999999999999E-3</v>
      </c>
      <c r="F117" s="283">
        <v>43108</v>
      </c>
      <c r="G117" s="284">
        <v>0.99069768999999996</v>
      </c>
    </row>
    <row r="118" spans="2:7">
      <c r="B118" s="281">
        <f t="shared" ca="1" si="2"/>
        <v>44342</v>
      </c>
      <c r="C118" s="282">
        <v>8.5710000000000005E-3</v>
      </c>
      <c r="F118" s="283">
        <v>43115</v>
      </c>
      <c r="G118" s="284">
        <v>0.99056551000000004</v>
      </c>
    </row>
    <row r="119" spans="2:7">
      <c r="B119" s="281">
        <f t="shared" ca="1" si="2"/>
        <v>44349</v>
      </c>
      <c r="C119" s="282">
        <v>8.6099999999999996E-3</v>
      </c>
      <c r="F119" s="283">
        <v>43122</v>
      </c>
      <c r="G119" s="284">
        <v>0.99043245000000002</v>
      </c>
    </row>
    <row r="120" spans="2:7">
      <c r="B120" s="281">
        <f t="shared" ca="1" si="2"/>
        <v>44356</v>
      </c>
      <c r="C120" s="282">
        <v>8.6370000000000006E-3</v>
      </c>
      <c r="F120" s="283">
        <v>43129</v>
      </c>
      <c r="G120" s="284">
        <v>0.99029858999999998</v>
      </c>
    </row>
    <row r="121" spans="2:7">
      <c r="B121" s="281">
        <f t="shared" ca="1" si="2"/>
        <v>44363</v>
      </c>
      <c r="C121" s="282">
        <v>8.6800000000000002E-3</v>
      </c>
      <c r="F121" s="283">
        <v>43136</v>
      </c>
      <c r="G121" s="284">
        <v>0.99016386000000001</v>
      </c>
    </row>
    <row r="122" spans="2:7">
      <c r="B122" s="281">
        <f t="shared" ca="1" si="2"/>
        <v>44370</v>
      </c>
      <c r="C122" s="282">
        <v>8.7229999999999999E-3</v>
      </c>
      <c r="F122" s="283">
        <v>43143</v>
      </c>
      <c r="G122" s="284">
        <v>0.99002825000000005</v>
      </c>
    </row>
    <row r="123" spans="2:7">
      <c r="B123" s="281">
        <f t="shared" ca="1" si="2"/>
        <v>44377</v>
      </c>
      <c r="C123" s="282">
        <v>8.7659999999999995E-3</v>
      </c>
      <c r="F123" s="283">
        <v>43150</v>
      </c>
      <c r="G123" s="284">
        <v>0.98989174000000002</v>
      </c>
    </row>
    <row r="124" spans="2:7">
      <c r="B124" s="281">
        <f t="shared" ca="1" si="2"/>
        <v>44384</v>
      </c>
      <c r="C124" s="282">
        <v>8.8090000000000009E-3</v>
      </c>
      <c r="F124" s="283">
        <v>43157</v>
      </c>
      <c r="G124" s="284">
        <v>0.98975438999999998</v>
      </c>
    </row>
    <row r="125" spans="2:7">
      <c r="B125" s="281">
        <f t="shared" ca="1" si="2"/>
        <v>44391</v>
      </c>
      <c r="C125" s="282">
        <v>8.8690000000000001E-3</v>
      </c>
      <c r="F125" s="283">
        <v>43164</v>
      </c>
      <c r="G125" s="284">
        <v>0.98961624999999998</v>
      </c>
    </row>
    <row r="126" spans="2:7">
      <c r="B126" s="281">
        <f t="shared" ca="1" si="2"/>
        <v>44398</v>
      </c>
      <c r="C126" s="282">
        <v>8.9119999999999998E-3</v>
      </c>
      <c r="F126" s="283">
        <v>43171</v>
      </c>
      <c r="G126" s="284">
        <v>0.98947741</v>
      </c>
    </row>
    <row r="127" spans="2:7">
      <c r="B127" s="281">
        <f t="shared" ca="1" si="2"/>
        <v>44405</v>
      </c>
      <c r="C127" s="282">
        <v>8.9549999999999994E-3</v>
      </c>
      <c r="F127" s="283">
        <v>43178</v>
      </c>
      <c r="G127" s="284">
        <v>0.98933793000000003</v>
      </c>
    </row>
    <row r="128" spans="2:7">
      <c r="B128" s="281">
        <f t="shared" ca="1" si="2"/>
        <v>44412</v>
      </c>
      <c r="C128" s="282">
        <v>8.9980000000000008E-3</v>
      </c>
      <c r="F128" s="283">
        <v>43185</v>
      </c>
      <c r="G128" s="284">
        <v>0.98919787999999997</v>
      </c>
    </row>
    <row r="129" spans="2:7">
      <c r="B129" s="281">
        <f t="shared" ca="1" si="2"/>
        <v>44419</v>
      </c>
      <c r="C129" s="282">
        <v>9.0310000000000008E-3</v>
      </c>
      <c r="F129" s="283">
        <v>43192</v>
      </c>
      <c r="G129" s="284">
        <v>0.98905734000000001</v>
      </c>
    </row>
    <row r="130" spans="2:7">
      <c r="B130" s="281">
        <f t="shared" ca="1" si="2"/>
        <v>44426</v>
      </c>
      <c r="C130" s="282">
        <v>9.0729999999999995E-3</v>
      </c>
      <c r="F130" s="283">
        <v>43199</v>
      </c>
      <c r="G130" s="284">
        <v>0.98891631000000002</v>
      </c>
    </row>
    <row r="131" spans="2:7">
      <c r="B131" s="281">
        <f t="shared" ca="1" si="2"/>
        <v>44433</v>
      </c>
      <c r="C131" s="282">
        <v>9.1140000000000006E-3</v>
      </c>
      <c r="F131" s="283">
        <v>43206</v>
      </c>
      <c r="G131" s="284">
        <v>0.98877477999999996</v>
      </c>
    </row>
    <row r="132" spans="2:7">
      <c r="B132" s="281">
        <f t="shared" ca="1" si="2"/>
        <v>44440</v>
      </c>
      <c r="C132" s="282">
        <v>9.1549999999999999E-3</v>
      </c>
      <c r="F132" s="283">
        <v>43213</v>
      </c>
      <c r="G132" s="284">
        <v>0.98863270999999997</v>
      </c>
    </row>
    <row r="133" spans="2:7">
      <c r="B133" s="281">
        <f t="shared" ca="1" si="2"/>
        <v>44447</v>
      </c>
      <c r="C133" s="282">
        <v>9.2049999999999996E-3</v>
      </c>
      <c r="F133" s="283">
        <v>43220</v>
      </c>
      <c r="G133" s="284">
        <v>0.98849005000000001</v>
      </c>
    </row>
    <row r="134" spans="2:7">
      <c r="B134" s="281">
        <f t="shared" ca="1" si="2"/>
        <v>44454</v>
      </c>
      <c r="C134" s="282">
        <v>9.2449999999999997E-3</v>
      </c>
      <c r="F134" s="283">
        <v>43227</v>
      </c>
      <c r="G134" s="284">
        <v>0.98834677999999998</v>
      </c>
    </row>
    <row r="135" spans="2:7">
      <c r="B135" s="281">
        <f t="shared" ca="1" si="2"/>
        <v>44461</v>
      </c>
      <c r="C135" s="282">
        <v>9.2860000000000009E-3</v>
      </c>
      <c r="F135" s="283">
        <v>43234</v>
      </c>
      <c r="G135" s="284">
        <v>0.98820293000000003</v>
      </c>
    </row>
    <row r="136" spans="2:7">
      <c r="B136" s="281">
        <f t="shared" ca="1" si="2"/>
        <v>44468</v>
      </c>
      <c r="C136" s="282">
        <v>9.3259999999999992E-3</v>
      </c>
      <c r="F136" s="283">
        <v>43241</v>
      </c>
      <c r="G136" s="284">
        <v>0.98805849000000001</v>
      </c>
    </row>
    <row r="137" spans="2:7">
      <c r="B137" s="281">
        <f t="shared" ca="1" si="2"/>
        <v>44475</v>
      </c>
      <c r="C137" s="282">
        <v>9.3570000000000007E-3</v>
      </c>
      <c r="F137" s="283">
        <v>43248</v>
      </c>
      <c r="G137" s="284">
        <v>0.98791348000000001</v>
      </c>
    </row>
    <row r="138" spans="2:7">
      <c r="B138" s="281">
        <f t="shared" ca="1" si="2"/>
        <v>44482</v>
      </c>
      <c r="C138" s="282">
        <v>9.3959999999999998E-3</v>
      </c>
      <c r="F138" s="283">
        <v>43255</v>
      </c>
      <c r="G138" s="284">
        <v>0.98776788000000004</v>
      </c>
    </row>
    <row r="139" spans="2:7">
      <c r="B139" s="281">
        <f t="shared" ca="1" si="2"/>
        <v>44489</v>
      </c>
      <c r="C139" s="282">
        <v>9.4359999999999999E-3</v>
      </c>
      <c r="F139" s="283">
        <v>43262</v>
      </c>
      <c r="G139" s="284">
        <v>0.98762170000000005</v>
      </c>
    </row>
    <row r="140" spans="2:7">
      <c r="B140" s="281">
        <f t="shared" ca="1" si="2"/>
        <v>44496</v>
      </c>
      <c r="C140" s="282">
        <v>9.476E-3</v>
      </c>
      <c r="F140" s="283">
        <v>43269</v>
      </c>
      <c r="G140" s="284">
        <v>0.98747496000000001</v>
      </c>
    </row>
    <row r="141" spans="2:7">
      <c r="B141" s="281">
        <f t="shared" ca="1" si="2"/>
        <v>44503</v>
      </c>
      <c r="C141" s="282">
        <v>9.5160000000000002E-3</v>
      </c>
      <c r="F141" s="283">
        <v>43276</v>
      </c>
      <c r="G141" s="284">
        <v>0.98732763000000001</v>
      </c>
    </row>
    <row r="142" spans="2:7">
      <c r="B142" s="281">
        <f t="shared" ca="1" si="2"/>
        <v>44510</v>
      </c>
      <c r="C142" s="282">
        <v>9.5650000000000006E-3</v>
      </c>
      <c r="F142" s="283">
        <v>43283</v>
      </c>
      <c r="G142" s="284">
        <v>0.98717973999999997</v>
      </c>
    </row>
    <row r="143" spans="2:7">
      <c r="B143" s="281">
        <f t="shared" ca="1" si="2"/>
        <v>44517</v>
      </c>
      <c r="C143" s="282">
        <v>9.6050000000000007E-3</v>
      </c>
      <c r="F143" s="283">
        <v>43290</v>
      </c>
      <c r="G143" s="284">
        <v>0.98703127000000002</v>
      </c>
    </row>
    <row r="144" spans="2:7">
      <c r="B144" s="281">
        <f t="shared" ca="1" si="2"/>
        <v>44524</v>
      </c>
      <c r="C144" s="282">
        <v>9.6450000000000008E-3</v>
      </c>
      <c r="F144" s="283">
        <v>43297</v>
      </c>
      <c r="G144" s="284">
        <v>0.98688222999999997</v>
      </c>
    </row>
    <row r="145" spans="2:7">
      <c r="B145" s="281">
        <f t="shared" ca="1" si="2"/>
        <v>44531</v>
      </c>
      <c r="C145" s="282">
        <v>9.6889999999999997E-3</v>
      </c>
      <c r="F145" s="283">
        <v>43304</v>
      </c>
      <c r="G145" s="284">
        <v>0.98673261999999995</v>
      </c>
    </row>
    <row r="146" spans="2:7">
      <c r="B146" s="281">
        <f t="shared" ca="1" si="2"/>
        <v>44538</v>
      </c>
      <c r="C146" s="282">
        <v>9.7289999999999998E-3</v>
      </c>
      <c r="F146" s="283">
        <v>43311</v>
      </c>
      <c r="G146" s="284">
        <v>0.98658243000000001</v>
      </c>
    </row>
    <row r="147" spans="2:7">
      <c r="B147" s="281">
        <f t="shared" ca="1" si="2"/>
        <v>44545</v>
      </c>
      <c r="C147" s="282">
        <v>9.7669999999999996E-3</v>
      </c>
      <c r="F147" s="283">
        <v>43318</v>
      </c>
      <c r="G147" s="284">
        <v>0.98643166999999998</v>
      </c>
    </row>
    <row r="148" spans="2:7">
      <c r="B148" s="281">
        <f t="shared" ca="1" si="2"/>
        <v>44552</v>
      </c>
      <c r="C148" s="282">
        <v>9.8080000000000007E-3</v>
      </c>
      <c r="F148" s="283">
        <v>43325</v>
      </c>
      <c r="G148" s="284">
        <v>0.98628031999999999</v>
      </c>
    </row>
    <row r="149" spans="2:7">
      <c r="B149" s="281">
        <f t="shared" ca="1" si="2"/>
        <v>44559</v>
      </c>
      <c r="C149" s="282">
        <v>9.8490000000000001E-3</v>
      </c>
      <c r="F149" s="283">
        <v>43332</v>
      </c>
      <c r="G149" s="284">
        <v>0.98612840000000002</v>
      </c>
    </row>
    <row r="150" spans="2:7">
      <c r="B150" s="281">
        <f t="shared" ca="1" si="2"/>
        <v>44566</v>
      </c>
      <c r="C150" s="282">
        <v>9.8820000000000002E-3</v>
      </c>
      <c r="F150" s="283">
        <v>43339</v>
      </c>
      <c r="G150" s="284">
        <v>0.98597588999999997</v>
      </c>
    </row>
    <row r="151" spans="2:7">
      <c r="B151" s="281">
        <f t="shared" ca="1" si="2"/>
        <v>44573</v>
      </c>
      <c r="C151" s="282">
        <v>9.9229999999999995E-3</v>
      </c>
      <c r="F151" s="283">
        <v>43346</v>
      </c>
      <c r="G151" s="284">
        <v>0.9858228</v>
      </c>
    </row>
    <row r="152" spans="2:7">
      <c r="B152" s="281">
        <f t="shared" ca="1" si="2"/>
        <v>44580</v>
      </c>
      <c r="C152" s="282">
        <v>9.9659999999999992E-3</v>
      </c>
      <c r="F152" s="283">
        <v>43353</v>
      </c>
      <c r="G152" s="284">
        <v>0.98566911999999995</v>
      </c>
    </row>
    <row r="153" spans="2:7">
      <c r="B153" s="281">
        <f t="shared" ca="1" si="2"/>
        <v>44587</v>
      </c>
      <c r="C153" s="282">
        <v>1.0008E-2</v>
      </c>
      <c r="F153" s="283">
        <v>43360</v>
      </c>
      <c r="G153" s="284">
        <v>0.98551484</v>
      </c>
    </row>
    <row r="154" spans="2:7">
      <c r="B154" s="281">
        <f t="shared" ca="1" si="2"/>
        <v>44594</v>
      </c>
      <c r="C154" s="282">
        <v>1.0050999999999999E-2</v>
      </c>
      <c r="F154" s="283">
        <v>43367</v>
      </c>
      <c r="G154" s="284">
        <v>0.98535996999999997</v>
      </c>
    </row>
    <row r="155" spans="2:7">
      <c r="B155" s="281">
        <f t="shared" ca="1" si="2"/>
        <v>44601</v>
      </c>
      <c r="C155" s="282">
        <v>1.0102999999999999E-2</v>
      </c>
      <c r="F155" s="283">
        <v>43374</v>
      </c>
      <c r="G155" s="284">
        <v>0.98520450000000004</v>
      </c>
    </row>
    <row r="156" spans="2:7">
      <c r="B156" s="281">
        <f t="shared" ref="B156:B219" ca="1" si="3">B155+$A$28</f>
        <v>44608</v>
      </c>
      <c r="C156" s="282">
        <v>1.0149999999999999E-2</v>
      </c>
      <c r="F156" s="283">
        <v>43381</v>
      </c>
      <c r="G156" s="284">
        <v>0.98504842000000004</v>
      </c>
    </row>
    <row r="157" spans="2:7">
      <c r="B157" s="281">
        <f t="shared" ca="1" si="3"/>
        <v>44615</v>
      </c>
      <c r="C157" s="282">
        <v>1.0189999999999999E-2</v>
      </c>
      <c r="F157" s="283">
        <v>43388</v>
      </c>
      <c r="G157" s="284">
        <v>0.98489174000000002</v>
      </c>
    </row>
    <row r="158" spans="2:7">
      <c r="B158" s="281">
        <f t="shared" ca="1" si="3"/>
        <v>44622</v>
      </c>
      <c r="C158" s="282">
        <v>1.0234E-2</v>
      </c>
      <c r="F158" s="283">
        <v>43395</v>
      </c>
      <c r="G158" s="284">
        <v>0.98473443999999999</v>
      </c>
    </row>
    <row r="159" spans="2:7">
      <c r="B159" s="281">
        <f t="shared" ca="1" si="3"/>
        <v>44629</v>
      </c>
      <c r="C159" s="282">
        <v>1.0269E-2</v>
      </c>
      <c r="F159" s="283">
        <v>43402</v>
      </c>
      <c r="G159" s="284">
        <v>0.98457653000000001</v>
      </c>
    </row>
    <row r="160" spans="2:7">
      <c r="B160" s="281">
        <f t="shared" ca="1" si="3"/>
        <v>44636</v>
      </c>
      <c r="C160" s="282">
        <v>1.0312999999999999E-2</v>
      </c>
      <c r="F160" s="283">
        <v>43409</v>
      </c>
      <c r="G160" s="284">
        <v>0.98441800000000002</v>
      </c>
    </row>
    <row r="161" spans="2:7">
      <c r="B161" s="281">
        <f t="shared" ca="1" si="3"/>
        <v>44643</v>
      </c>
      <c r="C161" s="282">
        <v>1.0357999999999999E-2</v>
      </c>
      <c r="F161" s="283">
        <v>43416</v>
      </c>
      <c r="G161" s="284">
        <v>0.98425885000000002</v>
      </c>
    </row>
    <row r="162" spans="2:7">
      <c r="B162" s="281">
        <f t="shared" ca="1" si="3"/>
        <v>44650</v>
      </c>
      <c r="C162" s="282">
        <v>1.0403000000000001E-2</v>
      </c>
      <c r="F162" s="283">
        <v>43423</v>
      </c>
      <c r="G162" s="284">
        <v>0.98409908000000001</v>
      </c>
    </row>
    <row r="163" spans="2:7">
      <c r="B163" s="281">
        <f t="shared" ca="1" si="3"/>
        <v>44657</v>
      </c>
      <c r="C163" s="282">
        <v>1.0449E-2</v>
      </c>
      <c r="F163" s="283">
        <v>43430</v>
      </c>
      <c r="G163" s="284">
        <v>0.98393867000000002</v>
      </c>
    </row>
    <row r="164" spans="2:7">
      <c r="B164" s="281">
        <f t="shared" ca="1" si="3"/>
        <v>44664</v>
      </c>
      <c r="C164" s="282">
        <v>1.0503999999999999E-2</v>
      </c>
      <c r="F164" s="283">
        <v>43437</v>
      </c>
      <c r="G164" s="284">
        <v>0.98377762999999996</v>
      </c>
    </row>
    <row r="165" spans="2:7">
      <c r="B165" s="281">
        <f t="shared" ca="1" si="3"/>
        <v>44671</v>
      </c>
      <c r="C165" s="282">
        <v>1.055E-2</v>
      </c>
      <c r="F165" s="283">
        <v>43444</v>
      </c>
      <c r="G165" s="284">
        <v>0.98361595000000002</v>
      </c>
    </row>
    <row r="166" spans="2:7">
      <c r="B166" s="281">
        <f t="shared" ca="1" si="3"/>
        <v>44678</v>
      </c>
      <c r="C166" s="282">
        <v>1.06E-2</v>
      </c>
      <c r="F166" s="283">
        <v>43451</v>
      </c>
      <c r="G166" s="284">
        <v>0.98345362999999997</v>
      </c>
    </row>
    <row r="167" spans="2:7">
      <c r="B167" s="281">
        <f t="shared" ca="1" si="3"/>
        <v>44685</v>
      </c>
      <c r="C167" s="282">
        <v>1.0649E-2</v>
      </c>
      <c r="F167" s="283">
        <v>43458</v>
      </c>
      <c r="G167" s="284">
        <v>0.98329067000000003</v>
      </c>
    </row>
    <row r="168" spans="2:7">
      <c r="B168" s="281">
        <f t="shared" ca="1" si="3"/>
        <v>44692</v>
      </c>
      <c r="C168" s="282">
        <v>1.0692E-2</v>
      </c>
      <c r="F168" s="283">
        <v>43465</v>
      </c>
      <c r="G168" s="284">
        <v>0.98312706000000005</v>
      </c>
    </row>
    <row r="169" spans="2:7">
      <c r="B169" s="281">
        <f t="shared" ca="1" si="3"/>
        <v>44699</v>
      </c>
      <c r="C169" s="282">
        <v>1.0736000000000001E-2</v>
      </c>
      <c r="F169" s="283">
        <v>43472</v>
      </c>
      <c r="G169" s="284">
        <v>0.98296280000000003</v>
      </c>
    </row>
    <row r="170" spans="2:7">
      <c r="B170" s="281">
        <f t="shared" ca="1" si="3"/>
        <v>44706</v>
      </c>
      <c r="C170" s="282">
        <v>1.0786E-2</v>
      </c>
      <c r="F170" s="283">
        <v>43479</v>
      </c>
      <c r="G170" s="284">
        <v>0.9827979</v>
      </c>
    </row>
    <row r="171" spans="2:7">
      <c r="B171" s="281">
        <f t="shared" ca="1" si="3"/>
        <v>44713</v>
      </c>
      <c r="C171" s="282">
        <v>1.0829E-2</v>
      </c>
      <c r="F171" s="283">
        <v>43486</v>
      </c>
      <c r="G171" s="284">
        <v>0.98263233999999999</v>
      </c>
    </row>
    <row r="172" spans="2:7">
      <c r="B172" s="281">
        <f t="shared" ca="1" si="3"/>
        <v>44720</v>
      </c>
      <c r="C172" s="282">
        <v>1.0862E-2</v>
      </c>
      <c r="F172" s="283">
        <v>43493</v>
      </c>
      <c r="G172" s="284">
        <v>0.98246613000000005</v>
      </c>
    </row>
    <row r="173" spans="2:7">
      <c r="B173" s="281">
        <f t="shared" ca="1" si="3"/>
        <v>44727</v>
      </c>
      <c r="C173" s="282">
        <v>1.0905E-2</v>
      </c>
      <c r="F173" s="283">
        <v>43500</v>
      </c>
      <c r="G173" s="284">
        <v>0.98229926000000001</v>
      </c>
    </row>
    <row r="174" spans="2:7">
      <c r="B174" s="281">
        <f t="shared" ca="1" si="3"/>
        <v>44734</v>
      </c>
      <c r="C174" s="282">
        <v>1.0951000000000001E-2</v>
      </c>
      <c r="F174" s="283">
        <v>43507</v>
      </c>
      <c r="G174" s="284">
        <v>0.98213174000000003</v>
      </c>
    </row>
    <row r="175" spans="2:7">
      <c r="B175" s="281">
        <f t="shared" ca="1" si="3"/>
        <v>44741</v>
      </c>
      <c r="C175" s="282">
        <v>1.0998000000000001E-2</v>
      </c>
      <c r="F175" s="283">
        <v>43514</v>
      </c>
      <c r="G175" s="284">
        <v>0.98196355999999996</v>
      </c>
    </row>
    <row r="176" spans="2:7">
      <c r="B176" s="281">
        <f t="shared" ca="1" si="3"/>
        <v>44748</v>
      </c>
      <c r="C176" s="282">
        <v>1.1044E-2</v>
      </c>
      <c r="F176" s="283">
        <v>43521</v>
      </c>
      <c r="G176" s="284">
        <v>0.98179472999999995</v>
      </c>
    </row>
    <row r="177" spans="2:7">
      <c r="B177" s="281">
        <f t="shared" ca="1" si="3"/>
        <v>44755</v>
      </c>
      <c r="C177" s="282">
        <v>1.1108E-2</v>
      </c>
      <c r="F177" s="283">
        <v>43528</v>
      </c>
      <c r="G177" s="284">
        <v>0.98162523999999995</v>
      </c>
    </row>
    <row r="178" spans="2:7">
      <c r="B178" s="281">
        <f t="shared" ca="1" si="3"/>
        <v>44762</v>
      </c>
      <c r="C178" s="282">
        <v>1.1154000000000001E-2</v>
      </c>
      <c r="F178" s="283">
        <v>43535</v>
      </c>
      <c r="G178" s="284">
        <v>0.98145510999999996</v>
      </c>
    </row>
    <row r="179" spans="2:7">
      <c r="B179" s="281">
        <f t="shared" ca="1" si="3"/>
        <v>44769</v>
      </c>
      <c r="C179" s="282">
        <v>1.1202999999999999E-2</v>
      </c>
      <c r="F179" s="283">
        <v>43542</v>
      </c>
      <c r="G179" s="284">
        <v>0.98128431999999999</v>
      </c>
    </row>
    <row r="180" spans="2:7">
      <c r="B180" s="281">
        <f t="shared" ca="1" si="3"/>
        <v>44776</v>
      </c>
      <c r="C180" s="282">
        <v>1.1245E-2</v>
      </c>
      <c r="F180" s="283">
        <v>43549</v>
      </c>
      <c r="G180" s="284">
        <v>0.98111287999999997</v>
      </c>
    </row>
    <row r="181" spans="2:7">
      <c r="B181" s="281">
        <f t="shared" ca="1" si="3"/>
        <v>44783</v>
      </c>
      <c r="C181" s="282">
        <v>1.128E-2</v>
      </c>
      <c r="F181" s="283">
        <v>43556</v>
      </c>
      <c r="G181" s="284">
        <v>0.98094079999999995</v>
      </c>
    </row>
    <row r="182" spans="2:7">
      <c r="B182" s="281">
        <f t="shared" ca="1" si="3"/>
        <v>44790</v>
      </c>
      <c r="C182" s="282">
        <v>1.1325E-2</v>
      </c>
      <c r="F182" s="283">
        <v>43563</v>
      </c>
      <c r="G182" s="284">
        <v>0.98076808000000004</v>
      </c>
    </row>
    <row r="183" spans="2:7">
      <c r="B183" s="281">
        <f t="shared" ca="1" si="3"/>
        <v>44797</v>
      </c>
      <c r="C183" s="282">
        <v>1.1369000000000001E-2</v>
      </c>
      <c r="F183" s="283">
        <v>43570</v>
      </c>
      <c r="G183" s="284">
        <v>0.98059472999999997</v>
      </c>
    </row>
    <row r="184" spans="2:7">
      <c r="B184" s="281">
        <f t="shared" ca="1" si="3"/>
        <v>44804</v>
      </c>
      <c r="C184" s="282">
        <v>1.1414000000000001E-2</v>
      </c>
      <c r="F184" s="283">
        <v>43577</v>
      </c>
      <c r="G184" s="284">
        <v>0.98042074000000001</v>
      </c>
    </row>
    <row r="185" spans="2:7">
      <c r="B185" s="281">
        <f t="shared" ca="1" si="3"/>
        <v>44811</v>
      </c>
      <c r="C185" s="282">
        <v>1.1468000000000001E-2</v>
      </c>
      <c r="F185" s="283">
        <v>43584</v>
      </c>
      <c r="G185" s="284">
        <v>0.98024613999999999</v>
      </c>
    </row>
    <row r="186" spans="2:7">
      <c r="B186" s="281">
        <f t="shared" ca="1" si="3"/>
        <v>44818</v>
      </c>
      <c r="C186" s="282">
        <v>1.1512E-2</v>
      </c>
      <c r="F186" s="283">
        <v>43591</v>
      </c>
      <c r="G186" s="284">
        <v>0.98007093000000001</v>
      </c>
    </row>
    <row r="187" spans="2:7">
      <c r="B187" s="281">
        <f t="shared" ca="1" si="3"/>
        <v>44825</v>
      </c>
      <c r="C187" s="282">
        <v>1.1556E-2</v>
      </c>
      <c r="F187" s="283">
        <v>43598</v>
      </c>
      <c r="G187" s="284">
        <v>0.97989515000000005</v>
      </c>
    </row>
    <row r="188" spans="2:7">
      <c r="B188" s="281">
        <f t="shared" ca="1" si="3"/>
        <v>44832</v>
      </c>
      <c r="C188" s="282">
        <v>1.1599999999999999E-2</v>
      </c>
      <c r="F188" s="283">
        <v>43605</v>
      </c>
      <c r="G188" s="284">
        <v>0.97971878999999995</v>
      </c>
    </row>
    <row r="189" spans="2:7">
      <c r="B189" s="281">
        <f t="shared" ca="1" si="3"/>
        <v>44839</v>
      </c>
      <c r="C189" s="282">
        <v>1.1634E-2</v>
      </c>
      <c r="F189" s="283">
        <v>43612</v>
      </c>
      <c r="G189" s="284">
        <v>0.97954189999999997</v>
      </c>
    </row>
    <row r="190" spans="2:7">
      <c r="B190" s="281">
        <f t="shared" ca="1" si="3"/>
        <v>44846</v>
      </c>
      <c r="C190" s="282">
        <v>1.1677999999999999E-2</v>
      </c>
      <c r="F190" s="283">
        <v>43619</v>
      </c>
      <c r="G190" s="284">
        <v>0.97936445999999999</v>
      </c>
    </row>
    <row r="191" spans="2:7">
      <c r="B191" s="281">
        <f t="shared" ca="1" si="3"/>
        <v>44853</v>
      </c>
      <c r="C191" s="282">
        <v>1.1722E-2</v>
      </c>
      <c r="F191" s="283">
        <v>43626</v>
      </c>
      <c r="G191" s="284">
        <v>0.97918649000000002</v>
      </c>
    </row>
    <row r="192" spans="2:7">
      <c r="B192" s="281">
        <f t="shared" ca="1" si="3"/>
        <v>44860</v>
      </c>
      <c r="C192" s="282">
        <v>1.1766E-2</v>
      </c>
      <c r="F192" s="283">
        <v>43633</v>
      </c>
      <c r="G192" s="284">
        <v>0.97900801000000004</v>
      </c>
    </row>
    <row r="193" spans="2:7">
      <c r="B193" s="281">
        <f t="shared" ca="1" si="3"/>
        <v>44867</v>
      </c>
      <c r="C193" s="282">
        <v>1.1809E-2</v>
      </c>
      <c r="F193" s="283">
        <v>43640</v>
      </c>
      <c r="G193" s="284">
        <v>0.97882901</v>
      </c>
    </row>
    <row r="194" spans="2:7">
      <c r="B194" s="281">
        <f t="shared" ca="1" si="3"/>
        <v>44874</v>
      </c>
      <c r="C194" s="282">
        <v>1.1863E-2</v>
      </c>
      <c r="F194" s="283">
        <v>43647</v>
      </c>
      <c r="G194" s="284">
        <v>0.97864949000000001</v>
      </c>
    </row>
    <row r="195" spans="2:7">
      <c r="B195" s="281">
        <f t="shared" ca="1" si="3"/>
        <v>44881</v>
      </c>
      <c r="C195" s="282">
        <v>1.1906999999999999E-2</v>
      </c>
      <c r="F195" s="283">
        <v>43654</v>
      </c>
      <c r="G195" s="284">
        <v>0.97846946999999995</v>
      </c>
    </row>
    <row r="196" spans="2:7">
      <c r="B196" s="281">
        <f t="shared" ca="1" si="3"/>
        <v>44888</v>
      </c>
      <c r="C196" s="282">
        <v>1.1951E-2</v>
      </c>
      <c r="F196" s="283">
        <v>43661</v>
      </c>
      <c r="G196" s="284">
        <v>0.97828892000000001</v>
      </c>
    </row>
    <row r="197" spans="2:7">
      <c r="B197" s="281">
        <f t="shared" ca="1" si="3"/>
        <v>44895</v>
      </c>
      <c r="C197" s="282">
        <v>1.1998999999999999E-2</v>
      </c>
      <c r="F197" s="283">
        <v>43668</v>
      </c>
      <c r="G197" s="284">
        <v>0.97810786000000005</v>
      </c>
    </row>
    <row r="198" spans="2:7">
      <c r="B198" s="281">
        <f t="shared" ca="1" si="3"/>
        <v>44902</v>
      </c>
      <c r="C198" s="282">
        <v>1.2029E-2</v>
      </c>
      <c r="F198" s="283">
        <v>43675</v>
      </c>
      <c r="G198" s="284">
        <v>0.97792628000000004</v>
      </c>
    </row>
    <row r="199" spans="2:7">
      <c r="B199" s="281">
        <f t="shared" ca="1" si="3"/>
        <v>44909</v>
      </c>
      <c r="C199" s="282">
        <v>1.2083999999999999E-2</v>
      </c>
      <c r="F199" s="283">
        <v>43682</v>
      </c>
      <c r="G199" s="284">
        <v>0.97774417000000002</v>
      </c>
    </row>
    <row r="200" spans="2:7">
      <c r="B200" s="281">
        <f t="shared" ca="1" si="3"/>
        <v>44916</v>
      </c>
      <c r="C200" s="282">
        <v>1.2128E-2</v>
      </c>
      <c r="F200" s="283">
        <v>43689</v>
      </c>
      <c r="G200" s="284">
        <v>0.97756151999999996</v>
      </c>
    </row>
    <row r="201" spans="2:7">
      <c r="B201" s="281">
        <f t="shared" ca="1" si="3"/>
        <v>44923</v>
      </c>
      <c r="C201" s="282">
        <v>1.2172000000000001E-2</v>
      </c>
      <c r="F201" s="283">
        <v>43696</v>
      </c>
      <c r="G201" s="284">
        <v>0.97737832000000002</v>
      </c>
    </row>
    <row r="202" spans="2:7">
      <c r="B202" s="281">
        <f t="shared" ca="1" si="3"/>
        <v>44930</v>
      </c>
      <c r="C202" s="282">
        <v>1.2217E-2</v>
      </c>
      <c r="F202" s="283">
        <v>43703</v>
      </c>
      <c r="G202" s="284">
        <v>0.97719456000000005</v>
      </c>
    </row>
    <row r="203" spans="2:7">
      <c r="B203" s="281">
        <f t="shared" ca="1" si="3"/>
        <v>44937</v>
      </c>
      <c r="C203" s="282">
        <v>1.2251E-2</v>
      </c>
      <c r="F203" s="283">
        <v>43710</v>
      </c>
      <c r="G203" s="284">
        <v>0.97701024000000003</v>
      </c>
    </row>
    <row r="204" spans="2:7">
      <c r="B204" s="281">
        <f t="shared" ca="1" si="3"/>
        <v>44944</v>
      </c>
      <c r="C204" s="282">
        <v>1.2296E-2</v>
      </c>
      <c r="F204" s="283">
        <v>43717</v>
      </c>
      <c r="G204" s="284">
        <v>0.97682533000000005</v>
      </c>
    </row>
    <row r="205" spans="2:7">
      <c r="B205" s="281">
        <f t="shared" ca="1" si="3"/>
        <v>44951</v>
      </c>
      <c r="C205" s="282">
        <v>1.2341E-2</v>
      </c>
      <c r="F205" s="283">
        <v>43724</v>
      </c>
      <c r="G205" s="284">
        <v>0.97663984000000004</v>
      </c>
    </row>
    <row r="206" spans="2:7">
      <c r="B206" s="281">
        <f t="shared" ca="1" si="3"/>
        <v>44958</v>
      </c>
      <c r="C206" s="282">
        <v>1.2385999999999999E-2</v>
      </c>
      <c r="F206" s="283">
        <v>43731</v>
      </c>
      <c r="G206" s="284">
        <v>0.97645373000000002</v>
      </c>
    </row>
    <row r="207" spans="2:7">
      <c r="B207" s="281">
        <f t="shared" ca="1" si="3"/>
        <v>44965</v>
      </c>
      <c r="C207" s="282">
        <v>1.2441000000000001E-2</v>
      </c>
      <c r="F207" s="283">
        <v>43738</v>
      </c>
      <c r="G207" s="284">
        <v>0.976267</v>
      </c>
    </row>
    <row r="208" spans="2:7">
      <c r="B208" s="281">
        <f t="shared" ca="1" si="3"/>
        <v>44972</v>
      </c>
      <c r="C208" s="282">
        <v>1.2489999999999999E-2</v>
      </c>
      <c r="F208" s="283">
        <v>43745</v>
      </c>
      <c r="G208" s="284">
        <v>0.97607962999999998</v>
      </c>
    </row>
    <row r="209" spans="2:7">
      <c r="B209" s="281">
        <f t="shared" ca="1" si="3"/>
        <v>44979</v>
      </c>
      <c r="C209" s="282">
        <v>1.2531E-2</v>
      </c>
      <c r="F209" s="283">
        <v>43752</v>
      </c>
      <c r="G209" s="284">
        <v>0.97589159999999997</v>
      </c>
    </row>
    <row r="210" spans="2:7">
      <c r="B210" s="281">
        <f t="shared" ca="1" si="3"/>
        <v>44986</v>
      </c>
      <c r="C210" s="282">
        <v>1.2577E-2</v>
      </c>
      <c r="F210" s="283">
        <v>43759</v>
      </c>
      <c r="G210" s="284">
        <v>0.97570290999999998</v>
      </c>
    </row>
    <row r="211" spans="2:7">
      <c r="B211" s="281">
        <f t="shared" ca="1" si="3"/>
        <v>44993</v>
      </c>
      <c r="C211" s="282">
        <v>1.2612E-2</v>
      </c>
      <c r="F211" s="283">
        <v>43766</v>
      </c>
      <c r="G211" s="284">
        <v>0.97551352999999996</v>
      </c>
    </row>
    <row r="212" spans="2:7">
      <c r="B212" s="281">
        <f t="shared" ca="1" si="3"/>
        <v>45000</v>
      </c>
      <c r="C212" s="282">
        <v>1.2658000000000001E-2</v>
      </c>
      <c r="F212" s="283">
        <v>43773</v>
      </c>
      <c r="G212" s="284">
        <v>0.97532344999999998</v>
      </c>
    </row>
    <row r="213" spans="2:7">
      <c r="B213" s="281">
        <f t="shared" ca="1" si="3"/>
        <v>45007</v>
      </c>
      <c r="C213" s="282">
        <v>1.2703000000000001E-2</v>
      </c>
      <c r="F213" s="283">
        <v>43780</v>
      </c>
      <c r="G213" s="284">
        <v>0.97513265000000005</v>
      </c>
    </row>
    <row r="214" spans="2:7">
      <c r="B214" s="281">
        <f t="shared" ca="1" si="3"/>
        <v>45014</v>
      </c>
      <c r="C214" s="282">
        <v>1.2749E-2</v>
      </c>
      <c r="F214" s="283">
        <v>43787</v>
      </c>
      <c r="G214" s="284">
        <v>0.97494113000000004</v>
      </c>
    </row>
    <row r="215" spans="2:7">
      <c r="B215" s="281">
        <f t="shared" ca="1" si="3"/>
        <v>45021</v>
      </c>
      <c r="C215" s="282">
        <v>1.2795000000000001E-2</v>
      </c>
      <c r="F215" s="283">
        <v>43794</v>
      </c>
      <c r="G215" s="284">
        <v>0.97474885</v>
      </c>
    </row>
    <row r="216" spans="2:7">
      <c r="B216" s="281">
        <f t="shared" ca="1" si="3"/>
        <v>45028</v>
      </c>
      <c r="C216" s="282">
        <v>1.2852000000000001E-2</v>
      </c>
      <c r="F216" s="283">
        <v>43801</v>
      </c>
      <c r="G216" s="284">
        <v>0.97455581000000002</v>
      </c>
    </row>
    <row r="217" spans="2:7">
      <c r="B217" s="281">
        <f t="shared" ca="1" si="3"/>
        <v>45035</v>
      </c>
      <c r="C217" s="282">
        <v>1.2898E-2</v>
      </c>
      <c r="F217" s="283">
        <v>43808</v>
      </c>
      <c r="G217" s="284">
        <v>0.97436199999999995</v>
      </c>
    </row>
    <row r="218" spans="2:7">
      <c r="B218" s="281">
        <f t="shared" ca="1" si="3"/>
        <v>45042</v>
      </c>
      <c r="C218" s="282">
        <v>1.2947999999999999E-2</v>
      </c>
      <c r="F218" s="283">
        <v>43815</v>
      </c>
      <c r="G218" s="284">
        <v>0.97416740000000002</v>
      </c>
    </row>
    <row r="219" spans="2:7">
      <c r="B219" s="281">
        <f t="shared" ca="1" si="3"/>
        <v>45049</v>
      </c>
      <c r="C219" s="282">
        <v>1.2997E-2</v>
      </c>
      <c r="F219" s="283">
        <v>43822</v>
      </c>
      <c r="G219" s="284">
        <v>0.97397199999999995</v>
      </c>
    </row>
    <row r="220" spans="2:7">
      <c r="B220" s="281">
        <f t="shared" ref="B220:B283" ca="1" si="4">B219+$A$28</f>
        <v>45056</v>
      </c>
      <c r="C220" s="282">
        <v>1.304E-2</v>
      </c>
      <c r="F220" s="283">
        <v>43829</v>
      </c>
      <c r="G220" s="284">
        <v>0.97377579000000003</v>
      </c>
    </row>
    <row r="221" spans="2:7">
      <c r="B221" s="281">
        <f t="shared" ca="1" si="4"/>
        <v>45063</v>
      </c>
      <c r="C221" s="282">
        <v>1.3082999999999999E-2</v>
      </c>
      <c r="F221" s="283">
        <v>43836</v>
      </c>
      <c r="G221" s="284">
        <v>0.97357875000000005</v>
      </c>
    </row>
    <row r="222" spans="2:7">
      <c r="B222" s="281">
        <f t="shared" ca="1" si="4"/>
        <v>45070</v>
      </c>
      <c r="C222" s="282">
        <v>1.3133000000000001E-2</v>
      </c>
      <c r="F222" s="283">
        <v>43843</v>
      </c>
      <c r="G222" s="284">
        <v>0.97338088</v>
      </c>
    </row>
    <row r="223" spans="2:7">
      <c r="B223" s="281">
        <f t="shared" ca="1" si="4"/>
        <v>45077</v>
      </c>
      <c r="C223" s="282">
        <v>1.3176E-2</v>
      </c>
      <c r="F223" s="283">
        <v>43850</v>
      </c>
      <c r="G223" s="284">
        <v>0.97318218000000001</v>
      </c>
    </row>
    <row r="224" spans="2:7">
      <c r="B224" s="281">
        <f t="shared" ca="1" si="4"/>
        <v>45084</v>
      </c>
      <c r="C224" s="282">
        <v>1.3212E-2</v>
      </c>
      <c r="F224" s="283">
        <v>43857</v>
      </c>
      <c r="G224" s="284">
        <v>0.97298262000000002</v>
      </c>
    </row>
    <row r="225" spans="2:7">
      <c r="B225" s="281">
        <f t="shared" ca="1" si="4"/>
        <v>45091</v>
      </c>
      <c r="C225" s="282">
        <v>1.3254999999999999E-2</v>
      </c>
      <c r="F225" s="283">
        <v>43864</v>
      </c>
      <c r="G225" s="284">
        <v>0.97278222000000003</v>
      </c>
    </row>
    <row r="226" spans="2:7">
      <c r="B226" s="281">
        <f t="shared" ca="1" si="4"/>
        <v>45098</v>
      </c>
      <c r="C226" s="282">
        <v>1.3302E-2</v>
      </c>
      <c r="F226" s="283">
        <v>43871</v>
      </c>
      <c r="G226" s="284">
        <v>0.97258096999999999</v>
      </c>
    </row>
    <row r="227" spans="2:7">
      <c r="B227" s="281">
        <f t="shared" ca="1" si="4"/>
        <v>45105</v>
      </c>
      <c r="C227" s="282">
        <v>1.3348E-2</v>
      </c>
      <c r="F227" s="283">
        <v>43878</v>
      </c>
      <c r="G227" s="284">
        <v>0.97237885999999996</v>
      </c>
    </row>
    <row r="228" spans="2:7">
      <c r="B228" s="281">
        <f t="shared" ca="1" si="4"/>
        <v>45112</v>
      </c>
      <c r="C228" s="282">
        <v>1.3394E-2</v>
      </c>
      <c r="F228" s="283">
        <v>43885</v>
      </c>
      <c r="G228" s="284">
        <v>0.97217589000000004</v>
      </c>
    </row>
    <row r="229" spans="2:7">
      <c r="B229" s="281">
        <f t="shared" ca="1" si="4"/>
        <v>45119</v>
      </c>
      <c r="C229" s="282">
        <v>1.3455E-2</v>
      </c>
      <c r="F229" s="283">
        <v>43892</v>
      </c>
      <c r="G229" s="284">
        <v>0.97197208000000002</v>
      </c>
    </row>
    <row r="230" spans="2:7">
      <c r="B230" s="281">
        <f t="shared" ca="1" si="4"/>
        <v>45126</v>
      </c>
      <c r="C230" s="282">
        <v>1.3505E-2</v>
      </c>
      <c r="F230" s="283">
        <v>43899</v>
      </c>
      <c r="G230" s="284">
        <v>0.97176742000000005</v>
      </c>
    </row>
    <row r="231" spans="2:7">
      <c r="B231" s="281">
        <f t="shared" ca="1" si="4"/>
        <v>45133</v>
      </c>
      <c r="C231" s="282">
        <v>1.3547E-2</v>
      </c>
      <c r="F231" s="283">
        <v>43906</v>
      </c>
      <c r="G231" s="284">
        <v>0.97156191999999997</v>
      </c>
    </row>
    <row r="232" spans="2:7">
      <c r="B232" s="281">
        <f t="shared" ca="1" si="4"/>
        <v>45140</v>
      </c>
      <c r="C232" s="282">
        <v>1.3592999999999999E-2</v>
      </c>
      <c r="F232" s="283">
        <v>43913</v>
      </c>
      <c r="G232" s="284">
        <v>0.97135559000000005</v>
      </c>
    </row>
    <row r="233" spans="2:7">
      <c r="B233" s="281">
        <f t="shared" ca="1" si="4"/>
        <v>45147</v>
      </c>
      <c r="C233" s="282">
        <v>1.3629E-2</v>
      </c>
      <c r="F233" s="283">
        <v>43920</v>
      </c>
      <c r="G233" s="284">
        <v>0.97114844</v>
      </c>
    </row>
    <row r="234" spans="2:7">
      <c r="B234" s="281">
        <f t="shared" ca="1" si="4"/>
        <v>45154</v>
      </c>
      <c r="C234" s="282">
        <v>1.3675E-2</v>
      </c>
      <c r="F234" s="283">
        <v>43927</v>
      </c>
      <c r="G234" s="284">
        <v>0.97094049000000004</v>
      </c>
    </row>
    <row r="235" spans="2:7">
      <c r="B235" s="281">
        <f t="shared" ca="1" si="4"/>
        <v>45161</v>
      </c>
      <c r="C235" s="282">
        <v>1.3721000000000001E-2</v>
      </c>
      <c r="F235" s="283">
        <v>43934</v>
      </c>
      <c r="G235" s="284">
        <v>0.97073175</v>
      </c>
    </row>
    <row r="236" spans="2:7">
      <c r="B236" s="281">
        <f t="shared" ca="1" si="4"/>
        <v>45168</v>
      </c>
      <c r="C236" s="282">
        <v>1.3768000000000001E-2</v>
      </c>
      <c r="F236" s="283">
        <v>43941</v>
      </c>
      <c r="G236" s="284">
        <v>0.97052225000000003</v>
      </c>
    </row>
    <row r="237" spans="2:7">
      <c r="B237" s="281">
        <f t="shared" ca="1" si="4"/>
        <v>45175</v>
      </c>
      <c r="C237" s="282">
        <v>1.3814999999999999E-2</v>
      </c>
      <c r="F237" s="283">
        <v>43948</v>
      </c>
      <c r="G237" s="284">
        <v>0.97031199999999995</v>
      </c>
    </row>
    <row r="238" spans="2:7">
      <c r="B238" s="281">
        <f t="shared" ca="1" si="4"/>
        <v>45182</v>
      </c>
      <c r="C238" s="282">
        <v>1.3873E-2</v>
      </c>
      <c r="F238" s="283">
        <v>43955</v>
      </c>
      <c r="G238" s="284">
        <v>0.97010099999999999</v>
      </c>
    </row>
    <row r="239" spans="2:7">
      <c r="B239" s="281">
        <f t="shared" ca="1" si="4"/>
        <v>45189</v>
      </c>
      <c r="C239" s="282">
        <v>1.3920999999999999E-2</v>
      </c>
      <c r="F239" s="283">
        <v>43962</v>
      </c>
      <c r="G239" s="284">
        <v>0.96988925000000004</v>
      </c>
    </row>
    <row r="240" spans="2:7">
      <c r="B240" s="281">
        <f t="shared" ca="1" si="4"/>
        <v>45196</v>
      </c>
      <c r="C240" s="282">
        <v>1.3969000000000001E-2</v>
      </c>
      <c r="F240" s="283">
        <v>43969</v>
      </c>
      <c r="G240" s="284">
        <v>0.96967672000000005</v>
      </c>
    </row>
    <row r="241" spans="2:7">
      <c r="B241" s="281">
        <f t="shared" ca="1" si="4"/>
        <v>45203</v>
      </c>
      <c r="C241" s="282">
        <v>1.4017E-2</v>
      </c>
      <c r="F241" s="283">
        <v>43976</v>
      </c>
      <c r="G241" s="284">
        <v>0.96946343999999995</v>
      </c>
    </row>
    <row r="242" spans="2:7">
      <c r="B242" s="281">
        <f t="shared" ca="1" si="4"/>
        <v>45210</v>
      </c>
      <c r="C242" s="282">
        <v>1.4054000000000001E-2</v>
      </c>
      <c r="F242" s="283">
        <v>43983</v>
      </c>
      <c r="G242" s="284">
        <v>0.96924937</v>
      </c>
    </row>
    <row r="243" spans="2:7">
      <c r="B243" s="281">
        <f t="shared" ca="1" si="4"/>
        <v>45217</v>
      </c>
      <c r="C243" s="282">
        <v>1.4102E-2</v>
      </c>
      <c r="F243" s="283">
        <v>43990</v>
      </c>
      <c r="G243" s="284">
        <v>0.96903454</v>
      </c>
    </row>
    <row r="244" spans="2:7">
      <c r="B244" s="281">
        <f t="shared" ca="1" si="4"/>
        <v>45224</v>
      </c>
      <c r="C244" s="282">
        <v>1.4149999999999999E-2</v>
      </c>
      <c r="F244" s="283">
        <v>43997</v>
      </c>
      <c r="G244" s="284">
        <v>0.96881892999999997</v>
      </c>
    </row>
    <row r="245" spans="2:7">
      <c r="B245" s="281">
        <f t="shared" ca="1" si="4"/>
        <v>45231</v>
      </c>
      <c r="C245" s="282">
        <v>1.4198000000000001E-2</v>
      </c>
      <c r="F245" s="283">
        <v>44004</v>
      </c>
      <c r="G245" s="284">
        <v>0.96860252999999996</v>
      </c>
    </row>
    <row r="246" spans="2:7">
      <c r="B246" s="281">
        <f t="shared" ca="1" si="4"/>
        <v>45238</v>
      </c>
      <c r="C246" s="282">
        <v>1.4257000000000001E-2</v>
      </c>
      <c r="F246" s="283">
        <v>44011</v>
      </c>
      <c r="G246" s="284">
        <v>0.96838535999999997</v>
      </c>
    </row>
    <row r="247" spans="2:7">
      <c r="B247" s="281">
        <f t="shared" ca="1" si="4"/>
        <v>45245</v>
      </c>
      <c r="C247" s="282">
        <v>1.4305E-2</v>
      </c>
      <c r="F247" s="283">
        <v>44018</v>
      </c>
      <c r="G247" s="284">
        <v>0.96816742</v>
      </c>
    </row>
    <row r="248" spans="2:7">
      <c r="B248" s="281">
        <f t="shared" ca="1" si="4"/>
        <v>45252</v>
      </c>
      <c r="C248" s="282">
        <v>1.4352999999999999E-2</v>
      </c>
      <c r="F248" s="283">
        <v>44025</v>
      </c>
      <c r="G248" s="284">
        <v>0.96794868999999994</v>
      </c>
    </row>
    <row r="249" spans="2:7">
      <c r="B249" s="281">
        <f t="shared" ca="1" si="4"/>
        <v>45259</v>
      </c>
      <c r="C249" s="282">
        <v>1.4401000000000001E-2</v>
      </c>
      <c r="F249" s="283">
        <v>44032</v>
      </c>
      <c r="G249" s="284">
        <v>0.96772919000000002</v>
      </c>
    </row>
    <row r="250" spans="2:7">
      <c r="B250" s="281">
        <f t="shared" ca="1" si="4"/>
        <v>45266</v>
      </c>
      <c r="C250" s="282">
        <v>1.4437E-2</v>
      </c>
      <c r="F250" s="283">
        <v>44039</v>
      </c>
      <c r="G250" s="284">
        <v>0.96750891999999999</v>
      </c>
    </row>
    <row r="251" spans="2:7">
      <c r="B251" s="281">
        <f t="shared" ca="1" si="4"/>
        <v>45273</v>
      </c>
      <c r="C251" s="282">
        <v>1.4499E-2</v>
      </c>
      <c r="F251" s="283">
        <v>44046</v>
      </c>
      <c r="G251" s="284">
        <v>0.96728787999999999</v>
      </c>
    </row>
    <row r="252" spans="2:7">
      <c r="B252" s="281">
        <f t="shared" ca="1" si="4"/>
        <v>45280</v>
      </c>
      <c r="C252" s="282">
        <v>1.4541999999999999E-2</v>
      </c>
      <c r="F252" s="283">
        <v>44053</v>
      </c>
      <c r="G252" s="284">
        <v>0.96706608000000005</v>
      </c>
    </row>
    <row r="253" spans="2:7">
      <c r="B253" s="281">
        <f t="shared" ca="1" si="4"/>
        <v>45287</v>
      </c>
      <c r="C253" s="282">
        <v>1.4588E-2</v>
      </c>
      <c r="F253" s="283">
        <v>44060</v>
      </c>
      <c r="G253" s="284">
        <v>0.96684351000000002</v>
      </c>
    </row>
    <row r="254" spans="2:7">
      <c r="B254" s="281">
        <f t="shared" ca="1" si="4"/>
        <v>45294</v>
      </c>
      <c r="C254" s="282">
        <v>1.4635E-2</v>
      </c>
      <c r="F254" s="283">
        <v>44067</v>
      </c>
      <c r="G254" s="284">
        <v>0.96662018000000005</v>
      </c>
    </row>
    <row r="255" spans="2:7">
      <c r="B255" s="281">
        <f t="shared" ca="1" si="4"/>
        <v>45301</v>
      </c>
      <c r="C255" s="282">
        <v>1.4670000000000001E-2</v>
      </c>
      <c r="F255" s="283">
        <v>44074</v>
      </c>
      <c r="G255" s="284">
        <v>0.96639611000000003</v>
      </c>
    </row>
    <row r="256" spans="2:7">
      <c r="B256" s="281">
        <f t="shared" ca="1" si="4"/>
        <v>45308</v>
      </c>
      <c r="C256" s="282">
        <v>1.4715000000000001E-2</v>
      </c>
      <c r="F256" s="283">
        <v>44081</v>
      </c>
      <c r="G256" s="284">
        <v>0.96617127999999997</v>
      </c>
    </row>
    <row r="257" spans="2:7">
      <c r="B257" s="281">
        <f t="shared" ca="1" si="4"/>
        <v>45315</v>
      </c>
      <c r="C257" s="282">
        <v>1.4761E-2</v>
      </c>
      <c r="F257" s="283">
        <v>44088</v>
      </c>
      <c r="G257" s="284">
        <v>0.96594572000000001</v>
      </c>
    </row>
    <row r="258" spans="2:7">
      <c r="B258" s="281">
        <f t="shared" ca="1" si="4"/>
        <v>45322</v>
      </c>
      <c r="C258" s="282">
        <v>1.4806E-2</v>
      </c>
      <c r="F258" s="283">
        <v>44095</v>
      </c>
      <c r="G258" s="284">
        <v>0.96571942</v>
      </c>
    </row>
    <row r="259" spans="2:7">
      <c r="B259" s="281">
        <f t="shared" ca="1" si="4"/>
        <v>45329</v>
      </c>
      <c r="C259" s="282">
        <v>1.485E-2</v>
      </c>
      <c r="F259" s="283">
        <v>44102</v>
      </c>
      <c r="G259" s="284">
        <v>0.96549240000000003</v>
      </c>
    </row>
    <row r="260" spans="2:7">
      <c r="B260" s="281">
        <f t="shared" ca="1" si="4"/>
        <v>45336</v>
      </c>
      <c r="C260" s="282">
        <v>1.4904000000000001E-2</v>
      </c>
      <c r="F260" s="283">
        <v>44109</v>
      </c>
      <c r="G260" s="284">
        <v>0.96526464999999995</v>
      </c>
    </row>
    <row r="261" spans="2:7">
      <c r="B261" s="281">
        <f t="shared" ca="1" si="4"/>
        <v>45343</v>
      </c>
      <c r="C261" s="282">
        <v>1.4947999999999999E-2</v>
      </c>
      <c r="F261" s="283">
        <v>44116</v>
      </c>
      <c r="G261" s="284">
        <v>0.96503618000000002</v>
      </c>
    </row>
    <row r="262" spans="2:7">
      <c r="B262" s="281">
        <f t="shared" ca="1" si="4"/>
        <v>45350</v>
      </c>
      <c r="C262" s="282">
        <v>1.4991000000000001E-2</v>
      </c>
      <c r="F262" s="283">
        <v>44123</v>
      </c>
      <c r="G262" s="284">
        <v>0.96480701000000002</v>
      </c>
    </row>
    <row r="263" spans="2:7">
      <c r="B263" s="281">
        <f t="shared" ca="1" si="4"/>
        <v>45357</v>
      </c>
      <c r="C263" s="282">
        <v>1.5034E-2</v>
      </c>
      <c r="F263" s="283">
        <v>44130</v>
      </c>
      <c r="G263" s="284">
        <v>0.96457713</v>
      </c>
    </row>
    <row r="264" spans="2:7">
      <c r="B264" s="281">
        <f t="shared" ca="1" si="4"/>
        <v>45364</v>
      </c>
      <c r="C264" s="282">
        <v>1.5067000000000001E-2</v>
      </c>
      <c r="F264" s="283">
        <v>44137</v>
      </c>
      <c r="G264" s="284">
        <v>0.96434655999999996</v>
      </c>
    </row>
    <row r="265" spans="2:7">
      <c r="B265" s="281">
        <f t="shared" ca="1" si="4"/>
        <v>45371</v>
      </c>
      <c r="C265" s="282">
        <v>1.5108999999999999E-2</v>
      </c>
      <c r="F265" s="283">
        <v>44144</v>
      </c>
      <c r="G265" s="284">
        <v>0.96411530000000001</v>
      </c>
    </row>
    <row r="266" spans="2:7">
      <c r="B266" s="281">
        <f t="shared" ca="1" si="4"/>
        <v>45378</v>
      </c>
      <c r="C266" s="282">
        <v>1.5151E-2</v>
      </c>
      <c r="F266" s="283">
        <v>44151</v>
      </c>
      <c r="G266" s="284">
        <v>0.96388335000000003</v>
      </c>
    </row>
    <row r="267" spans="2:7">
      <c r="B267" s="281">
        <f t="shared" ca="1" si="4"/>
        <v>45385</v>
      </c>
      <c r="C267" s="282">
        <v>1.5206000000000001E-2</v>
      </c>
      <c r="F267" s="283">
        <v>44158</v>
      </c>
      <c r="G267" s="284">
        <v>0.96365073000000001</v>
      </c>
    </row>
    <row r="268" spans="2:7">
      <c r="B268" s="281">
        <f t="shared" ca="1" si="4"/>
        <v>45392</v>
      </c>
      <c r="C268" s="282">
        <v>1.5244000000000001E-2</v>
      </c>
      <c r="F268" s="283">
        <v>44165</v>
      </c>
      <c r="G268" s="284">
        <v>0.96341743999999996</v>
      </c>
    </row>
    <row r="269" spans="2:7">
      <c r="B269" s="281">
        <f t="shared" ca="1" si="4"/>
        <v>45399</v>
      </c>
      <c r="C269" s="282">
        <v>1.5285E-2</v>
      </c>
      <c r="F269" s="283">
        <v>44172</v>
      </c>
      <c r="G269" s="284">
        <v>0.96318349000000003</v>
      </c>
    </row>
    <row r="270" spans="2:7">
      <c r="B270" s="281">
        <f t="shared" ca="1" si="4"/>
        <v>45406</v>
      </c>
      <c r="C270" s="282">
        <v>1.5329000000000001E-2</v>
      </c>
      <c r="F270" s="283">
        <v>44179</v>
      </c>
      <c r="G270" s="284">
        <v>0.96294886999999996</v>
      </c>
    </row>
    <row r="271" spans="2:7">
      <c r="B271" s="281">
        <f t="shared" ca="1" si="4"/>
        <v>45413</v>
      </c>
      <c r="C271" s="282">
        <v>1.5365999999999999E-2</v>
      </c>
      <c r="F271" s="283">
        <v>44186</v>
      </c>
      <c r="G271" s="284">
        <v>0.96271359999999995</v>
      </c>
    </row>
    <row r="272" spans="2:7">
      <c r="B272" s="281">
        <f t="shared" ca="1" si="4"/>
        <v>45420</v>
      </c>
      <c r="C272" s="282">
        <v>1.5396999999999999E-2</v>
      </c>
      <c r="F272" s="283">
        <v>44193</v>
      </c>
      <c r="G272" s="284">
        <v>0.96247769000000005</v>
      </c>
    </row>
    <row r="273" spans="2:7">
      <c r="B273" s="281">
        <f t="shared" ca="1" si="4"/>
        <v>45427</v>
      </c>
      <c r="C273" s="282">
        <v>1.5446E-2</v>
      </c>
      <c r="F273" s="283">
        <v>44200</v>
      </c>
      <c r="G273" s="284">
        <v>0.96224113</v>
      </c>
    </row>
    <row r="274" spans="2:7">
      <c r="B274" s="281">
        <f t="shared" ca="1" si="4"/>
        <v>45434</v>
      </c>
      <c r="C274" s="282">
        <v>1.549E-2</v>
      </c>
      <c r="F274" s="283">
        <v>44207</v>
      </c>
      <c r="G274" s="284">
        <v>0.96200392999999995</v>
      </c>
    </row>
    <row r="275" spans="2:7">
      <c r="B275" s="281">
        <f t="shared" ca="1" si="4"/>
        <v>45441</v>
      </c>
      <c r="C275" s="282">
        <v>1.5526999999999999E-2</v>
      </c>
      <c r="F275" s="283">
        <v>44214</v>
      </c>
      <c r="G275" s="284">
        <v>0.96176609000000002</v>
      </c>
    </row>
    <row r="276" spans="2:7">
      <c r="B276" s="281">
        <f t="shared" ca="1" si="4"/>
        <v>45448</v>
      </c>
      <c r="C276" s="282">
        <v>1.5557E-2</v>
      </c>
      <c r="F276" s="283">
        <v>44221</v>
      </c>
      <c r="G276" s="284">
        <v>0.96152762999999997</v>
      </c>
    </row>
    <row r="277" spans="2:7">
      <c r="B277" s="281">
        <f t="shared" ca="1" si="4"/>
        <v>45455</v>
      </c>
      <c r="C277" s="282">
        <v>1.559E-2</v>
      </c>
      <c r="F277" s="283">
        <v>44228</v>
      </c>
      <c r="G277" s="284">
        <v>0.96128853000000003</v>
      </c>
    </row>
    <row r="278" spans="2:7">
      <c r="B278" s="281">
        <f t="shared" ca="1" si="4"/>
        <v>45462</v>
      </c>
      <c r="C278" s="282">
        <v>1.5630000000000002E-2</v>
      </c>
      <c r="F278" s="283">
        <v>44235</v>
      </c>
      <c r="G278" s="284">
        <v>0.96104880000000004</v>
      </c>
    </row>
    <row r="279" spans="2:7">
      <c r="B279" s="281">
        <f t="shared" ca="1" si="4"/>
        <v>45469</v>
      </c>
      <c r="C279" s="282">
        <v>1.567E-2</v>
      </c>
      <c r="F279" s="283">
        <v>44242</v>
      </c>
      <c r="G279" s="284">
        <v>0.96080845000000004</v>
      </c>
    </row>
    <row r="280" spans="2:7">
      <c r="B280" s="281">
        <f t="shared" ca="1" si="4"/>
        <v>45476</v>
      </c>
      <c r="C280" s="282">
        <v>1.5710999999999999E-2</v>
      </c>
      <c r="F280" s="283">
        <v>44249</v>
      </c>
      <c r="G280" s="284">
        <v>0.96056746999999998</v>
      </c>
    </row>
    <row r="281" spans="2:7">
      <c r="B281" s="281">
        <f t="shared" ca="1" si="4"/>
        <v>45483</v>
      </c>
      <c r="C281" s="282">
        <v>1.5769999999999999E-2</v>
      </c>
      <c r="F281" s="283">
        <v>44256</v>
      </c>
      <c r="G281" s="284">
        <v>0.96032585999999998</v>
      </c>
    </row>
    <row r="282" spans="2:7">
      <c r="B282" s="281">
        <f t="shared" ca="1" si="4"/>
        <v>45490</v>
      </c>
      <c r="C282" s="282">
        <v>1.5807999999999999E-2</v>
      </c>
      <c r="F282" s="283">
        <v>44263</v>
      </c>
      <c r="G282" s="284">
        <v>0.96008362999999997</v>
      </c>
    </row>
    <row r="283" spans="2:7">
      <c r="B283" s="281">
        <f t="shared" ca="1" si="4"/>
        <v>45497</v>
      </c>
      <c r="C283" s="282">
        <v>1.5848999999999999E-2</v>
      </c>
      <c r="F283" s="283">
        <v>44270</v>
      </c>
      <c r="G283" s="284">
        <v>0.95984075999999996</v>
      </c>
    </row>
    <row r="284" spans="2:7">
      <c r="B284" s="281">
        <f t="shared" ref="B284:B347" ca="1" si="5">B283+$A$28</f>
        <v>45504</v>
      </c>
      <c r="C284" s="282">
        <v>1.5890999999999999E-2</v>
      </c>
      <c r="F284" s="283">
        <v>44277</v>
      </c>
      <c r="G284" s="284">
        <v>0.95959726000000001</v>
      </c>
    </row>
    <row r="285" spans="2:7">
      <c r="B285" s="281">
        <f t="shared" ca="1" si="5"/>
        <v>45511</v>
      </c>
      <c r="C285" s="282">
        <v>1.5921999999999999E-2</v>
      </c>
      <c r="F285" s="283">
        <v>44284</v>
      </c>
      <c r="G285" s="284">
        <v>0.95935313</v>
      </c>
    </row>
    <row r="286" spans="2:7">
      <c r="B286" s="281">
        <f t="shared" ca="1" si="5"/>
        <v>45518</v>
      </c>
      <c r="C286" s="282">
        <v>1.5965E-2</v>
      </c>
      <c r="F286" s="283">
        <v>44291</v>
      </c>
      <c r="G286" s="284">
        <v>0.95910835999999999</v>
      </c>
    </row>
    <row r="287" spans="2:7">
      <c r="B287" s="281">
        <f t="shared" ca="1" si="5"/>
        <v>45525</v>
      </c>
      <c r="C287" s="282">
        <v>1.6008000000000001E-2</v>
      </c>
      <c r="F287" s="283">
        <v>44298</v>
      </c>
      <c r="G287" s="284">
        <v>0.95886294000000005</v>
      </c>
    </row>
    <row r="288" spans="2:7">
      <c r="B288" s="281">
        <f t="shared" ca="1" si="5"/>
        <v>45532</v>
      </c>
      <c r="C288" s="282">
        <v>1.6053000000000001E-2</v>
      </c>
      <c r="F288" s="283">
        <v>44305</v>
      </c>
      <c r="G288" s="284">
        <v>0.95861686999999995</v>
      </c>
    </row>
    <row r="289" spans="2:7">
      <c r="B289" s="281">
        <f t="shared" ca="1" si="5"/>
        <v>45539</v>
      </c>
      <c r="C289" s="282">
        <v>1.6098000000000001E-2</v>
      </c>
      <c r="F289" s="283">
        <v>44312</v>
      </c>
      <c r="G289" s="284">
        <v>0.95837013000000004</v>
      </c>
    </row>
    <row r="290" spans="2:7">
      <c r="B290" s="281">
        <f t="shared" ca="1" si="5"/>
        <v>45546</v>
      </c>
      <c r="C290" s="282">
        <v>1.6154999999999999E-2</v>
      </c>
      <c r="F290" s="283">
        <v>44319</v>
      </c>
      <c r="G290" s="284">
        <v>0.95812271000000004</v>
      </c>
    </row>
    <row r="291" spans="2:7">
      <c r="B291" s="281">
        <f t="shared" ca="1" si="5"/>
        <v>45553</v>
      </c>
      <c r="C291" s="282">
        <v>1.6202000000000001E-2</v>
      </c>
      <c r="F291" s="283">
        <v>44326</v>
      </c>
      <c r="G291" s="284">
        <v>0.95787460000000002</v>
      </c>
    </row>
    <row r="292" spans="2:7">
      <c r="B292" s="281">
        <f t="shared" ca="1" si="5"/>
        <v>45560</v>
      </c>
      <c r="C292" s="282">
        <v>1.6250000000000001E-2</v>
      </c>
      <c r="F292" s="283">
        <v>44333</v>
      </c>
      <c r="G292" s="284">
        <v>0.95762577000000004</v>
      </c>
    </row>
    <row r="293" spans="2:7">
      <c r="B293" s="281">
        <f t="shared" ca="1" si="5"/>
        <v>45567</v>
      </c>
      <c r="C293" s="282">
        <v>1.6296999999999999E-2</v>
      </c>
      <c r="F293" s="283">
        <v>44340</v>
      </c>
      <c r="G293" s="284">
        <v>0.95737620999999995</v>
      </c>
    </row>
    <row r="294" spans="2:7">
      <c r="B294" s="281">
        <f t="shared" ca="1" si="5"/>
        <v>45574</v>
      </c>
      <c r="C294" s="282">
        <v>1.6334000000000001E-2</v>
      </c>
      <c r="F294" s="283">
        <v>44347</v>
      </c>
      <c r="G294" s="284">
        <v>0.95712591000000002</v>
      </c>
    </row>
    <row r="295" spans="2:7">
      <c r="B295" s="281">
        <f t="shared" ca="1" si="5"/>
        <v>45581</v>
      </c>
      <c r="C295" s="282">
        <v>1.6382000000000001E-2</v>
      </c>
      <c r="F295" s="283">
        <v>44354</v>
      </c>
      <c r="G295" s="284">
        <v>0.95687487000000004</v>
      </c>
    </row>
    <row r="296" spans="2:7">
      <c r="B296" s="281">
        <f t="shared" ca="1" si="5"/>
        <v>45588</v>
      </c>
      <c r="C296" s="282">
        <v>1.643E-2</v>
      </c>
      <c r="F296" s="283">
        <v>44361</v>
      </c>
      <c r="G296" s="284">
        <v>0.95662307000000002</v>
      </c>
    </row>
    <row r="297" spans="2:7">
      <c r="B297" s="281">
        <f t="shared" ca="1" si="5"/>
        <v>45595</v>
      </c>
      <c r="C297" s="282">
        <v>1.6478E-2</v>
      </c>
      <c r="F297" s="283">
        <v>44368</v>
      </c>
      <c r="G297" s="284">
        <v>0.95637052</v>
      </c>
    </row>
    <row r="298" spans="2:7">
      <c r="B298" s="281">
        <f t="shared" ca="1" si="5"/>
        <v>45602</v>
      </c>
      <c r="C298" s="282">
        <v>1.6525999999999999E-2</v>
      </c>
      <c r="F298" s="283">
        <v>44375</v>
      </c>
      <c r="G298" s="284">
        <v>0.9561172</v>
      </c>
    </row>
    <row r="299" spans="2:7">
      <c r="B299" s="281">
        <f t="shared" ca="1" si="5"/>
        <v>45609</v>
      </c>
      <c r="C299" s="282">
        <v>1.6584999999999999E-2</v>
      </c>
      <c r="F299" s="283">
        <v>44382</v>
      </c>
      <c r="G299" s="284">
        <v>0.95586313000000001</v>
      </c>
    </row>
    <row r="300" spans="2:7">
      <c r="B300" s="281">
        <f t="shared" ca="1" si="5"/>
        <v>45616</v>
      </c>
      <c r="C300" s="282">
        <v>1.6632000000000001E-2</v>
      </c>
      <c r="F300" s="283">
        <v>44389</v>
      </c>
      <c r="G300" s="284">
        <v>0.95560829999999997</v>
      </c>
    </row>
    <row r="301" spans="2:7">
      <c r="B301" s="281">
        <f t="shared" ca="1" si="5"/>
        <v>45623</v>
      </c>
      <c r="C301" s="282">
        <v>1.6678999999999999E-2</v>
      </c>
      <c r="F301" s="283">
        <v>44396</v>
      </c>
      <c r="G301" s="284">
        <v>0.95535270999999999</v>
      </c>
    </row>
    <row r="302" spans="2:7">
      <c r="B302" s="281">
        <f t="shared" ca="1" si="5"/>
        <v>45630</v>
      </c>
      <c r="C302" s="282">
        <v>1.6729000000000001E-2</v>
      </c>
      <c r="F302" s="283">
        <v>44403</v>
      </c>
      <c r="G302" s="284">
        <v>0.95509637999999997</v>
      </c>
    </row>
    <row r="303" spans="2:7">
      <c r="B303" s="281">
        <f t="shared" ca="1" si="5"/>
        <v>45637</v>
      </c>
      <c r="C303" s="282">
        <v>1.6775000000000002E-2</v>
      </c>
      <c r="F303" s="283">
        <v>44410</v>
      </c>
      <c r="G303" s="284">
        <v>0.95483931</v>
      </c>
    </row>
    <row r="304" spans="2:7">
      <c r="B304" s="281">
        <f t="shared" ca="1" si="5"/>
        <v>45644</v>
      </c>
      <c r="C304" s="282">
        <v>1.6816000000000001E-2</v>
      </c>
      <c r="F304" s="283">
        <v>44417</v>
      </c>
      <c r="G304" s="284">
        <v>0.95458149999999997</v>
      </c>
    </row>
    <row r="305" spans="2:7">
      <c r="B305" s="281">
        <f t="shared" ca="1" si="5"/>
        <v>45651</v>
      </c>
      <c r="C305" s="282">
        <v>1.686E-2</v>
      </c>
      <c r="F305" s="283">
        <v>44424</v>
      </c>
      <c r="G305" s="284">
        <v>0.95432296999999999</v>
      </c>
    </row>
    <row r="306" spans="2:7">
      <c r="B306" s="281">
        <f t="shared" ca="1" si="5"/>
        <v>45658</v>
      </c>
      <c r="C306" s="282">
        <v>1.6903999999999999E-2</v>
      </c>
      <c r="F306" s="283">
        <v>44431</v>
      </c>
      <c r="G306" s="284">
        <v>0.95406373</v>
      </c>
    </row>
    <row r="307" spans="2:7">
      <c r="B307" s="281">
        <f t="shared" ca="1" si="5"/>
        <v>45665</v>
      </c>
      <c r="C307" s="282">
        <v>1.6937000000000001E-2</v>
      </c>
      <c r="F307" s="283">
        <v>44438</v>
      </c>
      <c r="G307" s="284">
        <v>0.95380379000000004</v>
      </c>
    </row>
    <row r="308" spans="2:7">
      <c r="B308" s="281">
        <f t="shared" ca="1" si="5"/>
        <v>45672</v>
      </c>
      <c r="C308" s="282">
        <v>1.6979000000000001E-2</v>
      </c>
      <c r="F308" s="283">
        <v>44445</v>
      </c>
      <c r="G308" s="284">
        <v>0.95354315999999995</v>
      </c>
    </row>
    <row r="309" spans="2:7">
      <c r="B309" s="281">
        <f t="shared" ca="1" si="5"/>
        <v>45679</v>
      </c>
      <c r="C309" s="282">
        <v>1.702E-2</v>
      </c>
      <c r="F309" s="283">
        <v>44452</v>
      </c>
      <c r="G309" s="284">
        <v>0.95328186000000004</v>
      </c>
    </row>
    <row r="310" spans="2:7">
      <c r="B310" s="281">
        <f t="shared" ca="1" si="5"/>
        <v>45686</v>
      </c>
      <c r="C310" s="282">
        <v>1.7061E-2</v>
      </c>
      <c r="F310" s="283">
        <v>44459</v>
      </c>
      <c r="G310" s="284">
        <v>0.95301988999999998</v>
      </c>
    </row>
    <row r="311" spans="2:7">
      <c r="B311" s="281">
        <f t="shared" ca="1" si="5"/>
        <v>45693</v>
      </c>
      <c r="C311" s="282">
        <v>1.7101000000000002E-2</v>
      </c>
      <c r="F311" s="283">
        <v>44466</v>
      </c>
      <c r="G311" s="284">
        <v>0.95275728000000004</v>
      </c>
    </row>
    <row r="312" spans="2:7">
      <c r="B312" s="281">
        <f t="shared" ca="1" si="5"/>
        <v>45700</v>
      </c>
      <c r="C312" s="282">
        <v>1.7149000000000001E-2</v>
      </c>
      <c r="F312" s="283">
        <v>44473</v>
      </c>
      <c r="G312" s="284">
        <v>0.95249404000000004</v>
      </c>
    </row>
    <row r="313" spans="2:7">
      <c r="B313" s="281">
        <f t="shared" ca="1" si="5"/>
        <v>45707</v>
      </c>
      <c r="C313" s="282">
        <v>1.7187000000000001E-2</v>
      </c>
      <c r="F313" s="283">
        <v>44480</v>
      </c>
      <c r="G313" s="284">
        <v>0.95223018999999998</v>
      </c>
    </row>
    <row r="314" spans="2:7">
      <c r="B314" s="281">
        <f t="shared" ca="1" si="5"/>
        <v>45714</v>
      </c>
      <c r="C314" s="282">
        <v>1.7224E-2</v>
      </c>
      <c r="F314" s="283">
        <v>44487</v>
      </c>
      <c r="G314" s="284">
        <v>0.95196572999999995</v>
      </c>
    </row>
    <row r="315" spans="2:7">
      <c r="B315" s="281">
        <f t="shared" ca="1" si="5"/>
        <v>45721</v>
      </c>
      <c r="C315" s="282">
        <v>1.7260000000000001E-2</v>
      </c>
      <c r="F315" s="283">
        <v>44494</v>
      </c>
      <c r="G315" s="284">
        <v>0.95170069999999996</v>
      </c>
    </row>
    <row r="316" spans="2:7">
      <c r="B316" s="281">
        <f t="shared" ca="1" si="5"/>
        <v>45728</v>
      </c>
      <c r="C316" s="282">
        <v>1.7285999999999999E-2</v>
      </c>
      <c r="F316" s="283">
        <v>44501</v>
      </c>
      <c r="G316" s="284">
        <v>0.95143509000000004</v>
      </c>
    </row>
    <row r="317" spans="2:7">
      <c r="B317" s="281">
        <f t="shared" ca="1" si="5"/>
        <v>45735</v>
      </c>
      <c r="C317" s="282">
        <v>1.7321E-2</v>
      </c>
      <c r="F317" s="283">
        <v>44508</v>
      </c>
      <c r="G317" s="284">
        <v>0.95116893999999996</v>
      </c>
    </row>
    <row r="318" spans="2:7">
      <c r="B318" s="281">
        <f t="shared" ca="1" si="5"/>
        <v>45742</v>
      </c>
      <c r="C318" s="282">
        <v>1.7354999999999999E-2</v>
      </c>
      <c r="F318" s="283">
        <v>44515</v>
      </c>
      <c r="G318" s="284">
        <v>0.95090224999999995</v>
      </c>
    </row>
    <row r="319" spans="2:7">
      <c r="B319" s="281">
        <f t="shared" ca="1" si="5"/>
        <v>45749</v>
      </c>
      <c r="C319" s="282">
        <v>1.7388000000000001E-2</v>
      </c>
      <c r="F319" s="283">
        <v>44522</v>
      </c>
      <c r="G319" s="284">
        <v>0.95063503000000005</v>
      </c>
    </row>
    <row r="320" spans="2:7">
      <c r="B320" s="281">
        <f t="shared" ca="1" si="5"/>
        <v>45756</v>
      </c>
      <c r="C320" s="282">
        <v>1.7430999999999999E-2</v>
      </c>
      <c r="F320" s="283">
        <v>44529</v>
      </c>
      <c r="G320" s="284">
        <v>0.95036732000000002</v>
      </c>
    </row>
    <row r="321" spans="2:7">
      <c r="B321" s="281">
        <f t="shared" ca="1" si="5"/>
        <v>45763</v>
      </c>
      <c r="C321" s="282">
        <v>1.746E-2</v>
      </c>
      <c r="F321" s="283">
        <v>44536</v>
      </c>
      <c r="G321" s="284">
        <v>0.95009911000000002</v>
      </c>
    </row>
    <row r="322" spans="2:7">
      <c r="B322" s="281">
        <f t="shared" ca="1" si="5"/>
        <v>45770</v>
      </c>
      <c r="C322" s="282">
        <v>1.7493999999999999E-2</v>
      </c>
      <c r="F322" s="283">
        <v>44543</v>
      </c>
      <c r="G322" s="284">
        <v>0.94983041999999995</v>
      </c>
    </row>
    <row r="323" spans="2:7">
      <c r="B323" s="281">
        <f t="shared" ca="1" si="5"/>
        <v>45777</v>
      </c>
      <c r="C323" s="282">
        <v>1.7521999999999999E-2</v>
      </c>
      <c r="F323" s="283">
        <v>44550</v>
      </c>
      <c r="G323" s="284">
        <v>0.94956127000000001</v>
      </c>
    </row>
    <row r="324" spans="2:7">
      <c r="B324" s="281">
        <f t="shared" ca="1" si="5"/>
        <v>45784</v>
      </c>
      <c r="C324" s="282">
        <v>1.7554E-2</v>
      </c>
      <c r="F324" s="283">
        <v>44557</v>
      </c>
      <c r="G324" s="284">
        <v>0.94929165999999998</v>
      </c>
    </row>
    <row r="325" spans="2:7">
      <c r="B325" s="281">
        <f t="shared" ca="1" si="5"/>
        <v>45791</v>
      </c>
      <c r="C325" s="282">
        <v>1.7582E-2</v>
      </c>
      <c r="F325" s="283">
        <v>44564</v>
      </c>
      <c r="G325" s="284">
        <v>0.94902162000000001</v>
      </c>
    </row>
    <row r="326" spans="2:7">
      <c r="B326" s="281">
        <f t="shared" ca="1" si="5"/>
        <v>45798</v>
      </c>
      <c r="C326" s="282">
        <v>1.7611000000000002E-2</v>
      </c>
      <c r="F326" s="283">
        <v>44571</v>
      </c>
      <c r="G326" s="284">
        <v>0.94875114000000005</v>
      </c>
    </row>
    <row r="327" spans="2:7">
      <c r="B327" s="281">
        <f t="shared" ca="1" si="5"/>
        <v>45805</v>
      </c>
      <c r="C327" s="282">
        <v>1.7642999999999999E-2</v>
      </c>
      <c r="F327" s="283">
        <v>44578</v>
      </c>
      <c r="G327" s="284">
        <v>0.94848023999999997</v>
      </c>
    </row>
    <row r="328" spans="2:7">
      <c r="B328" s="281">
        <f t="shared" ca="1" si="5"/>
        <v>45812</v>
      </c>
      <c r="C328" s="282">
        <v>1.7669000000000001E-2</v>
      </c>
      <c r="F328" s="283">
        <v>44585</v>
      </c>
      <c r="G328" s="284">
        <v>0.94820892000000001</v>
      </c>
    </row>
    <row r="329" spans="2:7">
      <c r="B329" s="281">
        <f t="shared" ca="1" si="5"/>
        <v>45819</v>
      </c>
      <c r="C329" s="282">
        <v>1.7686E-2</v>
      </c>
      <c r="F329" s="283">
        <v>44592</v>
      </c>
      <c r="G329" s="284">
        <v>0.94793718000000005</v>
      </c>
    </row>
    <row r="330" spans="2:7">
      <c r="B330" s="281">
        <f t="shared" ca="1" si="5"/>
        <v>45826</v>
      </c>
      <c r="C330" s="282">
        <v>1.7715000000000002E-2</v>
      </c>
      <c r="F330" s="283">
        <v>44599</v>
      </c>
      <c r="G330" s="284">
        <v>0.94766505000000001</v>
      </c>
    </row>
    <row r="331" spans="2:7">
      <c r="B331" s="281">
        <f t="shared" ca="1" si="5"/>
        <v>45833</v>
      </c>
      <c r="C331" s="282">
        <v>1.7743999999999999E-2</v>
      </c>
      <c r="F331" s="283">
        <v>44606</v>
      </c>
      <c r="G331" s="284">
        <v>0.94739251000000002</v>
      </c>
    </row>
    <row r="332" spans="2:7">
      <c r="B332" s="281">
        <f t="shared" ca="1" si="5"/>
        <v>45840</v>
      </c>
      <c r="C332" s="282">
        <v>1.7774000000000002E-2</v>
      </c>
      <c r="F332" s="283">
        <v>44613</v>
      </c>
      <c r="G332" s="284">
        <v>0.94711955999999997</v>
      </c>
    </row>
    <row r="333" spans="2:7">
      <c r="B333" s="281">
        <f t="shared" ca="1" si="5"/>
        <v>45847</v>
      </c>
      <c r="C333" s="282">
        <v>1.7817E-2</v>
      </c>
      <c r="F333" s="283">
        <v>44620</v>
      </c>
      <c r="G333" s="284">
        <v>0.94684621000000002</v>
      </c>
    </row>
    <row r="334" spans="2:7">
      <c r="B334" s="281">
        <f t="shared" ca="1" si="5"/>
        <v>45854</v>
      </c>
      <c r="C334" s="282">
        <v>1.7847999999999999E-2</v>
      </c>
      <c r="F334" s="283">
        <v>44627</v>
      </c>
      <c r="G334" s="284">
        <v>0.94657245999999995</v>
      </c>
    </row>
    <row r="335" spans="2:7">
      <c r="B335" s="281">
        <f t="shared" ca="1" si="5"/>
        <v>45861</v>
      </c>
      <c r="C335" s="282">
        <v>1.7883E-2</v>
      </c>
      <c r="F335" s="283">
        <v>44634</v>
      </c>
      <c r="G335" s="284">
        <v>0.94629828999999999</v>
      </c>
    </row>
    <row r="336" spans="2:7">
      <c r="B336" s="281">
        <f t="shared" ca="1" si="5"/>
        <v>45868</v>
      </c>
      <c r="C336" s="282">
        <v>1.7912000000000001E-2</v>
      </c>
      <c r="F336" s="283">
        <v>44641</v>
      </c>
      <c r="G336" s="284">
        <v>0.94602370000000002</v>
      </c>
    </row>
    <row r="337" spans="2:7">
      <c r="B337" s="281">
        <f t="shared" ca="1" si="5"/>
        <v>45875</v>
      </c>
      <c r="C337" s="282">
        <v>1.7937000000000002E-2</v>
      </c>
      <c r="F337" s="283">
        <v>44648</v>
      </c>
      <c r="G337" s="284">
        <v>0.94574868000000001</v>
      </c>
    </row>
    <row r="338" spans="2:7">
      <c r="B338" s="281">
        <f t="shared" ca="1" si="5"/>
        <v>45882</v>
      </c>
      <c r="C338" s="282">
        <v>1.7971999999999998E-2</v>
      </c>
      <c r="F338" s="283">
        <v>44655</v>
      </c>
      <c r="G338" s="284">
        <v>0.94547322</v>
      </c>
    </row>
    <row r="339" spans="2:7">
      <c r="B339" s="281">
        <f t="shared" ca="1" si="5"/>
        <v>45889</v>
      </c>
      <c r="C339" s="282">
        <v>1.8008E-2</v>
      </c>
      <c r="F339" s="283">
        <v>44662</v>
      </c>
      <c r="G339" s="284">
        <v>0.94519730000000002</v>
      </c>
    </row>
    <row r="340" spans="2:7">
      <c r="B340" s="281">
        <f t="shared" ca="1" si="5"/>
        <v>45896</v>
      </c>
      <c r="C340" s="282">
        <v>1.8046E-2</v>
      </c>
      <c r="F340" s="283">
        <v>44669</v>
      </c>
      <c r="G340" s="284">
        <v>0.94492089999999995</v>
      </c>
    </row>
    <row r="341" spans="2:7">
      <c r="B341" s="281">
        <f t="shared" ca="1" si="5"/>
        <v>45903</v>
      </c>
      <c r="C341" s="282">
        <v>1.8086000000000001E-2</v>
      </c>
      <c r="F341" s="283">
        <v>44676</v>
      </c>
      <c r="G341" s="284">
        <v>0.94464400999999998</v>
      </c>
    </row>
    <row r="342" spans="2:7">
      <c r="B342" s="281">
        <f t="shared" ca="1" si="5"/>
        <v>45910</v>
      </c>
      <c r="C342" s="282">
        <v>1.8137E-2</v>
      </c>
      <c r="F342" s="283">
        <v>44683</v>
      </c>
      <c r="G342" s="284">
        <v>0.94436659999999994</v>
      </c>
    </row>
    <row r="343" spans="2:7">
      <c r="B343" s="281">
        <f t="shared" ca="1" si="5"/>
        <v>45917</v>
      </c>
      <c r="C343" s="282">
        <v>1.8180000000000002E-2</v>
      </c>
      <c r="F343" s="283">
        <v>44690</v>
      </c>
      <c r="G343" s="284">
        <v>0.94408862999999998</v>
      </c>
    </row>
    <row r="344" spans="2:7">
      <c r="B344" s="281">
        <f t="shared" ca="1" si="5"/>
        <v>45924</v>
      </c>
      <c r="C344" s="282">
        <v>1.8223E-2</v>
      </c>
      <c r="F344" s="283">
        <v>44697</v>
      </c>
      <c r="G344" s="284">
        <v>0.94381006999999995</v>
      </c>
    </row>
    <row r="345" spans="2:7">
      <c r="B345" s="281">
        <f t="shared" ca="1" si="5"/>
        <v>45931</v>
      </c>
      <c r="C345" s="282">
        <v>1.8266000000000001E-2</v>
      </c>
      <c r="F345" s="283">
        <v>44704</v>
      </c>
      <c r="G345" s="284">
        <v>0.94353092000000005</v>
      </c>
    </row>
    <row r="346" spans="2:7">
      <c r="B346" s="281">
        <f t="shared" ca="1" si="5"/>
        <v>45938</v>
      </c>
      <c r="C346" s="282">
        <v>1.83E-2</v>
      </c>
      <c r="F346" s="283">
        <v>44711</v>
      </c>
      <c r="G346" s="284">
        <v>0.94325113000000005</v>
      </c>
    </row>
    <row r="347" spans="2:7">
      <c r="B347" s="281">
        <f t="shared" ca="1" si="5"/>
        <v>45945</v>
      </c>
      <c r="C347" s="282">
        <v>1.8343999999999999E-2</v>
      </c>
      <c r="F347" s="283">
        <v>44718</v>
      </c>
      <c r="G347" s="284">
        <v>0.94297072000000004</v>
      </c>
    </row>
    <row r="348" spans="2:7">
      <c r="B348" s="281">
        <f t="shared" ref="B348:B411" ca="1" si="6">B347+$A$28</f>
        <v>45952</v>
      </c>
      <c r="C348" s="282">
        <v>1.8388999999999999E-2</v>
      </c>
      <c r="F348" s="283">
        <v>44725</v>
      </c>
      <c r="G348" s="284">
        <v>0.94268965000000005</v>
      </c>
    </row>
    <row r="349" spans="2:7">
      <c r="B349" s="281">
        <f t="shared" ca="1" si="6"/>
        <v>45959</v>
      </c>
      <c r="C349" s="282">
        <v>1.8433000000000001E-2</v>
      </c>
      <c r="F349" s="283">
        <v>44732</v>
      </c>
      <c r="G349" s="284">
        <v>0.94240794000000006</v>
      </c>
    </row>
    <row r="350" spans="2:7">
      <c r="B350" s="281">
        <f t="shared" ca="1" si="6"/>
        <v>45966</v>
      </c>
      <c r="C350" s="282">
        <v>1.8477E-2</v>
      </c>
      <c r="F350" s="283">
        <v>44739</v>
      </c>
      <c r="G350" s="284">
        <v>0.94212556000000003</v>
      </c>
    </row>
    <row r="351" spans="2:7">
      <c r="B351" s="281">
        <f t="shared" ca="1" si="6"/>
        <v>45973</v>
      </c>
      <c r="C351" s="282">
        <v>1.8532E-2</v>
      </c>
      <c r="F351" s="283">
        <v>44746</v>
      </c>
      <c r="G351" s="284">
        <v>0.94184252999999996</v>
      </c>
    </row>
    <row r="352" spans="2:7">
      <c r="B352" s="281">
        <f t="shared" ca="1" si="6"/>
        <v>45980</v>
      </c>
      <c r="C352" s="282">
        <v>1.8575000000000001E-2</v>
      </c>
      <c r="F352" s="283">
        <v>44753</v>
      </c>
      <c r="G352" s="284">
        <v>0.94155884000000001</v>
      </c>
    </row>
    <row r="353" spans="2:7">
      <c r="B353" s="281">
        <f t="shared" ca="1" si="6"/>
        <v>45987</v>
      </c>
      <c r="C353" s="282">
        <v>1.8617000000000002E-2</v>
      </c>
      <c r="F353" s="283">
        <v>44760</v>
      </c>
      <c r="G353" s="284">
        <v>0.94127450000000001</v>
      </c>
    </row>
    <row r="354" spans="2:7">
      <c r="B354" s="281">
        <f t="shared" ca="1" si="6"/>
        <v>45994</v>
      </c>
      <c r="C354" s="282">
        <v>1.8662000000000002E-2</v>
      </c>
      <c r="F354" s="283">
        <v>44767</v>
      </c>
      <c r="G354" s="284">
        <v>0.94098952000000002</v>
      </c>
    </row>
    <row r="355" spans="2:7">
      <c r="B355" s="281">
        <f t="shared" ca="1" si="6"/>
        <v>46001</v>
      </c>
      <c r="C355" s="282">
        <v>1.8703000000000001E-2</v>
      </c>
      <c r="F355" s="283">
        <v>44774</v>
      </c>
      <c r="G355" s="284">
        <v>0.94070390999999998</v>
      </c>
    </row>
    <row r="356" spans="2:7">
      <c r="B356" s="281">
        <f t="shared" ca="1" si="6"/>
        <v>46008</v>
      </c>
      <c r="C356" s="282">
        <v>1.8738999999999999E-2</v>
      </c>
      <c r="F356" s="283">
        <v>44781</v>
      </c>
      <c r="G356" s="284">
        <v>0.94041766999999998</v>
      </c>
    </row>
    <row r="357" spans="2:7">
      <c r="B357" s="281">
        <f t="shared" ca="1" si="6"/>
        <v>46015</v>
      </c>
      <c r="C357" s="282">
        <v>1.8776999999999999E-2</v>
      </c>
      <c r="F357" s="283">
        <v>44788</v>
      </c>
      <c r="G357" s="284">
        <v>0.94013082999999997</v>
      </c>
    </row>
    <row r="358" spans="2:7">
      <c r="B358" s="281">
        <f t="shared" ca="1" si="6"/>
        <v>46022</v>
      </c>
      <c r="C358" s="282">
        <v>1.8814000000000001E-2</v>
      </c>
      <c r="F358" s="283">
        <v>44795</v>
      </c>
      <c r="G358" s="284">
        <v>0.9398434</v>
      </c>
    </row>
    <row r="359" spans="2:7">
      <c r="B359" s="281">
        <f t="shared" ca="1" si="6"/>
        <v>46029</v>
      </c>
      <c r="C359" s="282">
        <v>1.8841E-2</v>
      </c>
      <c r="F359" s="283">
        <v>44802</v>
      </c>
      <c r="G359" s="284">
        <v>0.93955540000000004</v>
      </c>
    </row>
    <row r="360" spans="2:7">
      <c r="B360" s="281">
        <f t="shared" ca="1" si="6"/>
        <v>46036</v>
      </c>
      <c r="C360" s="282">
        <v>1.8876E-2</v>
      </c>
      <c r="F360" s="283">
        <v>44809</v>
      </c>
      <c r="G360" s="284">
        <v>0.93926684999999999</v>
      </c>
    </row>
    <row r="361" spans="2:7">
      <c r="B361" s="281">
        <f t="shared" ca="1" si="6"/>
        <v>46043</v>
      </c>
      <c r="C361" s="282">
        <v>1.8908999999999999E-2</v>
      </c>
      <c r="F361" s="283">
        <v>44816</v>
      </c>
      <c r="G361" s="284">
        <v>0.93897777000000004</v>
      </c>
    </row>
    <row r="362" spans="2:7">
      <c r="B362" s="281">
        <f t="shared" ca="1" si="6"/>
        <v>46050</v>
      </c>
      <c r="C362" s="282">
        <v>1.8941E-2</v>
      </c>
      <c r="F362" s="283">
        <v>44823</v>
      </c>
      <c r="G362" s="284">
        <v>0.93868817999999998</v>
      </c>
    </row>
    <row r="363" spans="2:7">
      <c r="B363" s="281">
        <f t="shared" ca="1" si="6"/>
        <v>46057</v>
      </c>
      <c r="C363" s="282">
        <v>1.8971999999999999E-2</v>
      </c>
      <c r="F363" s="283">
        <v>44830</v>
      </c>
      <c r="G363" s="284">
        <v>0.93839810000000001</v>
      </c>
    </row>
    <row r="364" spans="2:7">
      <c r="B364" s="281">
        <f t="shared" ca="1" si="6"/>
        <v>46064</v>
      </c>
      <c r="C364" s="282">
        <v>1.9008000000000001E-2</v>
      </c>
      <c r="F364" s="283">
        <v>44837</v>
      </c>
      <c r="G364" s="284">
        <v>0.93810755999999995</v>
      </c>
    </row>
    <row r="365" spans="2:7">
      <c r="B365" s="281">
        <f t="shared" ca="1" si="6"/>
        <v>46071</v>
      </c>
      <c r="C365" s="282">
        <v>1.9035E-2</v>
      </c>
      <c r="F365" s="283">
        <v>44844</v>
      </c>
      <c r="G365" s="284">
        <v>0.93781658000000001</v>
      </c>
    </row>
    <row r="366" spans="2:7">
      <c r="B366" s="281">
        <f t="shared" ca="1" si="6"/>
        <v>46078</v>
      </c>
      <c r="C366" s="282">
        <v>1.9061000000000002E-2</v>
      </c>
      <c r="F366" s="283">
        <v>44851</v>
      </c>
      <c r="G366" s="284">
        <v>0.93752517999999996</v>
      </c>
    </row>
    <row r="367" spans="2:7">
      <c r="B367" s="281">
        <f t="shared" ca="1" si="6"/>
        <v>46085</v>
      </c>
      <c r="C367" s="282">
        <v>1.9085000000000001E-2</v>
      </c>
      <c r="F367" s="283">
        <v>44858</v>
      </c>
      <c r="G367" s="284">
        <v>0.93723339999999999</v>
      </c>
    </row>
    <row r="368" spans="2:7">
      <c r="B368" s="281">
        <f t="shared" ca="1" si="6"/>
        <v>46092</v>
      </c>
      <c r="C368" s="282">
        <v>1.9102000000000001E-2</v>
      </c>
      <c r="F368" s="283">
        <v>44865</v>
      </c>
      <c r="G368" s="284">
        <v>0.93694124999999995</v>
      </c>
    </row>
    <row r="369" spans="2:7">
      <c r="B369" s="281">
        <f t="shared" ca="1" si="6"/>
        <v>46099</v>
      </c>
      <c r="C369" s="282">
        <v>1.9123999999999999E-2</v>
      </c>
      <c r="F369" s="283">
        <v>44872</v>
      </c>
      <c r="G369" s="284">
        <v>0.93664875999999997</v>
      </c>
    </row>
    <row r="370" spans="2:7">
      <c r="B370" s="281">
        <f t="shared" ca="1" si="6"/>
        <v>46106</v>
      </c>
      <c r="C370" s="282">
        <v>1.9144000000000001E-2</v>
      </c>
      <c r="F370" s="283">
        <v>44879</v>
      </c>
      <c r="G370" s="284">
        <v>0.93635595999999999</v>
      </c>
    </row>
    <row r="371" spans="2:7">
      <c r="B371" s="281">
        <f t="shared" ca="1" si="6"/>
        <v>46113</v>
      </c>
      <c r="C371" s="282">
        <v>1.9164E-2</v>
      </c>
      <c r="F371" s="283">
        <v>44886</v>
      </c>
      <c r="G371" s="284">
        <v>0.93606286000000005</v>
      </c>
    </row>
    <row r="372" spans="2:7">
      <c r="B372" s="281">
        <f t="shared" ca="1" si="6"/>
        <v>46120</v>
      </c>
      <c r="C372" s="282">
        <v>1.9182000000000001E-2</v>
      </c>
      <c r="F372" s="283">
        <v>44893</v>
      </c>
      <c r="G372" s="284">
        <v>0.93576948999999998</v>
      </c>
    </row>
    <row r="373" spans="2:7">
      <c r="B373" s="281">
        <f t="shared" ca="1" si="6"/>
        <v>46127</v>
      </c>
      <c r="C373" s="282">
        <v>1.9203000000000001E-2</v>
      </c>
      <c r="F373" s="283">
        <v>44900</v>
      </c>
      <c r="G373" s="284">
        <v>0.93547588000000004</v>
      </c>
    </row>
    <row r="374" spans="2:7">
      <c r="B374" s="281">
        <f t="shared" ca="1" si="6"/>
        <v>46134</v>
      </c>
      <c r="C374" s="282">
        <v>1.9220999999999999E-2</v>
      </c>
      <c r="F374" s="283">
        <v>44907</v>
      </c>
      <c r="G374" s="284">
        <v>0.93518204000000005</v>
      </c>
    </row>
    <row r="375" spans="2:7">
      <c r="B375" s="281">
        <f t="shared" ca="1" si="6"/>
        <v>46141</v>
      </c>
      <c r="C375" s="282">
        <v>1.9234000000000001E-2</v>
      </c>
      <c r="F375" s="283">
        <v>44914</v>
      </c>
      <c r="G375" s="284">
        <v>0.93488799</v>
      </c>
    </row>
    <row r="376" spans="2:7">
      <c r="B376" s="281">
        <f t="shared" ca="1" si="6"/>
        <v>46148</v>
      </c>
      <c r="C376" s="282">
        <v>1.9248000000000001E-2</v>
      </c>
      <c r="F376" s="283">
        <v>44921</v>
      </c>
      <c r="G376" s="284">
        <v>0.93459376000000005</v>
      </c>
    </row>
    <row r="377" spans="2:7">
      <c r="B377" s="281">
        <f t="shared" ca="1" si="6"/>
        <v>46155</v>
      </c>
      <c r="C377" s="282">
        <v>1.9261E-2</v>
      </c>
      <c r="F377" s="283">
        <v>44928</v>
      </c>
      <c r="G377" s="284">
        <v>0.93429936000000002</v>
      </c>
    </row>
    <row r="378" spans="2:7">
      <c r="B378" s="281">
        <f t="shared" ca="1" si="6"/>
        <v>46162</v>
      </c>
      <c r="C378" s="282">
        <v>1.9273999999999999E-2</v>
      </c>
      <c r="F378" s="283">
        <v>44935</v>
      </c>
      <c r="G378" s="284">
        <v>0.93400479999999997</v>
      </c>
    </row>
    <row r="379" spans="2:7">
      <c r="B379" s="281">
        <f t="shared" ca="1" si="6"/>
        <v>46169</v>
      </c>
      <c r="C379" s="282">
        <v>1.9288E-2</v>
      </c>
      <c r="F379" s="283">
        <v>44942</v>
      </c>
      <c r="G379" s="284">
        <v>0.93371009999999999</v>
      </c>
    </row>
    <row r="380" spans="2:7">
      <c r="B380" s="281">
        <f t="shared" ca="1" si="6"/>
        <v>46176</v>
      </c>
      <c r="C380" s="282">
        <v>1.9299E-2</v>
      </c>
      <c r="F380" s="283">
        <v>44949</v>
      </c>
      <c r="G380" s="284">
        <v>0.93341527000000002</v>
      </c>
    </row>
    <row r="381" spans="2:7">
      <c r="B381" s="281">
        <f t="shared" ca="1" si="6"/>
        <v>46183</v>
      </c>
      <c r="C381" s="282">
        <v>1.9304000000000002E-2</v>
      </c>
      <c r="F381" s="283">
        <v>44956</v>
      </c>
      <c r="G381" s="284">
        <v>0.93312032</v>
      </c>
    </row>
    <row r="382" spans="2:7">
      <c r="B382" s="281">
        <f t="shared" ca="1" si="6"/>
        <v>46190</v>
      </c>
      <c r="C382" s="282">
        <v>1.9316E-2</v>
      </c>
      <c r="F382" s="283">
        <v>44963</v>
      </c>
      <c r="G382" s="284">
        <v>0.93282525000000005</v>
      </c>
    </row>
    <row r="383" spans="2:7">
      <c r="B383" s="281">
        <f t="shared" ca="1" si="6"/>
        <v>46197</v>
      </c>
      <c r="C383" s="282">
        <v>1.9328999999999999E-2</v>
      </c>
      <c r="F383" s="283">
        <v>44970</v>
      </c>
      <c r="G383" s="284">
        <v>0.93253008000000004</v>
      </c>
    </row>
    <row r="384" spans="2:7">
      <c r="B384" s="281">
        <f t="shared" ca="1" si="6"/>
        <v>46204</v>
      </c>
      <c r="C384" s="282">
        <v>1.9342000000000002E-2</v>
      </c>
      <c r="F384" s="283">
        <v>44977</v>
      </c>
      <c r="G384" s="284">
        <v>0.93223478999999998</v>
      </c>
    </row>
    <row r="385" spans="2:7">
      <c r="B385" s="281">
        <f t="shared" ca="1" si="6"/>
        <v>46211</v>
      </c>
      <c r="C385" s="282">
        <v>1.9362999999999998E-2</v>
      </c>
      <c r="F385" s="283">
        <v>44984</v>
      </c>
      <c r="G385" s="284">
        <v>0.93193939999999997</v>
      </c>
    </row>
    <row r="386" spans="2:7">
      <c r="B386" s="281">
        <f t="shared" ca="1" si="6"/>
        <v>46218</v>
      </c>
      <c r="C386" s="282">
        <v>1.9380000000000001E-2</v>
      </c>
      <c r="F386" s="283">
        <v>44991</v>
      </c>
      <c r="G386" s="284">
        <v>0.93164387999999998</v>
      </c>
    </row>
    <row r="387" spans="2:7">
      <c r="B387" s="281">
        <f t="shared" ca="1" si="6"/>
        <v>46225</v>
      </c>
      <c r="C387" s="282">
        <v>1.9394999999999999E-2</v>
      </c>
      <c r="F387" s="283">
        <v>44998</v>
      </c>
      <c r="G387" s="284">
        <v>0.93134824999999999</v>
      </c>
    </row>
    <row r="388" spans="2:7">
      <c r="B388" s="281">
        <f t="shared" ca="1" si="6"/>
        <v>46232</v>
      </c>
      <c r="C388" s="282">
        <v>1.9413E-2</v>
      </c>
      <c r="F388" s="283">
        <v>45005</v>
      </c>
      <c r="G388" s="284">
        <v>0.93105247000000002</v>
      </c>
    </row>
    <row r="389" spans="2:7">
      <c r="B389" s="281">
        <f t="shared" ca="1" si="6"/>
        <v>46239</v>
      </c>
      <c r="C389" s="282">
        <v>1.9425999999999999E-2</v>
      </c>
      <c r="F389" s="283">
        <v>45012</v>
      </c>
      <c r="G389" s="284">
        <v>0.93075655000000002</v>
      </c>
    </row>
    <row r="390" spans="2:7">
      <c r="B390" s="281">
        <f t="shared" ca="1" si="6"/>
        <v>46246</v>
      </c>
      <c r="C390" s="282">
        <v>1.9446000000000001E-2</v>
      </c>
      <c r="F390" s="283">
        <v>45019</v>
      </c>
      <c r="G390" s="284">
        <v>0.93046044999999999</v>
      </c>
    </row>
    <row r="391" spans="2:7">
      <c r="B391" s="281">
        <f t="shared" ca="1" si="6"/>
        <v>46253</v>
      </c>
      <c r="C391" s="282">
        <v>1.9467999999999999E-2</v>
      </c>
      <c r="F391" s="283">
        <v>45026</v>
      </c>
      <c r="G391" s="284">
        <v>0.93016416000000002</v>
      </c>
    </row>
    <row r="392" spans="2:7">
      <c r="B392" s="281">
        <f t="shared" ca="1" si="6"/>
        <v>46260</v>
      </c>
      <c r="C392" s="282">
        <v>1.949E-2</v>
      </c>
      <c r="F392" s="283">
        <v>45033</v>
      </c>
      <c r="G392" s="284">
        <v>0.92986764</v>
      </c>
    </row>
    <row r="393" spans="2:7">
      <c r="B393" s="281">
        <f t="shared" ca="1" si="6"/>
        <v>46267</v>
      </c>
      <c r="C393" s="282">
        <v>1.9512999999999999E-2</v>
      </c>
      <c r="F393" s="283">
        <v>45040</v>
      </c>
      <c r="G393" s="284">
        <v>0.92957087999999999</v>
      </c>
    </row>
    <row r="394" spans="2:7">
      <c r="B394" s="281">
        <f t="shared" ca="1" si="6"/>
        <v>46274</v>
      </c>
      <c r="C394" s="282">
        <v>1.9543000000000001E-2</v>
      </c>
      <c r="F394" s="283">
        <v>45047</v>
      </c>
      <c r="G394" s="284">
        <v>0.92927384999999996</v>
      </c>
    </row>
    <row r="395" spans="2:7">
      <c r="B395" s="281">
        <f t="shared" ca="1" si="6"/>
        <v>46281</v>
      </c>
      <c r="C395" s="282">
        <v>1.9567000000000001E-2</v>
      </c>
      <c r="F395" s="283">
        <v>45054</v>
      </c>
      <c r="G395" s="284">
        <v>0.92897655000000001</v>
      </c>
    </row>
    <row r="396" spans="2:7">
      <c r="B396" s="281">
        <f t="shared" ca="1" si="6"/>
        <v>46288</v>
      </c>
      <c r="C396" s="282">
        <v>1.959E-2</v>
      </c>
      <c r="F396" s="283">
        <v>45061</v>
      </c>
      <c r="G396" s="284">
        <v>0.92867898000000004</v>
      </c>
    </row>
    <row r="397" spans="2:7">
      <c r="B397" s="281">
        <f t="shared" ca="1" si="6"/>
        <v>46295</v>
      </c>
      <c r="C397" s="282">
        <v>1.9613999999999999E-2</v>
      </c>
      <c r="F397" s="283">
        <v>45068</v>
      </c>
      <c r="G397" s="284">
        <v>0.92838114000000005</v>
      </c>
    </row>
    <row r="398" spans="2:7">
      <c r="B398" s="281">
        <f t="shared" ca="1" si="6"/>
        <v>46302</v>
      </c>
      <c r="C398" s="282">
        <v>1.9632E-2</v>
      </c>
      <c r="F398" s="283">
        <v>45075</v>
      </c>
      <c r="G398" s="284">
        <v>0.92808303000000003</v>
      </c>
    </row>
    <row r="399" spans="2:7">
      <c r="B399" s="281">
        <f t="shared" ca="1" si="6"/>
        <v>46309</v>
      </c>
      <c r="C399" s="282">
        <v>1.9656E-2</v>
      </c>
      <c r="F399" s="283">
        <v>45082</v>
      </c>
      <c r="G399" s="284">
        <v>0.92778466000000004</v>
      </c>
    </row>
    <row r="400" spans="2:7">
      <c r="B400" s="281">
        <f t="shared" ca="1" si="6"/>
        <v>46316</v>
      </c>
      <c r="C400" s="282">
        <v>1.968E-2</v>
      </c>
      <c r="F400" s="283">
        <v>45089</v>
      </c>
      <c r="G400" s="284">
        <v>0.92748602000000002</v>
      </c>
    </row>
    <row r="401" spans="2:7">
      <c r="B401" s="281">
        <f t="shared" ca="1" si="6"/>
        <v>46323</v>
      </c>
      <c r="C401" s="282">
        <v>1.9703999999999999E-2</v>
      </c>
      <c r="F401" s="283">
        <v>45096</v>
      </c>
      <c r="G401" s="284">
        <v>0.92718710999999998</v>
      </c>
    </row>
    <row r="402" spans="2:7">
      <c r="B402" s="281">
        <f t="shared" ca="1" si="6"/>
        <v>46330</v>
      </c>
      <c r="C402" s="282">
        <v>1.9727999999999999E-2</v>
      </c>
      <c r="F402" s="283">
        <v>45103</v>
      </c>
      <c r="G402" s="284">
        <v>0.92688793000000003</v>
      </c>
    </row>
    <row r="403" spans="2:7">
      <c r="B403" s="281">
        <f t="shared" ca="1" si="6"/>
        <v>46337</v>
      </c>
      <c r="C403" s="282">
        <v>1.9758000000000001E-2</v>
      </c>
      <c r="F403" s="283">
        <v>45110</v>
      </c>
      <c r="G403" s="284">
        <v>0.92658848999999999</v>
      </c>
    </row>
    <row r="404" spans="2:7">
      <c r="B404" s="281">
        <f t="shared" ca="1" si="6"/>
        <v>46344</v>
      </c>
      <c r="C404" s="282">
        <v>1.9782000000000001E-2</v>
      </c>
      <c r="F404" s="283">
        <v>45117</v>
      </c>
      <c r="G404" s="284">
        <v>0.92628878000000003</v>
      </c>
    </row>
    <row r="405" spans="2:7">
      <c r="B405" s="281">
        <f t="shared" ca="1" si="6"/>
        <v>46351</v>
      </c>
      <c r="C405" s="282">
        <v>1.9806000000000001E-2</v>
      </c>
      <c r="F405" s="283">
        <v>45124</v>
      </c>
      <c r="G405" s="284">
        <v>0.92598879999999995</v>
      </c>
    </row>
    <row r="406" spans="2:7">
      <c r="B406" s="281">
        <f t="shared" ca="1" si="6"/>
        <v>46358</v>
      </c>
      <c r="C406" s="282">
        <v>1.9831999999999999E-2</v>
      </c>
      <c r="F406" s="283">
        <v>45131</v>
      </c>
      <c r="G406" s="284">
        <v>0.92568855999999999</v>
      </c>
    </row>
    <row r="407" spans="2:7">
      <c r="B407" s="281">
        <f t="shared" ca="1" si="6"/>
        <v>46365</v>
      </c>
      <c r="C407" s="282">
        <v>1.9855000000000001E-2</v>
      </c>
      <c r="F407" s="283">
        <v>45138</v>
      </c>
      <c r="G407" s="284">
        <v>0.92538805000000002</v>
      </c>
    </row>
    <row r="408" spans="2:7">
      <c r="B408" s="281">
        <f t="shared" ca="1" si="6"/>
        <v>46372</v>
      </c>
      <c r="C408" s="282">
        <v>1.9876000000000001E-2</v>
      </c>
      <c r="F408" s="283">
        <v>45145</v>
      </c>
      <c r="G408" s="284">
        <v>0.92508727999999996</v>
      </c>
    </row>
    <row r="409" spans="2:7">
      <c r="B409" s="281">
        <f t="shared" ca="1" si="6"/>
        <v>46379</v>
      </c>
      <c r="C409" s="282">
        <v>1.9897999999999999E-2</v>
      </c>
      <c r="F409" s="283">
        <v>45152</v>
      </c>
      <c r="G409" s="284">
        <v>0.92478623999999998</v>
      </c>
    </row>
    <row r="410" spans="2:7">
      <c r="B410" s="281">
        <f t="shared" ca="1" si="6"/>
        <v>46386</v>
      </c>
      <c r="C410" s="282">
        <v>1.9921000000000001E-2</v>
      </c>
      <c r="F410" s="283">
        <v>45159</v>
      </c>
      <c r="G410" s="284">
        <v>0.92448494000000003</v>
      </c>
    </row>
    <row r="411" spans="2:7">
      <c r="B411" s="281">
        <f t="shared" ca="1" si="6"/>
        <v>46393</v>
      </c>
      <c r="C411" s="282">
        <v>1.9937E-2</v>
      </c>
      <c r="F411" s="283">
        <v>45166</v>
      </c>
      <c r="G411" s="284">
        <v>0.92418338</v>
      </c>
    </row>
    <row r="412" spans="2:7">
      <c r="B412" s="281">
        <f t="shared" ref="B412:B475" ca="1" si="7">B411+$A$28</f>
        <v>46400</v>
      </c>
      <c r="C412" s="282">
        <v>1.9959000000000001E-2</v>
      </c>
      <c r="F412" s="283">
        <v>45173</v>
      </c>
      <c r="G412" s="284">
        <v>0.92388155000000005</v>
      </c>
    </row>
    <row r="413" spans="2:7">
      <c r="B413" s="281">
        <f t="shared" ca="1" si="7"/>
        <v>46407</v>
      </c>
      <c r="C413" s="282">
        <v>1.9980999999999999E-2</v>
      </c>
      <c r="F413" s="283">
        <v>45180</v>
      </c>
      <c r="G413" s="284">
        <v>0.92357946000000002</v>
      </c>
    </row>
    <row r="414" spans="2:7">
      <c r="B414" s="281">
        <f t="shared" ca="1" si="7"/>
        <v>46414</v>
      </c>
      <c r="C414" s="282">
        <v>2.0001999999999999E-2</v>
      </c>
      <c r="F414" s="283">
        <v>45187</v>
      </c>
      <c r="G414" s="284">
        <v>0.92327711000000001</v>
      </c>
    </row>
    <row r="415" spans="2:7">
      <c r="B415" s="281">
        <f t="shared" ca="1" si="7"/>
        <v>46421</v>
      </c>
      <c r="C415" s="282">
        <v>2.0022999999999999E-2</v>
      </c>
      <c r="F415" s="283">
        <v>45194</v>
      </c>
      <c r="G415" s="284">
        <v>0.92297448999999998</v>
      </c>
    </row>
    <row r="416" spans="2:7">
      <c r="B416" s="281">
        <f t="shared" ca="1" si="7"/>
        <v>46428</v>
      </c>
      <c r="C416" s="282">
        <v>2.0049999999999998E-2</v>
      </c>
      <c r="F416" s="283">
        <v>45201</v>
      </c>
      <c r="G416" s="284">
        <v>0.92267162000000003</v>
      </c>
    </row>
    <row r="417" spans="2:7">
      <c r="B417" s="281">
        <f t="shared" ca="1" si="7"/>
        <v>46435</v>
      </c>
      <c r="C417" s="282">
        <v>2.0070000000000001E-2</v>
      </c>
      <c r="F417" s="283">
        <v>45208</v>
      </c>
      <c r="G417" s="284">
        <v>0.92236848999999999</v>
      </c>
    </row>
    <row r="418" spans="2:7">
      <c r="B418" s="281">
        <f t="shared" ca="1" si="7"/>
        <v>46442</v>
      </c>
      <c r="C418" s="282">
        <v>2.009E-2</v>
      </c>
      <c r="F418" s="283">
        <v>45215</v>
      </c>
      <c r="G418" s="284">
        <v>0.92206509000000003</v>
      </c>
    </row>
    <row r="419" spans="2:7">
      <c r="B419" s="281">
        <f t="shared" ca="1" si="7"/>
        <v>46449</v>
      </c>
      <c r="C419" s="282">
        <v>2.0109999999999999E-2</v>
      </c>
      <c r="F419" s="283">
        <v>45222</v>
      </c>
      <c r="G419" s="284">
        <v>0.92176144000000004</v>
      </c>
    </row>
    <row r="420" spans="2:7">
      <c r="B420" s="281">
        <f t="shared" ca="1" si="7"/>
        <v>46456</v>
      </c>
      <c r="C420" s="282">
        <v>2.0124E-2</v>
      </c>
      <c r="F420" s="283">
        <v>45229</v>
      </c>
      <c r="G420" s="284">
        <v>0.92145752999999997</v>
      </c>
    </row>
    <row r="421" spans="2:7">
      <c r="B421" s="281">
        <f t="shared" ca="1" si="7"/>
        <v>46463</v>
      </c>
      <c r="C421" s="282">
        <v>2.0143000000000001E-2</v>
      </c>
      <c r="F421" s="283">
        <v>45236</v>
      </c>
      <c r="G421" s="284">
        <v>0.92115336999999997</v>
      </c>
    </row>
    <row r="422" spans="2:7">
      <c r="B422" s="281">
        <f t="shared" ca="1" si="7"/>
        <v>46470</v>
      </c>
      <c r="C422" s="282">
        <v>2.0160999999999998E-2</v>
      </c>
      <c r="F422" s="283">
        <v>45243</v>
      </c>
      <c r="G422" s="284">
        <v>0.92084893999999995</v>
      </c>
    </row>
    <row r="423" spans="2:7">
      <c r="B423" s="281">
        <f t="shared" ca="1" si="7"/>
        <v>46477</v>
      </c>
      <c r="C423" s="282">
        <v>2.018E-2</v>
      </c>
      <c r="F423" s="283">
        <v>45250</v>
      </c>
      <c r="G423" s="284">
        <v>0.92054426</v>
      </c>
    </row>
    <row r="424" spans="2:7">
      <c r="B424" s="281">
        <f t="shared" ca="1" si="7"/>
        <v>46484</v>
      </c>
      <c r="C424" s="282">
        <v>2.0198000000000001E-2</v>
      </c>
      <c r="F424" s="283">
        <v>45257</v>
      </c>
      <c r="G424" s="284">
        <v>0.92023931999999997</v>
      </c>
    </row>
    <row r="425" spans="2:7">
      <c r="B425" s="281">
        <f t="shared" ca="1" si="7"/>
        <v>46491</v>
      </c>
      <c r="C425" s="282">
        <v>2.0222E-2</v>
      </c>
      <c r="F425" s="283">
        <v>45264</v>
      </c>
      <c r="G425" s="284">
        <v>0.91993413000000002</v>
      </c>
    </row>
    <row r="426" spans="2:7">
      <c r="B426" s="281">
        <f t="shared" ca="1" si="7"/>
        <v>46498</v>
      </c>
      <c r="C426" s="282">
        <v>2.0240999999999999E-2</v>
      </c>
      <c r="F426" s="283">
        <v>45271</v>
      </c>
      <c r="G426" s="284">
        <v>0.91962869000000003</v>
      </c>
    </row>
    <row r="427" spans="2:7">
      <c r="B427" s="281">
        <f t="shared" ca="1" si="7"/>
        <v>46505</v>
      </c>
      <c r="C427" s="282">
        <v>2.0257000000000001E-2</v>
      </c>
      <c r="F427" s="283">
        <v>45278</v>
      </c>
      <c r="G427" s="284">
        <v>0.91932298999999995</v>
      </c>
    </row>
    <row r="428" spans="2:7">
      <c r="B428" s="281">
        <f t="shared" ca="1" si="7"/>
        <v>46512</v>
      </c>
      <c r="C428" s="282">
        <v>2.0275000000000001E-2</v>
      </c>
      <c r="F428" s="283">
        <v>45285</v>
      </c>
      <c r="G428" s="284">
        <v>0.91901703999999995</v>
      </c>
    </row>
    <row r="429" spans="2:7">
      <c r="B429" s="281">
        <f t="shared" ca="1" si="7"/>
        <v>46519</v>
      </c>
      <c r="C429" s="282">
        <v>2.0292000000000001E-2</v>
      </c>
      <c r="F429" s="283">
        <v>45292</v>
      </c>
      <c r="G429" s="284">
        <v>0.91871082999999998</v>
      </c>
    </row>
    <row r="430" spans="2:7">
      <c r="B430" s="281">
        <f t="shared" ca="1" si="7"/>
        <v>46526</v>
      </c>
      <c r="C430" s="282">
        <v>2.0309000000000001E-2</v>
      </c>
      <c r="F430" s="283">
        <v>45299</v>
      </c>
      <c r="G430" s="284">
        <v>0.91840436999999997</v>
      </c>
    </row>
    <row r="431" spans="2:7">
      <c r="B431" s="281">
        <f t="shared" ca="1" si="7"/>
        <v>46533</v>
      </c>
      <c r="C431" s="282">
        <v>2.0327000000000001E-2</v>
      </c>
      <c r="F431" s="283">
        <v>45306</v>
      </c>
      <c r="G431" s="284">
        <v>0.91809766000000004</v>
      </c>
    </row>
    <row r="432" spans="2:7">
      <c r="B432" s="281">
        <f t="shared" ca="1" si="7"/>
        <v>46540</v>
      </c>
      <c r="C432" s="282">
        <v>2.0343E-2</v>
      </c>
      <c r="F432" s="283">
        <v>45313</v>
      </c>
      <c r="G432" s="284">
        <v>0.91779069999999996</v>
      </c>
    </row>
    <row r="433" spans="2:7">
      <c r="B433" s="281">
        <f t="shared" ca="1" si="7"/>
        <v>46547</v>
      </c>
      <c r="C433" s="282">
        <v>2.0351999999999999E-2</v>
      </c>
      <c r="F433" s="283">
        <v>45320</v>
      </c>
      <c r="G433" s="284">
        <v>0.91748348999999996</v>
      </c>
    </row>
    <row r="434" spans="2:7">
      <c r="B434" s="281">
        <f t="shared" ca="1" si="7"/>
        <v>46554</v>
      </c>
      <c r="C434" s="282">
        <v>2.0369000000000002E-2</v>
      </c>
      <c r="F434" s="283">
        <v>45327</v>
      </c>
      <c r="G434" s="284">
        <v>0.91717603000000003</v>
      </c>
    </row>
    <row r="435" spans="2:7">
      <c r="B435" s="281">
        <f t="shared" ca="1" si="7"/>
        <v>46561</v>
      </c>
      <c r="C435" s="282">
        <v>2.0386000000000001E-2</v>
      </c>
      <c r="F435" s="283">
        <v>45334</v>
      </c>
      <c r="G435" s="284">
        <v>0.91686831999999996</v>
      </c>
    </row>
    <row r="436" spans="2:7">
      <c r="B436" s="281">
        <f t="shared" ca="1" si="7"/>
        <v>46568</v>
      </c>
      <c r="C436" s="282">
        <v>2.0403000000000001E-2</v>
      </c>
      <c r="F436" s="283">
        <v>45341</v>
      </c>
      <c r="G436" s="284">
        <v>0.91656035000000002</v>
      </c>
    </row>
    <row r="437" spans="2:7">
      <c r="B437" s="281">
        <f t="shared" ca="1" si="7"/>
        <v>46575</v>
      </c>
      <c r="C437" s="282">
        <v>2.0420000000000001E-2</v>
      </c>
      <c r="F437" s="283">
        <v>45348</v>
      </c>
      <c r="G437" s="284">
        <v>0.91625213999999999</v>
      </c>
    </row>
    <row r="438" spans="2:7">
      <c r="B438" s="281">
        <f t="shared" ca="1" si="7"/>
        <v>46582</v>
      </c>
      <c r="C438" s="282">
        <v>2.0445000000000001E-2</v>
      </c>
      <c r="F438" s="283">
        <v>45355</v>
      </c>
      <c r="G438" s="284">
        <v>0.91594368000000004</v>
      </c>
    </row>
    <row r="439" spans="2:7">
      <c r="B439" s="281">
        <f t="shared" ca="1" si="7"/>
        <v>46589</v>
      </c>
      <c r="C439" s="282">
        <v>2.0462999999999999E-2</v>
      </c>
      <c r="F439" s="283">
        <v>45362</v>
      </c>
      <c r="G439" s="284">
        <v>0.91563497000000005</v>
      </c>
    </row>
    <row r="440" spans="2:7">
      <c r="B440" s="281">
        <f t="shared" ca="1" si="7"/>
        <v>46596</v>
      </c>
      <c r="C440" s="282">
        <v>2.0480999999999999E-2</v>
      </c>
      <c r="F440" s="283">
        <v>45369</v>
      </c>
      <c r="G440" s="284">
        <v>0.91532601000000002</v>
      </c>
    </row>
    <row r="441" spans="2:7">
      <c r="B441" s="281">
        <f t="shared" ca="1" si="7"/>
        <v>46603</v>
      </c>
      <c r="C441" s="282">
        <v>2.0499E-2</v>
      </c>
      <c r="F441" s="283">
        <v>45376</v>
      </c>
      <c r="G441" s="284">
        <v>0.91501681000000001</v>
      </c>
    </row>
    <row r="442" spans="2:7">
      <c r="B442" s="281">
        <f t="shared" ca="1" si="7"/>
        <v>46610</v>
      </c>
      <c r="C442" s="282">
        <v>2.0511000000000001E-2</v>
      </c>
      <c r="F442" s="283">
        <v>45383</v>
      </c>
      <c r="G442" s="284">
        <v>0.91470735000000003</v>
      </c>
    </row>
    <row r="443" spans="2:7">
      <c r="B443" s="281">
        <f t="shared" ca="1" si="7"/>
        <v>46617</v>
      </c>
      <c r="C443" s="282">
        <v>2.053E-2</v>
      </c>
      <c r="F443" s="283">
        <v>45390</v>
      </c>
      <c r="G443" s="284">
        <v>0.91439764999999995</v>
      </c>
    </row>
    <row r="444" spans="2:7">
      <c r="B444" s="281">
        <f t="shared" ca="1" si="7"/>
        <v>46624</v>
      </c>
      <c r="C444" s="282">
        <v>2.0548E-2</v>
      </c>
      <c r="F444" s="283">
        <v>45397</v>
      </c>
      <c r="G444" s="284">
        <v>0.91408769999999995</v>
      </c>
    </row>
    <row r="445" spans="2:7">
      <c r="B445" s="281">
        <f t="shared" ca="1" si="7"/>
        <v>46631</v>
      </c>
      <c r="C445" s="282">
        <v>2.0566000000000001E-2</v>
      </c>
      <c r="F445" s="283">
        <v>45404</v>
      </c>
      <c r="G445" s="284">
        <v>0.91377750000000002</v>
      </c>
    </row>
    <row r="446" spans="2:7">
      <c r="B446" s="281">
        <f t="shared" ca="1" si="7"/>
        <v>46638</v>
      </c>
      <c r="C446" s="282">
        <v>2.0590000000000001E-2</v>
      </c>
      <c r="F446" s="283">
        <v>45411</v>
      </c>
      <c r="G446" s="284">
        <v>0.91346704999999995</v>
      </c>
    </row>
    <row r="447" spans="2:7">
      <c r="B447" s="281">
        <f t="shared" ca="1" si="7"/>
        <v>46645</v>
      </c>
      <c r="C447" s="282">
        <v>2.0607E-2</v>
      </c>
      <c r="F447" s="283">
        <v>45418</v>
      </c>
      <c r="G447" s="284">
        <v>0.91315636</v>
      </c>
    </row>
    <row r="448" spans="2:7">
      <c r="B448" s="281">
        <f t="shared" ca="1" si="7"/>
        <v>46652</v>
      </c>
      <c r="C448" s="282">
        <v>2.0624E-2</v>
      </c>
      <c r="F448" s="283">
        <v>45425</v>
      </c>
      <c r="G448" s="284">
        <v>0.91284542000000002</v>
      </c>
    </row>
    <row r="449" spans="2:7">
      <c r="B449" s="281">
        <f t="shared" ca="1" si="7"/>
        <v>46659</v>
      </c>
      <c r="C449" s="282">
        <v>2.0641E-2</v>
      </c>
      <c r="F449" s="283">
        <v>45432</v>
      </c>
      <c r="G449" s="284">
        <v>0.91253424999999999</v>
      </c>
    </row>
    <row r="450" spans="2:7">
      <c r="B450" s="281">
        <f t="shared" ca="1" si="7"/>
        <v>46666</v>
      </c>
      <c r="C450" s="282">
        <v>2.0652E-2</v>
      </c>
      <c r="F450" s="283">
        <v>45439</v>
      </c>
      <c r="G450" s="284">
        <v>0.91222283999999998</v>
      </c>
    </row>
    <row r="451" spans="2:7">
      <c r="B451" s="281">
        <f t="shared" ca="1" si="7"/>
        <v>46673</v>
      </c>
      <c r="C451" s="282">
        <v>2.0669E-2</v>
      </c>
      <c r="F451" s="283">
        <v>45446</v>
      </c>
      <c r="G451" s="284">
        <v>0.91191120000000003</v>
      </c>
    </row>
    <row r="452" spans="2:7">
      <c r="B452" s="281">
        <f t="shared" ca="1" si="7"/>
        <v>46680</v>
      </c>
      <c r="C452" s="282">
        <v>2.0684999999999999E-2</v>
      </c>
      <c r="F452" s="283">
        <v>45453</v>
      </c>
      <c r="G452" s="284">
        <v>0.91159933000000004</v>
      </c>
    </row>
    <row r="453" spans="2:7">
      <c r="B453" s="281">
        <f t="shared" ca="1" si="7"/>
        <v>46687</v>
      </c>
      <c r="C453" s="282">
        <v>2.0702000000000002E-2</v>
      </c>
      <c r="F453" s="283">
        <v>45460</v>
      </c>
      <c r="G453" s="284">
        <v>0.91128721999999995</v>
      </c>
    </row>
    <row r="454" spans="2:7">
      <c r="B454" s="281">
        <f t="shared" ca="1" si="7"/>
        <v>46694</v>
      </c>
      <c r="C454" s="282">
        <v>2.0718E-2</v>
      </c>
      <c r="F454" s="283">
        <v>45467</v>
      </c>
      <c r="G454" s="284">
        <v>0.91097488999999998</v>
      </c>
    </row>
    <row r="455" spans="2:7">
      <c r="B455" s="281">
        <f t="shared" ca="1" si="7"/>
        <v>46701</v>
      </c>
      <c r="C455" s="282">
        <v>2.0740000000000001E-2</v>
      </c>
      <c r="F455" s="283">
        <v>45474</v>
      </c>
      <c r="G455" s="284">
        <v>0.91066232999999996</v>
      </c>
    </row>
    <row r="456" spans="2:7">
      <c r="B456" s="281">
        <f t="shared" ca="1" si="7"/>
        <v>46708</v>
      </c>
      <c r="C456" s="282">
        <v>2.0757000000000001E-2</v>
      </c>
      <c r="F456" s="283">
        <v>45481</v>
      </c>
      <c r="G456" s="284">
        <v>0.91034954000000001</v>
      </c>
    </row>
    <row r="457" spans="2:7">
      <c r="B457" s="281">
        <f t="shared" ca="1" si="7"/>
        <v>46715</v>
      </c>
      <c r="C457" s="282">
        <v>2.0774000000000001E-2</v>
      </c>
      <c r="F457" s="283">
        <v>45488</v>
      </c>
      <c r="G457" s="284">
        <v>0.91003652000000002</v>
      </c>
    </row>
    <row r="458" spans="2:7">
      <c r="B458" s="281">
        <f t="shared" ca="1" si="7"/>
        <v>46722</v>
      </c>
      <c r="C458" s="282">
        <v>2.0792999999999999E-2</v>
      </c>
      <c r="F458" s="283">
        <v>45495</v>
      </c>
      <c r="G458" s="284">
        <v>0.90972326999999997</v>
      </c>
    </row>
    <row r="459" spans="2:7">
      <c r="B459" s="281">
        <f t="shared" ca="1" si="7"/>
        <v>46729</v>
      </c>
      <c r="C459" s="282">
        <v>2.0802999999999999E-2</v>
      </c>
      <c r="F459" s="283">
        <v>45502</v>
      </c>
      <c r="G459" s="284">
        <v>0.90940980000000005</v>
      </c>
    </row>
    <row r="460" spans="2:7">
      <c r="B460" s="281">
        <f t="shared" ca="1" si="7"/>
        <v>46736</v>
      </c>
      <c r="C460" s="282">
        <v>2.0826000000000001E-2</v>
      </c>
      <c r="F460" s="283">
        <v>45509</v>
      </c>
      <c r="G460" s="284">
        <v>0.90909609000000002</v>
      </c>
    </row>
    <row r="461" spans="2:7">
      <c r="B461" s="281">
        <f t="shared" ca="1" si="7"/>
        <v>46743</v>
      </c>
      <c r="C461" s="282">
        <v>2.0844000000000001E-2</v>
      </c>
      <c r="F461" s="283">
        <v>45516</v>
      </c>
      <c r="G461" s="284">
        <v>0.90878214999999996</v>
      </c>
    </row>
    <row r="462" spans="2:7">
      <c r="B462" s="281">
        <f t="shared" ca="1" si="7"/>
        <v>46750</v>
      </c>
      <c r="C462" s="282">
        <v>2.0861999999999999E-2</v>
      </c>
      <c r="F462" s="283">
        <v>45523</v>
      </c>
      <c r="G462" s="284">
        <v>0.90846797999999995</v>
      </c>
    </row>
    <row r="463" spans="2:7">
      <c r="B463" s="281">
        <f t="shared" ca="1" si="7"/>
        <v>46757</v>
      </c>
      <c r="C463" s="282">
        <v>2.0881E-2</v>
      </c>
      <c r="F463" s="283">
        <v>45530</v>
      </c>
      <c r="G463" s="284">
        <v>0.90815358000000002</v>
      </c>
    </row>
    <row r="464" spans="2:7">
      <c r="B464" s="281">
        <f t="shared" ca="1" si="7"/>
        <v>46764</v>
      </c>
      <c r="C464" s="282">
        <v>2.0893999999999999E-2</v>
      </c>
      <c r="F464" s="283">
        <v>45537</v>
      </c>
      <c r="G464" s="284">
        <v>0.90783893999999998</v>
      </c>
    </row>
    <row r="465" spans="2:7">
      <c r="B465" s="281">
        <f t="shared" ca="1" si="7"/>
        <v>46771</v>
      </c>
      <c r="C465" s="282">
        <v>2.0913000000000001E-2</v>
      </c>
      <c r="F465" s="283">
        <v>45544</v>
      </c>
      <c r="G465" s="284">
        <v>0.90752407000000002</v>
      </c>
    </row>
    <row r="466" spans="2:7">
      <c r="B466" s="281">
        <f t="shared" ca="1" si="7"/>
        <v>46778</v>
      </c>
      <c r="C466" s="282">
        <v>2.0931999999999999E-2</v>
      </c>
      <c r="F466" s="283">
        <v>45551</v>
      </c>
      <c r="G466" s="284">
        <v>0.90720895000000001</v>
      </c>
    </row>
    <row r="467" spans="2:7">
      <c r="B467" s="281">
        <f t="shared" ca="1" si="7"/>
        <v>46785</v>
      </c>
      <c r="C467" s="282">
        <v>2.0951999999999998E-2</v>
      </c>
      <c r="F467" s="283">
        <v>45558</v>
      </c>
      <c r="G467" s="284">
        <v>0.90689359999999997</v>
      </c>
    </row>
    <row r="468" spans="2:7">
      <c r="B468" s="281">
        <f t="shared" ca="1" si="7"/>
        <v>46792</v>
      </c>
      <c r="C468" s="282">
        <v>2.0979000000000001E-2</v>
      </c>
      <c r="F468" s="283">
        <v>45565</v>
      </c>
      <c r="G468" s="284">
        <v>0.90657799999999999</v>
      </c>
    </row>
    <row r="469" spans="2:7">
      <c r="B469" s="281">
        <f t="shared" ca="1" si="7"/>
        <v>46799</v>
      </c>
      <c r="C469" s="282">
        <v>2.1002E-2</v>
      </c>
      <c r="F469" s="283">
        <v>45572</v>
      </c>
      <c r="G469" s="284">
        <v>0.90626216000000004</v>
      </c>
    </row>
    <row r="470" spans="2:7">
      <c r="B470" s="281">
        <f t="shared" ca="1" si="7"/>
        <v>46806</v>
      </c>
      <c r="C470" s="282">
        <v>2.1021000000000001E-2</v>
      </c>
      <c r="F470" s="283">
        <v>45579</v>
      </c>
      <c r="G470" s="284">
        <v>0.90594607000000005</v>
      </c>
    </row>
    <row r="471" spans="2:7">
      <c r="B471" s="281">
        <f t="shared" ca="1" si="7"/>
        <v>46813</v>
      </c>
      <c r="C471" s="282">
        <v>2.1042000000000002E-2</v>
      </c>
      <c r="F471" s="283">
        <v>45586</v>
      </c>
      <c r="G471" s="284">
        <v>0.90562973000000002</v>
      </c>
    </row>
    <row r="472" spans="2:7">
      <c r="B472" s="281">
        <f t="shared" ca="1" si="7"/>
        <v>46820</v>
      </c>
      <c r="C472" s="282">
        <v>2.1058E-2</v>
      </c>
      <c r="F472" s="283">
        <v>45593</v>
      </c>
      <c r="G472" s="284">
        <v>0.90531315000000001</v>
      </c>
    </row>
    <row r="473" spans="2:7">
      <c r="B473" s="281">
        <f t="shared" ca="1" si="7"/>
        <v>46827</v>
      </c>
      <c r="C473" s="282">
        <v>2.1080000000000002E-2</v>
      </c>
      <c r="F473" s="283">
        <v>45600</v>
      </c>
      <c r="G473" s="284">
        <v>0.90499629999999998</v>
      </c>
    </row>
    <row r="474" spans="2:7">
      <c r="B474" s="281">
        <f t="shared" ca="1" si="7"/>
        <v>46834</v>
      </c>
      <c r="C474" s="282">
        <v>2.1103E-2</v>
      </c>
      <c r="F474" s="283">
        <v>45607</v>
      </c>
      <c r="G474" s="284">
        <v>0.90467920999999996</v>
      </c>
    </row>
    <row r="475" spans="2:7">
      <c r="B475" s="281">
        <f t="shared" ca="1" si="7"/>
        <v>46841</v>
      </c>
      <c r="C475" s="282">
        <v>2.1125999999999999E-2</v>
      </c>
      <c r="F475" s="283">
        <v>45614</v>
      </c>
      <c r="G475" s="284">
        <v>0.90436185000000002</v>
      </c>
    </row>
    <row r="476" spans="2:7">
      <c r="B476" s="281">
        <f t="shared" ref="B476:B539" ca="1" si="8">B475+$A$28</f>
        <v>46848</v>
      </c>
      <c r="C476" s="282">
        <v>2.1149000000000001E-2</v>
      </c>
      <c r="F476" s="283">
        <v>45621</v>
      </c>
      <c r="G476" s="284">
        <v>0.90404424000000005</v>
      </c>
    </row>
    <row r="477" spans="2:7">
      <c r="B477" s="281">
        <f t="shared" ca="1" si="8"/>
        <v>46855</v>
      </c>
      <c r="C477" s="282">
        <v>2.1179E-2</v>
      </c>
      <c r="F477" s="283">
        <v>45628</v>
      </c>
      <c r="G477" s="284">
        <v>0.90372635999999995</v>
      </c>
    </row>
    <row r="478" spans="2:7">
      <c r="B478" s="281">
        <f t="shared" ca="1" si="8"/>
        <v>46862</v>
      </c>
      <c r="C478" s="282">
        <v>2.1203E-2</v>
      </c>
      <c r="F478" s="283">
        <v>45635</v>
      </c>
      <c r="G478" s="284">
        <v>0.90340821999999998</v>
      </c>
    </row>
    <row r="479" spans="2:7">
      <c r="B479" s="281">
        <f t="shared" ca="1" si="8"/>
        <v>46869</v>
      </c>
      <c r="C479" s="282">
        <v>2.1229999999999999E-2</v>
      </c>
      <c r="F479" s="283">
        <v>45642</v>
      </c>
      <c r="G479" s="284">
        <v>0.90308982000000004</v>
      </c>
    </row>
    <row r="480" spans="2:7">
      <c r="B480" s="281">
        <f t="shared" ca="1" si="8"/>
        <v>46876</v>
      </c>
      <c r="C480" s="282">
        <v>2.1253999999999999E-2</v>
      </c>
      <c r="F480" s="283">
        <v>45649</v>
      </c>
      <c r="G480" s="284">
        <v>0.90277114999999997</v>
      </c>
    </row>
    <row r="481" spans="2:7">
      <c r="B481" s="281">
        <f t="shared" ca="1" si="8"/>
        <v>46883</v>
      </c>
      <c r="C481" s="282">
        <v>2.1277999999999998E-2</v>
      </c>
      <c r="F481" s="283">
        <v>45656</v>
      </c>
      <c r="G481" s="284">
        <v>0.90245220999999998</v>
      </c>
    </row>
    <row r="482" spans="2:7">
      <c r="B482" s="281">
        <f t="shared" ca="1" si="8"/>
        <v>46890</v>
      </c>
      <c r="C482" s="282">
        <v>2.1301E-2</v>
      </c>
      <c r="F482" s="283">
        <v>45663</v>
      </c>
      <c r="G482" s="284">
        <v>0.90213299999999996</v>
      </c>
    </row>
    <row r="483" spans="2:7">
      <c r="B483" s="281">
        <f t="shared" ca="1" si="8"/>
        <v>46897</v>
      </c>
      <c r="C483" s="282">
        <v>2.1329000000000001E-2</v>
      </c>
      <c r="F483" s="283">
        <v>45670</v>
      </c>
      <c r="G483" s="284">
        <v>0.90181350999999998</v>
      </c>
    </row>
    <row r="484" spans="2:7">
      <c r="B484" s="281">
        <f t="shared" ca="1" si="8"/>
        <v>46904</v>
      </c>
      <c r="C484" s="282">
        <v>2.1350999999999998E-2</v>
      </c>
      <c r="F484" s="283">
        <v>45677</v>
      </c>
      <c r="G484" s="284">
        <v>0.90149376000000003</v>
      </c>
    </row>
    <row r="485" spans="2:7">
      <c r="B485" s="281">
        <f t="shared" ca="1" si="8"/>
        <v>46911</v>
      </c>
      <c r="C485" s="282">
        <v>2.1368999999999999E-2</v>
      </c>
      <c r="F485" s="283">
        <v>45684</v>
      </c>
      <c r="G485" s="284">
        <v>0.90117373999999995</v>
      </c>
    </row>
    <row r="486" spans="2:7">
      <c r="B486" s="281">
        <f t="shared" ca="1" si="8"/>
        <v>46918</v>
      </c>
      <c r="C486" s="282">
        <v>2.1388999999999998E-2</v>
      </c>
      <c r="F486" s="283">
        <v>45691</v>
      </c>
      <c r="G486" s="284">
        <v>0.90085344000000001</v>
      </c>
    </row>
    <row r="487" spans="2:7">
      <c r="B487" s="281">
        <f t="shared" ca="1" si="8"/>
        <v>46925</v>
      </c>
      <c r="C487" s="282">
        <v>2.1413999999999999E-2</v>
      </c>
      <c r="F487" s="283">
        <v>45698</v>
      </c>
      <c r="G487" s="284">
        <v>0.90053287000000004</v>
      </c>
    </row>
    <row r="488" spans="2:7">
      <c r="B488" s="281">
        <f t="shared" ca="1" si="8"/>
        <v>46932</v>
      </c>
      <c r="C488" s="282">
        <v>2.1439E-2</v>
      </c>
      <c r="F488" s="283">
        <v>45705</v>
      </c>
      <c r="G488" s="284">
        <v>0.90021202</v>
      </c>
    </row>
    <row r="489" spans="2:7">
      <c r="B489" s="281">
        <f t="shared" ca="1" si="8"/>
        <v>46939</v>
      </c>
      <c r="C489" s="282">
        <v>2.1464E-2</v>
      </c>
      <c r="F489" s="283">
        <v>45712</v>
      </c>
      <c r="G489" s="284">
        <v>0.89989090999999999</v>
      </c>
    </row>
    <row r="490" spans="2:7">
      <c r="B490" s="281">
        <f t="shared" ca="1" si="8"/>
        <v>46946</v>
      </c>
      <c r="C490" s="282">
        <v>2.1499999999999998E-2</v>
      </c>
      <c r="F490" s="283">
        <v>45719</v>
      </c>
      <c r="G490" s="284">
        <v>0.89956952000000001</v>
      </c>
    </row>
    <row r="491" spans="2:7">
      <c r="B491" s="281">
        <f t="shared" ca="1" si="8"/>
        <v>46953</v>
      </c>
      <c r="C491" s="282">
        <v>2.1524000000000001E-2</v>
      </c>
      <c r="F491" s="283">
        <v>45726</v>
      </c>
      <c r="G491" s="284">
        <v>0.89924786000000001</v>
      </c>
    </row>
    <row r="492" spans="2:7">
      <c r="B492" s="281">
        <f t="shared" ca="1" si="8"/>
        <v>46960</v>
      </c>
      <c r="C492" s="282">
        <v>2.155E-2</v>
      </c>
      <c r="F492" s="283">
        <v>45733</v>
      </c>
      <c r="G492" s="284">
        <v>0.89892592999999998</v>
      </c>
    </row>
    <row r="493" spans="2:7">
      <c r="B493" s="281">
        <f t="shared" ca="1" si="8"/>
        <v>46967</v>
      </c>
      <c r="C493" s="282">
        <v>2.1572000000000001E-2</v>
      </c>
      <c r="F493" s="283">
        <v>45740</v>
      </c>
      <c r="G493" s="284">
        <v>0.89860373000000004</v>
      </c>
    </row>
    <row r="494" spans="2:7">
      <c r="B494" s="281">
        <f t="shared" ca="1" si="8"/>
        <v>46974</v>
      </c>
      <c r="C494" s="282">
        <v>2.1588E-2</v>
      </c>
      <c r="F494" s="283">
        <v>45747</v>
      </c>
      <c r="G494" s="284">
        <v>0.89828127000000002</v>
      </c>
    </row>
    <row r="495" spans="2:7">
      <c r="B495" s="281">
        <f t="shared" ca="1" si="8"/>
        <v>46981</v>
      </c>
      <c r="C495" s="282">
        <v>2.1611999999999999E-2</v>
      </c>
      <c r="F495" s="283">
        <v>45754</v>
      </c>
      <c r="G495" s="284">
        <v>0.89795853999999997</v>
      </c>
    </row>
    <row r="496" spans="2:7">
      <c r="B496" s="281">
        <f t="shared" ca="1" si="8"/>
        <v>46988</v>
      </c>
      <c r="C496" s="282">
        <v>2.1635999999999999E-2</v>
      </c>
      <c r="F496" s="283">
        <v>45761</v>
      </c>
      <c r="G496" s="284">
        <v>0.89763554999999995</v>
      </c>
    </row>
    <row r="497" spans="2:7">
      <c r="B497" s="281">
        <f t="shared" ca="1" si="8"/>
        <v>46995</v>
      </c>
      <c r="C497" s="282">
        <v>2.1662000000000001E-2</v>
      </c>
      <c r="F497" s="283">
        <v>45768</v>
      </c>
      <c r="G497" s="284">
        <v>0.89731231</v>
      </c>
    </row>
    <row r="498" spans="2:7">
      <c r="B498" s="281">
        <f t="shared" ca="1" si="8"/>
        <v>47002</v>
      </c>
      <c r="C498" s="282">
        <v>2.1689E-2</v>
      </c>
      <c r="F498" s="283">
        <v>45775</v>
      </c>
      <c r="G498" s="284">
        <v>0.89698880999999997</v>
      </c>
    </row>
    <row r="499" spans="2:7">
      <c r="B499" s="281">
        <f t="shared" ca="1" si="8"/>
        <v>47009</v>
      </c>
      <c r="C499" s="282">
        <v>2.1725999999999999E-2</v>
      </c>
      <c r="F499" s="283">
        <v>45782</v>
      </c>
      <c r="G499" s="284">
        <v>0.89666502999999997</v>
      </c>
    </row>
    <row r="500" spans="2:7">
      <c r="B500" s="281">
        <f t="shared" ca="1" si="8"/>
        <v>47016</v>
      </c>
      <c r="C500" s="282">
        <v>2.1756000000000001E-2</v>
      </c>
      <c r="F500" s="283">
        <v>45789</v>
      </c>
      <c r="G500" s="284">
        <v>0.89634093999999997</v>
      </c>
    </row>
    <row r="501" spans="2:7">
      <c r="B501" s="281">
        <f t="shared" ca="1" si="8"/>
        <v>47023</v>
      </c>
      <c r="C501" s="282">
        <v>2.1786E-2</v>
      </c>
      <c r="F501" s="283">
        <v>45796</v>
      </c>
      <c r="G501" s="284">
        <v>0.89601653000000003</v>
      </c>
    </row>
    <row r="502" spans="2:7">
      <c r="B502" s="281">
        <f t="shared" ca="1" si="8"/>
        <v>47030</v>
      </c>
      <c r="C502" s="282">
        <v>2.1817E-2</v>
      </c>
      <c r="F502" s="283">
        <v>45803</v>
      </c>
      <c r="G502" s="284">
        <v>0.89569177</v>
      </c>
    </row>
    <row r="503" spans="2:7">
      <c r="B503" s="281">
        <f t="shared" ca="1" si="8"/>
        <v>47037</v>
      </c>
      <c r="C503" s="282">
        <v>2.1847999999999999E-2</v>
      </c>
      <c r="F503" s="283">
        <v>45810</v>
      </c>
      <c r="G503" s="284">
        <v>0.89536665999999998</v>
      </c>
    </row>
    <row r="504" spans="2:7">
      <c r="B504" s="281">
        <f t="shared" ca="1" si="8"/>
        <v>47044</v>
      </c>
      <c r="C504" s="282">
        <v>2.1871000000000002E-2</v>
      </c>
      <c r="F504" s="283">
        <v>45817</v>
      </c>
      <c r="G504" s="284">
        <v>0.89504117999999999</v>
      </c>
    </row>
    <row r="505" spans="2:7">
      <c r="B505" s="281">
        <f t="shared" ca="1" si="8"/>
        <v>47051</v>
      </c>
      <c r="C505" s="282">
        <v>2.1902000000000001E-2</v>
      </c>
      <c r="F505" s="283">
        <v>45824</v>
      </c>
      <c r="G505" s="284">
        <v>0.89471531999999998</v>
      </c>
    </row>
    <row r="506" spans="2:7">
      <c r="B506" s="281">
        <f t="shared" ca="1" si="8"/>
        <v>47058</v>
      </c>
      <c r="C506" s="282">
        <v>2.1933000000000001E-2</v>
      </c>
      <c r="F506" s="283">
        <v>45831</v>
      </c>
      <c r="G506" s="284">
        <v>0.89438907999999995</v>
      </c>
    </row>
    <row r="507" spans="2:7">
      <c r="B507" s="281">
        <f t="shared" ca="1" si="8"/>
        <v>47065</v>
      </c>
      <c r="C507" s="282">
        <v>2.1972999999999999E-2</v>
      </c>
      <c r="F507" s="283">
        <v>45838</v>
      </c>
      <c r="G507" s="284">
        <v>0.89406246</v>
      </c>
    </row>
    <row r="508" spans="2:7">
      <c r="B508" s="281">
        <f t="shared" ca="1" si="8"/>
        <v>47072</v>
      </c>
      <c r="C508" s="282">
        <v>2.2003000000000002E-2</v>
      </c>
      <c r="F508" s="283">
        <v>45845</v>
      </c>
      <c r="G508" s="284">
        <v>0.89373544999999999</v>
      </c>
    </row>
    <row r="509" spans="2:7">
      <c r="B509" s="281">
        <f t="shared" ca="1" si="8"/>
        <v>47079</v>
      </c>
      <c r="C509" s="282">
        <v>2.2033000000000001E-2</v>
      </c>
      <c r="F509" s="283">
        <v>45852</v>
      </c>
      <c r="G509" s="284">
        <v>0.89340807</v>
      </c>
    </row>
    <row r="510" spans="2:7">
      <c r="B510" s="281">
        <f t="shared" ca="1" si="8"/>
        <v>47086</v>
      </c>
      <c r="C510" s="282">
        <v>2.2065000000000001E-2</v>
      </c>
      <c r="F510" s="283">
        <v>45859</v>
      </c>
      <c r="G510" s="284">
        <v>0.89308030999999999</v>
      </c>
    </row>
    <row r="511" spans="2:7">
      <c r="B511" s="281">
        <f t="shared" ca="1" si="8"/>
        <v>47093</v>
      </c>
      <c r="C511" s="282">
        <v>2.2082999999999998E-2</v>
      </c>
      <c r="F511" s="283">
        <v>45866</v>
      </c>
      <c r="G511" s="284">
        <v>0.89275218000000001</v>
      </c>
    </row>
    <row r="512" spans="2:7">
      <c r="B512" s="281">
        <f t="shared" ca="1" si="8"/>
        <v>47100</v>
      </c>
      <c r="C512" s="282">
        <v>2.2117999999999999E-2</v>
      </c>
      <c r="F512" s="283">
        <v>45873</v>
      </c>
      <c r="G512" s="284">
        <v>0.89242368999999999</v>
      </c>
    </row>
    <row r="513" spans="2:7">
      <c r="B513" s="281">
        <f t="shared" ca="1" si="8"/>
        <v>47107</v>
      </c>
      <c r="C513" s="282">
        <v>2.2145000000000001E-2</v>
      </c>
      <c r="F513" s="283">
        <v>45880</v>
      </c>
      <c r="G513" s="284">
        <v>0.89209486000000005</v>
      </c>
    </row>
    <row r="514" spans="2:7">
      <c r="B514" s="281">
        <f t="shared" ca="1" si="8"/>
        <v>47114</v>
      </c>
      <c r="C514" s="282">
        <v>2.2169999999999999E-2</v>
      </c>
      <c r="F514" s="283">
        <v>45887</v>
      </c>
      <c r="G514" s="284">
        <v>0.89176568000000001</v>
      </c>
    </row>
    <row r="515" spans="2:7">
      <c r="B515" s="281">
        <f t="shared" ca="1" si="8"/>
        <v>47121</v>
      </c>
      <c r="C515" s="282">
        <v>2.2193999999999998E-2</v>
      </c>
      <c r="F515" s="283">
        <v>45894</v>
      </c>
      <c r="G515" s="284">
        <v>0.89143618999999996</v>
      </c>
    </row>
    <row r="516" spans="2:7">
      <c r="B516" s="281">
        <f t="shared" ca="1" si="8"/>
        <v>47128</v>
      </c>
      <c r="C516" s="282">
        <v>2.2210000000000001E-2</v>
      </c>
      <c r="F516" s="283">
        <v>45901</v>
      </c>
      <c r="G516" s="284">
        <v>0.89110639000000003</v>
      </c>
    </row>
    <row r="517" spans="2:7">
      <c r="B517" s="281">
        <f t="shared" ca="1" si="8"/>
        <v>47135</v>
      </c>
      <c r="C517" s="282">
        <v>2.2231999999999998E-2</v>
      </c>
      <c r="F517" s="283">
        <v>45908</v>
      </c>
      <c r="G517" s="284">
        <v>0.89077629999999997</v>
      </c>
    </row>
    <row r="518" spans="2:7">
      <c r="B518" s="281">
        <f t="shared" ca="1" si="8"/>
        <v>47142</v>
      </c>
      <c r="C518" s="282">
        <v>2.2252999999999998E-2</v>
      </c>
      <c r="F518" s="283">
        <v>45915</v>
      </c>
      <c r="G518" s="284">
        <v>0.89044593999999999</v>
      </c>
    </row>
    <row r="519" spans="2:7">
      <c r="B519" s="281">
        <f t="shared" ca="1" si="8"/>
        <v>47149</v>
      </c>
      <c r="C519" s="282">
        <v>2.2272E-2</v>
      </c>
      <c r="F519" s="283">
        <v>45922</v>
      </c>
      <c r="G519" s="284">
        <v>0.89011532000000004</v>
      </c>
    </row>
    <row r="520" spans="2:7">
      <c r="B520" s="281">
        <f t="shared" ca="1" si="8"/>
        <v>47156</v>
      </c>
      <c r="C520" s="282">
        <v>2.2296E-2</v>
      </c>
      <c r="F520" s="283">
        <v>45929</v>
      </c>
      <c r="G520" s="284">
        <v>0.88978447000000005</v>
      </c>
    </row>
    <row r="521" spans="2:7">
      <c r="B521" s="281">
        <f t="shared" ca="1" si="8"/>
        <v>47163</v>
      </c>
      <c r="C521" s="282">
        <v>2.2311999999999999E-2</v>
      </c>
      <c r="F521" s="283">
        <v>45936</v>
      </c>
      <c r="G521" s="284">
        <v>0.88945341</v>
      </c>
    </row>
    <row r="522" spans="2:7">
      <c r="B522" s="281">
        <f t="shared" ca="1" si="8"/>
        <v>47170</v>
      </c>
      <c r="C522" s="282">
        <v>2.2327E-2</v>
      </c>
      <c r="F522" s="283">
        <v>45943</v>
      </c>
      <c r="G522" s="284">
        <v>0.88912214000000001</v>
      </c>
    </row>
    <row r="523" spans="2:7">
      <c r="B523" s="281">
        <f t="shared" ca="1" si="8"/>
        <v>47177</v>
      </c>
      <c r="C523" s="282">
        <v>2.2341E-2</v>
      </c>
      <c r="F523" s="283">
        <v>45950</v>
      </c>
      <c r="G523" s="284">
        <v>0.88879070999999998</v>
      </c>
    </row>
    <row r="524" spans="2:7">
      <c r="B524" s="281">
        <f t="shared" ca="1" si="8"/>
        <v>47184</v>
      </c>
      <c r="C524" s="282">
        <v>2.2348E-2</v>
      </c>
      <c r="F524" s="283">
        <v>45957</v>
      </c>
      <c r="G524" s="284">
        <v>0.88845912000000005</v>
      </c>
    </row>
    <row r="525" spans="2:7">
      <c r="B525" s="281">
        <f t="shared" ca="1" si="8"/>
        <v>47191</v>
      </c>
      <c r="C525" s="282">
        <v>2.2360000000000001E-2</v>
      </c>
      <c r="F525" s="283">
        <v>45964</v>
      </c>
      <c r="G525" s="284">
        <v>0.88812738999999996</v>
      </c>
    </row>
    <row r="526" spans="2:7">
      <c r="B526" s="281">
        <f t="shared" ca="1" si="8"/>
        <v>47198</v>
      </c>
      <c r="C526" s="282">
        <v>2.2370000000000001E-2</v>
      </c>
      <c r="F526" s="283">
        <v>45971</v>
      </c>
      <c r="G526" s="284">
        <v>0.88779554999999999</v>
      </c>
    </row>
    <row r="527" spans="2:7">
      <c r="B527" s="281">
        <f t="shared" ca="1" si="8"/>
        <v>47205</v>
      </c>
      <c r="C527" s="282">
        <v>2.2377999999999999E-2</v>
      </c>
      <c r="F527" s="283">
        <v>45978</v>
      </c>
      <c r="G527" s="284">
        <v>0.88746362000000001</v>
      </c>
    </row>
    <row r="528" spans="2:7">
      <c r="B528" s="281">
        <f t="shared" ca="1" si="8"/>
        <v>47212</v>
      </c>
      <c r="C528" s="282">
        <v>2.2388999999999999E-2</v>
      </c>
      <c r="F528" s="283">
        <v>45985</v>
      </c>
      <c r="G528" s="284">
        <v>0.88713160999999996</v>
      </c>
    </row>
    <row r="529" spans="2:7">
      <c r="B529" s="281">
        <f t="shared" ca="1" si="8"/>
        <v>47219</v>
      </c>
      <c r="C529" s="282">
        <v>2.2395999999999999E-2</v>
      </c>
      <c r="F529" s="283">
        <v>45992</v>
      </c>
      <c r="G529" s="284">
        <v>0.88679954999999999</v>
      </c>
    </row>
    <row r="530" spans="2:7">
      <c r="B530" s="281">
        <f t="shared" ca="1" si="8"/>
        <v>47226</v>
      </c>
      <c r="C530" s="282">
        <v>2.2401000000000001E-2</v>
      </c>
      <c r="F530" s="283">
        <v>45999</v>
      </c>
      <c r="G530" s="284">
        <v>0.88646745000000005</v>
      </c>
    </row>
    <row r="531" spans="2:7">
      <c r="B531" s="281">
        <f t="shared" ca="1" si="8"/>
        <v>47233</v>
      </c>
      <c r="C531" s="282">
        <v>2.2405999999999999E-2</v>
      </c>
      <c r="F531" s="283">
        <v>46006</v>
      </c>
      <c r="G531" s="284">
        <v>0.88613533</v>
      </c>
    </row>
    <row r="532" spans="2:7">
      <c r="B532" s="281">
        <f t="shared" ca="1" si="8"/>
        <v>47240</v>
      </c>
      <c r="C532" s="282">
        <v>2.2408999999999998E-2</v>
      </c>
      <c r="F532" s="283">
        <v>46013</v>
      </c>
      <c r="G532" s="284">
        <v>0.88580320000000001</v>
      </c>
    </row>
    <row r="533" spans="2:7">
      <c r="B533" s="281">
        <f t="shared" ca="1" si="8"/>
        <v>47247</v>
      </c>
      <c r="C533" s="282">
        <v>2.2409999999999999E-2</v>
      </c>
      <c r="F533" s="283">
        <v>46020</v>
      </c>
      <c r="G533" s="284">
        <v>0.88547109000000002</v>
      </c>
    </row>
    <row r="534" spans="2:7">
      <c r="B534" s="281">
        <f t="shared" ca="1" si="8"/>
        <v>47254</v>
      </c>
      <c r="C534" s="282">
        <v>2.2415000000000001E-2</v>
      </c>
      <c r="F534" s="283">
        <v>46027</v>
      </c>
      <c r="G534" s="284">
        <v>0.88513900000000001</v>
      </c>
    </row>
    <row r="535" spans="2:7">
      <c r="B535" s="281">
        <f t="shared" ca="1" si="8"/>
        <v>47261</v>
      </c>
      <c r="C535" s="282">
        <v>2.2416999999999999E-2</v>
      </c>
      <c r="F535" s="283">
        <v>46034</v>
      </c>
      <c r="G535" s="284">
        <v>0.88480694000000004</v>
      </c>
    </row>
    <row r="536" spans="2:7">
      <c r="B536" s="281">
        <f t="shared" ca="1" si="8"/>
        <v>47268</v>
      </c>
      <c r="C536" s="282">
        <v>2.2418E-2</v>
      </c>
      <c r="F536" s="283">
        <v>46041</v>
      </c>
      <c r="G536" s="284">
        <v>0.88447492999999999</v>
      </c>
    </row>
    <row r="537" spans="2:7">
      <c r="B537" s="281">
        <f t="shared" ca="1" si="8"/>
        <v>47275</v>
      </c>
      <c r="C537" s="282">
        <v>2.2418E-2</v>
      </c>
      <c r="F537" s="283">
        <v>46048</v>
      </c>
      <c r="G537" s="284">
        <v>0.88414298000000002</v>
      </c>
    </row>
    <row r="538" spans="2:7">
      <c r="B538" s="281">
        <f t="shared" ca="1" si="8"/>
        <v>47282</v>
      </c>
      <c r="C538" s="282">
        <v>2.2418E-2</v>
      </c>
      <c r="F538" s="283">
        <v>46055</v>
      </c>
      <c r="G538" s="284">
        <v>0.88381107999999997</v>
      </c>
    </row>
    <row r="539" spans="2:7">
      <c r="B539" s="281">
        <f t="shared" ca="1" si="8"/>
        <v>47289</v>
      </c>
      <c r="C539" s="282">
        <v>2.2419000000000001E-2</v>
      </c>
      <c r="F539" s="283">
        <v>46062</v>
      </c>
      <c r="G539" s="284">
        <v>0.88347925999999999</v>
      </c>
    </row>
    <row r="540" spans="2:7">
      <c r="B540" s="281">
        <f t="shared" ref="B540:B603" ca="1" si="9">B539+$A$28</f>
        <v>47296</v>
      </c>
      <c r="C540" s="282">
        <v>2.2421E-2</v>
      </c>
      <c r="F540" s="283">
        <v>46069</v>
      </c>
      <c r="G540" s="284">
        <v>0.88314749999999997</v>
      </c>
    </row>
    <row r="541" spans="2:7">
      <c r="B541" s="281">
        <f t="shared" ca="1" si="9"/>
        <v>47303</v>
      </c>
      <c r="C541" s="282">
        <v>2.2423999999999999E-2</v>
      </c>
      <c r="F541" s="283">
        <v>46076</v>
      </c>
      <c r="G541" s="284">
        <v>0.88281580999999998</v>
      </c>
    </row>
    <row r="542" spans="2:7">
      <c r="B542" s="281">
        <f t="shared" ca="1" si="9"/>
        <v>47310</v>
      </c>
      <c r="C542" s="282">
        <v>2.2433000000000002E-2</v>
      </c>
      <c r="F542" s="283">
        <v>46083</v>
      </c>
      <c r="G542" s="284">
        <v>0.88248417999999995</v>
      </c>
    </row>
    <row r="543" spans="2:7">
      <c r="B543" s="281">
        <f t="shared" ca="1" si="9"/>
        <v>47317</v>
      </c>
      <c r="C543" s="282">
        <v>2.2436999999999999E-2</v>
      </c>
      <c r="F543" s="283">
        <v>46090</v>
      </c>
      <c r="G543" s="284">
        <v>0.88215262000000005</v>
      </c>
    </row>
    <row r="544" spans="2:7">
      <c r="B544" s="281">
        <f t="shared" ca="1" si="9"/>
        <v>47324</v>
      </c>
      <c r="C544" s="282">
        <v>2.2443000000000001E-2</v>
      </c>
      <c r="F544" s="283">
        <v>46097</v>
      </c>
      <c r="G544" s="284">
        <v>0.88182110000000002</v>
      </c>
    </row>
    <row r="545" spans="2:7">
      <c r="B545" s="281">
        <f t="shared" ca="1" si="9"/>
        <v>47331</v>
      </c>
      <c r="C545" s="282">
        <v>2.2450000000000001E-2</v>
      </c>
      <c r="F545" s="283">
        <v>46104</v>
      </c>
      <c r="G545" s="284">
        <v>0.88148963000000002</v>
      </c>
    </row>
    <row r="546" spans="2:7">
      <c r="B546" s="281">
        <f t="shared" ca="1" si="9"/>
        <v>47338</v>
      </c>
      <c r="C546" s="282">
        <v>2.2454999999999999E-2</v>
      </c>
      <c r="F546" s="283">
        <v>46111</v>
      </c>
      <c r="G546" s="284">
        <v>0.88115818000000001</v>
      </c>
    </row>
    <row r="547" spans="2:7">
      <c r="B547" s="281">
        <f t="shared" ca="1" si="9"/>
        <v>47345</v>
      </c>
      <c r="C547" s="282">
        <v>2.2464999999999999E-2</v>
      </c>
      <c r="F547" s="283">
        <v>46118</v>
      </c>
      <c r="G547" s="284">
        <v>0.88082674000000005</v>
      </c>
    </row>
    <row r="548" spans="2:7">
      <c r="B548" s="281">
        <f t="shared" ca="1" si="9"/>
        <v>47352</v>
      </c>
      <c r="C548" s="282">
        <v>2.2475999999999999E-2</v>
      </c>
      <c r="F548" s="283">
        <v>46125</v>
      </c>
      <c r="G548" s="284">
        <v>0.88049529000000004</v>
      </c>
    </row>
    <row r="549" spans="2:7">
      <c r="B549" s="281">
        <f t="shared" ca="1" si="9"/>
        <v>47359</v>
      </c>
      <c r="C549" s="282">
        <v>2.2487E-2</v>
      </c>
      <c r="F549" s="283">
        <v>46132</v>
      </c>
      <c r="G549" s="284">
        <v>0.88016380999999999</v>
      </c>
    </row>
    <row r="550" spans="2:7">
      <c r="B550" s="281">
        <f t="shared" ca="1" si="9"/>
        <v>47366</v>
      </c>
      <c r="C550" s="282">
        <v>2.2499999999999999E-2</v>
      </c>
      <c r="F550" s="283">
        <v>46139</v>
      </c>
      <c r="G550" s="284">
        <v>0.87983226000000003</v>
      </c>
    </row>
    <row r="551" spans="2:7">
      <c r="B551" s="281">
        <f t="shared" ca="1" si="9"/>
        <v>47373</v>
      </c>
      <c r="C551" s="282">
        <v>2.2518E-2</v>
      </c>
      <c r="F551" s="283">
        <v>46146</v>
      </c>
      <c r="G551" s="284">
        <v>0.87950063999999994</v>
      </c>
    </row>
    <row r="552" spans="2:7">
      <c r="B552" s="281">
        <f t="shared" ca="1" si="9"/>
        <v>47380</v>
      </c>
      <c r="C552" s="282">
        <v>2.2532E-2</v>
      </c>
      <c r="F552" s="283">
        <v>46153</v>
      </c>
      <c r="G552" s="284">
        <v>0.87916892999999996</v>
      </c>
    </row>
    <row r="553" spans="2:7">
      <c r="B553" s="281">
        <f t="shared" ca="1" si="9"/>
        <v>47387</v>
      </c>
      <c r="C553" s="282">
        <v>2.2546E-2</v>
      </c>
      <c r="F553" s="283">
        <v>46160</v>
      </c>
      <c r="G553" s="284">
        <v>0.87883712999999997</v>
      </c>
    </row>
    <row r="554" spans="2:7">
      <c r="B554" s="281">
        <f t="shared" ca="1" si="9"/>
        <v>47394</v>
      </c>
      <c r="C554" s="282">
        <v>2.256E-2</v>
      </c>
      <c r="F554" s="283">
        <v>46167</v>
      </c>
      <c r="G554" s="284">
        <v>0.87850523000000003</v>
      </c>
    </row>
    <row r="555" spans="2:7">
      <c r="B555" s="281">
        <f t="shared" ca="1" si="9"/>
        <v>47401</v>
      </c>
      <c r="C555" s="282">
        <v>2.257E-2</v>
      </c>
      <c r="F555" s="283">
        <v>46174</v>
      </c>
      <c r="G555" s="284">
        <v>0.87817321999999998</v>
      </c>
    </row>
    <row r="556" spans="2:7">
      <c r="B556" s="281">
        <f t="shared" ca="1" si="9"/>
        <v>47408</v>
      </c>
      <c r="C556" s="282">
        <v>2.2585000000000001E-2</v>
      </c>
      <c r="F556" s="283">
        <v>46181</v>
      </c>
      <c r="G556" s="284">
        <v>0.87784108999999999</v>
      </c>
    </row>
    <row r="557" spans="2:7">
      <c r="B557" s="281">
        <f t="shared" ca="1" si="9"/>
        <v>47415</v>
      </c>
      <c r="C557" s="282">
        <v>2.2601E-2</v>
      </c>
      <c r="F557" s="283">
        <v>46188</v>
      </c>
      <c r="G557" s="284">
        <v>0.87750883999999996</v>
      </c>
    </row>
    <row r="558" spans="2:7">
      <c r="B558" s="281">
        <f t="shared" ca="1" si="9"/>
        <v>47422</v>
      </c>
      <c r="C558" s="282">
        <v>2.2617000000000002E-2</v>
      </c>
      <c r="F558" s="283">
        <v>46195</v>
      </c>
      <c r="G558" s="284">
        <v>0.87717645</v>
      </c>
    </row>
    <row r="559" spans="2:7">
      <c r="B559" s="281">
        <f t="shared" ca="1" si="9"/>
        <v>47429</v>
      </c>
      <c r="C559" s="282">
        <v>2.2637999999999998E-2</v>
      </c>
      <c r="F559" s="283">
        <v>46202</v>
      </c>
      <c r="G559" s="284">
        <v>0.87684393999999999</v>
      </c>
    </row>
    <row r="560" spans="2:7">
      <c r="B560" s="281">
        <f t="shared" ca="1" si="9"/>
        <v>47436</v>
      </c>
      <c r="C560" s="282">
        <v>2.2655000000000002E-2</v>
      </c>
      <c r="F560" s="283">
        <v>46209</v>
      </c>
      <c r="G560" s="284">
        <v>0.87651128</v>
      </c>
    </row>
    <row r="561" spans="2:7">
      <c r="B561" s="281">
        <f t="shared" ca="1" si="9"/>
        <v>47443</v>
      </c>
      <c r="C561" s="282">
        <v>2.2671E-2</v>
      </c>
      <c r="F561" s="283">
        <v>46216</v>
      </c>
      <c r="G561" s="284">
        <v>0.87617847999999998</v>
      </c>
    </row>
    <row r="562" spans="2:7">
      <c r="B562" s="281">
        <f t="shared" ca="1" si="9"/>
        <v>47450</v>
      </c>
      <c r="C562" s="282">
        <v>2.2688E-2</v>
      </c>
      <c r="F562" s="283">
        <v>46223</v>
      </c>
      <c r="G562" s="284">
        <v>0.87584552000000004</v>
      </c>
    </row>
    <row r="563" spans="2:7">
      <c r="B563" s="281">
        <f t="shared" ca="1" si="9"/>
        <v>47457</v>
      </c>
      <c r="C563" s="282">
        <v>2.2699E-2</v>
      </c>
      <c r="F563" s="283">
        <v>46230</v>
      </c>
      <c r="G563" s="284">
        <v>0.87551241999999996</v>
      </c>
    </row>
    <row r="564" spans="2:7">
      <c r="B564" s="281">
        <f t="shared" ca="1" si="9"/>
        <v>47464</v>
      </c>
      <c r="C564" s="282">
        <v>2.2724000000000001E-2</v>
      </c>
      <c r="F564" s="283">
        <v>46237</v>
      </c>
      <c r="G564" s="284">
        <v>0.87517917000000001</v>
      </c>
    </row>
    <row r="565" spans="2:7">
      <c r="B565" s="281">
        <f t="shared" ca="1" si="9"/>
        <v>47471</v>
      </c>
      <c r="C565" s="282">
        <v>2.2738999999999999E-2</v>
      </c>
      <c r="F565" s="283">
        <v>46244</v>
      </c>
      <c r="G565" s="284">
        <v>0.87484576000000003</v>
      </c>
    </row>
    <row r="566" spans="2:7">
      <c r="B566" s="281">
        <f t="shared" ca="1" si="9"/>
        <v>47478</v>
      </c>
      <c r="C566" s="282">
        <v>2.2755999999999998E-2</v>
      </c>
      <c r="F566" s="283">
        <v>46251</v>
      </c>
      <c r="G566" s="284">
        <v>0.87451219000000002</v>
      </c>
    </row>
    <row r="567" spans="2:7">
      <c r="B567" s="281">
        <f t="shared" ca="1" si="9"/>
        <v>47485</v>
      </c>
      <c r="C567" s="282">
        <v>2.2772000000000001E-2</v>
      </c>
      <c r="F567" s="283">
        <v>46258</v>
      </c>
      <c r="G567" s="284">
        <v>0.87417845999999999</v>
      </c>
    </row>
    <row r="568" spans="2:7">
      <c r="B568" s="281">
        <f t="shared" ca="1" si="9"/>
        <v>47492</v>
      </c>
      <c r="C568" s="282">
        <v>2.2783999999999999E-2</v>
      </c>
      <c r="F568" s="283">
        <v>46265</v>
      </c>
      <c r="G568" s="284">
        <v>0.87384457999999998</v>
      </c>
    </row>
    <row r="569" spans="2:7">
      <c r="B569" s="281">
        <f t="shared" ca="1" si="9"/>
        <v>47499</v>
      </c>
      <c r="C569" s="282">
        <v>2.2800000000000001E-2</v>
      </c>
      <c r="F569" s="283">
        <v>46272</v>
      </c>
      <c r="G569" s="284">
        <v>0.87351053999999995</v>
      </c>
    </row>
    <row r="570" spans="2:7">
      <c r="B570" s="281">
        <f t="shared" ca="1" si="9"/>
        <v>47506</v>
      </c>
      <c r="C570" s="282">
        <v>2.2817E-2</v>
      </c>
      <c r="F570" s="283">
        <v>46279</v>
      </c>
      <c r="G570" s="284">
        <v>0.87317634</v>
      </c>
    </row>
    <row r="571" spans="2:7">
      <c r="B571" s="281">
        <f t="shared" ca="1" si="9"/>
        <v>47513</v>
      </c>
      <c r="C571" s="282">
        <v>2.2834E-2</v>
      </c>
      <c r="F571" s="283">
        <v>46286</v>
      </c>
      <c r="G571" s="284">
        <v>0.87284198000000002</v>
      </c>
    </row>
    <row r="572" spans="2:7">
      <c r="B572" s="281">
        <f t="shared" ca="1" si="9"/>
        <v>47520</v>
      </c>
      <c r="C572" s="282">
        <v>2.2849999999999999E-2</v>
      </c>
      <c r="F572" s="283">
        <v>46293</v>
      </c>
      <c r="G572" s="284">
        <v>0.87250746000000001</v>
      </c>
    </row>
    <row r="573" spans="2:7">
      <c r="B573" s="281">
        <f t="shared" ca="1" si="9"/>
        <v>47527</v>
      </c>
      <c r="C573" s="282">
        <v>2.2872E-2</v>
      </c>
      <c r="F573" s="283">
        <v>46300</v>
      </c>
      <c r="G573" s="284">
        <v>0.87217279999999997</v>
      </c>
    </row>
    <row r="574" spans="2:7">
      <c r="B574" s="281">
        <f t="shared" ca="1" si="9"/>
        <v>47534</v>
      </c>
      <c r="C574" s="282">
        <v>2.2887999999999999E-2</v>
      </c>
      <c r="F574" s="283">
        <v>46307</v>
      </c>
      <c r="G574" s="284">
        <v>0.87183798000000001</v>
      </c>
    </row>
    <row r="575" spans="2:7">
      <c r="B575" s="281">
        <f t="shared" ca="1" si="9"/>
        <v>47541</v>
      </c>
      <c r="C575" s="282">
        <v>2.2904000000000001E-2</v>
      </c>
      <c r="F575" s="283">
        <v>46314</v>
      </c>
      <c r="G575" s="284">
        <v>0.87150300999999997</v>
      </c>
    </row>
    <row r="576" spans="2:7">
      <c r="B576" s="281">
        <f t="shared" ca="1" si="9"/>
        <v>47548</v>
      </c>
      <c r="C576" s="282">
        <v>2.2919999999999999E-2</v>
      </c>
      <c r="F576" s="283">
        <v>46321</v>
      </c>
      <c r="G576" s="284">
        <v>0.87116788999999994</v>
      </c>
    </row>
    <row r="577" spans="2:7">
      <c r="B577" s="281">
        <f t="shared" ca="1" si="9"/>
        <v>47555</v>
      </c>
      <c r="C577" s="282">
        <v>2.2929999999999999E-2</v>
      </c>
      <c r="F577" s="283">
        <v>46328</v>
      </c>
      <c r="G577" s="284">
        <v>0.87083263</v>
      </c>
    </row>
    <row r="578" spans="2:7">
      <c r="B578" s="281">
        <f t="shared" ca="1" si="9"/>
        <v>47562</v>
      </c>
      <c r="C578" s="282">
        <v>2.2945E-2</v>
      </c>
      <c r="F578" s="283">
        <v>46335</v>
      </c>
      <c r="G578" s="284">
        <v>0.87049723000000001</v>
      </c>
    </row>
    <row r="579" spans="2:7">
      <c r="B579" s="281">
        <f t="shared" ca="1" si="9"/>
        <v>47569</v>
      </c>
      <c r="C579" s="282">
        <v>2.2960000000000001E-2</v>
      </c>
      <c r="F579" s="283">
        <v>46342</v>
      </c>
      <c r="G579" s="284">
        <v>0.87016168999999999</v>
      </c>
    </row>
    <row r="580" spans="2:7">
      <c r="B580" s="281">
        <f t="shared" ca="1" si="9"/>
        <v>47576</v>
      </c>
      <c r="C580" s="282">
        <v>2.2981999999999999E-2</v>
      </c>
      <c r="F580" s="283">
        <v>46349</v>
      </c>
      <c r="G580" s="284">
        <v>0.86982601999999998</v>
      </c>
    </row>
    <row r="581" spans="2:7">
      <c r="B581" s="281">
        <f t="shared" ca="1" si="9"/>
        <v>47583</v>
      </c>
      <c r="C581" s="282">
        <v>2.2994000000000001E-2</v>
      </c>
      <c r="F581" s="283">
        <v>46356</v>
      </c>
      <c r="G581" s="284">
        <v>0.86949023000000003</v>
      </c>
    </row>
    <row r="582" spans="2:7">
      <c r="B582" s="281">
        <f t="shared" ca="1" si="9"/>
        <v>47590</v>
      </c>
      <c r="C582" s="282">
        <v>2.3008000000000001E-2</v>
      </c>
      <c r="F582" s="283">
        <v>46363</v>
      </c>
      <c r="G582" s="284">
        <v>0.86915430999999999</v>
      </c>
    </row>
    <row r="583" spans="2:7">
      <c r="B583" s="281">
        <f t="shared" ca="1" si="9"/>
        <v>47597</v>
      </c>
      <c r="C583" s="282">
        <v>2.3022999999999998E-2</v>
      </c>
      <c r="F583" s="283">
        <v>46370</v>
      </c>
      <c r="G583" s="284">
        <v>0.86881827</v>
      </c>
    </row>
    <row r="584" spans="2:7">
      <c r="B584" s="281">
        <f t="shared" ca="1" si="9"/>
        <v>47604</v>
      </c>
      <c r="C584" s="282">
        <v>2.3035E-2</v>
      </c>
      <c r="F584" s="283">
        <v>46377</v>
      </c>
      <c r="G584" s="284">
        <v>0.86848212000000002</v>
      </c>
    </row>
    <row r="585" spans="2:7">
      <c r="B585" s="281">
        <f t="shared" ca="1" si="9"/>
        <v>47611</v>
      </c>
      <c r="C585" s="282">
        <v>2.3042E-2</v>
      </c>
      <c r="F585" s="283">
        <v>46384</v>
      </c>
      <c r="G585" s="284">
        <v>0.86814586000000005</v>
      </c>
    </row>
    <row r="586" spans="2:7">
      <c r="B586" s="281">
        <f t="shared" ca="1" si="9"/>
        <v>47618</v>
      </c>
      <c r="C586" s="282">
        <v>2.3060000000000001E-2</v>
      </c>
      <c r="F586" s="283">
        <v>46391</v>
      </c>
      <c r="G586" s="284">
        <v>0.86780950000000001</v>
      </c>
    </row>
    <row r="587" spans="2:7">
      <c r="B587" s="281">
        <f t="shared" ca="1" si="9"/>
        <v>47625</v>
      </c>
      <c r="C587" s="282">
        <v>2.3073E-2</v>
      </c>
      <c r="F587" s="283">
        <v>46398</v>
      </c>
      <c r="G587" s="284">
        <v>0.86747304999999997</v>
      </c>
    </row>
    <row r="588" spans="2:7">
      <c r="B588" s="281">
        <f t="shared" ca="1" si="9"/>
        <v>47632</v>
      </c>
      <c r="C588" s="282">
        <v>2.3082999999999999E-2</v>
      </c>
      <c r="F588" s="283">
        <v>46405</v>
      </c>
      <c r="G588" s="284">
        <v>0.86713649999999998</v>
      </c>
    </row>
    <row r="589" spans="2:7">
      <c r="B589" s="281">
        <f t="shared" ca="1" si="9"/>
        <v>47639</v>
      </c>
      <c r="C589" s="282">
        <v>2.3089999999999999E-2</v>
      </c>
      <c r="F589" s="283">
        <v>46412</v>
      </c>
      <c r="G589" s="284">
        <v>0.86679987000000003</v>
      </c>
    </row>
    <row r="590" spans="2:7">
      <c r="B590" s="281">
        <f t="shared" ca="1" si="9"/>
        <v>47646</v>
      </c>
      <c r="C590" s="282">
        <v>2.3096999999999999E-2</v>
      </c>
      <c r="F590" s="283">
        <v>46419</v>
      </c>
      <c r="G590" s="284">
        <v>0.86646316999999995</v>
      </c>
    </row>
    <row r="591" spans="2:7">
      <c r="B591" s="281">
        <f t="shared" ca="1" si="9"/>
        <v>47653</v>
      </c>
      <c r="C591" s="282">
        <v>2.3108E-2</v>
      </c>
      <c r="F591" s="283">
        <v>46426</v>
      </c>
      <c r="G591" s="284">
        <v>0.86612639000000002</v>
      </c>
    </row>
    <row r="592" spans="2:7">
      <c r="B592" s="281">
        <f t="shared" ca="1" si="9"/>
        <v>47660</v>
      </c>
      <c r="C592" s="282">
        <v>2.3118E-2</v>
      </c>
      <c r="F592" s="283">
        <v>46433</v>
      </c>
      <c r="G592" s="284">
        <v>0.86578955000000002</v>
      </c>
    </row>
    <row r="593" spans="2:7">
      <c r="B593" s="281">
        <f t="shared" ca="1" si="9"/>
        <v>47667</v>
      </c>
      <c r="C593" s="282">
        <v>2.3127000000000002E-2</v>
      </c>
      <c r="F593" s="283">
        <v>46440</v>
      </c>
      <c r="G593" s="284">
        <v>0.86545265999999998</v>
      </c>
    </row>
    <row r="594" spans="2:7">
      <c r="B594" s="281">
        <f t="shared" ca="1" si="9"/>
        <v>47674</v>
      </c>
      <c r="C594" s="282">
        <v>2.3143E-2</v>
      </c>
      <c r="F594" s="283">
        <v>46447</v>
      </c>
      <c r="G594" s="284">
        <v>0.86511570999999998</v>
      </c>
    </row>
    <row r="595" spans="2:7">
      <c r="B595" s="281">
        <f t="shared" ca="1" si="9"/>
        <v>47681</v>
      </c>
      <c r="C595" s="282">
        <v>2.3151000000000001E-2</v>
      </c>
      <c r="F595" s="283">
        <v>46454</v>
      </c>
      <c r="G595" s="284">
        <v>0.86477873000000005</v>
      </c>
    </row>
    <row r="596" spans="2:7">
      <c r="B596" s="281">
        <f t="shared" ca="1" si="9"/>
        <v>47688</v>
      </c>
      <c r="C596" s="282">
        <v>2.3158999999999999E-2</v>
      </c>
      <c r="F596" s="283">
        <v>46461</v>
      </c>
      <c r="G596" s="284">
        <v>0.86444171000000003</v>
      </c>
    </row>
    <row r="597" spans="2:7">
      <c r="B597" s="281">
        <f t="shared" ca="1" si="9"/>
        <v>47695</v>
      </c>
      <c r="C597" s="282">
        <v>2.3165999999999999E-2</v>
      </c>
      <c r="F597" s="283">
        <v>46468</v>
      </c>
      <c r="G597" s="284">
        <v>0.86410465999999997</v>
      </c>
    </row>
    <row r="598" spans="2:7">
      <c r="B598" s="281">
        <f t="shared" ca="1" si="9"/>
        <v>47702</v>
      </c>
      <c r="C598" s="282">
        <v>2.3168999999999999E-2</v>
      </c>
      <c r="F598" s="283">
        <v>46475</v>
      </c>
      <c r="G598" s="284">
        <v>0.86376759000000003</v>
      </c>
    </row>
    <row r="599" spans="2:7">
      <c r="B599" s="281">
        <f t="shared" ca="1" si="9"/>
        <v>47709</v>
      </c>
      <c r="C599" s="282">
        <v>2.3175999999999999E-2</v>
      </c>
      <c r="F599" s="283">
        <v>46482</v>
      </c>
      <c r="G599" s="284">
        <v>0.86343049999999999</v>
      </c>
    </row>
    <row r="600" spans="2:7">
      <c r="B600" s="281">
        <f t="shared" ca="1" si="9"/>
        <v>47716</v>
      </c>
      <c r="C600" s="282">
        <v>2.3182000000000001E-2</v>
      </c>
      <c r="F600" s="283">
        <v>46489</v>
      </c>
      <c r="G600" s="284">
        <v>0.86309340999999995</v>
      </c>
    </row>
    <row r="601" spans="2:7">
      <c r="B601" s="281">
        <f t="shared" ca="1" si="9"/>
        <v>47723</v>
      </c>
      <c r="C601" s="282">
        <v>2.3186999999999999E-2</v>
      </c>
      <c r="F601" s="283">
        <v>46496</v>
      </c>
      <c r="G601" s="284">
        <v>0.86275632000000002</v>
      </c>
    </row>
    <row r="602" spans="2:7">
      <c r="B602" s="281">
        <f t="shared" ca="1" si="9"/>
        <v>47730</v>
      </c>
      <c r="C602" s="282">
        <v>2.3192999999999998E-2</v>
      </c>
      <c r="F602" s="283">
        <v>46503</v>
      </c>
      <c r="G602" s="284">
        <v>0.86241924000000003</v>
      </c>
    </row>
    <row r="603" spans="2:7">
      <c r="B603" s="281">
        <f t="shared" ca="1" si="9"/>
        <v>47737</v>
      </c>
      <c r="C603" s="282">
        <v>2.3199999999999998E-2</v>
      </c>
      <c r="F603" s="283">
        <v>46510</v>
      </c>
      <c r="G603" s="284">
        <v>0.86208218000000003</v>
      </c>
    </row>
    <row r="604" spans="2:7">
      <c r="B604" s="281">
        <f t="shared" ref="B604:B667" ca="1" si="10">B603+$A$28</f>
        <v>47744</v>
      </c>
      <c r="C604" s="282">
        <v>2.3203999999999999E-2</v>
      </c>
      <c r="F604" s="283">
        <v>46517</v>
      </c>
      <c r="G604" s="284">
        <v>0.86174514000000002</v>
      </c>
    </row>
    <row r="605" spans="2:7">
      <c r="B605" s="281">
        <f t="shared" ca="1" si="10"/>
        <v>47751</v>
      </c>
      <c r="C605" s="282">
        <v>2.3207999999999999E-2</v>
      </c>
      <c r="F605" s="283">
        <v>46524</v>
      </c>
      <c r="G605" s="284">
        <v>0.86140813000000005</v>
      </c>
    </row>
    <row r="606" spans="2:7">
      <c r="B606" s="281">
        <f t="shared" ca="1" si="10"/>
        <v>47758</v>
      </c>
      <c r="C606" s="282">
        <v>2.3210999999999999E-2</v>
      </c>
      <c r="F606" s="283">
        <v>46531</v>
      </c>
      <c r="G606" s="284">
        <v>0.86107115999999995</v>
      </c>
    </row>
    <row r="607" spans="2:7">
      <c r="B607" s="281">
        <f t="shared" ca="1" si="10"/>
        <v>47765</v>
      </c>
      <c r="C607" s="282">
        <v>2.3210999999999999E-2</v>
      </c>
      <c r="F607" s="283">
        <v>46538</v>
      </c>
      <c r="G607" s="284">
        <v>0.86073423999999998</v>
      </c>
    </row>
    <row r="608" spans="2:7">
      <c r="B608" s="281">
        <f t="shared" ca="1" si="10"/>
        <v>47772</v>
      </c>
      <c r="C608" s="282">
        <v>2.3213000000000001E-2</v>
      </c>
      <c r="F608" s="283">
        <v>46545</v>
      </c>
      <c r="G608" s="284">
        <v>0.86039737000000005</v>
      </c>
    </row>
    <row r="609" spans="2:7">
      <c r="B609" s="281">
        <f t="shared" ca="1" si="10"/>
        <v>47779</v>
      </c>
      <c r="C609" s="282">
        <v>2.3215E-2</v>
      </c>
      <c r="F609" s="283">
        <v>46552</v>
      </c>
      <c r="G609" s="284">
        <v>0.86006055999999997</v>
      </c>
    </row>
    <row r="610" spans="2:7">
      <c r="B610" s="281">
        <f t="shared" ca="1" si="10"/>
        <v>47786</v>
      </c>
      <c r="C610" s="282">
        <v>2.3216000000000001E-2</v>
      </c>
      <c r="F610" s="283">
        <v>46559</v>
      </c>
      <c r="G610" s="284">
        <v>0.85972380999999998</v>
      </c>
    </row>
    <row r="611" spans="2:7">
      <c r="B611" s="281">
        <f t="shared" ca="1" si="10"/>
        <v>47793</v>
      </c>
      <c r="C611" s="282">
        <v>2.3217000000000002E-2</v>
      </c>
      <c r="F611" s="283">
        <v>46566</v>
      </c>
      <c r="G611" s="284">
        <v>0.85938714000000005</v>
      </c>
    </row>
    <row r="612" spans="2:7">
      <c r="B612" s="281">
        <f t="shared" ca="1" si="10"/>
        <v>47800</v>
      </c>
      <c r="C612" s="282">
        <v>2.3220000000000001E-2</v>
      </c>
      <c r="F612" s="283">
        <v>46573</v>
      </c>
      <c r="G612" s="284">
        <v>0.85905054999999997</v>
      </c>
    </row>
    <row r="613" spans="2:7">
      <c r="B613" s="281">
        <f t="shared" ca="1" si="10"/>
        <v>47807</v>
      </c>
      <c r="C613" s="282">
        <v>2.3220000000000001E-2</v>
      </c>
      <c r="F613" s="283">
        <v>46580</v>
      </c>
      <c r="G613" s="284">
        <v>0.85871405000000001</v>
      </c>
    </row>
    <row r="614" spans="2:7">
      <c r="B614" s="281">
        <f t="shared" ca="1" si="10"/>
        <v>47814</v>
      </c>
      <c r="C614" s="282">
        <v>2.3220000000000001E-2</v>
      </c>
      <c r="F614" s="283">
        <v>46587</v>
      </c>
      <c r="G614" s="284">
        <v>0.85837764000000005</v>
      </c>
    </row>
    <row r="615" spans="2:7">
      <c r="B615" s="281">
        <f t="shared" ca="1" si="10"/>
        <v>47821</v>
      </c>
      <c r="C615" s="282">
        <v>2.3220000000000001E-2</v>
      </c>
      <c r="F615" s="283">
        <v>46594</v>
      </c>
      <c r="G615" s="284">
        <v>0.85804133000000005</v>
      </c>
    </row>
    <row r="616" spans="2:7">
      <c r="B616" s="281">
        <f t="shared" ca="1" si="10"/>
        <v>47828</v>
      </c>
      <c r="C616" s="282">
        <v>2.3217999999999999E-2</v>
      </c>
      <c r="F616" s="283">
        <v>46601</v>
      </c>
      <c r="G616" s="284">
        <v>0.85770513000000004</v>
      </c>
    </row>
    <row r="617" spans="2:7">
      <c r="B617" s="281">
        <f t="shared" ca="1" si="10"/>
        <v>47835</v>
      </c>
      <c r="C617" s="282">
        <v>2.3216000000000001E-2</v>
      </c>
      <c r="F617" s="283">
        <v>46608</v>
      </c>
      <c r="G617" s="284">
        <v>0.85736904000000003</v>
      </c>
    </row>
    <row r="618" spans="2:7">
      <c r="B618" s="281">
        <f t="shared" ca="1" si="10"/>
        <v>47842</v>
      </c>
      <c r="C618" s="282">
        <v>2.3215E-2</v>
      </c>
      <c r="F618" s="283">
        <v>46615</v>
      </c>
      <c r="G618" s="284">
        <v>0.85703306000000001</v>
      </c>
    </row>
    <row r="619" spans="2:7">
      <c r="B619" s="281">
        <f t="shared" ca="1" si="10"/>
        <v>47849</v>
      </c>
      <c r="C619" s="282">
        <v>2.3213000000000001E-2</v>
      </c>
      <c r="F619" s="283">
        <v>46622</v>
      </c>
      <c r="G619" s="284">
        <v>0.85669720999999999</v>
      </c>
    </row>
    <row r="620" spans="2:7">
      <c r="B620" s="281">
        <f t="shared" ca="1" si="10"/>
        <v>47856</v>
      </c>
      <c r="C620" s="282">
        <v>2.3209E-2</v>
      </c>
      <c r="F620" s="283">
        <v>46629</v>
      </c>
      <c r="G620" s="284">
        <v>0.85636148999999995</v>
      </c>
    </row>
    <row r="621" spans="2:7">
      <c r="B621" s="281">
        <f t="shared" ca="1" si="10"/>
        <v>47863</v>
      </c>
      <c r="C621" s="282">
        <v>2.3206000000000001E-2</v>
      </c>
      <c r="F621" s="283">
        <v>46636</v>
      </c>
      <c r="G621" s="284">
        <v>0.85602590000000001</v>
      </c>
    </row>
    <row r="622" spans="2:7">
      <c r="B622" s="281">
        <f t="shared" ca="1" si="10"/>
        <v>47870</v>
      </c>
      <c r="C622" s="282">
        <v>2.3203000000000001E-2</v>
      </c>
      <c r="F622" s="283">
        <v>46643</v>
      </c>
      <c r="G622" s="284">
        <v>0.85569044999999999</v>
      </c>
    </row>
    <row r="623" spans="2:7">
      <c r="B623" s="281">
        <f t="shared" ca="1" si="10"/>
        <v>47877</v>
      </c>
      <c r="C623" s="282">
        <v>2.3199999999999998E-2</v>
      </c>
      <c r="F623" s="283">
        <v>46650</v>
      </c>
      <c r="G623" s="284">
        <v>0.85535514000000001</v>
      </c>
    </row>
    <row r="624" spans="2:7">
      <c r="B624" s="281">
        <f t="shared" ca="1" si="10"/>
        <v>47884</v>
      </c>
      <c r="C624" s="282">
        <v>2.3196999999999999E-2</v>
      </c>
      <c r="F624" s="283">
        <v>46657</v>
      </c>
      <c r="G624" s="284">
        <v>0.85501998000000001</v>
      </c>
    </row>
    <row r="625" spans="2:7">
      <c r="B625" s="281">
        <f t="shared" ca="1" si="10"/>
        <v>47891</v>
      </c>
      <c r="C625" s="282">
        <v>2.3195E-2</v>
      </c>
      <c r="F625" s="283">
        <v>46664</v>
      </c>
      <c r="G625" s="284">
        <v>0.85468496000000005</v>
      </c>
    </row>
    <row r="626" spans="2:7">
      <c r="B626" s="281">
        <f t="shared" ca="1" si="10"/>
        <v>47898</v>
      </c>
      <c r="C626" s="282">
        <v>2.3191E-2</v>
      </c>
      <c r="F626" s="283">
        <v>46671</v>
      </c>
      <c r="G626" s="284">
        <v>0.85435011000000005</v>
      </c>
    </row>
    <row r="627" spans="2:7">
      <c r="B627" s="281">
        <f t="shared" ca="1" si="10"/>
        <v>47905</v>
      </c>
      <c r="C627" s="282">
        <v>2.3186999999999999E-2</v>
      </c>
      <c r="F627" s="283">
        <v>46678</v>
      </c>
      <c r="G627" s="284">
        <v>0.85401539999999998</v>
      </c>
    </row>
    <row r="628" spans="2:7">
      <c r="B628" s="281">
        <f t="shared" ca="1" si="10"/>
        <v>47912</v>
      </c>
      <c r="C628" s="282">
        <v>2.3182999999999999E-2</v>
      </c>
      <c r="F628" s="283">
        <v>46685</v>
      </c>
      <c r="G628" s="284">
        <v>0.85368085999999999</v>
      </c>
    </row>
    <row r="629" spans="2:7">
      <c r="B629" s="281">
        <f t="shared" ca="1" si="10"/>
        <v>47919</v>
      </c>
      <c r="C629" s="282">
        <v>2.3178000000000001E-2</v>
      </c>
      <c r="F629" s="283">
        <v>46692</v>
      </c>
      <c r="G629" s="284">
        <v>0.85334648999999996</v>
      </c>
    </row>
    <row r="630" spans="2:7">
      <c r="B630" s="281">
        <f t="shared" ca="1" si="10"/>
        <v>47926</v>
      </c>
      <c r="C630" s="282">
        <v>2.3172999999999999E-2</v>
      </c>
      <c r="F630" s="283">
        <v>46699</v>
      </c>
      <c r="G630" s="284">
        <v>0.85301227000000002</v>
      </c>
    </row>
    <row r="631" spans="2:7">
      <c r="B631" s="281">
        <f t="shared" ca="1" si="10"/>
        <v>47933</v>
      </c>
      <c r="C631" s="282">
        <v>2.3168999999999999E-2</v>
      </c>
      <c r="F631" s="283">
        <v>46706</v>
      </c>
      <c r="G631" s="284">
        <v>0.85267822999999998</v>
      </c>
    </row>
    <row r="632" spans="2:7">
      <c r="B632" s="281">
        <f t="shared" ca="1" si="10"/>
        <v>47940</v>
      </c>
      <c r="C632" s="282">
        <v>2.3165000000000002E-2</v>
      </c>
      <c r="F632" s="283">
        <v>46713</v>
      </c>
      <c r="G632" s="284">
        <v>0.85234434999999997</v>
      </c>
    </row>
    <row r="633" spans="2:7">
      <c r="B633" s="281">
        <f t="shared" ca="1" si="10"/>
        <v>47947</v>
      </c>
      <c r="C633" s="282">
        <v>2.3163E-2</v>
      </c>
      <c r="F633" s="283">
        <v>46720</v>
      </c>
      <c r="G633" s="284">
        <v>0.85201064000000004</v>
      </c>
    </row>
    <row r="634" spans="2:7">
      <c r="B634" s="281">
        <f t="shared" ca="1" si="10"/>
        <v>47954</v>
      </c>
      <c r="C634" s="282">
        <v>2.3158000000000002E-2</v>
      </c>
      <c r="F634" s="283">
        <v>46727</v>
      </c>
      <c r="G634" s="284">
        <v>0.85167709999999996</v>
      </c>
    </row>
    <row r="635" spans="2:7">
      <c r="B635" s="281">
        <f t="shared" ca="1" si="10"/>
        <v>47961</v>
      </c>
      <c r="C635" s="282">
        <v>2.3154000000000001E-2</v>
      </c>
      <c r="F635" s="283">
        <v>46734</v>
      </c>
      <c r="G635" s="284">
        <v>0.85134372999999997</v>
      </c>
    </row>
    <row r="636" spans="2:7">
      <c r="B636" s="281">
        <f t="shared" ca="1" si="10"/>
        <v>47968</v>
      </c>
      <c r="C636" s="282">
        <v>2.315E-2</v>
      </c>
      <c r="F636" s="283">
        <v>46741</v>
      </c>
      <c r="G636" s="284">
        <v>0.85101053999999998</v>
      </c>
    </row>
    <row r="637" spans="2:7">
      <c r="B637" s="281">
        <f t="shared" ca="1" si="10"/>
        <v>47975</v>
      </c>
      <c r="C637" s="282">
        <v>2.3144999999999999E-2</v>
      </c>
      <c r="F637" s="283">
        <v>46748</v>
      </c>
      <c r="G637" s="284">
        <v>0.85067751000000003</v>
      </c>
    </row>
    <row r="638" spans="2:7">
      <c r="B638" s="281">
        <f t="shared" ca="1" si="10"/>
        <v>47982</v>
      </c>
      <c r="C638" s="282">
        <v>2.3141999999999999E-2</v>
      </c>
      <c r="F638" s="283">
        <v>46755</v>
      </c>
      <c r="G638" s="284">
        <v>0.85034465000000004</v>
      </c>
    </row>
    <row r="639" spans="2:7">
      <c r="B639" s="281">
        <f t="shared" ca="1" si="10"/>
        <v>47989</v>
      </c>
      <c r="C639" s="282">
        <v>2.3139E-2</v>
      </c>
      <c r="F639" s="283">
        <v>46762</v>
      </c>
      <c r="G639" s="284">
        <v>0.85001194999999996</v>
      </c>
    </row>
    <row r="640" spans="2:7">
      <c r="B640" s="281">
        <f t="shared" ca="1" si="10"/>
        <v>47996</v>
      </c>
      <c r="C640" s="282">
        <v>2.3136E-2</v>
      </c>
      <c r="F640" s="283">
        <v>46769</v>
      </c>
      <c r="G640" s="284">
        <v>0.84967941999999996</v>
      </c>
    </row>
    <row r="641" spans="2:7">
      <c r="B641" s="281">
        <f t="shared" ca="1" si="10"/>
        <v>48003</v>
      </c>
      <c r="C641" s="282">
        <v>2.3133000000000001E-2</v>
      </c>
      <c r="F641" s="283">
        <v>46776</v>
      </c>
      <c r="G641" s="284">
        <v>0.84934704999999999</v>
      </c>
    </row>
    <row r="642" spans="2:7">
      <c r="B642" s="281">
        <f t="shared" ca="1" si="10"/>
        <v>48010</v>
      </c>
      <c r="C642" s="282">
        <v>2.3127999999999999E-2</v>
      </c>
      <c r="F642" s="283">
        <v>46783</v>
      </c>
      <c r="G642" s="284">
        <v>0.84901484999999999</v>
      </c>
    </row>
    <row r="643" spans="2:7">
      <c r="B643" s="281">
        <f t="shared" ca="1" si="10"/>
        <v>48017</v>
      </c>
      <c r="C643" s="282">
        <v>2.3125E-2</v>
      </c>
      <c r="F643" s="283">
        <v>46790</v>
      </c>
      <c r="G643" s="284">
        <v>0.84868279000000002</v>
      </c>
    </row>
    <row r="644" spans="2:7">
      <c r="B644" s="281">
        <f t="shared" ca="1" si="10"/>
        <v>48024</v>
      </c>
      <c r="C644" s="282">
        <v>2.3123000000000001E-2</v>
      </c>
      <c r="F644" s="283">
        <v>46797</v>
      </c>
      <c r="G644" s="284">
        <v>0.84835088999999997</v>
      </c>
    </row>
    <row r="645" spans="2:7">
      <c r="B645" s="281">
        <f t="shared" ca="1" si="10"/>
        <v>48031</v>
      </c>
      <c r="C645" s="282">
        <v>2.3122E-2</v>
      </c>
      <c r="F645" s="283">
        <v>46804</v>
      </c>
      <c r="G645" s="284">
        <v>0.84801912999999995</v>
      </c>
    </row>
    <row r="646" spans="2:7">
      <c r="B646" s="281">
        <f t="shared" ca="1" si="10"/>
        <v>48038</v>
      </c>
      <c r="C646" s="282">
        <v>2.3123000000000001E-2</v>
      </c>
      <c r="F646" s="283">
        <v>46811</v>
      </c>
      <c r="G646" s="284">
        <v>0.84768752000000003</v>
      </c>
    </row>
    <row r="647" spans="2:7">
      <c r="B647" s="281">
        <f t="shared" ca="1" si="10"/>
        <v>48045</v>
      </c>
      <c r="C647" s="282">
        <v>2.3123000000000001E-2</v>
      </c>
      <c r="F647" s="283">
        <v>46818</v>
      </c>
      <c r="G647" s="284">
        <v>0.84735603999999998</v>
      </c>
    </row>
    <row r="648" spans="2:7">
      <c r="B648" s="281">
        <f t="shared" ca="1" si="10"/>
        <v>48052</v>
      </c>
      <c r="C648" s="282">
        <v>2.3123999999999999E-2</v>
      </c>
      <c r="F648" s="283">
        <v>46825</v>
      </c>
      <c r="G648" s="284">
        <v>0.84702469000000002</v>
      </c>
    </row>
    <row r="649" spans="2:7">
      <c r="B649" s="281">
        <f t="shared" ca="1" si="10"/>
        <v>48059</v>
      </c>
      <c r="C649" s="282">
        <v>2.3123999999999999E-2</v>
      </c>
      <c r="F649" s="283">
        <v>46832</v>
      </c>
      <c r="G649" s="284">
        <v>0.84669346000000001</v>
      </c>
    </row>
    <row r="650" spans="2:7">
      <c r="B650" s="281">
        <f t="shared" ca="1" si="10"/>
        <v>48066</v>
      </c>
      <c r="C650" s="282">
        <v>2.3122E-2</v>
      </c>
      <c r="F650" s="283">
        <v>46839</v>
      </c>
      <c r="G650" s="284">
        <v>0.84636235000000004</v>
      </c>
    </row>
    <row r="651" spans="2:7">
      <c r="B651" s="281">
        <f t="shared" ca="1" si="10"/>
        <v>48073</v>
      </c>
      <c r="C651" s="282">
        <v>2.3123999999999999E-2</v>
      </c>
      <c r="F651" s="283">
        <v>46846</v>
      </c>
      <c r="G651" s="284">
        <v>0.84603134000000002</v>
      </c>
    </row>
    <row r="652" spans="2:7">
      <c r="B652" s="281">
        <f t="shared" ca="1" si="10"/>
        <v>48080</v>
      </c>
      <c r="C652" s="282">
        <v>2.3126000000000001E-2</v>
      </c>
      <c r="F652" s="283">
        <v>46853</v>
      </c>
      <c r="G652" s="284">
        <v>0.84570042999999995</v>
      </c>
    </row>
    <row r="653" spans="2:7">
      <c r="B653" s="281">
        <f t="shared" ca="1" si="10"/>
        <v>48087</v>
      </c>
      <c r="C653" s="282">
        <v>2.3129E-2</v>
      </c>
      <c r="F653" s="283">
        <v>46860</v>
      </c>
      <c r="G653" s="284">
        <v>0.84536960999999999</v>
      </c>
    </row>
    <row r="654" spans="2:7">
      <c r="B654" s="281">
        <f t="shared" ca="1" si="10"/>
        <v>48094</v>
      </c>
      <c r="C654" s="282">
        <v>2.3130999999999999E-2</v>
      </c>
      <c r="F654" s="283">
        <v>46867</v>
      </c>
      <c r="G654" s="284">
        <v>0.84503885999999995</v>
      </c>
    </row>
    <row r="655" spans="2:7">
      <c r="B655" s="281">
        <f t="shared" ca="1" si="10"/>
        <v>48101</v>
      </c>
      <c r="C655" s="282">
        <v>2.3137000000000001E-2</v>
      </c>
      <c r="F655" s="283">
        <v>46874</v>
      </c>
      <c r="G655" s="284">
        <v>0.84470818999999997</v>
      </c>
    </row>
    <row r="656" spans="2:7">
      <c r="B656" s="281">
        <f t="shared" ca="1" si="10"/>
        <v>48108</v>
      </c>
      <c r="C656" s="282">
        <v>2.3140000000000001E-2</v>
      </c>
      <c r="F656" s="283">
        <v>46881</v>
      </c>
      <c r="G656" s="284">
        <v>0.84437757999999996</v>
      </c>
    </row>
    <row r="657" spans="2:7">
      <c r="B657" s="281">
        <f t="shared" ca="1" si="10"/>
        <v>48115</v>
      </c>
      <c r="C657" s="282">
        <v>2.3144000000000001E-2</v>
      </c>
      <c r="F657" s="283">
        <v>46888</v>
      </c>
      <c r="G657" s="284">
        <v>0.84404705000000002</v>
      </c>
    </row>
    <row r="658" spans="2:7">
      <c r="B658" s="281">
        <f t="shared" ca="1" si="10"/>
        <v>48122</v>
      </c>
      <c r="C658" s="282">
        <v>2.3147999999999998E-2</v>
      </c>
      <c r="F658" s="283">
        <v>46895</v>
      </c>
      <c r="G658" s="284">
        <v>0.84371657</v>
      </c>
    </row>
    <row r="659" spans="2:7">
      <c r="B659" s="281">
        <f t="shared" ca="1" si="10"/>
        <v>48129</v>
      </c>
      <c r="C659" s="282">
        <v>2.3147999999999998E-2</v>
      </c>
      <c r="F659" s="283">
        <v>46902</v>
      </c>
      <c r="G659" s="284">
        <v>0.84338616</v>
      </c>
    </row>
    <row r="660" spans="2:7">
      <c r="B660" s="281">
        <f t="shared" ca="1" si="10"/>
        <v>48136</v>
      </c>
      <c r="C660" s="282">
        <v>2.3151999999999999E-2</v>
      </c>
      <c r="F660" s="283">
        <v>46909</v>
      </c>
      <c r="G660" s="284">
        <v>0.84305580999999996</v>
      </c>
    </row>
    <row r="661" spans="2:7">
      <c r="B661" s="281">
        <f t="shared" ca="1" si="10"/>
        <v>48143</v>
      </c>
      <c r="C661" s="282">
        <v>2.3156E-2</v>
      </c>
      <c r="F661" s="283">
        <v>46916</v>
      </c>
      <c r="G661" s="284">
        <v>0.84272552000000001</v>
      </c>
    </row>
    <row r="662" spans="2:7">
      <c r="B662" s="281">
        <f t="shared" ca="1" si="10"/>
        <v>48150</v>
      </c>
      <c r="C662" s="282">
        <v>2.3161000000000001E-2</v>
      </c>
      <c r="F662" s="283">
        <v>46923</v>
      </c>
      <c r="G662" s="284">
        <v>0.84239527999999997</v>
      </c>
    </row>
    <row r="663" spans="2:7">
      <c r="B663" s="281">
        <f t="shared" ca="1" si="10"/>
        <v>48157</v>
      </c>
      <c r="C663" s="282">
        <v>2.3165000000000002E-2</v>
      </c>
      <c r="F663" s="283">
        <v>46930</v>
      </c>
      <c r="G663" s="284">
        <v>0.84206510000000001</v>
      </c>
    </row>
    <row r="664" spans="2:7">
      <c r="B664" s="281">
        <f t="shared" ca="1" si="10"/>
        <v>48164</v>
      </c>
      <c r="C664" s="282">
        <v>2.3172999999999999E-2</v>
      </c>
      <c r="F664" s="283">
        <v>46937</v>
      </c>
      <c r="G664" s="284">
        <v>0.84173496999999997</v>
      </c>
    </row>
    <row r="665" spans="2:7">
      <c r="B665" s="281">
        <f t="shared" ca="1" si="10"/>
        <v>48171</v>
      </c>
      <c r="C665" s="282">
        <v>2.3178000000000001E-2</v>
      </c>
      <c r="F665" s="283">
        <v>46944</v>
      </c>
      <c r="G665" s="284">
        <v>0.84140488999999996</v>
      </c>
    </row>
    <row r="666" spans="2:7">
      <c r="B666" s="281">
        <f t="shared" ca="1" si="10"/>
        <v>48178</v>
      </c>
      <c r="C666" s="282">
        <v>2.3182999999999999E-2</v>
      </c>
      <c r="F666" s="283">
        <v>46951</v>
      </c>
      <c r="G666" s="284">
        <v>0.84107485999999998</v>
      </c>
    </row>
    <row r="667" spans="2:7">
      <c r="B667" s="281">
        <f t="shared" ca="1" si="10"/>
        <v>48185</v>
      </c>
      <c r="C667" s="282">
        <v>2.3189000000000001E-2</v>
      </c>
      <c r="F667" s="283">
        <v>46958</v>
      </c>
      <c r="G667" s="284">
        <v>0.84074486999999998</v>
      </c>
    </row>
    <row r="668" spans="2:7">
      <c r="B668" s="281">
        <f t="shared" ref="B668:B731" ca="1" si="11">B667+$A$28</f>
        <v>48192</v>
      </c>
      <c r="C668" s="282">
        <v>2.3193999999999999E-2</v>
      </c>
      <c r="F668" s="283">
        <v>46965</v>
      </c>
      <c r="G668" s="284">
        <v>0.84041494000000005</v>
      </c>
    </row>
    <row r="669" spans="2:7">
      <c r="B669" s="281">
        <f t="shared" ca="1" si="11"/>
        <v>48199</v>
      </c>
      <c r="C669" s="282">
        <v>2.3198E-2</v>
      </c>
      <c r="F669" s="283">
        <v>46972</v>
      </c>
      <c r="G669" s="284">
        <v>0.84008505</v>
      </c>
    </row>
    <row r="670" spans="2:7">
      <c r="B670" s="281">
        <f t="shared" ca="1" si="11"/>
        <v>48206</v>
      </c>
      <c r="C670" s="282">
        <v>2.3203000000000001E-2</v>
      </c>
      <c r="F670" s="283">
        <v>46979</v>
      </c>
      <c r="G670" s="284">
        <v>0.83975520000000003</v>
      </c>
    </row>
    <row r="671" spans="2:7">
      <c r="B671" s="281">
        <f t="shared" ca="1" si="11"/>
        <v>48213</v>
      </c>
      <c r="C671" s="282">
        <v>2.3207999999999999E-2</v>
      </c>
      <c r="F671" s="283">
        <v>46986</v>
      </c>
      <c r="G671" s="284">
        <v>0.83942539999999999</v>
      </c>
    </row>
    <row r="672" spans="2:7">
      <c r="B672" s="281">
        <f t="shared" ca="1" si="11"/>
        <v>48220</v>
      </c>
      <c r="C672" s="282">
        <v>2.3210000000000001E-2</v>
      </c>
      <c r="F672" s="283">
        <v>46993</v>
      </c>
      <c r="G672" s="284">
        <v>0.83909564000000003</v>
      </c>
    </row>
    <row r="673" spans="2:7">
      <c r="B673" s="281">
        <f t="shared" ca="1" si="11"/>
        <v>48227</v>
      </c>
      <c r="C673" s="282">
        <v>2.3216000000000001E-2</v>
      </c>
      <c r="F673" s="283">
        <v>47000</v>
      </c>
      <c r="G673" s="284">
        <v>0.83876592000000005</v>
      </c>
    </row>
    <row r="674" spans="2:7">
      <c r="B674" s="281">
        <f t="shared" ca="1" si="11"/>
        <v>48234</v>
      </c>
      <c r="C674" s="282">
        <v>2.3220999999999999E-2</v>
      </c>
      <c r="F674" s="283">
        <v>47007</v>
      </c>
      <c r="G674" s="284">
        <v>0.83843624000000005</v>
      </c>
    </row>
    <row r="675" spans="2:7">
      <c r="B675" s="281">
        <f t="shared" ca="1" si="11"/>
        <v>48241</v>
      </c>
      <c r="C675" s="282">
        <v>2.3227000000000001E-2</v>
      </c>
      <c r="F675" s="283">
        <v>47014</v>
      </c>
      <c r="G675" s="284">
        <v>0.83810660999999997</v>
      </c>
    </row>
    <row r="676" spans="2:7">
      <c r="B676" s="281">
        <f t="shared" ca="1" si="11"/>
        <v>48248</v>
      </c>
      <c r="C676" s="282">
        <v>2.3231999999999999E-2</v>
      </c>
      <c r="F676" s="283">
        <v>47021</v>
      </c>
      <c r="G676" s="284">
        <v>0.83777701000000004</v>
      </c>
    </row>
    <row r="677" spans="2:7">
      <c r="B677" s="281">
        <f t="shared" ca="1" si="11"/>
        <v>48255</v>
      </c>
      <c r="C677" s="282">
        <v>2.3241000000000001E-2</v>
      </c>
      <c r="F677" s="283">
        <v>47028</v>
      </c>
      <c r="G677" s="284">
        <v>0.83744744999999998</v>
      </c>
    </row>
    <row r="678" spans="2:7">
      <c r="B678" s="281">
        <f t="shared" ca="1" si="11"/>
        <v>48262</v>
      </c>
      <c r="C678" s="282">
        <v>2.3247E-2</v>
      </c>
      <c r="F678" s="283">
        <v>47035</v>
      </c>
      <c r="G678" s="284">
        <v>0.83711793000000001</v>
      </c>
    </row>
    <row r="679" spans="2:7">
      <c r="B679" s="281">
        <f t="shared" ca="1" si="11"/>
        <v>48269</v>
      </c>
      <c r="C679" s="282">
        <v>2.3252999999999999E-2</v>
      </c>
      <c r="F679" s="283">
        <v>47042</v>
      </c>
      <c r="G679" s="284">
        <v>0.83678845000000002</v>
      </c>
    </row>
    <row r="680" spans="2:7">
      <c r="B680" s="281">
        <f t="shared" ca="1" si="11"/>
        <v>48276</v>
      </c>
      <c r="C680" s="282">
        <v>2.3258000000000001E-2</v>
      </c>
      <c r="F680" s="283">
        <v>47049</v>
      </c>
      <c r="G680" s="284">
        <v>0.83645901</v>
      </c>
    </row>
    <row r="681" spans="2:7">
      <c r="B681" s="281">
        <f t="shared" ca="1" si="11"/>
        <v>48283</v>
      </c>
      <c r="C681" s="282">
        <v>2.3259999999999999E-2</v>
      </c>
      <c r="F681" s="283">
        <v>47056</v>
      </c>
      <c r="G681" s="284">
        <v>0.83612960000000003</v>
      </c>
    </row>
    <row r="682" spans="2:7">
      <c r="B682" s="281">
        <f t="shared" ca="1" si="11"/>
        <v>48290</v>
      </c>
      <c r="C682" s="282">
        <v>2.3265999999999998E-2</v>
      </c>
      <c r="F682" s="283">
        <v>47063</v>
      </c>
      <c r="G682" s="284">
        <v>0.83580023999999997</v>
      </c>
    </row>
    <row r="683" spans="2:7">
      <c r="B683" s="281">
        <f t="shared" ca="1" si="11"/>
        <v>48297</v>
      </c>
      <c r="C683" s="282">
        <v>2.3271E-2</v>
      </c>
      <c r="F683" s="283">
        <v>47070</v>
      </c>
      <c r="G683" s="284">
        <v>0.83547090999999996</v>
      </c>
    </row>
    <row r="684" spans="2:7">
      <c r="B684" s="281">
        <f t="shared" ca="1" si="11"/>
        <v>48304</v>
      </c>
      <c r="C684" s="282">
        <v>2.3276999999999999E-2</v>
      </c>
      <c r="F684" s="283">
        <v>47077</v>
      </c>
      <c r="G684" s="284">
        <v>0.83514162000000003</v>
      </c>
    </row>
    <row r="685" spans="2:7">
      <c r="B685" s="281">
        <f t="shared" ca="1" si="11"/>
        <v>48311</v>
      </c>
      <c r="C685" s="282">
        <v>2.3283000000000002E-2</v>
      </c>
      <c r="F685" s="283">
        <v>47084</v>
      </c>
      <c r="G685" s="284">
        <v>0.83481236999999997</v>
      </c>
    </row>
    <row r="686" spans="2:7">
      <c r="B686" s="281">
        <f t="shared" ca="1" si="11"/>
        <v>48318</v>
      </c>
      <c r="C686" s="282">
        <v>2.3292E-2</v>
      </c>
      <c r="F686" s="283">
        <v>47091</v>
      </c>
      <c r="G686" s="284">
        <v>0.83448314999999995</v>
      </c>
    </row>
    <row r="687" spans="2:7">
      <c r="B687" s="281">
        <f t="shared" ca="1" si="11"/>
        <v>48325</v>
      </c>
      <c r="C687" s="282">
        <v>2.3297999999999999E-2</v>
      </c>
      <c r="F687" s="283">
        <v>47098</v>
      </c>
      <c r="G687" s="284">
        <v>0.83415397999999996</v>
      </c>
    </row>
    <row r="688" spans="2:7">
      <c r="B688" s="281">
        <f t="shared" ca="1" si="11"/>
        <v>48332</v>
      </c>
      <c r="C688" s="282">
        <v>2.3302E-2</v>
      </c>
      <c r="F688" s="283">
        <v>47105</v>
      </c>
      <c r="G688" s="284">
        <v>0.83382484999999995</v>
      </c>
    </row>
    <row r="689" spans="2:7">
      <c r="B689" s="281">
        <f t="shared" ca="1" si="11"/>
        <v>48339</v>
      </c>
      <c r="C689" s="282">
        <v>2.3307000000000001E-2</v>
      </c>
      <c r="F689" s="283">
        <v>47112</v>
      </c>
      <c r="G689" s="284">
        <v>0.83349574999999998</v>
      </c>
    </row>
    <row r="690" spans="2:7">
      <c r="B690" s="281">
        <f t="shared" ca="1" si="11"/>
        <v>48346</v>
      </c>
      <c r="C690" s="282">
        <v>2.3313E-2</v>
      </c>
      <c r="F690" s="283">
        <v>47119</v>
      </c>
      <c r="G690" s="284">
        <v>0.83316670000000004</v>
      </c>
    </row>
    <row r="691" spans="2:7">
      <c r="B691" s="281">
        <f t="shared" ca="1" si="11"/>
        <v>48353</v>
      </c>
      <c r="C691" s="282">
        <v>2.3317999999999998E-2</v>
      </c>
      <c r="F691" s="283">
        <v>47126</v>
      </c>
      <c r="G691" s="284">
        <v>0.83283768000000002</v>
      </c>
    </row>
    <row r="692" spans="2:7">
      <c r="B692" s="281">
        <f t="shared" ca="1" si="11"/>
        <v>48360</v>
      </c>
      <c r="C692" s="282">
        <v>2.3324999999999999E-2</v>
      </c>
      <c r="F692" s="283">
        <v>47133</v>
      </c>
      <c r="G692" s="284">
        <v>0.83250871000000004</v>
      </c>
    </row>
    <row r="693" spans="2:7">
      <c r="B693" s="281">
        <f t="shared" ca="1" si="11"/>
        <v>48367</v>
      </c>
      <c r="C693" s="282">
        <v>2.3328999999999999E-2</v>
      </c>
      <c r="F693" s="283">
        <v>47140</v>
      </c>
      <c r="G693" s="284">
        <v>0.83217978000000004</v>
      </c>
    </row>
    <row r="694" spans="2:7">
      <c r="B694" s="281">
        <f t="shared" ca="1" si="11"/>
        <v>48374</v>
      </c>
      <c r="C694" s="282">
        <v>2.3328000000000002E-2</v>
      </c>
      <c r="F694" s="283">
        <v>47147</v>
      </c>
      <c r="G694" s="284">
        <v>0.83185089000000001</v>
      </c>
    </row>
    <row r="695" spans="2:7">
      <c r="B695" s="281">
        <f t="shared" ca="1" si="11"/>
        <v>48381</v>
      </c>
      <c r="C695" s="282">
        <v>2.3333E-2</v>
      </c>
      <c r="F695" s="283">
        <v>47154</v>
      </c>
      <c r="G695" s="284">
        <v>0.83152203999999996</v>
      </c>
    </row>
    <row r="696" spans="2:7">
      <c r="B696" s="281">
        <f t="shared" ca="1" si="11"/>
        <v>48388</v>
      </c>
      <c r="C696" s="282">
        <v>2.3338000000000001E-2</v>
      </c>
      <c r="F696" s="283">
        <v>47161</v>
      </c>
      <c r="G696" s="284">
        <v>0.83119324000000006</v>
      </c>
    </row>
    <row r="697" spans="2:7">
      <c r="B697" s="281">
        <f t="shared" ca="1" si="11"/>
        <v>48395</v>
      </c>
      <c r="C697" s="282">
        <v>2.3342999999999999E-2</v>
      </c>
      <c r="F697" s="283">
        <v>47168</v>
      </c>
      <c r="G697" s="284">
        <v>0.83086448999999996</v>
      </c>
    </row>
    <row r="698" spans="2:7">
      <c r="B698" s="281">
        <f t="shared" ca="1" si="11"/>
        <v>48402</v>
      </c>
      <c r="C698" s="282">
        <v>2.3347E-2</v>
      </c>
      <c r="F698" s="283">
        <v>47175</v>
      </c>
      <c r="G698" s="284">
        <v>0.83053577999999995</v>
      </c>
    </row>
    <row r="699" spans="2:7">
      <c r="B699" s="281">
        <f t="shared" ca="1" si="11"/>
        <v>48409</v>
      </c>
      <c r="C699" s="282">
        <v>2.3356999999999999E-2</v>
      </c>
      <c r="F699" s="283">
        <v>47182</v>
      </c>
      <c r="G699" s="284">
        <v>0.83020711999999997</v>
      </c>
    </row>
    <row r="700" spans="2:7">
      <c r="B700" s="281">
        <f t="shared" ca="1" si="11"/>
        <v>48416</v>
      </c>
      <c r="C700" s="282">
        <v>2.3362000000000001E-2</v>
      </c>
      <c r="F700" s="283">
        <v>47189</v>
      </c>
      <c r="G700" s="284">
        <v>0.82987849999999996</v>
      </c>
    </row>
    <row r="701" spans="2:7">
      <c r="B701" s="281">
        <f t="shared" ca="1" si="11"/>
        <v>48423</v>
      </c>
      <c r="C701" s="282">
        <v>2.3366000000000001E-2</v>
      </c>
      <c r="F701" s="283">
        <v>47196</v>
      </c>
      <c r="G701" s="284">
        <v>0.82954994000000004</v>
      </c>
    </row>
    <row r="702" spans="2:7">
      <c r="B702" s="281">
        <f t="shared" ca="1" si="11"/>
        <v>48430</v>
      </c>
      <c r="C702" s="282">
        <v>2.3369999999999998E-2</v>
      </c>
      <c r="F702" s="283">
        <v>47203</v>
      </c>
      <c r="G702" s="284">
        <v>0.82922141999999999</v>
      </c>
    </row>
    <row r="703" spans="2:7">
      <c r="B703" s="281">
        <f t="shared" ca="1" si="11"/>
        <v>48437</v>
      </c>
      <c r="C703" s="282">
        <v>2.3370999999999999E-2</v>
      </c>
      <c r="F703" s="283">
        <v>47210</v>
      </c>
      <c r="G703" s="284">
        <v>0.82889296000000001</v>
      </c>
    </row>
    <row r="704" spans="2:7">
      <c r="B704" s="281">
        <f t="shared" ca="1" si="11"/>
        <v>48444</v>
      </c>
      <c r="C704" s="282">
        <v>2.3375E-2</v>
      </c>
      <c r="F704" s="283">
        <v>47217</v>
      </c>
      <c r="G704" s="284">
        <v>0.82856454999999996</v>
      </c>
    </row>
    <row r="705" spans="2:7">
      <c r="B705" s="281">
        <f t="shared" ca="1" si="11"/>
        <v>48451</v>
      </c>
      <c r="C705" s="282">
        <v>2.3379E-2</v>
      </c>
      <c r="F705" s="283">
        <v>47224</v>
      </c>
      <c r="G705" s="284">
        <v>0.82823619000000004</v>
      </c>
    </row>
    <row r="706" spans="2:7">
      <c r="B706" s="281">
        <f t="shared" ca="1" si="11"/>
        <v>48458</v>
      </c>
      <c r="C706" s="282">
        <v>2.3382E-2</v>
      </c>
      <c r="F706" s="283">
        <v>47231</v>
      </c>
      <c r="G706" s="284">
        <v>0.82790788999999998</v>
      </c>
    </row>
    <row r="707" spans="2:7">
      <c r="B707" s="281">
        <f t="shared" ca="1" si="11"/>
        <v>48465</v>
      </c>
      <c r="C707" s="282">
        <v>2.3389E-2</v>
      </c>
      <c r="F707" s="283">
        <v>47238</v>
      </c>
      <c r="G707" s="284">
        <v>0.82757965</v>
      </c>
    </row>
    <row r="708" spans="2:7">
      <c r="B708" s="281">
        <f t="shared" ca="1" si="11"/>
        <v>48472</v>
      </c>
      <c r="C708" s="282">
        <v>2.3392E-2</v>
      </c>
      <c r="F708" s="283">
        <v>47245</v>
      </c>
      <c r="G708" s="284">
        <v>0.82725146000000005</v>
      </c>
    </row>
    <row r="709" spans="2:7">
      <c r="B709" s="281">
        <f t="shared" ca="1" si="11"/>
        <v>48479</v>
      </c>
      <c r="C709" s="282">
        <v>2.3396E-2</v>
      </c>
      <c r="F709" s="283">
        <v>47252</v>
      </c>
      <c r="G709" s="284">
        <v>0.82692334000000001</v>
      </c>
    </row>
    <row r="710" spans="2:7">
      <c r="B710" s="281">
        <f t="shared" ca="1" si="11"/>
        <v>48486</v>
      </c>
      <c r="C710" s="282">
        <v>2.3399E-2</v>
      </c>
      <c r="F710" s="283">
        <v>47259</v>
      </c>
      <c r="G710" s="284">
        <v>0.82659526999999999</v>
      </c>
    </row>
    <row r="711" spans="2:7">
      <c r="B711" s="281">
        <f t="shared" ca="1" si="11"/>
        <v>48493</v>
      </c>
      <c r="C711" s="282">
        <v>2.3399E-2</v>
      </c>
      <c r="F711" s="283">
        <v>47266</v>
      </c>
      <c r="G711" s="284">
        <v>0.82626727</v>
      </c>
    </row>
    <row r="712" spans="2:7">
      <c r="B712" s="281">
        <f t="shared" ca="1" si="11"/>
        <v>48500</v>
      </c>
      <c r="C712" s="282">
        <v>2.3401999999999999E-2</v>
      </c>
      <c r="F712" s="283">
        <v>47273</v>
      </c>
      <c r="G712" s="284">
        <v>0.82593932000000003</v>
      </c>
    </row>
    <row r="713" spans="2:7">
      <c r="B713" s="281">
        <f t="shared" ca="1" si="11"/>
        <v>48507</v>
      </c>
      <c r="C713" s="282">
        <v>2.3404000000000001E-2</v>
      </c>
      <c r="F713" s="283">
        <v>47280</v>
      </c>
      <c r="G713" s="284">
        <v>0.82561145000000002</v>
      </c>
    </row>
    <row r="714" spans="2:7">
      <c r="B714" s="281">
        <f t="shared" ca="1" si="11"/>
        <v>48514</v>
      </c>
      <c r="C714" s="282">
        <v>2.3407000000000001E-2</v>
      </c>
      <c r="F714" s="283">
        <v>47287</v>
      </c>
      <c r="G714" s="284">
        <v>0.82528363999999999</v>
      </c>
    </row>
    <row r="715" spans="2:7">
      <c r="B715" s="281">
        <f t="shared" ca="1" si="11"/>
        <v>48521</v>
      </c>
      <c r="C715" s="282">
        <v>2.3408999999999999E-2</v>
      </c>
      <c r="F715" s="283">
        <v>47294</v>
      </c>
      <c r="G715" s="284">
        <v>0.82495589999999996</v>
      </c>
    </row>
    <row r="716" spans="2:7">
      <c r="B716" s="281">
        <f t="shared" ca="1" si="11"/>
        <v>48528</v>
      </c>
      <c r="C716" s="282">
        <v>2.3414000000000001E-2</v>
      </c>
      <c r="F716" s="283">
        <v>47301</v>
      </c>
      <c r="G716" s="284">
        <v>0.82462822999999996</v>
      </c>
    </row>
    <row r="717" spans="2:7">
      <c r="B717" s="281">
        <f t="shared" ca="1" si="11"/>
        <v>48535</v>
      </c>
      <c r="C717" s="282">
        <v>2.3415999999999999E-2</v>
      </c>
      <c r="F717" s="283">
        <v>47308</v>
      </c>
      <c r="G717" s="284">
        <v>0.82430062999999998</v>
      </c>
    </row>
    <row r="718" spans="2:7">
      <c r="B718" s="281">
        <f t="shared" ca="1" si="11"/>
        <v>48542</v>
      </c>
      <c r="C718" s="282">
        <v>2.3418000000000001E-2</v>
      </c>
      <c r="F718" s="283">
        <v>47315</v>
      </c>
      <c r="G718" s="284">
        <v>0.82397310999999995</v>
      </c>
    </row>
    <row r="719" spans="2:7">
      <c r="B719" s="281">
        <f t="shared" ca="1" si="11"/>
        <v>48549</v>
      </c>
      <c r="C719" s="282">
        <v>2.3421000000000001E-2</v>
      </c>
      <c r="F719" s="283">
        <v>47322</v>
      </c>
      <c r="G719" s="284">
        <v>0.82364565999999995</v>
      </c>
    </row>
    <row r="720" spans="2:7">
      <c r="B720" s="281">
        <f t="shared" ca="1" si="11"/>
        <v>48556</v>
      </c>
      <c r="C720" s="282">
        <v>2.3421999999999998E-2</v>
      </c>
      <c r="F720" s="283">
        <v>47329</v>
      </c>
      <c r="G720" s="284">
        <v>0.82331827999999996</v>
      </c>
    </row>
    <row r="721" spans="2:7">
      <c r="B721" s="281">
        <f t="shared" ca="1" si="11"/>
        <v>48563</v>
      </c>
      <c r="C721" s="282">
        <v>2.3422999999999999E-2</v>
      </c>
      <c r="F721" s="283">
        <v>47336</v>
      </c>
      <c r="G721" s="284">
        <v>0.82299098000000004</v>
      </c>
    </row>
    <row r="722" spans="2:7">
      <c r="B722" s="281">
        <f t="shared" ca="1" si="11"/>
        <v>48570</v>
      </c>
      <c r="C722" s="282">
        <v>2.3424E-2</v>
      </c>
      <c r="F722" s="283">
        <v>47343</v>
      </c>
      <c r="G722" s="284">
        <v>0.82266377000000002</v>
      </c>
    </row>
    <row r="723" spans="2:7">
      <c r="B723" s="281">
        <f t="shared" ca="1" si="11"/>
        <v>48577</v>
      </c>
      <c r="C723" s="282">
        <v>2.3425000000000001E-2</v>
      </c>
      <c r="F723" s="283">
        <v>47350</v>
      </c>
      <c r="G723" s="284">
        <v>0.82233663000000001</v>
      </c>
    </row>
    <row r="724" spans="2:7">
      <c r="B724" s="281">
        <f t="shared" ca="1" si="11"/>
        <v>48584</v>
      </c>
      <c r="C724" s="282">
        <v>2.3424E-2</v>
      </c>
      <c r="F724" s="283">
        <v>47357</v>
      </c>
      <c r="G724" s="284">
        <v>0.82200958000000002</v>
      </c>
    </row>
    <row r="725" spans="2:7">
      <c r="B725" s="281">
        <f t="shared" ca="1" si="11"/>
        <v>48591</v>
      </c>
      <c r="C725" s="282">
        <v>2.3424E-2</v>
      </c>
      <c r="F725" s="283">
        <v>47364</v>
      </c>
      <c r="G725" s="284">
        <v>0.82168262000000003</v>
      </c>
    </row>
    <row r="726" spans="2:7">
      <c r="B726" s="281">
        <f t="shared" ca="1" si="11"/>
        <v>48598</v>
      </c>
      <c r="C726" s="282">
        <v>2.3425000000000001E-2</v>
      </c>
      <c r="F726" s="283">
        <v>47371</v>
      </c>
      <c r="G726" s="284">
        <v>0.82135574</v>
      </c>
    </row>
    <row r="727" spans="2:7">
      <c r="B727" s="281">
        <f t="shared" ca="1" si="11"/>
        <v>48605</v>
      </c>
      <c r="C727" s="282">
        <v>2.3425000000000001E-2</v>
      </c>
      <c r="F727" s="283">
        <v>47378</v>
      </c>
      <c r="G727" s="284">
        <v>0.82102894999999998</v>
      </c>
    </row>
    <row r="728" spans="2:7">
      <c r="B728" s="281">
        <f t="shared" ca="1" si="11"/>
        <v>48612</v>
      </c>
      <c r="C728" s="282">
        <v>2.3425000000000001E-2</v>
      </c>
      <c r="F728" s="283">
        <v>47385</v>
      </c>
      <c r="G728" s="284">
        <v>0.82070224000000003</v>
      </c>
    </row>
    <row r="729" spans="2:7">
      <c r="B729" s="281">
        <f t="shared" ca="1" si="11"/>
        <v>48619</v>
      </c>
      <c r="C729" s="282">
        <v>2.3428000000000001E-2</v>
      </c>
      <c r="F729" s="283">
        <v>47392</v>
      </c>
      <c r="G729" s="284">
        <v>0.82037563999999996</v>
      </c>
    </row>
    <row r="730" spans="2:7">
      <c r="B730" s="281">
        <f t="shared" ca="1" si="11"/>
        <v>48626</v>
      </c>
      <c r="C730" s="282">
        <v>2.3428000000000001E-2</v>
      </c>
      <c r="F730" s="283">
        <v>47399</v>
      </c>
      <c r="G730" s="284">
        <v>0.82004911999999996</v>
      </c>
    </row>
    <row r="731" spans="2:7">
      <c r="B731" s="281">
        <f t="shared" ca="1" si="11"/>
        <v>48633</v>
      </c>
      <c r="C731" s="282">
        <v>2.3427E-2</v>
      </c>
      <c r="F731" s="283">
        <v>47406</v>
      </c>
      <c r="G731" s="284">
        <v>0.81972270000000003</v>
      </c>
    </row>
    <row r="732" spans="2:7">
      <c r="B732" s="281">
        <f t="shared" ref="B732:B795" ca="1" si="12">B731+$A$28</f>
        <v>48640</v>
      </c>
      <c r="C732" s="282">
        <v>2.3427E-2</v>
      </c>
      <c r="F732" s="283">
        <v>47413</v>
      </c>
      <c r="G732" s="284">
        <v>0.81939638000000004</v>
      </c>
    </row>
    <row r="733" spans="2:7">
      <c r="B733" s="281">
        <f t="shared" ca="1" si="12"/>
        <v>48647</v>
      </c>
      <c r="C733" s="282">
        <v>2.3424E-2</v>
      </c>
      <c r="F733" s="283">
        <v>47420</v>
      </c>
      <c r="G733" s="284">
        <v>0.81907015999999999</v>
      </c>
    </row>
    <row r="734" spans="2:7">
      <c r="B734" s="281">
        <f t="shared" ca="1" si="12"/>
        <v>48654</v>
      </c>
      <c r="C734" s="282">
        <v>2.3422999999999999E-2</v>
      </c>
      <c r="F734" s="283">
        <v>47427</v>
      </c>
      <c r="G734" s="284">
        <v>0.81874402999999996</v>
      </c>
    </row>
    <row r="735" spans="2:7">
      <c r="B735" s="281">
        <f t="shared" ca="1" si="12"/>
        <v>48661</v>
      </c>
      <c r="C735" s="282">
        <v>2.3421999999999998E-2</v>
      </c>
      <c r="F735" s="283">
        <v>47434</v>
      </c>
      <c r="G735" s="284">
        <v>0.81841801000000003</v>
      </c>
    </row>
    <row r="736" spans="2:7">
      <c r="B736" s="281">
        <f t="shared" ca="1" si="12"/>
        <v>48668</v>
      </c>
      <c r="C736" s="282">
        <v>2.3421000000000001E-2</v>
      </c>
      <c r="F736" s="283">
        <v>47441</v>
      </c>
      <c r="G736" s="284">
        <v>0.81809209999999999</v>
      </c>
    </row>
    <row r="737" spans="2:7">
      <c r="B737" s="281">
        <f t="shared" ca="1" si="12"/>
        <v>48675</v>
      </c>
      <c r="C737" s="282">
        <v>2.342E-2</v>
      </c>
      <c r="F737" s="283">
        <v>47448</v>
      </c>
      <c r="G737" s="284">
        <v>0.81776629000000001</v>
      </c>
    </row>
    <row r="738" spans="2:7">
      <c r="B738" s="281">
        <f t="shared" ca="1" si="12"/>
        <v>48682</v>
      </c>
      <c r="C738" s="282">
        <v>2.342E-2</v>
      </c>
      <c r="F738" s="283">
        <v>47455</v>
      </c>
      <c r="G738" s="284">
        <v>0.81744059000000002</v>
      </c>
    </row>
    <row r="739" spans="2:7">
      <c r="B739" s="281">
        <f t="shared" ca="1" si="12"/>
        <v>48689</v>
      </c>
      <c r="C739" s="282">
        <v>2.3418000000000001E-2</v>
      </c>
      <c r="F739" s="283">
        <v>47462</v>
      </c>
      <c r="G739" s="284">
        <v>0.81711498999999999</v>
      </c>
    </row>
    <row r="740" spans="2:7">
      <c r="B740" s="281">
        <f t="shared" ca="1" si="12"/>
        <v>48696</v>
      </c>
      <c r="C740" s="282">
        <v>2.3417E-2</v>
      </c>
      <c r="F740" s="283">
        <v>47469</v>
      </c>
      <c r="G740" s="284">
        <v>0.81678951</v>
      </c>
    </row>
    <row r="741" spans="2:7">
      <c r="B741" s="281">
        <f t="shared" ca="1" si="12"/>
        <v>48703</v>
      </c>
      <c r="C741" s="282">
        <v>2.3413E-2</v>
      </c>
      <c r="F741" s="283">
        <v>47476</v>
      </c>
      <c r="G741" s="284">
        <v>0.81646414</v>
      </c>
    </row>
    <row r="742" spans="2:7">
      <c r="B742" s="281">
        <f t="shared" ca="1" si="12"/>
        <v>48710</v>
      </c>
      <c r="C742" s="282">
        <v>2.3411000000000001E-2</v>
      </c>
      <c r="F742" s="283">
        <v>47483</v>
      </c>
      <c r="G742" s="284">
        <v>0.81613888999999995</v>
      </c>
    </row>
    <row r="743" spans="2:7">
      <c r="B743" s="281">
        <f t="shared" ca="1" si="12"/>
        <v>48717</v>
      </c>
      <c r="C743" s="282">
        <v>2.341E-2</v>
      </c>
      <c r="F743" s="283">
        <v>47490</v>
      </c>
      <c r="G743" s="284">
        <v>0.81581375</v>
      </c>
    </row>
    <row r="744" spans="2:7">
      <c r="B744" s="281">
        <f t="shared" ca="1" si="12"/>
        <v>48724</v>
      </c>
      <c r="C744" s="282">
        <v>2.3408000000000002E-2</v>
      </c>
      <c r="F744" s="283">
        <v>47497</v>
      </c>
      <c r="G744" s="284">
        <v>0.81548873</v>
      </c>
    </row>
    <row r="745" spans="2:7">
      <c r="B745" s="281">
        <f t="shared" ca="1" si="12"/>
        <v>48731</v>
      </c>
      <c r="C745" s="282">
        <v>2.3404999999999999E-2</v>
      </c>
      <c r="F745" s="283">
        <v>47504</v>
      </c>
      <c r="G745" s="284">
        <v>0.81516383000000003</v>
      </c>
    </row>
    <row r="746" spans="2:7">
      <c r="B746" s="281">
        <f t="shared" ca="1" si="12"/>
        <v>48738</v>
      </c>
      <c r="C746" s="282">
        <v>2.3400000000000001E-2</v>
      </c>
      <c r="F746" s="283">
        <v>47511</v>
      </c>
      <c r="G746" s="284">
        <v>0.81483905000000001</v>
      </c>
    </row>
    <row r="747" spans="2:7">
      <c r="B747" s="281">
        <f t="shared" ca="1" si="12"/>
        <v>48745</v>
      </c>
      <c r="C747" s="282">
        <v>2.3396E-2</v>
      </c>
      <c r="F747" s="283">
        <v>47518</v>
      </c>
      <c r="G747" s="284">
        <v>0.81451439999999997</v>
      </c>
    </row>
    <row r="748" spans="2:7">
      <c r="B748" s="281">
        <f t="shared" ca="1" si="12"/>
        <v>48752</v>
      </c>
      <c r="C748" s="282">
        <v>2.3393000000000001E-2</v>
      </c>
      <c r="F748" s="283">
        <v>47525</v>
      </c>
      <c r="G748" s="284">
        <v>0.81418986999999998</v>
      </c>
    </row>
    <row r="749" spans="2:7">
      <c r="B749" s="281">
        <f t="shared" ca="1" si="12"/>
        <v>48759</v>
      </c>
      <c r="C749" s="282">
        <v>2.3390000000000001E-2</v>
      </c>
      <c r="F749" s="283">
        <v>47532</v>
      </c>
      <c r="G749" s="284">
        <v>0.81386546000000004</v>
      </c>
    </row>
    <row r="750" spans="2:7">
      <c r="B750" s="281">
        <f t="shared" ca="1" si="12"/>
        <v>48766</v>
      </c>
      <c r="C750" s="282">
        <v>2.3386000000000001E-2</v>
      </c>
      <c r="F750" s="283">
        <v>47539</v>
      </c>
      <c r="G750" s="284">
        <v>0.81354117999999997</v>
      </c>
    </row>
    <row r="751" spans="2:7">
      <c r="B751" s="281">
        <f t="shared" ca="1" si="12"/>
        <v>48773</v>
      </c>
      <c r="C751" s="282">
        <v>2.3385E-2</v>
      </c>
      <c r="F751" s="283">
        <v>47546</v>
      </c>
      <c r="G751" s="284">
        <v>0.81321703000000001</v>
      </c>
    </row>
    <row r="752" spans="2:7">
      <c r="B752" s="281">
        <f t="shared" ca="1" si="12"/>
        <v>48780</v>
      </c>
      <c r="C752" s="282">
        <v>2.3382E-2</v>
      </c>
      <c r="F752" s="283">
        <v>47553</v>
      </c>
      <c r="G752" s="284">
        <v>0.81289301000000003</v>
      </c>
    </row>
    <row r="753" spans="2:7">
      <c r="B753" s="281">
        <f t="shared" ca="1" si="12"/>
        <v>48787</v>
      </c>
      <c r="C753" s="282">
        <v>2.3377999999999999E-2</v>
      </c>
      <c r="F753" s="283">
        <v>47560</v>
      </c>
      <c r="G753" s="284">
        <v>0.81256912000000003</v>
      </c>
    </row>
    <row r="754" spans="2:7">
      <c r="B754" s="281">
        <f t="shared" ca="1" si="12"/>
        <v>48794</v>
      </c>
      <c r="C754" s="282">
        <v>2.3373999999999999E-2</v>
      </c>
      <c r="F754" s="283">
        <v>47567</v>
      </c>
      <c r="G754" s="284">
        <v>0.81224536999999997</v>
      </c>
    </row>
    <row r="755" spans="2:7">
      <c r="B755" s="281">
        <f t="shared" ca="1" si="12"/>
        <v>48801</v>
      </c>
      <c r="C755" s="282">
        <v>2.3368E-2</v>
      </c>
      <c r="F755" s="283">
        <v>47574</v>
      </c>
      <c r="G755" s="284">
        <v>0.81192173999999995</v>
      </c>
    </row>
    <row r="756" spans="2:7">
      <c r="B756" s="281">
        <f t="shared" ca="1" si="12"/>
        <v>48808</v>
      </c>
      <c r="C756" s="282">
        <v>2.3363999999999999E-2</v>
      </c>
      <c r="F756" s="283">
        <v>47581</v>
      </c>
      <c r="G756" s="284">
        <v>0.81159826000000002</v>
      </c>
    </row>
    <row r="757" spans="2:7">
      <c r="B757" s="281">
        <f t="shared" ca="1" si="12"/>
        <v>48815</v>
      </c>
      <c r="C757" s="282">
        <v>2.3359999999999999E-2</v>
      </c>
      <c r="F757" s="283">
        <v>47588</v>
      </c>
      <c r="G757" s="284">
        <v>0.81127490999999996</v>
      </c>
    </row>
    <row r="758" spans="2:7">
      <c r="B758" s="281">
        <f t="shared" ca="1" si="12"/>
        <v>48822</v>
      </c>
      <c r="C758" s="282">
        <v>2.3355000000000001E-2</v>
      </c>
      <c r="F758" s="283">
        <v>47595</v>
      </c>
      <c r="G758" s="284">
        <v>0.81095170000000005</v>
      </c>
    </row>
    <row r="759" spans="2:7">
      <c r="B759" s="281">
        <f t="shared" ca="1" si="12"/>
        <v>48829</v>
      </c>
      <c r="C759" s="282">
        <v>2.3352000000000001E-2</v>
      </c>
      <c r="F759" s="283">
        <v>47602</v>
      </c>
      <c r="G759" s="284">
        <v>0.81062862999999996</v>
      </c>
    </row>
    <row r="760" spans="2:7">
      <c r="B760" s="281">
        <f t="shared" ca="1" si="12"/>
        <v>48836</v>
      </c>
      <c r="C760" s="282">
        <v>2.3347E-2</v>
      </c>
      <c r="F760" s="283">
        <v>47609</v>
      </c>
      <c r="G760" s="284">
        <v>0.81030570000000002</v>
      </c>
    </row>
    <row r="761" spans="2:7">
      <c r="B761" s="281">
        <f t="shared" ca="1" si="12"/>
        <v>48843</v>
      </c>
      <c r="C761" s="282">
        <v>2.3342000000000002E-2</v>
      </c>
      <c r="F761" s="283">
        <v>47616</v>
      </c>
      <c r="G761" s="284">
        <v>0.80998291</v>
      </c>
    </row>
    <row r="762" spans="2:7">
      <c r="B762" s="281">
        <f t="shared" ca="1" si="12"/>
        <v>48850</v>
      </c>
      <c r="C762" s="282">
        <v>2.3338000000000001E-2</v>
      </c>
      <c r="F762" s="283">
        <v>47623</v>
      </c>
      <c r="G762" s="284">
        <v>0.80966026000000002</v>
      </c>
    </row>
    <row r="763" spans="2:7">
      <c r="B763" s="281">
        <f t="shared" ca="1" si="12"/>
        <v>48857</v>
      </c>
      <c r="C763" s="282">
        <v>2.3331000000000001E-2</v>
      </c>
      <c r="F763" s="283">
        <v>47630</v>
      </c>
      <c r="G763" s="284">
        <v>0.80933776000000002</v>
      </c>
    </row>
    <row r="764" spans="2:7">
      <c r="B764" s="281">
        <f t="shared" ca="1" si="12"/>
        <v>48864</v>
      </c>
      <c r="C764" s="282">
        <v>2.3326E-2</v>
      </c>
      <c r="F764" s="283">
        <v>47637</v>
      </c>
      <c r="G764" s="284">
        <v>0.80901540999999999</v>
      </c>
    </row>
    <row r="765" spans="2:7">
      <c r="B765" s="281">
        <f t="shared" ca="1" si="12"/>
        <v>48871</v>
      </c>
      <c r="C765" s="282">
        <v>2.3321000000000001E-2</v>
      </c>
      <c r="F765" s="283">
        <v>47644</v>
      </c>
      <c r="G765" s="284">
        <v>0.8086932</v>
      </c>
    </row>
    <row r="766" spans="2:7">
      <c r="B766" s="281">
        <f t="shared" ca="1" si="12"/>
        <v>48878</v>
      </c>
      <c r="C766" s="282">
        <v>2.3316E-2</v>
      </c>
      <c r="F766" s="283">
        <v>47651</v>
      </c>
      <c r="G766" s="284">
        <v>0.80837113000000005</v>
      </c>
    </row>
    <row r="767" spans="2:7">
      <c r="B767" s="281">
        <f t="shared" ca="1" si="12"/>
        <v>48885</v>
      </c>
      <c r="C767" s="282">
        <v>2.3310999999999998E-2</v>
      </c>
      <c r="F767" s="283">
        <v>47658</v>
      </c>
      <c r="G767" s="284">
        <v>0.80804922000000001</v>
      </c>
    </row>
    <row r="768" spans="2:7">
      <c r="B768" s="281">
        <f t="shared" ca="1" si="12"/>
        <v>48892</v>
      </c>
      <c r="C768" s="282">
        <v>2.3306E-2</v>
      </c>
      <c r="F768" s="283">
        <v>47665</v>
      </c>
      <c r="G768" s="284">
        <v>0.80772745000000001</v>
      </c>
    </row>
    <row r="769" spans="2:7">
      <c r="B769" s="281">
        <f t="shared" ca="1" si="12"/>
        <v>48899</v>
      </c>
      <c r="C769" s="282">
        <v>2.3300999999999999E-2</v>
      </c>
      <c r="F769" s="283">
        <v>47672</v>
      </c>
      <c r="G769" s="284">
        <v>0.80740582999999999</v>
      </c>
    </row>
    <row r="770" spans="2:7">
      <c r="B770" s="281">
        <f t="shared" ca="1" si="12"/>
        <v>48906</v>
      </c>
      <c r="C770" s="282">
        <v>2.3295E-2</v>
      </c>
      <c r="F770" s="283">
        <v>47679</v>
      </c>
      <c r="G770" s="284">
        <v>0.80708435999999995</v>
      </c>
    </row>
    <row r="771" spans="2:7">
      <c r="B771" s="281">
        <f t="shared" ca="1" si="12"/>
        <v>48913</v>
      </c>
      <c r="C771" s="282">
        <v>2.3290000000000002E-2</v>
      </c>
      <c r="F771" s="283">
        <v>47686</v>
      </c>
      <c r="G771" s="284">
        <v>0.80676303999999999</v>
      </c>
    </row>
    <row r="772" spans="2:7">
      <c r="B772" s="281">
        <f t="shared" ca="1" si="12"/>
        <v>48920</v>
      </c>
      <c r="C772" s="282">
        <v>2.3283000000000002E-2</v>
      </c>
      <c r="F772" s="283">
        <v>47693</v>
      </c>
      <c r="G772" s="284">
        <v>0.80644187000000001</v>
      </c>
    </row>
    <row r="773" spans="2:7">
      <c r="B773" s="281">
        <f t="shared" ca="1" si="12"/>
        <v>48927</v>
      </c>
      <c r="C773" s="282">
        <v>2.3278E-2</v>
      </c>
      <c r="F773" s="283">
        <v>47700</v>
      </c>
      <c r="G773" s="284">
        <v>0.80612086000000005</v>
      </c>
    </row>
    <row r="774" spans="2:7">
      <c r="B774" s="281">
        <f t="shared" ca="1" si="12"/>
        <v>48934</v>
      </c>
      <c r="C774" s="282">
        <v>2.3272999999999999E-2</v>
      </c>
      <c r="F774" s="283">
        <v>47707</v>
      </c>
      <c r="G774" s="284">
        <v>0.80579999999999996</v>
      </c>
    </row>
    <row r="775" spans="2:7">
      <c r="B775" s="281">
        <f t="shared" ca="1" si="12"/>
        <v>48941</v>
      </c>
      <c r="C775" s="282">
        <v>2.3266999999999999E-2</v>
      </c>
      <c r="F775" s="283">
        <v>47714</v>
      </c>
      <c r="G775" s="284">
        <v>0.80547928000000002</v>
      </c>
    </row>
    <row r="776" spans="2:7">
      <c r="B776" s="281">
        <f t="shared" ca="1" si="12"/>
        <v>48948</v>
      </c>
      <c r="C776" s="282">
        <v>2.3261E-2</v>
      </c>
      <c r="F776" s="283">
        <v>47721</v>
      </c>
      <c r="G776" s="284">
        <v>0.80515873000000004</v>
      </c>
    </row>
    <row r="777" spans="2:7">
      <c r="B777" s="281">
        <f t="shared" ca="1" si="12"/>
        <v>48955</v>
      </c>
      <c r="C777" s="282">
        <v>2.3254E-2</v>
      </c>
      <c r="F777" s="283">
        <v>47728</v>
      </c>
      <c r="G777" s="284">
        <v>0.80483832</v>
      </c>
    </row>
    <row r="778" spans="2:7">
      <c r="B778" s="281">
        <f t="shared" ca="1" si="12"/>
        <v>48962</v>
      </c>
      <c r="C778" s="282">
        <v>2.3248000000000001E-2</v>
      </c>
      <c r="F778" s="283">
        <v>47735</v>
      </c>
      <c r="G778" s="284">
        <v>0.80451806999999997</v>
      </c>
    </row>
    <row r="779" spans="2:7">
      <c r="B779" s="281">
        <f t="shared" ca="1" si="12"/>
        <v>48969</v>
      </c>
      <c r="C779" s="282">
        <v>2.3243E-2</v>
      </c>
      <c r="F779" s="283">
        <v>47742</v>
      </c>
      <c r="G779" s="284">
        <v>0.80419797000000004</v>
      </c>
    </row>
    <row r="780" spans="2:7">
      <c r="B780" s="281">
        <f t="shared" ca="1" si="12"/>
        <v>48976</v>
      </c>
      <c r="C780" s="282">
        <v>2.3237000000000001E-2</v>
      </c>
      <c r="F780" s="283">
        <v>47749</v>
      </c>
      <c r="G780" s="284">
        <v>0.80387803000000002</v>
      </c>
    </row>
    <row r="781" spans="2:7">
      <c r="B781" s="281">
        <f t="shared" ca="1" si="12"/>
        <v>48983</v>
      </c>
      <c r="C781" s="282">
        <v>2.3231999999999999E-2</v>
      </c>
      <c r="F781" s="283">
        <v>47756</v>
      </c>
      <c r="G781" s="284">
        <v>0.80355823999999998</v>
      </c>
    </row>
    <row r="782" spans="2:7">
      <c r="B782" s="281">
        <f t="shared" ca="1" si="12"/>
        <v>48990</v>
      </c>
      <c r="C782" s="282">
        <v>2.3227000000000001E-2</v>
      </c>
      <c r="F782" s="283">
        <v>47763</v>
      </c>
      <c r="G782" s="284">
        <v>0.80323860000000002</v>
      </c>
    </row>
    <row r="783" spans="2:7">
      <c r="B783" s="281">
        <f t="shared" ca="1" si="12"/>
        <v>48997</v>
      </c>
      <c r="C783" s="282">
        <v>2.3220999999999999E-2</v>
      </c>
      <c r="F783" s="283">
        <v>47770</v>
      </c>
      <c r="G783" s="284">
        <v>0.80291911999999999</v>
      </c>
    </row>
    <row r="784" spans="2:7">
      <c r="B784" s="281">
        <f t="shared" ca="1" si="12"/>
        <v>49004</v>
      </c>
      <c r="C784" s="282">
        <v>2.3215E-2</v>
      </c>
      <c r="F784" s="283">
        <v>47777</v>
      </c>
      <c r="G784" s="284">
        <v>0.80259979000000004</v>
      </c>
    </row>
    <row r="785" spans="2:7">
      <c r="B785" s="281">
        <f t="shared" ca="1" si="12"/>
        <v>49011</v>
      </c>
      <c r="C785" s="282">
        <v>2.3207999999999999E-2</v>
      </c>
      <c r="F785" s="283">
        <v>47784</v>
      </c>
      <c r="G785" s="284">
        <v>0.80228062</v>
      </c>
    </row>
    <row r="786" spans="2:7">
      <c r="B786" s="281">
        <f t="shared" ca="1" si="12"/>
        <v>49018</v>
      </c>
      <c r="C786" s="282">
        <v>2.3202E-2</v>
      </c>
      <c r="F786" s="283">
        <v>47791</v>
      </c>
      <c r="G786" s="284">
        <v>0.80196160000000005</v>
      </c>
    </row>
    <row r="787" spans="2:7">
      <c r="B787" s="281">
        <f t="shared" ca="1" si="12"/>
        <v>49025</v>
      </c>
      <c r="C787" s="282">
        <v>2.3196999999999999E-2</v>
      </c>
      <c r="F787" s="283">
        <v>47798</v>
      </c>
      <c r="G787" s="284">
        <v>0.80164272000000003</v>
      </c>
    </row>
    <row r="788" spans="2:7">
      <c r="B788" s="281">
        <f t="shared" ca="1" si="12"/>
        <v>49032</v>
      </c>
      <c r="C788" s="282">
        <v>2.3191E-2</v>
      </c>
      <c r="F788" s="283">
        <v>47805</v>
      </c>
      <c r="G788" s="284">
        <v>0.80132400999999998</v>
      </c>
    </row>
    <row r="789" spans="2:7">
      <c r="B789" s="281">
        <f t="shared" ca="1" si="12"/>
        <v>49039</v>
      </c>
      <c r="C789" s="282">
        <v>2.3185999999999998E-2</v>
      </c>
      <c r="F789" s="283">
        <v>47812</v>
      </c>
      <c r="G789" s="284">
        <v>0.80100543999999996</v>
      </c>
    </row>
    <row r="790" spans="2:7">
      <c r="B790" s="281">
        <f t="shared" ca="1" si="12"/>
        <v>49046</v>
      </c>
      <c r="C790" s="282">
        <v>2.3182000000000001E-2</v>
      </c>
      <c r="F790" s="283">
        <v>47819</v>
      </c>
      <c r="G790" s="284">
        <v>0.80068702000000003</v>
      </c>
    </row>
    <row r="791" spans="2:7">
      <c r="B791" s="281">
        <f t="shared" ca="1" si="12"/>
        <v>49053</v>
      </c>
      <c r="C791" s="282">
        <v>2.3175999999999999E-2</v>
      </c>
      <c r="F791" s="283">
        <v>47826</v>
      </c>
      <c r="G791" s="284">
        <v>0.80036876000000001</v>
      </c>
    </row>
    <row r="792" spans="2:7">
      <c r="B792" s="281">
        <f t="shared" ca="1" si="12"/>
        <v>49060</v>
      </c>
      <c r="C792" s="282">
        <v>2.3172000000000002E-2</v>
      </c>
      <c r="F792" s="283">
        <v>47833</v>
      </c>
      <c r="G792" s="284">
        <v>0.80005064000000004</v>
      </c>
    </row>
    <row r="793" spans="2:7">
      <c r="B793" s="281">
        <f t="shared" ca="1" si="12"/>
        <v>49067</v>
      </c>
      <c r="C793" s="282">
        <v>2.3164000000000001E-2</v>
      </c>
      <c r="F793" s="283">
        <v>47840</v>
      </c>
      <c r="G793" s="284">
        <v>0.79973267999999997</v>
      </c>
    </row>
    <row r="794" spans="2:7">
      <c r="B794" s="281">
        <f t="shared" ca="1" si="12"/>
        <v>49074</v>
      </c>
      <c r="C794" s="282">
        <v>2.316E-2</v>
      </c>
      <c r="F794" s="283">
        <v>47847</v>
      </c>
      <c r="G794" s="284">
        <v>0.79941485999999995</v>
      </c>
    </row>
    <row r="795" spans="2:7">
      <c r="B795" s="281">
        <f t="shared" ca="1" si="12"/>
        <v>49081</v>
      </c>
      <c r="C795" s="282">
        <v>2.3156E-2</v>
      </c>
      <c r="F795" s="283">
        <v>47854</v>
      </c>
      <c r="G795" s="284">
        <v>0.79909717999999996</v>
      </c>
    </row>
    <row r="796" spans="2:7">
      <c r="B796" s="281">
        <f t="shared" ref="B796:B859" ca="1" si="13">B795+$A$28</f>
        <v>49088</v>
      </c>
      <c r="C796" s="282">
        <v>2.3151999999999999E-2</v>
      </c>
      <c r="F796" s="283">
        <v>47861</v>
      </c>
      <c r="G796" s="284">
        <v>0.79877964999999995</v>
      </c>
    </row>
    <row r="797" spans="2:7">
      <c r="B797" s="281">
        <f t="shared" ca="1" si="13"/>
        <v>49095</v>
      </c>
      <c r="C797" s="282">
        <v>2.3147000000000001E-2</v>
      </c>
      <c r="F797" s="283">
        <v>47868</v>
      </c>
      <c r="G797" s="284">
        <v>0.79846227000000003</v>
      </c>
    </row>
    <row r="798" spans="2:7">
      <c r="B798" s="281">
        <f t="shared" ca="1" si="13"/>
        <v>49102</v>
      </c>
      <c r="C798" s="282">
        <v>2.3140999999999998E-2</v>
      </c>
      <c r="F798" s="283">
        <v>47875</v>
      </c>
      <c r="G798" s="284">
        <v>0.79814503000000003</v>
      </c>
    </row>
    <row r="799" spans="2:7">
      <c r="B799" s="281">
        <f t="shared" ca="1" si="13"/>
        <v>49109</v>
      </c>
      <c r="C799" s="282">
        <v>2.3136E-2</v>
      </c>
      <c r="F799" s="283">
        <v>47882</v>
      </c>
      <c r="G799" s="284">
        <v>0.79782792999999996</v>
      </c>
    </row>
    <row r="800" spans="2:7">
      <c r="B800" s="281">
        <f t="shared" ca="1" si="13"/>
        <v>49116</v>
      </c>
      <c r="C800" s="282">
        <v>2.3132E-2</v>
      </c>
      <c r="F800" s="283">
        <v>47889</v>
      </c>
      <c r="G800" s="284">
        <v>0.79751097000000004</v>
      </c>
    </row>
    <row r="801" spans="2:7">
      <c r="B801" s="281">
        <f t="shared" ca="1" si="13"/>
        <v>49123</v>
      </c>
      <c r="C801" s="282">
        <v>2.3127999999999999E-2</v>
      </c>
      <c r="F801" s="283">
        <v>47896</v>
      </c>
      <c r="G801" s="284">
        <v>0.79719415000000005</v>
      </c>
    </row>
    <row r="802" spans="2:7">
      <c r="B802" s="281">
        <f t="shared" ca="1" si="13"/>
        <v>49130</v>
      </c>
      <c r="C802" s="282">
        <v>2.3123999999999999E-2</v>
      </c>
      <c r="F802" s="283">
        <v>47903</v>
      </c>
      <c r="G802" s="284">
        <v>0.79687746999999998</v>
      </c>
    </row>
    <row r="803" spans="2:7">
      <c r="B803" s="281">
        <f t="shared" ca="1" si="13"/>
        <v>49137</v>
      </c>
      <c r="C803" s="282">
        <v>2.3123000000000001E-2</v>
      </c>
      <c r="F803" s="283">
        <v>47910</v>
      </c>
      <c r="G803" s="284">
        <v>0.79656092000000001</v>
      </c>
    </row>
    <row r="804" spans="2:7">
      <c r="B804" s="281">
        <f t="shared" ca="1" si="13"/>
        <v>49144</v>
      </c>
      <c r="C804" s="282">
        <v>2.3120999999999999E-2</v>
      </c>
      <c r="F804" s="283">
        <v>47917</v>
      </c>
      <c r="G804" s="284">
        <v>0.79624450000000002</v>
      </c>
    </row>
    <row r="805" spans="2:7">
      <c r="B805" s="281">
        <f t="shared" ca="1" si="13"/>
        <v>49151</v>
      </c>
      <c r="C805" s="282">
        <v>2.3116999999999999E-2</v>
      </c>
      <c r="F805" s="283">
        <v>47924</v>
      </c>
      <c r="G805" s="284">
        <v>0.79592821999999996</v>
      </c>
    </row>
    <row r="806" spans="2:7">
      <c r="B806" s="281">
        <f t="shared" ca="1" si="13"/>
        <v>49158</v>
      </c>
      <c r="C806" s="282">
        <v>2.3113999999999999E-2</v>
      </c>
      <c r="F806" s="283">
        <v>47931</v>
      </c>
      <c r="G806" s="284">
        <v>0.79561205999999995</v>
      </c>
    </row>
    <row r="807" spans="2:7">
      <c r="B807" s="281">
        <f t="shared" ca="1" si="13"/>
        <v>49165</v>
      </c>
      <c r="C807" s="282">
        <v>2.3109999999999999E-2</v>
      </c>
      <c r="F807" s="283">
        <v>47938</v>
      </c>
      <c r="G807" s="284">
        <v>0.79529603000000004</v>
      </c>
    </row>
    <row r="808" spans="2:7">
      <c r="B808" s="281">
        <f t="shared" ca="1" si="13"/>
        <v>49172</v>
      </c>
      <c r="C808" s="282">
        <v>2.3106999999999999E-2</v>
      </c>
      <c r="F808" s="283">
        <v>47945</v>
      </c>
      <c r="G808" s="284">
        <v>0.79498013000000001</v>
      </c>
    </row>
    <row r="809" spans="2:7">
      <c r="B809" s="281">
        <f t="shared" ca="1" si="13"/>
        <v>49179</v>
      </c>
      <c r="C809" s="282">
        <v>2.3105000000000001E-2</v>
      </c>
      <c r="F809" s="283">
        <v>47952</v>
      </c>
      <c r="G809" s="284">
        <v>0.79466435000000002</v>
      </c>
    </row>
    <row r="810" spans="2:7">
      <c r="B810" s="281">
        <f t="shared" ca="1" si="13"/>
        <v>49186</v>
      </c>
      <c r="C810" s="282">
        <v>2.3102999999999999E-2</v>
      </c>
      <c r="F810" s="283">
        <v>47959</v>
      </c>
      <c r="G810" s="284">
        <v>0.79434868000000003</v>
      </c>
    </row>
    <row r="811" spans="2:7">
      <c r="B811" s="281">
        <f t="shared" ca="1" si="13"/>
        <v>49193</v>
      </c>
      <c r="C811" s="282">
        <v>2.3101E-2</v>
      </c>
      <c r="F811" s="283">
        <v>47966</v>
      </c>
      <c r="G811" s="284">
        <v>0.79403314000000003</v>
      </c>
    </row>
    <row r="812" spans="2:7">
      <c r="B812" s="281">
        <f t="shared" ca="1" si="13"/>
        <v>49200</v>
      </c>
      <c r="C812" s="282">
        <v>2.3099999999999999E-2</v>
      </c>
      <c r="F812" s="283">
        <v>47973</v>
      </c>
      <c r="G812" s="284">
        <v>0.79371771000000002</v>
      </c>
    </row>
    <row r="813" spans="2:7">
      <c r="B813" s="281">
        <f t="shared" ca="1" si="13"/>
        <v>49207</v>
      </c>
      <c r="C813" s="282">
        <v>2.3098E-2</v>
      </c>
      <c r="F813" s="283">
        <v>47980</v>
      </c>
      <c r="G813" s="284">
        <v>0.79340239999999995</v>
      </c>
    </row>
    <row r="814" spans="2:7">
      <c r="B814" s="281">
        <f t="shared" ca="1" si="13"/>
        <v>49214</v>
      </c>
      <c r="C814" s="282">
        <v>2.3095999999999998E-2</v>
      </c>
      <c r="F814" s="283">
        <v>47987</v>
      </c>
      <c r="G814" s="284">
        <v>0.79308719999999999</v>
      </c>
    </row>
    <row r="815" spans="2:7">
      <c r="B815" s="281">
        <f t="shared" ca="1" si="13"/>
        <v>49221</v>
      </c>
      <c r="C815" s="282">
        <v>2.3094E-2</v>
      </c>
      <c r="F815" s="283">
        <v>47994</v>
      </c>
      <c r="G815" s="284">
        <v>0.79277211000000003</v>
      </c>
    </row>
    <row r="816" spans="2:7">
      <c r="B816" s="281">
        <f t="shared" ca="1" si="13"/>
        <v>49228</v>
      </c>
      <c r="C816" s="282">
        <v>2.3092000000000001E-2</v>
      </c>
      <c r="F816" s="283">
        <v>48001</v>
      </c>
      <c r="G816" s="284">
        <v>0.79245712000000001</v>
      </c>
    </row>
    <row r="817" spans="2:7">
      <c r="B817" s="281">
        <f t="shared" ca="1" si="13"/>
        <v>49235</v>
      </c>
      <c r="C817" s="282">
        <v>2.3088000000000001E-2</v>
      </c>
      <c r="F817" s="283">
        <v>48008</v>
      </c>
      <c r="G817" s="284">
        <v>0.79214225000000005</v>
      </c>
    </row>
    <row r="818" spans="2:7">
      <c r="B818" s="281">
        <f t="shared" ca="1" si="13"/>
        <v>49242</v>
      </c>
      <c r="C818" s="282">
        <v>2.3085999999999999E-2</v>
      </c>
      <c r="F818" s="283">
        <v>48015</v>
      </c>
      <c r="G818" s="284">
        <v>0.79182748000000003</v>
      </c>
    </row>
    <row r="819" spans="2:7">
      <c r="B819" s="281">
        <f t="shared" ca="1" si="13"/>
        <v>49249</v>
      </c>
      <c r="C819" s="282">
        <v>2.3084E-2</v>
      </c>
      <c r="F819" s="283">
        <v>48022</v>
      </c>
      <c r="G819" s="284">
        <v>0.79151282000000001</v>
      </c>
    </row>
    <row r="820" spans="2:7">
      <c r="B820" s="281">
        <f t="shared" ca="1" si="13"/>
        <v>49256</v>
      </c>
      <c r="C820" s="282">
        <v>2.3084E-2</v>
      </c>
      <c r="F820" s="283">
        <v>48029</v>
      </c>
      <c r="G820" s="284">
        <v>0.79119826999999998</v>
      </c>
    </row>
    <row r="821" spans="2:7">
      <c r="B821" s="281">
        <f t="shared" ca="1" si="13"/>
        <v>49263</v>
      </c>
      <c r="C821" s="282">
        <v>2.3082999999999999E-2</v>
      </c>
      <c r="F821" s="283">
        <v>48036</v>
      </c>
      <c r="G821" s="284">
        <v>0.79088380999999996</v>
      </c>
    </row>
    <row r="822" spans="2:7">
      <c r="B822" s="281">
        <f t="shared" ca="1" si="13"/>
        <v>49270</v>
      </c>
      <c r="C822" s="282">
        <v>2.3081000000000001E-2</v>
      </c>
      <c r="F822" s="283">
        <v>48043</v>
      </c>
      <c r="G822" s="284">
        <v>0.79056945999999995</v>
      </c>
    </row>
    <row r="823" spans="2:7">
      <c r="B823" s="281">
        <f t="shared" ca="1" si="13"/>
        <v>49277</v>
      </c>
      <c r="C823" s="282">
        <v>2.308E-2</v>
      </c>
      <c r="F823" s="283">
        <v>48050</v>
      </c>
      <c r="G823" s="284">
        <v>0.79025520000000005</v>
      </c>
    </row>
    <row r="824" spans="2:7">
      <c r="B824" s="281">
        <f t="shared" ca="1" si="13"/>
        <v>49284</v>
      </c>
      <c r="C824" s="282">
        <v>2.3075999999999999E-2</v>
      </c>
      <c r="F824" s="283">
        <v>48057</v>
      </c>
      <c r="G824" s="284">
        <v>0.78994105000000003</v>
      </c>
    </row>
    <row r="825" spans="2:7">
      <c r="B825" s="281">
        <f t="shared" ca="1" si="13"/>
        <v>49291</v>
      </c>
      <c r="C825" s="282">
        <v>2.3075999999999999E-2</v>
      </c>
      <c r="F825" s="283">
        <v>48064</v>
      </c>
      <c r="G825" s="284">
        <v>0.78962699000000003</v>
      </c>
    </row>
    <row r="826" spans="2:7">
      <c r="B826" s="281">
        <f t="shared" ca="1" si="13"/>
        <v>49298</v>
      </c>
      <c r="C826" s="282">
        <v>2.3074000000000001E-2</v>
      </c>
      <c r="F826" s="283">
        <v>48071</v>
      </c>
      <c r="G826" s="284">
        <v>0.78931302999999997</v>
      </c>
    </row>
    <row r="827" spans="2:7">
      <c r="B827" s="281">
        <f t="shared" ca="1" si="13"/>
        <v>49305</v>
      </c>
      <c r="C827" s="282">
        <v>2.3073E-2</v>
      </c>
      <c r="F827" s="283">
        <v>48078</v>
      </c>
      <c r="G827" s="284">
        <v>0.78899916999999997</v>
      </c>
    </row>
    <row r="828" spans="2:7">
      <c r="B828" s="281">
        <f t="shared" ca="1" si="13"/>
        <v>49312</v>
      </c>
      <c r="C828" s="282">
        <v>2.3071000000000001E-2</v>
      </c>
      <c r="F828" s="283">
        <v>48085</v>
      </c>
      <c r="G828" s="284">
        <v>0.78868539999999998</v>
      </c>
    </row>
    <row r="829" spans="2:7">
      <c r="B829" s="281">
        <f t="shared" ca="1" si="13"/>
        <v>49319</v>
      </c>
      <c r="C829" s="282">
        <v>2.3068000000000002E-2</v>
      </c>
      <c r="F829" s="283">
        <v>48092</v>
      </c>
      <c r="G829" s="284">
        <v>0.78837172</v>
      </c>
    </row>
    <row r="830" spans="2:7">
      <c r="B830" s="281">
        <f t="shared" ca="1" si="13"/>
        <v>49326</v>
      </c>
      <c r="C830" s="282">
        <v>2.3066E-2</v>
      </c>
      <c r="F830" s="283">
        <v>48099</v>
      </c>
      <c r="G830" s="284">
        <v>0.78805813999999996</v>
      </c>
    </row>
    <row r="831" spans="2:7">
      <c r="B831" s="281">
        <f t="shared" ca="1" si="13"/>
        <v>49333</v>
      </c>
      <c r="C831" s="282">
        <v>2.3064999999999999E-2</v>
      </c>
      <c r="F831" s="283">
        <v>48106</v>
      </c>
      <c r="G831" s="284">
        <v>0.78774465000000005</v>
      </c>
    </row>
    <row r="832" spans="2:7">
      <c r="B832" s="281">
        <f t="shared" ca="1" si="13"/>
        <v>49340</v>
      </c>
      <c r="C832" s="282">
        <v>2.3063E-2</v>
      </c>
      <c r="F832" s="283">
        <v>48113</v>
      </c>
      <c r="G832" s="284">
        <v>0.78743125000000003</v>
      </c>
    </row>
    <row r="833" spans="2:7">
      <c r="B833" s="281">
        <f t="shared" ca="1" si="13"/>
        <v>49347</v>
      </c>
      <c r="C833" s="282">
        <v>2.3064000000000001E-2</v>
      </c>
      <c r="F833" s="283">
        <v>48120</v>
      </c>
      <c r="G833" s="284">
        <v>0.78711794000000002</v>
      </c>
    </row>
    <row r="834" spans="2:7">
      <c r="B834" s="281">
        <f t="shared" ca="1" si="13"/>
        <v>49354</v>
      </c>
      <c r="C834" s="282">
        <v>2.3061999999999999E-2</v>
      </c>
      <c r="F834" s="283">
        <v>48127</v>
      </c>
      <c r="G834" s="284">
        <v>0.78680472000000001</v>
      </c>
    </row>
    <row r="835" spans="2:7">
      <c r="B835" s="281">
        <f t="shared" ca="1" si="13"/>
        <v>49361</v>
      </c>
      <c r="C835" s="282">
        <v>2.3061000000000002E-2</v>
      </c>
      <c r="F835" s="283">
        <v>48134</v>
      </c>
      <c r="G835" s="284">
        <v>0.78649159000000002</v>
      </c>
    </row>
    <row r="836" spans="2:7">
      <c r="B836" s="281">
        <f t="shared" ca="1" si="13"/>
        <v>49368</v>
      </c>
      <c r="C836" s="282">
        <v>2.3059E-2</v>
      </c>
      <c r="F836" s="283">
        <v>48141</v>
      </c>
      <c r="G836" s="284">
        <v>0.78617853999999998</v>
      </c>
    </row>
    <row r="837" spans="2:7">
      <c r="B837" s="281">
        <f t="shared" ca="1" si="13"/>
        <v>49375</v>
      </c>
      <c r="C837" s="282">
        <v>2.3056E-2</v>
      </c>
      <c r="F837" s="283">
        <v>48148</v>
      </c>
      <c r="G837" s="284">
        <v>0.78586559</v>
      </c>
    </row>
    <row r="838" spans="2:7">
      <c r="B838" s="281">
        <f t="shared" ca="1" si="13"/>
        <v>49382</v>
      </c>
      <c r="C838" s="282">
        <v>2.3054999999999999E-2</v>
      </c>
      <c r="F838" s="283">
        <v>48155</v>
      </c>
      <c r="G838" s="284">
        <v>0.78555271999999998</v>
      </c>
    </row>
    <row r="839" spans="2:7">
      <c r="B839" s="281">
        <f t="shared" ca="1" si="13"/>
        <v>49389</v>
      </c>
      <c r="C839" s="282">
        <v>2.3053000000000001E-2</v>
      </c>
      <c r="F839" s="283">
        <v>48162</v>
      </c>
      <c r="G839" s="284">
        <v>0.78523993000000003</v>
      </c>
    </row>
    <row r="840" spans="2:7">
      <c r="B840" s="281">
        <f t="shared" ca="1" si="13"/>
        <v>49396</v>
      </c>
      <c r="C840" s="282">
        <v>2.3052E-2</v>
      </c>
      <c r="F840" s="283">
        <v>48169</v>
      </c>
      <c r="G840" s="284">
        <v>0.78492724000000003</v>
      </c>
    </row>
    <row r="841" spans="2:7">
      <c r="B841" s="281">
        <f t="shared" ca="1" si="13"/>
        <v>49403</v>
      </c>
      <c r="C841" s="282">
        <v>2.3053000000000001E-2</v>
      </c>
      <c r="F841" s="283">
        <v>48176</v>
      </c>
      <c r="G841" s="284">
        <v>0.78461462000000004</v>
      </c>
    </row>
    <row r="842" spans="2:7">
      <c r="B842" s="281">
        <f t="shared" ca="1" si="13"/>
        <v>49410</v>
      </c>
      <c r="C842" s="282">
        <v>2.3050999999999999E-2</v>
      </c>
      <c r="F842" s="283">
        <v>48183</v>
      </c>
      <c r="G842" s="284">
        <v>0.78430208999999995</v>
      </c>
    </row>
    <row r="843" spans="2:7">
      <c r="B843" s="281">
        <f t="shared" ca="1" si="13"/>
        <v>49417</v>
      </c>
      <c r="C843" s="282">
        <v>2.3050000000000001E-2</v>
      </c>
      <c r="F843" s="283">
        <v>48190</v>
      </c>
      <c r="G843" s="284">
        <v>0.78398964999999998</v>
      </c>
    </row>
    <row r="844" spans="2:7">
      <c r="B844" s="281">
        <f t="shared" ca="1" si="13"/>
        <v>49424</v>
      </c>
      <c r="C844" s="282">
        <v>2.3049E-2</v>
      </c>
      <c r="F844" s="283">
        <v>48197</v>
      </c>
      <c r="G844" s="284">
        <v>0.78367728999999997</v>
      </c>
    </row>
    <row r="845" spans="2:7">
      <c r="B845" s="281">
        <f t="shared" ca="1" si="13"/>
        <v>49431</v>
      </c>
      <c r="C845" s="282">
        <v>2.3047000000000002E-2</v>
      </c>
      <c r="F845" s="283">
        <v>48204</v>
      </c>
      <c r="G845" s="284">
        <v>0.78336501000000003</v>
      </c>
    </row>
    <row r="846" spans="2:7">
      <c r="B846" s="281">
        <f t="shared" ca="1" si="13"/>
        <v>49438</v>
      </c>
      <c r="C846" s="282">
        <v>2.3043999999999999E-2</v>
      </c>
      <c r="F846" s="283">
        <v>48211</v>
      </c>
      <c r="G846" s="284">
        <v>0.78305281000000004</v>
      </c>
    </row>
    <row r="847" spans="2:7">
      <c r="B847" s="281">
        <f t="shared" ca="1" si="13"/>
        <v>49445</v>
      </c>
      <c r="C847" s="282">
        <v>2.3045E-2</v>
      </c>
      <c r="F847" s="283">
        <v>48218</v>
      </c>
      <c r="G847" s="284">
        <v>0.78274069999999996</v>
      </c>
    </row>
    <row r="848" spans="2:7">
      <c r="B848" s="281">
        <f t="shared" ca="1" si="13"/>
        <v>49452</v>
      </c>
      <c r="C848" s="282">
        <v>2.3043999999999999E-2</v>
      </c>
      <c r="F848" s="283">
        <v>48225</v>
      </c>
      <c r="G848" s="284">
        <v>0.78242867000000005</v>
      </c>
    </row>
    <row r="849" spans="2:7">
      <c r="B849" s="281">
        <f t="shared" ca="1" si="13"/>
        <v>49459</v>
      </c>
      <c r="C849" s="282">
        <v>2.3042E-2</v>
      </c>
      <c r="F849" s="283">
        <v>48232</v>
      </c>
      <c r="G849" s="284">
        <v>0.78211671999999999</v>
      </c>
    </row>
    <row r="850" spans="2:7">
      <c r="B850" s="281">
        <f t="shared" ca="1" si="13"/>
        <v>49466</v>
      </c>
      <c r="C850" s="282">
        <v>2.3039E-2</v>
      </c>
      <c r="F850" s="283">
        <v>48239</v>
      </c>
      <c r="G850" s="284">
        <v>0.78180485</v>
      </c>
    </row>
    <row r="851" spans="2:7">
      <c r="B851" s="281">
        <f t="shared" ca="1" si="13"/>
        <v>49473</v>
      </c>
      <c r="C851" s="282">
        <v>2.3036999999999998E-2</v>
      </c>
      <c r="F851" s="283">
        <v>48246</v>
      </c>
      <c r="G851" s="284">
        <v>0.78149305999999996</v>
      </c>
    </row>
    <row r="852" spans="2:7">
      <c r="B852" s="281">
        <f t="shared" ca="1" si="13"/>
        <v>49480</v>
      </c>
      <c r="C852" s="282">
        <v>2.3036000000000001E-2</v>
      </c>
      <c r="F852" s="283">
        <v>48253</v>
      </c>
      <c r="G852" s="284">
        <v>0.78118135</v>
      </c>
    </row>
    <row r="853" spans="2:7">
      <c r="B853" s="281">
        <f t="shared" ca="1" si="13"/>
        <v>49487</v>
      </c>
      <c r="C853" s="282">
        <v>2.3035E-2</v>
      </c>
      <c r="F853" s="283">
        <v>48260</v>
      </c>
      <c r="G853" s="284">
        <v>0.78086973000000004</v>
      </c>
    </row>
    <row r="854" spans="2:7">
      <c r="B854" s="281">
        <f t="shared" ca="1" si="13"/>
        <v>49494</v>
      </c>
      <c r="C854" s="282">
        <v>2.3033999999999999E-2</v>
      </c>
      <c r="F854" s="283">
        <v>48267</v>
      </c>
      <c r="G854" s="284">
        <v>0.78055817999999999</v>
      </c>
    </row>
    <row r="855" spans="2:7">
      <c r="B855" s="281">
        <f t="shared" ca="1" si="13"/>
        <v>49501</v>
      </c>
      <c r="C855" s="282">
        <v>2.3035E-2</v>
      </c>
      <c r="F855" s="283">
        <v>48274</v>
      </c>
      <c r="G855" s="284">
        <v>0.78024671999999995</v>
      </c>
    </row>
    <row r="856" spans="2:7">
      <c r="B856" s="281">
        <f t="shared" ca="1" si="13"/>
        <v>49508</v>
      </c>
      <c r="C856" s="282">
        <v>2.3033999999999999E-2</v>
      </c>
      <c r="F856" s="283">
        <v>48281</v>
      </c>
      <c r="G856" s="284">
        <v>0.77993533000000004</v>
      </c>
    </row>
    <row r="857" spans="2:7">
      <c r="B857" s="281">
        <f t="shared" ca="1" si="13"/>
        <v>49515</v>
      </c>
      <c r="C857" s="282">
        <v>2.3033000000000001E-2</v>
      </c>
      <c r="F857" s="283">
        <v>48288</v>
      </c>
      <c r="G857" s="284">
        <v>0.77962403000000002</v>
      </c>
    </row>
    <row r="858" spans="2:7">
      <c r="B858" s="281">
        <f t="shared" ca="1" si="13"/>
        <v>49522</v>
      </c>
      <c r="C858" s="282">
        <v>2.3030999999999999E-2</v>
      </c>
      <c r="F858" s="283">
        <v>48295</v>
      </c>
      <c r="G858" s="284">
        <v>0.77931280999999997</v>
      </c>
    </row>
    <row r="859" spans="2:7">
      <c r="B859" s="281">
        <f t="shared" ca="1" si="13"/>
        <v>49529</v>
      </c>
      <c r="C859" s="282">
        <v>2.3028E-2</v>
      </c>
      <c r="F859" s="283">
        <v>48302</v>
      </c>
      <c r="G859" s="284">
        <v>0.77900166999999998</v>
      </c>
    </row>
    <row r="860" spans="2:7">
      <c r="B860" s="281">
        <f t="shared" ref="B860:B923" ca="1" si="14">B859+$A$28</f>
        <v>49536</v>
      </c>
      <c r="C860" s="282">
        <v>2.3026999999999999E-2</v>
      </c>
      <c r="F860" s="283">
        <v>48309</v>
      </c>
      <c r="G860" s="284">
        <v>0.77869060000000001</v>
      </c>
    </row>
    <row r="861" spans="2:7">
      <c r="B861" s="281">
        <f t="shared" ca="1" si="14"/>
        <v>49543</v>
      </c>
      <c r="C861" s="282">
        <v>2.3026000000000001E-2</v>
      </c>
      <c r="F861" s="283">
        <v>48316</v>
      </c>
      <c r="G861" s="284">
        <v>0.77837962000000005</v>
      </c>
    </row>
    <row r="862" spans="2:7">
      <c r="B862" s="281">
        <f t="shared" ca="1" si="14"/>
        <v>49550</v>
      </c>
      <c r="C862" s="282">
        <v>2.3025E-2</v>
      </c>
      <c r="F862" s="283">
        <v>48323</v>
      </c>
      <c r="G862" s="284">
        <v>0.77806872000000005</v>
      </c>
    </row>
    <row r="863" spans="2:7">
      <c r="B863" s="281">
        <f t="shared" ca="1" si="14"/>
        <v>49557</v>
      </c>
      <c r="C863" s="282">
        <v>2.3022999999999998E-2</v>
      </c>
      <c r="F863" s="283">
        <v>48330</v>
      </c>
      <c r="G863" s="284">
        <v>0.7777579</v>
      </c>
    </row>
    <row r="864" spans="2:7">
      <c r="B864" s="281">
        <f t="shared" ca="1" si="14"/>
        <v>49564</v>
      </c>
      <c r="C864" s="282">
        <v>2.3023999999999999E-2</v>
      </c>
      <c r="F864" s="283">
        <v>48337</v>
      </c>
      <c r="G864" s="284">
        <v>0.77744716000000003</v>
      </c>
    </row>
    <row r="865" spans="2:7">
      <c r="B865" s="281">
        <f t="shared" ca="1" si="14"/>
        <v>49571</v>
      </c>
      <c r="C865" s="282">
        <v>2.3022999999999998E-2</v>
      </c>
      <c r="F865" s="283">
        <v>48344</v>
      </c>
      <c r="G865" s="284">
        <v>0.77713650000000001</v>
      </c>
    </row>
    <row r="866" spans="2:7">
      <c r="B866" s="281">
        <f t="shared" ca="1" si="14"/>
        <v>49578</v>
      </c>
      <c r="C866" s="282">
        <v>2.3021E-2</v>
      </c>
      <c r="F866" s="283">
        <v>48351</v>
      </c>
      <c r="G866" s="284">
        <v>0.77682591999999995</v>
      </c>
    </row>
    <row r="867" spans="2:7">
      <c r="B867" s="281">
        <f t="shared" ca="1" si="14"/>
        <v>49585</v>
      </c>
      <c r="C867" s="282">
        <v>2.3019999999999999E-2</v>
      </c>
      <c r="F867" s="283">
        <v>48358</v>
      </c>
      <c r="G867" s="284">
        <v>0.77651541999999996</v>
      </c>
    </row>
    <row r="868" spans="2:7">
      <c r="B868" s="281">
        <f t="shared" ca="1" si="14"/>
        <v>49592</v>
      </c>
      <c r="C868" s="282">
        <v>2.3016999999999999E-2</v>
      </c>
      <c r="F868" s="283">
        <v>48365</v>
      </c>
      <c r="G868" s="284">
        <v>0.77620500999999997</v>
      </c>
    </row>
    <row r="869" spans="2:7">
      <c r="B869" s="281">
        <f t="shared" ca="1" si="14"/>
        <v>49599</v>
      </c>
      <c r="C869" s="282">
        <v>2.3016000000000002E-2</v>
      </c>
      <c r="F869" s="283">
        <v>48372</v>
      </c>
      <c r="G869" s="284">
        <v>0.77589467000000001</v>
      </c>
    </row>
    <row r="870" spans="2:7">
      <c r="B870" s="281">
        <f t="shared" ca="1" si="14"/>
        <v>49606</v>
      </c>
      <c r="C870" s="282">
        <v>2.3014E-2</v>
      </c>
      <c r="F870" s="283">
        <v>48379</v>
      </c>
      <c r="G870" s="284">
        <v>0.77558442000000005</v>
      </c>
    </row>
    <row r="871" spans="2:7">
      <c r="B871" s="281">
        <f t="shared" ca="1" si="14"/>
        <v>49613</v>
      </c>
      <c r="C871" s="282">
        <v>2.3012999999999999E-2</v>
      </c>
      <c r="F871" s="283">
        <v>48386</v>
      </c>
      <c r="G871" s="284">
        <v>0.77527425000000005</v>
      </c>
    </row>
    <row r="872" spans="2:7">
      <c r="B872" s="281">
        <f t="shared" ca="1" si="14"/>
        <v>49620</v>
      </c>
      <c r="C872" s="282">
        <v>2.3012000000000001E-2</v>
      </c>
      <c r="F872" s="283">
        <v>48393</v>
      </c>
      <c r="G872" s="284">
        <v>0.77496416000000001</v>
      </c>
    </row>
    <row r="873" spans="2:7">
      <c r="B873" s="281">
        <f t="shared" ca="1" si="14"/>
        <v>49627</v>
      </c>
      <c r="C873" s="282">
        <v>2.3012000000000001E-2</v>
      </c>
      <c r="F873" s="283">
        <v>48400</v>
      </c>
      <c r="G873" s="284">
        <v>0.77465415999999998</v>
      </c>
    </row>
    <row r="874" spans="2:7">
      <c r="B874" s="281">
        <f t="shared" ca="1" si="14"/>
        <v>49634</v>
      </c>
      <c r="C874" s="282">
        <v>2.3011E-2</v>
      </c>
      <c r="F874" s="283">
        <v>48407</v>
      </c>
      <c r="G874" s="284">
        <v>0.77434424000000002</v>
      </c>
    </row>
    <row r="875" spans="2:7">
      <c r="B875" s="281">
        <f t="shared" ca="1" si="14"/>
        <v>49641</v>
      </c>
      <c r="C875" s="282">
        <v>2.3009999999999999E-2</v>
      </c>
      <c r="F875" s="283">
        <v>48414</v>
      </c>
      <c r="G875" s="284">
        <v>0.77403440000000001</v>
      </c>
    </row>
    <row r="876" spans="2:7">
      <c r="B876" s="281">
        <f t="shared" ca="1" si="14"/>
        <v>49648</v>
      </c>
      <c r="C876" s="282">
        <v>2.3009000000000002E-2</v>
      </c>
      <c r="F876" s="283">
        <v>48421</v>
      </c>
      <c r="G876" s="284">
        <v>0.77372465000000001</v>
      </c>
    </row>
    <row r="877" spans="2:7">
      <c r="B877" s="281">
        <f t="shared" ca="1" si="14"/>
        <v>49655</v>
      </c>
      <c r="C877" s="282">
        <v>2.3008000000000001E-2</v>
      </c>
      <c r="F877" s="283">
        <v>48428</v>
      </c>
      <c r="G877" s="284">
        <v>0.77341497999999997</v>
      </c>
    </row>
    <row r="878" spans="2:7">
      <c r="B878" s="281">
        <f t="shared" ca="1" si="14"/>
        <v>49662</v>
      </c>
      <c r="C878" s="282">
        <v>2.3005999999999999E-2</v>
      </c>
      <c r="F878" s="283">
        <v>48435</v>
      </c>
      <c r="G878" s="284">
        <v>0.77310539</v>
      </c>
    </row>
    <row r="879" spans="2:7">
      <c r="B879" s="281">
        <f t="shared" ca="1" si="14"/>
        <v>49669</v>
      </c>
      <c r="C879" s="282">
        <v>2.3004E-2</v>
      </c>
      <c r="F879" s="283">
        <v>48442</v>
      </c>
      <c r="G879" s="284">
        <v>0.77279589000000004</v>
      </c>
    </row>
    <row r="880" spans="2:7">
      <c r="B880" s="281">
        <f t="shared" ca="1" si="14"/>
        <v>49676</v>
      </c>
      <c r="C880" s="282">
        <v>2.3002999999999999E-2</v>
      </c>
      <c r="F880" s="283">
        <v>48449</v>
      </c>
      <c r="G880" s="284">
        <v>0.77248647999999998</v>
      </c>
    </row>
    <row r="881" spans="2:7">
      <c r="B881" s="281">
        <f t="shared" ca="1" si="14"/>
        <v>49683</v>
      </c>
      <c r="C881" s="282">
        <v>2.2998999999999999E-2</v>
      </c>
      <c r="F881" s="283">
        <v>48456</v>
      </c>
      <c r="G881" s="284">
        <v>0.77217714999999998</v>
      </c>
    </row>
    <row r="882" spans="2:7">
      <c r="B882" s="281">
        <f t="shared" ca="1" si="14"/>
        <v>49690</v>
      </c>
      <c r="C882" s="282">
        <v>2.2998000000000001E-2</v>
      </c>
      <c r="F882" s="283">
        <v>48463</v>
      </c>
      <c r="G882" s="284">
        <v>0.77186790999999999</v>
      </c>
    </row>
    <row r="883" spans="2:7">
      <c r="B883" s="281">
        <f t="shared" ca="1" si="14"/>
        <v>49697</v>
      </c>
      <c r="C883" s="282">
        <v>2.2995999999999999E-2</v>
      </c>
      <c r="F883" s="283">
        <v>48470</v>
      </c>
      <c r="G883" s="284">
        <v>0.77155874999999996</v>
      </c>
    </row>
    <row r="884" spans="2:7">
      <c r="B884" s="281">
        <f t="shared" ca="1" si="14"/>
        <v>49704</v>
      </c>
      <c r="C884" s="282">
        <v>2.2995000000000002E-2</v>
      </c>
      <c r="F884" s="283">
        <v>48477</v>
      </c>
      <c r="G884" s="284">
        <v>0.77124968999999999</v>
      </c>
    </row>
    <row r="885" spans="2:7">
      <c r="B885" s="281">
        <f t="shared" ca="1" si="14"/>
        <v>49711</v>
      </c>
      <c r="C885" s="282">
        <v>2.2993E-2</v>
      </c>
      <c r="F885" s="283">
        <v>48484</v>
      </c>
      <c r="G885" s="284">
        <v>0.77094070999999997</v>
      </c>
    </row>
    <row r="886" spans="2:7">
      <c r="B886" s="281">
        <f t="shared" ca="1" si="14"/>
        <v>49718</v>
      </c>
      <c r="C886" s="282">
        <v>2.2994000000000001E-2</v>
      </c>
      <c r="F886" s="283">
        <v>48491</v>
      </c>
      <c r="G886" s="284">
        <v>0.77063181999999997</v>
      </c>
    </row>
    <row r="887" spans="2:7">
      <c r="B887" s="281">
        <f t="shared" ca="1" si="14"/>
        <v>49725</v>
      </c>
      <c r="C887" s="282">
        <v>2.2991999999999999E-2</v>
      </c>
      <c r="F887" s="283">
        <v>48498</v>
      </c>
      <c r="G887" s="284">
        <v>0.77032301999999997</v>
      </c>
    </row>
    <row r="888" spans="2:7">
      <c r="B888" s="281">
        <f t="shared" ca="1" si="14"/>
        <v>49732</v>
      </c>
      <c r="C888" s="282">
        <v>2.299E-2</v>
      </c>
      <c r="F888" s="283">
        <v>48505</v>
      </c>
      <c r="G888" s="284">
        <v>0.77001430999999998</v>
      </c>
    </row>
    <row r="889" spans="2:7">
      <c r="B889" s="281">
        <f t="shared" ca="1" si="14"/>
        <v>49739</v>
      </c>
      <c r="C889" s="282">
        <v>2.2988999999999999E-2</v>
      </c>
      <c r="F889" s="283">
        <v>48512</v>
      </c>
      <c r="G889" s="284">
        <v>0.76970569</v>
      </c>
    </row>
    <row r="890" spans="2:7">
      <c r="B890" s="281">
        <f t="shared" ca="1" si="14"/>
        <v>49746</v>
      </c>
      <c r="C890" s="282">
        <v>2.2984999999999998E-2</v>
      </c>
      <c r="F890" s="283">
        <v>48519</v>
      </c>
      <c r="G890" s="284">
        <v>0.76939716000000002</v>
      </c>
    </row>
    <row r="891" spans="2:7">
      <c r="B891" s="281">
        <f t="shared" ca="1" si="14"/>
        <v>49753</v>
      </c>
      <c r="C891" s="282">
        <v>2.2984000000000001E-2</v>
      </c>
      <c r="F891" s="283">
        <v>48526</v>
      </c>
      <c r="G891" s="284">
        <v>0.76908871999999995</v>
      </c>
    </row>
    <row r="892" spans="2:7">
      <c r="B892" s="281">
        <f t="shared" ca="1" si="14"/>
        <v>49760</v>
      </c>
      <c r="C892" s="282">
        <v>2.2981999999999999E-2</v>
      </c>
      <c r="F892" s="283">
        <v>48533</v>
      </c>
      <c r="G892" s="284">
        <v>0.76878038000000004</v>
      </c>
    </row>
    <row r="893" spans="2:7">
      <c r="B893" s="281">
        <f t="shared" ca="1" si="14"/>
        <v>49767</v>
      </c>
      <c r="C893" s="282">
        <v>2.298E-2</v>
      </c>
      <c r="F893" s="283">
        <v>48540</v>
      </c>
      <c r="G893" s="284">
        <v>0.76847213000000003</v>
      </c>
    </row>
    <row r="894" spans="2:7">
      <c r="B894" s="281">
        <f t="shared" ca="1" si="14"/>
        <v>49774</v>
      </c>
      <c r="C894" s="282">
        <v>2.2981000000000001E-2</v>
      </c>
      <c r="F894" s="283">
        <v>48547</v>
      </c>
      <c r="G894" s="284">
        <v>0.76816397000000003</v>
      </c>
    </row>
    <row r="895" spans="2:7">
      <c r="B895" s="281">
        <f t="shared" ca="1" si="14"/>
        <v>49781</v>
      </c>
      <c r="C895" s="282">
        <v>2.2978999999999999E-2</v>
      </c>
      <c r="F895" s="283">
        <v>48554</v>
      </c>
      <c r="G895" s="284">
        <v>0.76785590999999997</v>
      </c>
    </row>
    <row r="896" spans="2:7">
      <c r="B896" s="281">
        <f t="shared" ca="1" si="14"/>
        <v>49788</v>
      </c>
      <c r="C896" s="282">
        <v>2.2977999999999998E-2</v>
      </c>
      <c r="F896" s="283">
        <v>48561</v>
      </c>
      <c r="G896" s="284">
        <v>0.76754794000000004</v>
      </c>
    </row>
    <row r="897" spans="2:7">
      <c r="B897" s="281">
        <f t="shared" ca="1" si="14"/>
        <v>49795</v>
      </c>
      <c r="C897" s="282">
        <v>2.2974999999999999E-2</v>
      </c>
      <c r="F897" s="283">
        <v>48568</v>
      </c>
      <c r="G897" s="284">
        <v>0.76724007000000005</v>
      </c>
    </row>
    <row r="898" spans="2:7">
      <c r="B898" s="281">
        <f t="shared" ca="1" si="14"/>
        <v>49802</v>
      </c>
      <c r="C898" s="282">
        <v>2.2971999999999999E-2</v>
      </c>
      <c r="F898" s="283">
        <v>48575</v>
      </c>
      <c r="G898" s="284">
        <v>0.76693230000000001</v>
      </c>
    </row>
    <row r="899" spans="2:7">
      <c r="B899" s="281">
        <f t="shared" ca="1" si="14"/>
        <v>49809</v>
      </c>
      <c r="C899" s="282">
        <v>2.2970999999999998E-2</v>
      </c>
      <c r="F899" s="283">
        <v>48582</v>
      </c>
      <c r="G899" s="284">
        <v>0.76662461999999998</v>
      </c>
    </row>
    <row r="900" spans="2:7">
      <c r="B900" s="281">
        <f t="shared" ca="1" si="14"/>
        <v>49816</v>
      </c>
      <c r="C900" s="282">
        <v>2.2970000000000001E-2</v>
      </c>
      <c r="F900" s="283">
        <v>48589</v>
      </c>
      <c r="G900" s="284">
        <v>0.76631705000000006</v>
      </c>
    </row>
    <row r="901" spans="2:7">
      <c r="B901" s="281">
        <f t="shared" ca="1" si="14"/>
        <v>49823</v>
      </c>
      <c r="C901" s="282">
        <v>2.2967999999999999E-2</v>
      </c>
      <c r="F901" s="283">
        <v>48596</v>
      </c>
      <c r="G901" s="284">
        <v>0.76600957000000003</v>
      </c>
    </row>
    <row r="902" spans="2:7">
      <c r="B902" s="281">
        <f t="shared" ca="1" si="14"/>
        <v>49830</v>
      </c>
      <c r="C902" s="282">
        <v>2.2966E-2</v>
      </c>
      <c r="F902" s="283">
        <v>48603</v>
      </c>
      <c r="G902" s="284">
        <v>0.76570218999999995</v>
      </c>
    </row>
    <row r="903" spans="2:7">
      <c r="B903" s="281">
        <f t="shared" ca="1" si="14"/>
        <v>49837</v>
      </c>
      <c r="C903" s="282">
        <v>2.2960999999999999E-2</v>
      </c>
      <c r="F903" s="283">
        <v>48610</v>
      </c>
      <c r="G903" s="284">
        <v>0.76539491000000004</v>
      </c>
    </row>
    <row r="904" spans="2:7">
      <c r="B904" s="281">
        <f t="shared" ca="1" si="14"/>
        <v>49844</v>
      </c>
      <c r="C904" s="282">
        <v>2.2959E-2</v>
      </c>
      <c r="F904" s="283">
        <v>48617</v>
      </c>
      <c r="G904" s="284">
        <v>0.76508774000000002</v>
      </c>
    </row>
    <row r="905" spans="2:7">
      <c r="B905" s="281">
        <f t="shared" ca="1" si="14"/>
        <v>49851</v>
      </c>
      <c r="C905" s="282">
        <v>2.2957000000000002E-2</v>
      </c>
      <c r="F905" s="283">
        <v>48624</v>
      </c>
      <c r="G905" s="284">
        <v>0.76478066</v>
      </c>
    </row>
    <row r="906" spans="2:7">
      <c r="B906" s="281">
        <f t="shared" ca="1" si="14"/>
        <v>49858</v>
      </c>
      <c r="C906" s="282">
        <v>2.2955E-2</v>
      </c>
      <c r="F906" s="283">
        <v>48631</v>
      </c>
      <c r="G906" s="284">
        <v>0.76447368999999998</v>
      </c>
    </row>
    <row r="907" spans="2:7">
      <c r="B907" s="281">
        <f t="shared" ca="1" si="14"/>
        <v>49865</v>
      </c>
      <c r="C907" s="282">
        <v>2.2956000000000001E-2</v>
      </c>
      <c r="F907" s="283">
        <v>48638</v>
      </c>
      <c r="G907" s="284">
        <v>0.76416682999999996</v>
      </c>
    </row>
    <row r="908" spans="2:7">
      <c r="B908" s="281">
        <f t="shared" ca="1" si="14"/>
        <v>49872</v>
      </c>
      <c r="C908" s="282">
        <v>2.2953000000000001E-2</v>
      </c>
      <c r="F908" s="283">
        <v>48645</v>
      </c>
      <c r="G908" s="284">
        <v>0.76386007</v>
      </c>
    </row>
    <row r="909" spans="2:7">
      <c r="B909" s="281">
        <f t="shared" ca="1" si="14"/>
        <v>49879</v>
      </c>
      <c r="C909" s="282">
        <v>2.2952E-2</v>
      </c>
      <c r="F909" s="283">
        <v>48652</v>
      </c>
      <c r="G909" s="284">
        <v>0.76355340999999999</v>
      </c>
    </row>
    <row r="910" spans="2:7">
      <c r="B910" s="281">
        <f t="shared" ca="1" si="14"/>
        <v>49886</v>
      </c>
      <c r="C910" s="282">
        <v>2.2949000000000001E-2</v>
      </c>
      <c r="F910" s="283">
        <v>48659</v>
      </c>
      <c r="G910" s="284">
        <v>0.76324685999999997</v>
      </c>
    </row>
    <row r="911" spans="2:7">
      <c r="B911" s="281">
        <f t="shared" ca="1" si="14"/>
        <v>49893</v>
      </c>
      <c r="C911" s="282">
        <v>2.2945E-2</v>
      </c>
      <c r="F911" s="283">
        <v>48666</v>
      </c>
      <c r="G911" s="284">
        <v>0.76294041999999995</v>
      </c>
    </row>
    <row r="912" spans="2:7">
      <c r="B912" s="281">
        <f t="shared" ca="1" si="14"/>
        <v>49900</v>
      </c>
      <c r="C912" s="282">
        <v>2.2943000000000002E-2</v>
      </c>
      <c r="F912" s="283">
        <v>48673</v>
      </c>
      <c r="G912" s="284">
        <v>0.76263409000000004</v>
      </c>
    </row>
    <row r="913" spans="2:7">
      <c r="B913" s="281">
        <f t="shared" ca="1" si="14"/>
        <v>49907</v>
      </c>
      <c r="C913" s="282">
        <v>2.2941E-2</v>
      </c>
      <c r="F913" s="283">
        <v>48680</v>
      </c>
      <c r="G913" s="284">
        <v>0.76232785999999997</v>
      </c>
    </row>
    <row r="914" spans="2:7">
      <c r="B914" s="281">
        <f t="shared" ca="1" si="14"/>
        <v>49914</v>
      </c>
      <c r="C914" s="282">
        <v>2.2938E-2</v>
      </c>
      <c r="F914" s="283">
        <v>48687</v>
      </c>
      <c r="G914" s="284">
        <v>0.76202175000000005</v>
      </c>
    </row>
    <row r="915" spans="2:7">
      <c r="B915" s="281">
        <f t="shared" ca="1" si="14"/>
        <v>49921</v>
      </c>
      <c r="C915" s="282">
        <v>2.2936000000000002E-2</v>
      </c>
      <c r="F915" s="283">
        <v>48694</v>
      </c>
      <c r="G915" s="284">
        <v>0.76171575000000002</v>
      </c>
    </row>
    <row r="916" spans="2:7">
      <c r="B916" s="281">
        <f t="shared" ca="1" si="14"/>
        <v>49928</v>
      </c>
      <c r="C916" s="282">
        <v>2.2936000000000002E-2</v>
      </c>
      <c r="F916" s="283">
        <v>48701</v>
      </c>
      <c r="G916" s="284">
        <v>0.76140985999999999</v>
      </c>
    </row>
    <row r="917" spans="2:7">
      <c r="B917" s="281">
        <f t="shared" ca="1" si="14"/>
        <v>49935</v>
      </c>
      <c r="C917" s="282">
        <v>2.2932999999999999E-2</v>
      </c>
      <c r="F917" s="283">
        <v>48708</v>
      </c>
      <c r="G917" s="284">
        <v>0.76110407999999996</v>
      </c>
    </row>
    <row r="918" spans="2:7">
      <c r="B918" s="281">
        <f t="shared" ca="1" si="14"/>
        <v>49942</v>
      </c>
      <c r="C918" s="282">
        <v>2.2931E-2</v>
      </c>
      <c r="F918" s="283">
        <v>48715</v>
      </c>
      <c r="G918" s="284">
        <v>0.76079841999999998</v>
      </c>
    </row>
    <row r="919" spans="2:7">
      <c r="B919" s="281">
        <f t="shared" ca="1" si="14"/>
        <v>49949</v>
      </c>
      <c r="C919" s="282">
        <v>2.2928E-2</v>
      </c>
      <c r="F919" s="283">
        <v>48722</v>
      </c>
      <c r="G919" s="284">
        <v>0.76049286999999999</v>
      </c>
    </row>
    <row r="920" spans="2:7">
      <c r="B920" s="281">
        <f t="shared" ca="1" si="14"/>
        <v>49956</v>
      </c>
      <c r="C920" s="282">
        <v>2.2924E-2</v>
      </c>
      <c r="F920" s="283">
        <v>48729</v>
      </c>
      <c r="G920" s="284">
        <v>0.76018744000000005</v>
      </c>
    </row>
    <row r="921" spans="2:7">
      <c r="B921" s="281">
        <f t="shared" ca="1" si="14"/>
        <v>49963</v>
      </c>
      <c r="C921" s="282">
        <v>2.2922000000000001E-2</v>
      </c>
      <c r="F921" s="283">
        <v>48736</v>
      </c>
      <c r="G921" s="284">
        <v>0.75988211999999999</v>
      </c>
    </row>
    <row r="922" spans="2:7">
      <c r="B922" s="281">
        <f t="shared" ca="1" si="14"/>
        <v>49970</v>
      </c>
      <c r="C922" s="282">
        <v>2.2918999999999998E-2</v>
      </c>
      <c r="F922" s="283">
        <v>48743</v>
      </c>
      <c r="G922" s="284">
        <v>0.75957693000000004</v>
      </c>
    </row>
    <row r="923" spans="2:7">
      <c r="B923" s="281">
        <f t="shared" ca="1" si="14"/>
        <v>49977</v>
      </c>
      <c r="C923" s="282">
        <v>2.2915999999999999E-2</v>
      </c>
      <c r="F923" s="283">
        <v>48750</v>
      </c>
      <c r="G923" s="284">
        <v>0.75927184999999997</v>
      </c>
    </row>
    <row r="924" spans="2:7">
      <c r="B924" s="281">
        <f t="shared" ref="B924:B987" ca="1" si="15">B923+$A$28</f>
        <v>49984</v>
      </c>
      <c r="C924" s="282">
        <v>2.2914E-2</v>
      </c>
      <c r="F924" s="283">
        <v>48757</v>
      </c>
      <c r="G924" s="284">
        <v>0.75896688999999995</v>
      </c>
    </row>
    <row r="925" spans="2:7">
      <c r="B925" s="281">
        <f t="shared" ca="1" si="15"/>
        <v>49991</v>
      </c>
      <c r="C925" s="282">
        <v>2.2912999999999999E-2</v>
      </c>
      <c r="F925" s="283">
        <v>48764</v>
      </c>
      <c r="G925" s="284">
        <v>0.75866204999999998</v>
      </c>
    </row>
    <row r="926" spans="2:7">
      <c r="B926" s="281">
        <f t="shared" ca="1" si="15"/>
        <v>49998</v>
      </c>
      <c r="C926" s="282">
        <v>2.291E-2</v>
      </c>
      <c r="F926" s="283">
        <v>48771</v>
      </c>
      <c r="G926" s="284">
        <v>0.75835733000000005</v>
      </c>
    </row>
    <row r="927" spans="2:7">
      <c r="B927" s="281">
        <f t="shared" ca="1" si="15"/>
        <v>50005</v>
      </c>
      <c r="C927" s="282">
        <v>2.2907E-2</v>
      </c>
      <c r="F927" s="283">
        <v>48778</v>
      </c>
      <c r="G927" s="284">
        <v>0.75805274</v>
      </c>
    </row>
    <row r="928" spans="2:7">
      <c r="B928" s="281">
        <f t="shared" ca="1" si="15"/>
        <v>50012</v>
      </c>
      <c r="C928" s="282">
        <v>2.2904999999999998E-2</v>
      </c>
      <c r="F928" s="283">
        <v>48785</v>
      </c>
      <c r="G928" s="284">
        <v>0.75774827</v>
      </c>
    </row>
    <row r="929" spans="2:7">
      <c r="B929" s="281">
        <f t="shared" ca="1" si="15"/>
        <v>50019</v>
      </c>
      <c r="C929" s="282">
        <v>2.2901999999999999E-2</v>
      </c>
      <c r="F929" s="283">
        <v>48792</v>
      </c>
      <c r="G929" s="284">
        <v>0.75744392000000005</v>
      </c>
    </row>
    <row r="930" spans="2:7">
      <c r="B930" s="281">
        <f t="shared" ca="1" si="15"/>
        <v>50026</v>
      </c>
      <c r="C930" s="282">
        <v>2.2898999999999999E-2</v>
      </c>
      <c r="F930" s="283">
        <v>48799</v>
      </c>
      <c r="G930" s="284">
        <v>0.75713969999999997</v>
      </c>
    </row>
    <row r="931" spans="2:7">
      <c r="B931" s="281">
        <f t="shared" ca="1" si="15"/>
        <v>50033</v>
      </c>
      <c r="C931" s="282">
        <v>2.2896E-2</v>
      </c>
      <c r="F931" s="283">
        <v>48806</v>
      </c>
      <c r="G931" s="284">
        <v>0.75683560000000005</v>
      </c>
    </row>
    <row r="932" spans="2:7">
      <c r="B932" s="281">
        <f t="shared" ca="1" si="15"/>
        <v>50040</v>
      </c>
      <c r="C932" s="282">
        <v>2.2893E-2</v>
      </c>
      <c r="F932" s="283">
        <v>48813</v>
      </c>
      <c r="G932" s="284">
        <v>0.75653163999999995</v>
      </c>
    </row>
    <row r="933" spans="2:7">
      <c r="B933" s="281">
        <f t="shared" ca="1" si="15"/>
        <v>50047</v>
      </c>
      <c r="C933" s="282">
        <v>2.2889E-2</v>
      </c>
      <c r="F933" s="283">
        <v>48820</v>
      </c>
      <c r="G933" s="284">
        <v>0.75622780000000001</v>
      </c>
    </row>
    <row r="934" spans="2:7">
      <c r="B934" s="281">
        <f t="shared" ca="1" si="15"/>
        <v>50054</v>
      </c>
      <c r="C934" s="282">
        <v>2.2886E-2</v>
      </c>
      <c r="F934" s="283">
        <v>48827</v>
      </c>
      <c r="G934" s="284">
        <v>0.75592409000000005</v>
      </c>
    </row>
    <row r="935" spans="2:7">
      <c r="B935" s="281">
        <f t="shared" ca="1" si="15"/>
        <v>50061</v>
      </c>
      <c r="C935" s="282">
        <v>2.2883000000000001E-2</v>
      </c>
      <c r="F935" s="283">
        <v>48834</v>
      </c>
      <c r="G935" s="284">
        <v>0.75562050999999997</v>
      </c>
    </row>
    <row r="936" spans="2:7">
      <c r="B936" s="281">
        <f t="shared" ca="1" si="15"/>
        <v>50068</v>
      </c>
      <c r="C936" s="282">
        <v>2.2880000000000001E-2</v>
      </c>
      <c r="F936" s="283">
        <v>48841</v>
      </c>
      <c r="G936" s="284">
        <v>0.75531705999999998</v>
      </c>
    </row>
    <row r="937" spans="2:7">
      <c r="B937" s="281">
        <f t="shared" ca="1" si="15"/>
        <v>50075</v>
      </c>
      <c r="C937" s="282">
        <v>2.2877000000000002E-2</v>
      </c>
      <c r="F937" s="283">
        <v>48848</v>
      </c>
      <c r="G937" s="284">
        <v>0.75501375000000004</v>
      </c>
    </row>
    <row r="938" spans="2:7">
      <c r="B938" s="281">
        <f t="shared" ca="1" si="15"/>
        <v>50082</v>
      </c>
      <c r="C938" s="282">
        <v>2.2875E-2</v>
      </c>
      <c r="F938" s="283">
        <v>48855</v>
      </c>
      <c r="G938" s="284">
        <v>0.75471056000000003</v>
      </c>
    </row>
    <row r="939" spans="2:7">
      <c r="B939" s="281">
        <f t="shared" ca="1" si="15"/>
        <v>50089</v>
      </c>
      <c r="C939" s="282">
        <v>2.2872E-2</v>
      </c>
      <c r="F939" s="283">
        <v>48862</v>
      </c>
      <c r="G939" s="284">
        <v>0.75440752</v>
      </c>
    </row>
    <row r="940" spans="2:7">
      <c r="B940" s="281">
        <f t="shared" ca="1" si="15"/>
        <v>50096</v>
      </c>
      <c r="C940" s="282">
        <v>2.2869E-2</v>
      </c>
      <c r="F940" s="283">
        <v>48869</v>
      </c>
      <c r="G940" s="284">
        <v>0.75410460000000001</v>
      </c>
    </row>
    <row r="941" spans="2:7">
      <c r="B941" s="281">
        <f t="shared" ca="1" si="15"/>
        <v>50103</v>
      </c>
      <c r="C941" s="282">
        <v>2.2866000000000001E-2</v>
      </c>
      <c r="F941" s="283">
        <v>48876</v>
      </c>
      <c r="G941" s="284">
        <v>0.75380183000000001</v>
      </c>
    </row>
    <row r="942" spans="2:7">
      <c r="B942" s="281">
        <f t="shared" ca="1" si="15"/>
        <v>50110</v>
      </c>
      <c r="C942" s="282">
        <v>2.2860999999999999E-2</v>
      </c>
      <c r="F942" s="283">
        <v>48883</v>
      </c>
      <c r="G942" s="284">
        <v>0.75349918999999999</v>
      </c>
    </row>
    <row r="943" spans="2:7">
      <c r="B943" s="281">
        <f t="shared" ca="1" si="15"/>
        <v>50117</v>
      </c>
      <c r="C943" s="282">
        <v>2.2858E-2</v>
      </c>
      <c r="F943" s="283">
        <v>48890</v>
      </c>
      <c r="G943" s="284">
        <v>0.75319669</v>
      </c>
    </row>
    <row r="944" spans="2:7">
      <c r="B944" s="281">
        <f t="shared" ca="1" si="15"/>
        <v>50124</v>
      </c>
      <c r="C944" s="282">
        <v>2.2855E-2</v>
      </c>
      <c r="F944" s="283">
        <v>48897</v>
      </c>
      <c r="G944" s="284">
        <v>0.75289432999999995</v>
      </c>
    </row>
    <row r="945" spans="2:7">
      <c r="B945" s="281">
        <f t="shared" ca="1" si="15"/>
        <v>50131</v>
      </c>
      <c r="C945" s="282">
        <v>2.2851E-2</v>
      </c>
      <c r="F945" s="283">
        <v>48904</v>
      </c>
      <c r="G945" s="284">
        <v>0.75259211000000004</v>
      </c>
    </row>
    <row r="946" spans="2:7">
      <c r="B946" s="281">
        <f t="shared" ca="1" si="15"/>
        <v>50138</v>
      </c>
      <c r="C946" s="282">
        <v>2.2848E-2</v>
      </c>
      <c r="F946" s="283">
        <v>48911</v>
      </c>
      <c r="G946" s="284">
        <v>0.75229003000000005</v>
      </c>
    </row>
    <row r="947" spans="2:7">
      <c r="B947" s="281">
        <f t="shared" ca="1" si="15"/>
        <v>50145</v>
      </c>
      <c r="C947" s="282">
        <v>2.2846000000000002E-2</v>
      </c>
      <c r="F947" s="283">
        <v>48918</v>
      </c>
      <c r="G947" s="284">
        <v>0.75198809</v>
      </c>
    </row>
    <row r="948" spans="2:7">
      <c r="B948" s="281">
        <f t="shared" ca="1" si="15"/>
        <v>50152</v>
      </c>
      <c r="C948" s="282">
        <v>2.2842999999999999E-2</v>
      </c>
      <c r="F948" s="283">
        <v>48925</v>
      </c>
      <c r="G948" s="284">
        <v>0.75168628999999998</v>
      </c>
    </row>
    <row r="949" spans="2:7">
      <c r="B949" s="281">
        <f t="shared" ca="1" si="15"/>
        <v>50159</v>
      </c>
      <c r="C949" s="282">
        <v>2.2839000000000002E-2</v>
      </c>
      <c r="F949" s="283">
        <v>48932</v>
      </c>
      <c r="G949" s="284">
        <v>0.75138464000000005</v>
      </c>
    </row>
    <row r="950" spans="2:7">
      <c r="B950" s="281">
        <f t="shared" ca="1" si="15"/>
        <v>50166</v>
      </c>
      <c r="C950" s="282">
        <v>2.2835000000000001E-2</v>
      </c>
      <c r="F950" s="283">
        <v>48939</v>
      </c>
      <c r="G950" s="284">
        <v>0.75108313999999998</v>
      </c>
    </row>
    <row r="951" spans="2:7">
      <c r="B951" s="281">
        <f t="shared" ca="1" si="15"/>
        <v>50173</v>
      </c>
      <c r="C951" s="282">
        <v>2.2832000000000002E-2</v>
      </c>
      <c r="F951" s="283">
        <v>48946</v>
      </c>
      <c r="G951" s="284">
        <v>0.75078177999999995</v>
      </c>
    </row>
    <row r="952" spans="2:7">
      <c r="B952" s="281">
        <f t="shared" ca="1" si="15"/>
        <v>50180</v>
      </c>
      <c r="C952" s="282">
        <v>2.2828999999999999E-2</v>
      </c>
      <c r="F952" s="283">
        <v>48953</v>
      </c>
      <c r="G952" s="284">
        <v>0.75048057000000001</v>
      </c>
    </row>
    <row r="953" spans="2:7">
      <c r="B953" s="281">
        <f t="shared" ca="1" si="15"/>
        <v>50187</v>
      </c>
      <c r="C953" s="282">
        <v>2.2825000000000002E-2</v>
      </c>
      <c r="F953" s="283">
        <v>48960</v>
      </c>
      <c r="G953" s="284">
        <v>0.7501795</v>
      </c>
    </row>
    <row r="954" spans="2:7">
      <c r="B954" s="281">
        <f t="shared" ca="1" si="15"/>
        <v>50194</v>
      </c>
      <c r="C954" s="282">
        <v>2.2821000000000001E-2</v>
      </c>
      <c r="F954" s="283">
        <v>48967</v>
      </c>
      <c r="G954" s="284">
        <v>0.74987859000000001</v>
      </c>
    </row>
    <row r="955" spans="2:7">
      <c r="B955" s="281">
        <f t="shared" ca="1" si="15"/>
        <v>50201</v>
      </c>
      <c r="C955" s="282">
        <v>2.2814999999999998E-2</v>
      </c>
      <c r="F955" s="283">
        <v>48974</v>
      </c>
      <c r="G955" s="284">
        <v>0.74957781999999995</v>
      </c>
    </row>
    <row r="956" spans="2:7">
      <c r="B956" s="281">
        <f t="shared" ca="1" si="15"/>
        <v>50208</v>
      </c>
      <c r="C956" s="282">
        <v>2.2811999999999999E-2</v>
      </c>
      <c r="F956" s="283">
        <v>48981</v>
      </c>
      <c r="G956" s="284">
        <v>0.74927719999999998</v>
      </c>
    </row>
    <row r="957" spans="2:7">
      <c r="B957" s="281">
        <f t="shared" ca="1" si="15"/>
        <v>50215</v>
      </c>
      <c r="C957" s="282">
        <v>2.2807999999999998E-2</v>
      </c>
      <c r="F957" s="283">
        <v>48988</v>
      </c>
      <c r="G957" s="284">
        <v>0.74897674000000003</v>
      </c>
    </row>
    <row r="958" spans="2:7">
      <c r="B958" s="281">
        <f t="shared" ca="1" si="15"/>
        <v>50222</v>
      </c>
      <c r="C958" s="282">
        <v>2.2804000000000001E-2</v>
      </c>
      <c r="F958" s="283">
        <v>48995</v>
      </c>
      <c r="G958" s="284">
        <v>0.74867642999999995</v>
      </c>
    </row>
    <row r="959" spans="2:7">
      <c r="B959" s="281">
        <f t="shared" ca="1" si="15"/>
        <v>50229</v>
      </c>
      <c r="C959" s="282">
        <v>2.2803E-2</v>
      </c>
      <c r="F959" s="283">
        <v>49002</v>
      </c>
      <c r="G959" s="284">
        <v>0.74837626999999995</v>
      </c>
    </row>
    <row r="960" spans="2:7">
      <c r="B960" s="281">
        <f t="shared" ca="1" si="15"/>
        <v>50236</v>
      </c>
      <c r="C960" s="282">
        <v>2.2799E-2</v>
      </c>
      <c r="F960" s="283">
        <v>49009</v>
      </c>
      <c r="G960" s="284">
        <v>0.74807626999999999</v>
      </c>
    </row>
    <row r="961" spans="2:7">
      <c r="B961" s="281">
        <f t="shared" ca="1" si="15"/>
        <v>50243</v>
      </c>
      <c r="C961" s="282">
        <v>2.2794999999999999E-2</v>
      </c>
      <c r="F961" s="283">
        <v>49016</v>
      </c>
      <c r="G961" s="284">
        <v>0.74777642</v>
      </c>
    </row>
    <row r="962" spans="2:7">
      <c r="B962" s="281">
        <f t="shared" ca="1" si="15"/>
        <v>50250</v>
      </c>
      <c r="C962" s="282">
        <v>2.2790999999999999E-2</v>
      </c>
      <c r="F962" s="283">
        <v>49023</v>
      </c>
      <c r="G962" s="284">
        <v>0.74747673000000003</v>
      </c>
    </row>
    <row r="963" spans="2:7">
      <c r="B963" s="281">
        <f t="shared" ca="1" si="15"/>
        <v>50257</v>
      </c>
      <c r="C963" s="282">
        <v>2.2786000000000001E-2</v>
      </c>
      <c r="F963" s="283">
        <v>49030</v>
      </c>
      <c r="G963" s="284">
        <v>0.74717719000000005</v>
      </c>
    </row>
    <row r="964" spans="2:7">
      <c r="B964" s="281">
        <f t="shared" ca="1" si="15"/>
        <v>50264</v>
      </c>
      <c r="C964" s="282">
        <v>2.2782E-2</v>
      </c>
      <c r="F964" s="283">
        <v>49037</v>
      </c>
      <c r="G964" s="284">
        <v>0.74687780999999998</v>
      </c>
    </row>
    <row r="965" spans="2:7">
      <c r="B965" s="281">
        <f t="shared" ca="1" si="15"/>
        <v>50271</v>
      </c>
      <c r="C965" s="282">
        <v>2.2778E-2</v>
      </c>
      <c r="F965" s="283">
        <v>49044</v>
      </c>
      <c r="G965" s="284">
        <v>0.74657859000000004</v>
      </c>
    </row>
    <row r="966" spans="2:7">
      <c r="B966" s="281">
        <f t="shared" ca="1" si="15"/>
        <v>50278</v>
      </c>
      <c r="C966" s="282">
        <v>2.2773999999999999E-2</v>
      </c>
      <c r="F966" s="283">
        <v>49051</v>
      </c>
      <c r="G966" s="284">
        <v>0.74627953000000002</v>
      </c>
    </row>
    <row r="967" spans="2:7">
      <c r="B967" s="281">
        <f t="shared" ca="1" si="15"/>
        <v>50285</v>
      </c>
      <c r="C967" s="282">
        <v>2.2769999999999999E-2</v>
      </c>
      <c r="F967" s="283">
        <v>49058</v>
      </c>
      <c r="G967" s="284">
        <v>0.74598063999999997</v>
      </c>
    </row>
    <row r="968" spans="2:7">
      <c r="B968" s="281">
        <f t="shared" ca="1" si="15"/>
        <v>50292</v>
      </c>
      <c r="C968" s="282">
        <v>2.2766999999999999E-2</v>
      </c>
      <c r="F968" s="283">
        <v>49065</v>
      </c>
      <c r="G968" s="284">
        <v>0.74568190000000001</v>
      </c>
    </row>
    <row r="969" spans="2:7">
      <c r="B969" s="281">
        <f t="shared" ca="1" si="15"/>
        <v>50299</v>
      </c>
      <c r="C969" s="282">
        <v>2.2762999999999999E-2</v>
      </c>
      <c r="F969" s="283">
        <v>49072</v>
      </c>
      <c r="G969" s="284">
        <v>0.74538331999999996</v>
      </c>
    </row>
    <row r="970" spans="2:7">
      <c r="B970" s="281">
        <f t="shared" ca="1" si="15"/>
        <v>50306</v>
      </c>
      <c r="C970" s="282">
        <v>2.2759000000000001E-2</v>
      </c>
      <c r="F970" s="283">
        <v>49079</v>
      </c>
      <c r="G970" s="284">
        <v>0.74508490999999999</v>
      </c>
    </row>
    <row r="971" spans="2:7">
      <c r="B971" s="281">
        <f t="shared" ca="1" si="15"/>
        <v>50313</v>
      </c>
      <c r="C971" s="282">
        <v>2.2755000000000001E-2</v>
      </c>
      <c r="F971" s="283">
        <v>49086</v>
      </c>
      <c r="G971" s="284">
        <v>0.74478666000000004</v>
      </c>
    </row>
    <row r="972" spans="2:7">
      <c r="B972" s="281">
        <f t="shared" ca="1" si="15"/>
        <v>50320</v>
      </c>
      <c r="C972" s="282">
        <v>2.2748999999999998E-2</v>
      </c>
      <c r="F972" s="283">
        <v>49093</v>
      </c>
      <c r="G972" s="284">
        <v>0.74448857999999996</v>
      </c>
    </row>
    <row r="973" spans="2:7">
      <c r="B973" s="281">
        <f t="shared" ca="1" si="15"/>
        <v>50327</v>
      </c>
      <c r="C973" s="282">
        <v>2.2745000000000001E-2</v>
      </c>
      <c r="F973" s="283">
        <v>49100</v>
      </c>
      <c r="G973" s="284">
        <v>0.74419066</v>
      </c>
    </row>
    <row r="974" spans="2:7">
      <c r="B974" s="281">
        <f t="shared" ca="1" si="15"/>
        <v>50334</v>
      </c>
      <c r="C974" s="282">
        <v>2.2741000000000001E-2</v>
      </c>
      <c r="F974" s="283">
        <v>49107</v>
      </c>
      <c r="G974" s="284">
        <v>0.74389289999999997</v>
      </c>
    </row>
    <row r="975" spans="2:7">
      <c r="B975" s="281">
        <f t="shared" ca="1" si="15"/>
        <v>50341</v>
      </c>
      <c r="C975" s="282">
        <v>2.2737E-2</v>
      </c>
      <c r="F975" s="283">
        <v>49114</v>
      </c>
      <c r="G975" s="284">
        <v>0.74359531999999995</v>
      </c>
    </row>
    <row r="976" spans="2:7">
      <c r="B976" s="281">
        <f t="shared" ca="1" si="15"/>
        <v>50348</v>
      </c>
      <c r="C976" s="282">
        <v>2.2731999999999999E-2</v>
      </c>
      <c r="F976" s="283">
        <v>49121</v>
      </c>
      <c r="G976" s="284">
        <v>0.74329789999999996</v>
      </c>
    </row>
    <row r="977" spans="2:7">
      <c r="B977" s="281">
        <f t="shared" ca="1" si="15"/>
        <v>50355</v>
      </c>
      <c r="C977" s="282">
        <v>2.2728999999999999E-2</v>
      </c>
      <c r="F977" s="283">
        <v>49128</v>
      </c>
      <c r="G977" s="284">
        <v>0.74300065000000004</v>
      </c>
    </row>
    <row r="978" spans="2:7">
      <c r="B978" s="281">
        <f t="shared" ca="1" si="15"/>
        <v>50362</v>
      </c>
      <c r="C978" s="282">
        <v>2.2724999999999999E-2</v>
      </c>
      <c r="F978" s="283">
        <v>49135</v>
      </c>
      <c r="G978" s="284">
        <v>0.74270356999999998</v>
      </c>
    </row>
    <row r="979" spans="2:7">
      <c r="B979" s="281">
        <f t="shared" ca="1" si="15"/>
        <v>50369</v>
      </c>
      <c r="C979" s="282">
        <v>2.2720000000000001E-2</v>
      </c>
      <c r="F979" s="283">
        <v>49142</v>
      </c>
      <c r="G979" s="284">
        <v>0.74240666</v>
      </c>
    </row>
    <row r="980" spans="2:7">
      <c r="B980" s="281">
        <f t="shared" ca="1" si="15"/>
        <v>50376</v>
      </c>
      <c r="C980" s="282">
        <v>2.2716E-2</v>
      </c>
      <c r="F980" s="283">
        <v>49149</v>
      </c>
      <c r="G980" s="284">
        <v>0.74210991999999998</v>
      </c>
    </row>
    <row r="981" spans="2:7">
      <c r="B981" s="281">
        <f t="shared" ca="1" si="15"/>
        <v>50383</v>
      </c>
      <c r="C981" s="282">
        <v>2.2712E-2</v>
      </c>
      <c r="F981" s="283">
        <v>49156</v>
      </c>
      <c r="G981" s="284">
        <v>0.74181335000000004</v>
      </c>
    </row>
    <row r="982" spans="2:7">
      <c r="B982" s="281">
        <f t="shared" ca="1" si="15"/>
        <v>50390</v>
      </c>
      <c r="C982" s="282">
        <v>2.2707000000000001E-2</v>
      </c>
      <c r="F982" s="283">
        <v>49163</v>
      </c>
      <c r="G982" s="284">
        <v>0.74151694999999995</v>
      </c>
    </row>
    <row r="983" spans="2:7">
      <c r="B983" s="281">
        <f t="shared" ca="1" si="15"/>
        <v>50397</v>
      </c>
      <c r="C983" s="282">
        <v>2.2703000000000001E-2</v>
      </c>
      <c r="F983" s="283">
        <v>49170</v>
      </c>
      <c r="G983" s="284">
        <v>0.74122072000000006</v>
      </c>
    </row>
    <row r="984" spans="2:7">
      <c r="B984" s="281">
        <f t="shared" ca="1" si="15"/>
        <v>50404</v>
      </c>
      <c r="C984" s="282">
        <v>2.2697999999999999E-2</v>
      </c>
      <c r="F984" s="283">
        <v>49177</v>
      </c>
      <c r="G984" s="284">
        <v>0.74092466999999995</v>
      </c>
    </row>
    <row r="985" spans="2:7">
      <c r="B985" s="281">
        <f t="shared" ca="1" si="15"/>
        <v>50411</v>
      </c>
      <c r="C985" s="282">
        <v>2.2693000000000001E-2</v>
      </c>
      <c r="F985" s="283">
        <v>49184</v>
      </c>
      <c r="G985" s="284">
        <v>0.74062879000000004</v>
      </c>
    </row>
    <row r="986" spans="2:7">
      <c r="B986" s="281">
        <f t="shared" ca="1" si="15"/>
        <v>50418</v>
      </c>
      <c r="C986" s="282">
        <v>2.2688E-2</v>
      </c>
      <c r="F986" s="283">
        <v>49191</v>
      </c>
      <c r="G986" s="284">
        <v>0.74033309000000003</v>
      </c>
    </row>
    <row r="987" spans="2:7">
      <c r="B987" s="281">
        <f t="shared" ca="1" si="15"/>
        <v>50425</v>
      </c>
      <c r="C987" s="282">
        <v>2.2682999999999998E-2</v>
      </c>
      <c r="F987" s="283">
        <v>49198</v>
      </c>
      <c r="G987" s="284">
        <v>0.74003755999999998</v>
      </c>
    </row>
    <row r="988" spans="2:7">
      <c r="B988" s="281">
        <f t="shared" ref="B988:B1051" ca="1" si="16">B987+$A$28</f>
        <v>50432</v>
      </c>
      <c r="C988" s="282">
        <v>2.2679000000000001E-2</v>
      </c>
      <c r="F988" s="283">
        <v>49205</v>
      </c>
      <c r="G988" s="284">
        <v>0.73974220999999996</v>
      </c>
    </row>
    <row r="989" spans="2:7">
      <c r="B989" s="281">
        <f t="shared" ca="1" si="16"/>
        <v>50439</v>
      </c>
      <c r="C989" s="282">
        <v>2.2674E-2</v>
      </c>
      <c r="F989" s="283">
        <v>49212</v>
      </c>
      <c r="G989" s="284">
        <v>0.73944703000000001</v>
      </c>
    </row>
    <row r="990" spans="2:7">
      <c r="B990" s="281">
        <f t="shared" ca="1" si="16"/>
        <v>50446</v>
      </c>
      <c r="C990" s="282">
        <v>2.2671E-2</v>
      </c>
      <c r="F990" s="283">
        <v>49219</v>
      </c>
      <c r="G990" s="284">
        <v>0.73915202999999996</v>
      </c>
    </row>
    <row r="991" spans="2:7">
      <c r="B991" s="281">
        <f t="shared" ca="1" si="16"/>
        <v>50453</v>
      </c>
      <c r="C991" s="282">
        <v>2.2665999999999999E-2</v>
      </c>
      <c r="F991" s="283">
        <v>49226</v>
      </c>
      <c r="G991" s="284">
        <v>0.73885721000000004</v>
      </c>
    </row>
    <row r="992" spans="2:7">
      <c r="B992" s="281">
        <f t="shared" ca="1" si="16"/>
        <v>50460</v>
      </c>
      <c r="C992" s="282">
        <v>2.2661000000000001E-2</v>
      </c>
      <c r="F992" s="283">
        <v>49233</v>
      </c>
      <c r="G992" s="284">
        <v>0.73856255999999998</v>
      </c>
    </row>
    <row r="993" spans="2:7">
      <c r="B993" s="281">
        <f t="shared" ca="1" si="16"/>
        <v>50467</v>
      </c>
      <c r="C993" s="282">
        <v>2.2657E-2</v>
      </c>
      <c r="F993" s="283">
        <v>49240</v>
      </c>
      <c r="G993" s="284">
        <v>0.73826809000000004</v>
      </c>
    </row>
    <row r="994" spans="2:7">
      <c r="B994" s="281">
        <f t="shared" ca="1" si="16"/>
        <v>50474</v>
      </c>
      <c r="C994" s="282">
        <v>2.2651000000000001E-2</v>
      </c>
      <c r="F994" s="283">
        <v>49247</v>
      </c>
      <c r="G994" s="284">
        <v>0.73797380999999995</v>
      </c>
    </row>
    <row r="995" spans="2:7">
      <c r="B995" s="281">
        <f t="shared" ca="1" si="16"/>
        <v>50481</v>
      </c>
      <c r="C995" s="282">
        <v>2.2645999999999999E-2</v>
      </c>
      <c r="F995" s="283">
        <v>49254</v>
      </c>
      <c r="G995" s="284">
        <v>0.73767970000000005</v>
      </c>
    </row>
    <row r="996" spans="2:7">
      <c r="B996" s="281">
        <f t="shared" ca="1" si="16"/>
        <v>50488</v>
      </c>
      <c r="C996" s="282">
        <v>2.2641000000000001E-2</v>
      </c>
      <c r="F996" s="283">
        <v>49261</v>
      </c>
      <c r="G996" s="284">
        <v>0.73738577000000005</v>
      </c>
    </row>
    <row r="997" spans="2:7">
      <c r="B997" s="281">
        <f t="shared" ca="1" si="16"/>
        <v>50495</v>
      </c>
      <c r="C997" s="282">
        <v>2.2637000000000001E-2</v>
      </c>
      <c r="F997" s="283">
        <v>49268</v>
      </c>
      <c r="G997" s="284">
        <v>0.73709201999999996</v>
      </c>
    </row>
    <row r="998" spans="2:7">
      <c r="B998" s="281">
        <f t="shared" ca="1" si="16"/>
        <v>50502</v>
      </c>
      <c r="C998" s="282">
        <v>2.2631999999999999E-2</v>
      </c>
      <c r="F998" s="283">
        <v>49275</v>
      </c>
      <c r="G998" s="284">
        <v>0.73679844999999999</v>
      </c>
    </row>
    <row r="999" spans="2:7">
      <c r="B999" s="281">
        <f t="shared" ca="1" si="16"/>
        <v>50509</v>
      </c>
      <c r="C999" s="282">
        <v>2.2627999999999999E-2</v>
      </c>
      <c r="F999" s="283">
        <v>49282</v>
      </c>
      <c r="G999" s="284">
        <v>0.73650506999999998</v>
      </c>
    </row>
    <row r="1000" spans="2:7">
      <c r="B1000" s="281">
        <f t="shared" ca="1" si="16"/>
        <v>50516</v>
      </c>
      <c r="C1000" s="282">
        <v>2.2623999999999998E-2</v>
      </c>
      <c r="F1000" s="283">
        <v>49289</v>
      </c>
      <c r="G1000" s="284">
        <v>0.73621186000000005</v>
      </c>
    </row>
    <row r="1001" spans="2:7">
      <c r="B1001" s="281">
        <f t="shared" ca="1" si="16"/>
        <v>50523</v>
      </c>
      <c r="C1001" s="282">
        <v>2.2617999999999999E-2</v>
      </c>
      <c r="F1001" s="283">
        <v>49296</v>
      </c>
      <c r="G1001" s="284">
        <v>0.73591883999999996</v>
      </c>
    </row>
    <row r="1002" spans="2:7">
      <c r="B1002" s="281">
        <f t="shared" ca="1" si="16"/>
        <v>50530</v>
      </c>
      <c r="C1002" s="282">
        <v>2.2613000000000001E-2</v>
      </c>
      <c r="F1002" s="283">
        <v>49303</v>
      </c>
      <c r="G1002" s="284">
        <v>0.735626</v>
      </c>
    </row>
    <row r="1003" spans="2:7">
      <c r="B1003" s="281">
        <f t="shared" ca="1" si="16"/>
        <v>50537</v>
      </c>
      <c r="C1003" s="282">
        <v>2.2609000000000001E-2</v>
      </c>
      <c r="F1003" s="283">
        <v>49310</v>
      </c>
      <c r="G1003" s="284">
        <v>0.73533333999999995</v>
      </c>
    </row>
    <row r="1004" spans="2:7">
      <c r="B1004" s="281">
        <f t="shared" ca="1" si="16"/>
        <v>50544</v>
      </c>
      <c r="C1004" s="282">
        <v>2.2603999999999999E-2</v>
      </c>
      <c r="F1004" s="283">
        <v>49317</v>
      </c>
      <c r="G1004" s="284">
        <v>0.73504086000000002</v>
      </c>
    </row>
    <row r="1005" spans="2:7">
      <c r="B1005" s="281">
        <f t="shared" ca="1" si="16"/>
        <v>50551</v>
      </c>
      <c r="C1005" s="282">
        <v>2.2599000000000001E-2</v>
      </c>
      <c r="F1005" s="283">
        <v>49324</v>
      </c>
      <c r="G1005" s="284">
        <v>0.73474857000000005</v>
      </c>
    </row>
    <row r="1006" spans="2:7">
      <c r="B1006" s="281">
        <f t="shared" ca="1" si="16"/>
        <v>50558</v>
      </c>
      <c r="C1006" s="282">
        <v>2.2594E-2</v>
      </c>
      <c r="F1006" s="283">
        <v>49331</v>
      </c>
      <c r="G1006" s="284">
        <v>0.73445645999999998</v>
      </c>
    </row>
    <row r="1007" spans="2:7">
      <c r="B1007" s="281">
        <f t="shared" ca="1" si="16"/>
        <v>50565</v>
      </c>
      <c r="C1007" s="282">
        <v>2.2586999999999999E-2</v>
      </c>
      <c r="F1007" s="283">
        <v>49338</v>
      </c>
      <c r="G1007" s="284">
        <v>0.73416453999999998</v>
      </c>
    </row>
    <row r="1008" spans="2:7">
      <c r="B1008" s="281">
        <f t="shared" ca="1" si="16"/>
        <v>50572</v>
      </c>
      <c r="C1008" s="282">
        <v>2.2582000000000001E-2</v>
      </c>
      <c r="F1008" s="283">
        <v>49345</v>
      </c>
      <c r="G1008" s="284">
        <v>0.73387279000000005</v>
      </c>
    </row>
    <row r="1009" spans="2:7">
      <c r="B1009" s="281">
        <f t="shared" ca="1" si="16"/>
        <v>50579</v>
      </c>
      <c r="C1009" s="282">
        <v>2.2578000000000001E-2</v>
      </c>
      <c r="F1009" s="283">
        <v>49352</v>
      </c>
      <c r="G1009" s="284">
        <v>0.73358124000000002</v>
      </c>
    </row>
    <row r="1010" spans="2:7">
      <c r="B1010" s="281">
        <f t="shared" ca="1" si="16"/>
        <v>50586</v>
      </c>
      <c r="C1010" s="282">
        <v>2.2572999999999999E-2</v>
      </c>
      <c r="F1010" s="283">
        <v>49359</v>
      </c>
      <c r="G1010" s="284">
        <v>0.73328985999999996</v>
      </c>
    </row>
    <row r="1011" spans="2:7">
      <c r="B1011" s="281">
        <f t="shared" ca="1" si="16"/>
        <v>50593</v>
      </c>
      <c r="C1011" s="282">
        <v>2.2568000000000001E-2</v>
      </c>
      <c r="F1011" s="283">
        <v>49366</v>
      </c>
      <c r="G1011" s="284">
        <v>0.73299868000000001</v>
      </c>
    </row>
    <row r="1012" spans="2:7">
      <c r="B1012" s="281">
        <f t="shared" ca="1" si="16"/>
        <v>50600</v>
      </c>
      <c r="C1012" s="282">
        <v>2.2565000000000002E-2</v>
      </c>
      <c r="F1012" s="283">
        <v>49373</v>
      </c>
      <c r="G1012" s="284">
        <v>0.73270767000000003</v>
      </c>
    </row>
    <row r="1013" spans="2:7">
      <c r="B1013" s="281">
        <f t="shared" ca="1" si="16"/>
        <v>50607</v>
      </c>
      <c r="C1013" s="282">
        <v>2.256E-2</v>
      </c>
      <c r="F1013" s="283">
        <v>49380</v>
      </c>
      <c r="G1013" s="284">
        <v>0.73241685000000001</v>
      </c>
    </row>
    <row r="1014" spans="2:7">
      <c r="B1014" s="281">
        <f t="shared" ca="1" si="16"/>
        <v>50614</v>
      </c>
      <c r="C1014" s="282">
        <v>2.2554999999999999E-2</v>
      </c>
      <c r="F1014" s="283">
        <v>49387</v>
      </c>
      <c r="G1014" s="284">
        <v>0.73212622000000005</v>
      </c>
    </row>
    <row r="1015" spans="2:7">
      <c r="B1015" s="281">
        <f t="shared" ca="1" si="16"/>
        <v>50621</v>
      </c>
      <c r="C1015" s="282">
        <v>2.2550000000000001E-2</v>
      </c>
      <c r="F1015" s="283">
        <v>49394</v>
      </c>
      <c r="G1015" s="284">
        <v>0.73183577</v>
      </c>
    </row>
    <row r="1016" spans="2:7">
      <c r="B1016" s="281">
        <f t="shared" ca="1" si="16"/>
        <v>50628</v>
      </c>
      <c r="C1016" s="282">
        <v>2.2544000000000002E-2</v>
      </c>
      <c r="F1016" s="283">
        <v>49401</v>
      </c>
      <c r="G1016" s="284">
        <v>0.73154551000000001</v>
      </c>
    </row>
    <row r="1017" spans="2:7">
      <c r="B1017" s="281">
        <f t="shared" ca="1" si="16"/>
        <v>50635</v>
      </c>
      <c r="C1017" s="282">
        <v>2.2539E-2</v>
      </c>
      <c r="F1017" s="283">
        <v>49408</v>
      </c>
      <c r="G1017" s="284">
        <v>0.73125543000000004</v>
      </c>
    </row>
    <row r="1018" spans="2:7">
      <c r="B1018" s="281">
        <f t="shared" ca="1" si="16"/>
        <v>50642</v>
      </c>
      <c r="C1018" s="282">
        <v>2.2533999999999998E-2</v>
      </c>
      <c r="F1018" s="283">
        <v>49415</v>
      </c>
      <c r="G1018" s="284">
        <v>0.73096554000000002</v>
      </c>
    </row>
    <row r="1019" spans="2:7">
      <c r="B1019" s="281">
        <f t="shared" ca="1" si="16"/>
        <v>50649</v>
      </c>
      <c r="C1019" s="282">
        <v>2.2529E-2</v>
      </c>
      <c r="F1019" s="283">
        <v>49422</v>
      </c>
      <c r="G1019" s="284">
        <v>0.73067583000000003</v>
      </c>
    </row>
    <row r="1020" spans="2:7">
      <c r="B1020" s="281">
        <f t="shared" ca="1" si="16"/>
        <v>50656</v>
      </c>
      <c r="C1020" s="282">
        <v>2.2525E-2</v>
      </c>
      <c r="F1020" s="283">
        <v>49429</v>
      </c>
      <c r="G1020" s="284">
        <v>0.73038630999999998</v>
      </c>
    </row>
    <row r="1021" spans="2:7">
      <c r="B1021" s="281">
        <f t="shared" ca="1" si="16"/>
        <v>50663</v>
      </c>
      <c r="C1021" s="282">
        <v>2.2519999999999998E-2</v>
      </c>
      <c r="F1021" s="283">
        <v>49436</v>
      </c>
      <c r="G1021" s="284">
        <v>0.73009696999999996</v>
      </c>
    </row>
    <row r="1022" spans="2:7">
      <c r="B1022" s="281">
        <f t="shared" ca="1" si="16"/>
        <v>50670</v>
      </c>
      <c r="C1022" s="282">
        <v>2.2515E-2</v>
      </c>
      <c r="F1022" s="283">
        <v>49443</v>
      </c>
      <c r="G1022" s="284">
        <v>0.72980782</v>
      </c>
    </row>
    <row r="1023" spans="2:7">
      <c r="B1023" s="281">
        <f t="shared" ca="1" si="16"/>
        <v>50677</v>
      </c>
      <c r="C1023" s="282">
        <v>2.2509999999999999E-2</v>
      </c>
      <c r="F1023" s="283">
        <v>49450</v>
      </c>
      <c r="G1023" s="284">
        <v>0.72951885000000005</v>
      </c>
    </row>
    <row r="1024" spans="2:7">
      <c r="B1024" s="281">
        <f t="shared" ca="1" si="16"/>
        <v>50684</v>
      </c>
      <c r="C1024" s="282">
        <v>2.2504E-2</v>
      </c>
      <c r="F1024" s="283">
        <v>49457</v>
      </c>
      <c r="G1024" s="284">
        <v>0.72923006999999995</v>
      </c>
    </row>
    <row r="1025" spans="2:7">
      <c r="B1025" s="281">
        <f t="shared" ca="1" si="16"/>
        <v>50691</v>
      </c>
      <c r="C1025" s="282">
        <v>2.2499000000000002E-2</v>
      </c>
      <c r="F1025" s="283">
        <v>49464</v>
      </c>
      <c r="G1025" s="284">
        <v>0.72894146999999998</v>
      </c>
    </row>
    <row r="1026" spans="2:7">
      <c r="B1026" s="281">
        <f t="shared" ca="1" si="16"/>
        <v>50698</v>
      </c>
      <c r="C1026" s="282">
        <v>2.2494E-2</v>
      </c>
      <c r="F1026" s="283">
        <v>49471</v>
      </c>
      <c r="G1026" s="284">
        <v>0.72865305999999996</v>
      </c>
    </row>
    <row r="1027" spans="2:7">
      <c r="B1027" s="281">
        <f t="shared" ca="1" si="16"/>
        <v>50705</v>
      </c>
      <c r="C1027" s="282">
        <v>2.2488999999999999E-2</v>
      </c>
      <c r="F1027" s="283">
        <v>49478</v>
      </c>
      <c r="G1027" s="284">
        <v>0.72836482999999996</v>
      </c>
    </row>
    <row r="1028" spans="2:7">
      <c r="B1028" s="281">
        <f t="shared" ca="1" si="16"/>
        <v>50712</v>
      </c>
      <c r="C1028" s="282">
        <v>2.2484000000000001E-2</v>
      </c>
      <c r="F1028" s="283">
        <v>49485</v>
      </c>
      <c r="G1028" s="284">
        <v>0.72807677999999998</v>
      </c>
    </row>
    <row r="1029" spans="2:7">
      <c r="B1029" s="281">
        <f t="shared" ca="1" si="16"/>
        <v>50719</v>
      </c>
      <c r="C1029" s="282">
        <v>2.248E-2</v>
      </c>
      <c r="F1029" s="283">
        <v>49492</v>
      </c>
      <c r="G1029" s="284">
        <v>0.72778891999999995</v>
      </c>
    </row>
    <row r="1030" spans="2:7">
      <c r="B1030" s="281">
        <f t="shared" ca="1" si="16"/>
        <v>50726</v>
      </c>
      <c r="C1030" s="282">
        <v>2.2474999999999998E-2</v>
      </c>
      <c r="F1030" s="283">
        <v>49499</v>
      </c>
      <c r="G1030" s="284">
        <v>0.72750124999999999</v>
      </c>
    </row>
    <row r="1031" spans="2:7">
      <c r="B1031" s="281">
        <f t="shared" ca="1" si="16"/>
        <v>50733</v>
      </c>
      <c r="C1031" s="282">
        <v>2.247E-2</v>
      </c>
      <c r="F1031" s="283">
        <v>49506</v>
      </c>
      <c r="G1031" s="284">
        <v>0.72721374999999999</v>
      </c>
    </row>
    <row r="1032" spans="2:7">
      <c r="B1032" s="281">
        <f t="shared" ca="1" si="16"/>
        <v>50740</v>
      </c>
      <c r="C1032" s="282">
        <v>2.2466E-2</v>
      </c>
      <c r="F1032" s="283">
        <v>49513</v>
      </c>
      <c r="G1032" s="284">
        <v>0.72692643999999995</v>
      </c>
    </row>
    <row r="1033" spans="2:7">
      <c r="B1033" s="281">
        <f t="shared" ca="1" si="16"/>
        <v>50747</v>
      </c>
      <c r="C1033" s="282">
        <v>2.2460999999999998E-2</v>
      </c>
      <c r="F1033" s="283">
        <v>49520</v>
      </c>
      <c r="G1033" s="284">
        <v>0.72663931000000004</v>
      </c>
    </row>
    <row r="1034" spans="2:7">
      <c r="B1034" s="281">
        <f t="shared" ca="1" si="16"/>
        <v>50754</v>
      </c>
      <c r="C1034" s="282">
        <v>2.2454999999999999E-2</v>
      </c>
      <c r="F1034" s="283">
        <v>49527</v>
      </c>
      <c r="G1034" s="284">
        <v>0.72635236999999997</v>
      </c>
    </row>
    <row r="1035" spans="2:7">
      <c r="B1035" s="281">
        <f t="shared" ca="1" si="16"/>
        <v>50761</v>
      </c>
      <c r="C1035" s="282">
        <v>2.2450000000000001E-2</v>
      </c>
      <c r="F1035" s="283">
        <v>49534</v>
      </c>
      <c r="G1035" s="284">
        <v>0.72606561000000003</v>
      </c>
    </row>
    <row r="1036" spans="2:7">
      <c r="B1036" s="281">
        <f t="shared" ca="1" si="16"/>
        <v>50768</v>
      </c>
      <c r="C1036" s="282">
        <v>2.2446000000000001E-2</v>
      </c>
      <c r="F1036" s="283">
        <v>49541</v>
      </c>
      <c r="G1036" s="284">
        <v>0.72577902000000005</v>
      </c>
    </row>
    <row r="1037" spans="2:7">
      <c r="B1037" s="281">
        <f t="shared" ca="1" si="16"/>
        <v>50775</v>
      </c>
      <c r="C1037" s="282">
        <v>2.2440000000000002E-2</v>
      </c>
      <c r="F1037" s="283">
        <v>49548</v>
      </c>
      <c r="G1037" s="284">
        <v>0.72549262000000003</v>
      </c>
    </row>
    <row r="1038" spans="2:7">
      <c r="B1038" s="281">
        <f t="shared" ca="1" si="16"/>
        <v>50782</v>
      </c>
      <c r="C1038" s="282">
        <v>2.2435E-2</v>
      </c>
      <c r="F1038" s="283">
        <v>49555</v>
      </c>
      <c r="G1038" s="284">
        <v>0.72520640000000003</v>
      </c>
    </row>
    <row r="1039" spans="2:7">
      <c r="B1039" s="281">
        <f t="shared" ca="1" si="16"/>
        <v>50789</v>
      </c>
      <c r="C1039" s="282">
        <v>2.2429999999999999E-2</v>
      </c>
      <c r="F1039" s="283">
        <v>49562</v>
      </c>
      <c r="G1039" s="284">
        <v>0.72492036000000004</v>
      </c>
    </row>
    <row r="1040" spans="2:7">
      <c r="B1040" s="281">
        <f t="shared" ca="1" si="16"/>
        <v>50796</v>
      </c>
      <c r="C1040" s="282">
        <v>2.2425E-2</v>
      </c>
      <c r="F1040" s="283">
        <v>49569</v>
      </c>
      <c r="G1040" s="284">
        <v>0.72463449999999996</v>
      </c>
    </row>
    <row r="1041" spans="2:7">
      <c r="B1041" s="281">
        <f t="shared" ca="1" si="16"/>
        <v>50803</v>
      </c>
      <c r="C1041" s="282">
        <v>2.2419999999999999E-2</v>
      </c>
      <c r="F1041" s="283">
        <v>49576</v>
      </c>
      <c r="G1041" s="284">
        <v>0.72434882</v>
      </c>
    </row>
    <row r="1042" spans="2:7">
      <c r="B1042" s="281">
        <f t="shared" ca="1" si="16"/>
        <v>50810</v>
      </c>
      <c r="C1042" s="282">
        <v>2.2416999999999999E-2</v>
      </c>
      <c r="F1042" s="283">
        <v>49583</v>
      </c>
      <c r="G1042" s="284">
        <v>0.72406331999999995</v>
      </c>
    </row>
    <row r="1043" spans="2:7">
      <c r="B1043" s="281">
        <f t="shared" ca="1" si="16"/>
        <v>50817</v>
      </c>
      <c r="C1043" s="282">
        <v>2.2412000000000001E-2</v>
      </c>
      <c r="F1043" s="283">
        <v>49590</v>
      </c>
      <c r="G1043" s="284">
        <v>0.72377798999999998</v>
      </c>
    </row>
    <row r="1044" spans="2:7">
      <c r="B1044" s="281">
        <f t="shared" ca="1" si="16"/>
        <v>50824</v>
      </c>
      <c r="C1044" s="282">
        <v>2.2407E-2</v>
      </c>
      <c r="F1044" s="283">
        <v>49597</v>
      </c>
      <c r="G1044" s="284">
        <v>0.72349284000000003</v>
      </c>
    </row>
    <row r="1045" spans="2:7">
      <c r="B1045" s="281">
        <f t="shared" ca="1" si="16"/>
        <v>50831</v>
      </c>
      <c r="C1045" s="282">
        <v>2.2401999999999998E-2</v>
      </c>
      <c r="F1045" s="283">
        <v>49604</v>
      </c>
      <c r="G1045" s="284">
        <v>0.72320786999999997</v>
      </c>
    </row>
    <row r="1046" spans="2:7">
      <c r="B1046" s="281">
        <f t="shared" ca="1" si="16"/>
        <v>50838</v>
      </c>
      <c r="C1046" s="282">
        <v>2.2397E-2</v>
      </c>
      <c r="F1046" s="283">
        <v>49611</v>
      </c>
      <c r="G1046" s="284">
        <v>0.72292307</v>
      </c>
    </row>
    <row r="1047" spans="2:7">
      <c r="B1047" s="281">
        <f t="shared" ca="1" si="16"/>
        <v>50845</v>
      </c>
      <c r="C1047" s="282">
        <v>2.2391999999999999E-2</v>
      </c>
      <c r="F1047" s="283">
        <v>49618</v>
      </c>
      <c r="G1047" s="284">
        <v>0.72263845000000004</v>
      </c>
    </row>
    <row r="1048" spans="2:7">
      <c r="B1048" s="281">
        <f t="shared" ca="1" si="16"/>
        <v>50852</v>
      </c>
      <c r="C1048" s="282">
        <v>2.2387000000000001E-2</v>
      </c>
      <c r="F1048" s="283">
        <v>49625</v>
      </c>
      <c r="G1048" s="284">
        <v>0.72235400000000005</v>
      </c>
    </row>
    <row r="1049" spans="2:7">
      <c r="B1049" s="281">
        <f t="shared" ca="1" si="16"/>
        <v>50859</v>
      </c>
      <c r="C1049" s="282">
        <v>2.2383E-2</v>
      </c>
      <c r="F1049" s="283">
        <v>49632</v>
      </c>
      <c r="G1049" s="284">
        <v>0.72206972999999997</v>
      </c>
    </row>
    <row r="1050" spans="2:7">
      <c r="B1050" s="281">
        <f t="shared" ca="1" si="16"/>
        <v>50866</v>
      </c>
      <c r="C1050" s="282">
        <v>2.2377999999999999E-2</v>
      </c>
      <c r="F1050" s="283">
        <v>49639</v>
      </c>
      <c r="G1050" s="284">
        <v>0.72178562999999996</v>
      </c>
    </row>
    <row r="1051" spans="2:7">
      <c r="B1051" s="281">
        <f t="shared" ca="1" si="16"/>
        <v>50873</v>
      </c>
      <c r="C1051" s="282">
        <v>2.2374999999999999E-2</v>
      </c>
      <c r="F1051" s="283">
        <v>49646</v>
      </c>
      <c r="G1051" s="284">
        <v>0.72150170000000002</v>
      </c>
    </row>
    <row r="1052" spans="2:7">
      <c r="B1052" s="281">
        <f t="shared" ref="B1052:B1115" ca="1" si="17">B1051+$A$28</f>
        <v>50880</v>
      </c>
      <c r="C1052" s="282">
        <v>2.2370000000000001E-2</v>
      </c>
      <c r="F1052" s="283">
        <v>49653</v>
      </c>
      <c r="G1052" s="284">
        <v>0.72121793999999995</v>
      </c>
    </row>
    <row r="1053" spans="2:7">
      <c r="B1053" s="281">
        <f t="shared" ca="1" si="17"/>
        <v>50887</v>
      </c>
      <c r="C1053" s="282">
        <v>2.2366E-2</v>
      </c>
      <c r="F1053" s="283">
        <v>49660</v>
      </c>
      <c r="G1053" s="284">
        <v>0.72093434999999995</v>
      </c>
    </row>
    <row r="1054" spans="2:7">
      <c r="B1054" s="281">
        <f t="shared" ca="1" si="17"/>
        <v>50894</v>
      </c>
      <c r="C1054" s="282">
        <v>2.2359E-2</v>
      </c>
      <c r="F1054" s="283">
        <v>49667</v>
      </c>
      <c r="G1054" s="284">
        <v>0.72065093000000002</v>
      </c>
    </row>
    <row r="1055" spans="2:7">
      <c r="B1055" s="281">
        <f t="shared" ca="1" si="17"/>
        <v>50901</v>
      </c>
      <c r="C1055" s="282">
        <v>2.2356000000000001E-2</v>
      </c>
      <c r="F1055" s="283">
        <v>49674</v>
      </c>
      <c r="G1055" s="284">
        <v>0.72036767999999995</v>
      </c>
    </row>
    <row r="1056" spans="2:7">
      <c r="B1056" s="281">
        <f t="shared" ca="1" si="17"/>
        <v>50908</v>
      </c>
      <c r="C1056" s="282">
        <v>2.2352E-2</v>
      </c>
      <c r="F1056" s="283">
        <v>49681</v>
      </c>
      <c r="G1056" s="284">
        <v>0.72008459000000002</v>
      </c>
    </row>
    <row r="1057" spans="2:7">
      <c r="B1057" s="281">
        <f t="shared" ca="1" si="17"/>
        <v>50915</v>
      </c>
      <c r="C1057" s="282">
        <v>2.2348E-2</v>
      </c>
      <c r="F1057" s="283">
        <v>49688</v>
      </c>
      <c r="G1057" s="284">
        <v>0.71980166999999995</v>
      </c>
    </row>
    <row r="1058" spans="2:7">
      <c r="B1058" s="281">
        <f t="shared" ca="1" si="17"/>
        <v>50922</v>
      </c>
      <c r="C1058" s="282">
        <v>2.2343999999999999E-2</v>
      </c>
      <c r="F1058" s="283">
        <v>49695</v>
      </c>
      <c r="G1058" s="284">
        <v>0.71951891999999995</v>
      </c>
    </row>
    <row r="1059" spans="2:7">
      <c r="B1059" s="281">
        <f t="shared" ca="1" si="17"/>
        <v>50929</v>
      </c>
      <c r="C1059" s="282">
        <v>2.2338E-2</v>
      </c>
      <c r="F1059" s="283">
        <v>49702</v>
      </c>
      <c r="G1059" s="284">
        <v>0.71923632999999998</v>
      </c>
    </row>
    <row r="1060" spans="2:7">
      <c r="B1060" s="281">
        <f t="shared" ca="1" si="17"/>
        <v>50936</v>
      </c>
      <c r="C1060" s="282">
        <v>2.2332999999999999E-2</v>
      </c>
      <c r="F1060" s="283">
        <v>49709</v>
      </c>
      <c r="G1060" s="284">
        <v>0.71895390000000003</v>
      </c>
    </row>
    <row r="1061" spans="2:7">
      <c r="B1061" s="281">
        <f t="shared" ca="1" si="17"/>
        <v>50943</v>
      </c>
      <c r="C1061" s="282">
        <v>2.2329000000000002E-2</v>
      </c>
      <c r="F1061" s="283">
        <v>49716</v>
      </c>
      <c r="G1061" s="284">
        <v>0.71867163000000001</v>
      </c>
    </row>
    <row r="1062" spans="2:7">
      <c r="B1062" s="281">
        <f t="shared" ca="1" si="17"/>
        <v>50950</v>
      </c>
      <c r="C1062" s="282">
        <v>2.2325000000000001E-2</v>
      </c>
      <c r="F1062" s="283">
        <v>49723</v>
      </c>
      <c r="G1062" s="284">
        <v>0.71838953000000005</v>
      </c>
    </row>
    <row r="1063" spans="2:7">
      <c r="B1063" s="281">
        <f t="shared" ca="1" si="17"/>
        <v>50957</v>
      </c>
      <c r="C1063" s="282">
        <v>2.2321000000000001E-2</v>
      </c>
      <c r="F1063" s="283">
        <v>49730</v>
      </c>
      <c r="G1063" s="284">
        <v>0.71810757999999997</v>
      </c>
    </row>
    <row r="1064" spans="2:7">
      <c r="B1064" s="281">
        <f t="shared" ca="1" si="17"/>
        <v>50964</v>
      </c>
      <c r="C1064" s="282">
        <v>2.2318000000000001E-2</v>
      </c>
      <c r="F1064" s="283">
        <v>49737</v>
      </c>
      <c r="G1064" s="284">
        <v>0.71782579000000002</v>
      </c>
    </row>
    <row r="1065" spans="2:7">
      <c r="B1065" s="281">
        <f t="shared" ca="1" si="17"/>
        <v>50971</v>
      </c>
      <c r="C1065" s="282">
        <v>2.2315000000000002E-2</v>
      </c>
      <c r="F1065" s="283">
        <v>49744</v>
      </c>
      <c r="G1065" s="284">
        <v>0.71754415000000005</v>
      </c>
    </row>
    <row r="1066" spans="2:7">
      <c r="B1066" s="281">
        <f t="shared" ca="1" si="17"/>
        <v>50978</v>
      </c>
      <c r="C1066" s="282">
        <v>2.231E-2</v>
      </c>
      <c r="F1066" s="283">
        <v>49751</v>
      </c>
      <c r="G1066" s="284">
        <v>0.71726268000000004</v>
      </c>
    </row>
    <row r="1067" spans="2:7">
      <c r="B1067" s="281">
        <f t="shared" ca="1" si="17"/>
        <v>50985</v>
      </c>
      <c r="C1067" s="282">
        <v>2.2307E-2</v>
      </c>
      <c r="F1067" s="283">
        <v>49758</v>
      </c>
      <c r="G1067" s="284">
        <v>0.71698134999999996</v>
      </c>
    </row>
    <row r="1068" spans="2:7">
      <c r="B1068" s="281">
        <f t="shared" ca="1" si="17"/>
        <v>50992</v>
      </c>
      <c r="C1068" s="282">
        <v>2.2301000000000001E-2</v>
      </c>
      <c r="F1068" s="283">
        <v>49765</v>
      </c>
      <c r="G1068" s="284">
        <v>0.71670018000000002</v>
      </c>
    </row>
    <row r="1069" spans="2:7">
      <c r="B1069" s="281">
        <f t="shared" ca="1" si="17"/>
        <v>50999</v>
      </c>
      <c r="C1069" s="282">
        <v>2.2297000000000001E-2</v>
      </c>
      <c r="F1069" s="283">
        <v>49772</v>
      </c>
      <c r="G1069" s="284">
        <v>0.71641915</v>
      </c>
    </row>
    <row r="1070" spans="2:7">
      <c r="B1070" s="281">
        <f t="shared" ca="1" si="17"/>
        <v>51006</v>
      </c>
      <c r="C1070" s="282">
        <v>2.2294000000000001E-2</v>
      </c>
      <c r="F1070" s="283">
        <v>49779</v>
      </c>
      <c r="G1070" s="284">
        <v>0.71613828000000002</v>
      </c>
    </row>
    <row r="1071" spans="2:7">
      <c r="B1071" s="281">
        <f t="shared" ca="1" si="17"/>
        <v>51013</v>
      </c>
      <c r="C1071" s="282">
        <v>2.2290000000000001E-2</v>
      </c>
      <c r="F1071" s="283">
        <v>49786</v>
      </c>
      <c r="G1071" s="284">
        <v>0.71585754999999995</v>
      </c>
    </row>
    <row r="1072" spans="2:7">
      <c r="B1072" s="281">
        <f t="shared" ca="1" si="17"/>
        <v>51020</v>
      </c>
      <c r="C1072" s="282">
        <v>2.2284999999999999E-2</v>
      </c>
      <c r="F1072" s="283">
        <v>49793</v>
      </c>
      <c r="G1072" s="284">
        <v>0.71557696999999998</v>
      </c>
    </row>
    <row r="1073" spans="2:7">
      <c r="B1073" s="281">
        <f t="shared" ca="1" si="17"/>
        <v>51027</v>
      </c>
      <c r="C1073" s="282">
        <v>2.2283000000000001E-2</v>
      </c>
      <c r="F1073" s="283">
        <v>49800</v>
      </c>
      <c r="G1073" s="284">
        <v>0.71529653999999998</v>
      </c>
    </row>
    <row r="1074" spans="2:7">
      <c r="B1074" s="281">
        <f t="shared" ca="1" si="17"/>
        <v>51034</v>
      </c>
      <c r="C1074" s="282">
        <v>2.2277999999999999E-2</v>
      </c>
      <c r="F1074" s="283">
        <v>49807</v>
      </c>
      <c r="G1074" s="284">
        <v>0.71501625000000002</v>
      </c>
    </row>
    <row r="1075" spans="2:7">
      <c r="B1075" s="281">
        <f t="shared" ca="1" si="17"/>
        <v>51041</v>
      </c>
      <c r="C1075" s="282">
        <v>2.2273999999999999E-2</v>
      </c>
      <c r="F1075" s="283">
        <v>49814</v>
      </c>
      <c r="G1075" s="284">
        <v>0.71473611999999997</v>
      </c>
    </row>
    <row r="1076" spans="2:7">
      <c r="B1076" s="281">
        <f t="shared" ca="1" si="17"/>
        <v>51048</v>
      </c>
      <c r="C1076" s="282">
        <v>2.2270000000000002E-2</v>
      </c>
      <c r="F1076" s="283">
        <v>49821</v>
      </c>
      <c r="G1076" s="284">
        <v>0.71445612000000003</v>
      </c>
    </row>
    <row r="1077" spans="2:7">
      <c r="B1077" s="281">
        <f t="shared" ca="1" si="17"/>
        <v>51055</v>
      </c>
      <c r="C1077" s="282">
        <v>2.2265E-2</v>
      </c>
      <c r="F1077" s="283">
        <v>49828</v>
      </c>
      <c r="G1077" s="284">
        <v>0.71417628</v>
      </c>
    </row>
    <row r="1078" spans="2:7">
      <c r="B1078" s="281">
        <f t="shared" ca="1" si="17"/>
        <v>51062</v>
      </c>
      <c r="C1078" s="282">
        <v>2.2259999999999999E-2</v>
      </c>
      <c r="F1078" s="283">
        <v>49835</v>
      </c>
      <c r="G1078" s="284">
        <v>0.71389658</v>
      </c>
    </row>
    <row r="1079" spans="2:7">
      <c r="B1079" s="281">
        <f t="shared" ca="1" si="17"/>
        <v>51069</v>
      </c>
      <c r="C1079" s="282">
        <v>2.2255E-2</v>
      </c>
      <c r="F1079" s="283">
        <v>49842</v>
      </c>
      <c r="G1079" s="284">
        <v>0.71361704000000004</v>
      </c>
    </row>
    <row r="1080" spans="2:7">
      <c r="B1080" s="281">
        <f t="shared" ca="1" si="17"/>
        <v>51076</v>
      </c>
      <c r="C1080" s="282">
        <v>2.2251E-2</v>
      </c>
      <c r="F1080" s="283">
        <v>49849</v>
      </c>
      <c r="G1080" s="284">
        <v>0.71333764</v>
      </c>
    </row>
    <row r="1081" spans="2:7">
      <c r="B1081" s="281">
        <f t="shared" ca="1" si="17"/>
        <v>51083</v>
      </c>
      <c r="C1081" s="282">
        <v>2.2246999999999999E-2</v>
      </c>
      <c r="F1081" s="283">
        <v>49856</v>
      </c>
      <c r="G1081" s="284">
        <v>0.71305839000000004</v>
      </c>
    </row>
    <row r="1082" spans="2:7">
      <c r="B1082" s="281">
        <f t="shared" ca="1" si="17"/>
        <v>51090</v>
      </c>
      <c r="C1082" s="282">
        <v>2.2242000000000001E-2</v>
      </c>
      <c r="F1082" s="283">
        <v>49863</v>
      </c>
      <c r="G1082" s="284">
        <v>0.71277928999999995</v>
      </c>
    </row>
    <row r="1083" spans="2:7">
      <c r="B1083" s="281">
        <f t="shared" ca="1" si="17"/>
        <v>51097</v>
      </c>
      <c r="C1083" s="282">
        <v>2.2238000000000001E-2</v>
      </c>
      <c r="F1083" s="283">
        <v>49870</v>
      </c>
      <c r="G1083" s="284">
        <v>0.71250033999999995</v>
      </c>
    </row>
    <row r="1084" spans="2:7">
      <c r="B1084" s="281">
        <f t="shared" ca="1" si="17"/>
        <v>51104</v>
      </c>
      <c r="C1084" s="282">
        <v>2.2232999999999999E-2</v>
      </c>
      <c r="F1084" s="283">
        <v>49877</v>
      </c>
      <c r="G1084" s="284">
        <v>0.71222154000000004</v>
      </c>
    </row>
    <row r="1085" spans="2:7">
      <c r="B1085" s="281">
        <f t="shared" ca="1" si="17"/>
        <v>51111</v>
      </c>
      <c r="C1085" s="282">
        <v>2.2227E-2</v>
      </c>
      <c r="F1085" s="283">
        <v>49884</v>
      </c>
      <c r="G1085" s="284">
        <v>0.71194288999999999</v>
      </c>
    </row>
    <row r="1086" spans="2:7">
      <c r="B1086" s="281">
        <f t="shared" ca="1" si="17"/>
        <v>51118</v>
      </c>
      <c r="C1086" s="282">
        <v>2.2223E-2</v>
      </c>
      <c r="F1086" s="283">
        <v>49891</v>
      </c>
      <c r="G1086" s="284">
        <v>0.71166439000000004</v>
      </c>
    </row>
    <row r="1087" spans="2:7">
      <c r="B1087" s="281">
        <f t="shared" ca="1" si="17"/>
        <v>51125</v>
      </c>
      <c r="C1087" s="282">
        <v>2.2218000000000002E-2</v>
      </c>
      <c r="F1087" s="283">
        <v>49898</v>
      </c>
      <c r="G1087" s="284">
        <v>0.71138604000000005</v>
      </c>
    </row>
    <row r="1088" spans="2:7">
      <c r="B1088" s="281">
        <f t="shared" ca="1" si="17"/>
        <v>51132</v>
      </c>
      <c r="C1088" s="282">
        <v>2.2213E-2</v>
      </c>
      <c r="F1088" s="283">
        <v>49905</v>
      </c>
      <c r="G1088" s="284">
        <v>0.71110784000000005</v>
      </c>
    </row>
    <row r="1089" spans="2:7">
      <c r="B1089" s="281">
        <f t="shared" ca="1" si="17"/>
        <v>51139</v>
      </c>
      <c r="C1089" s="282">
        <v>2.2207999999999999E-2</v>
      </c>
      <c r="F1089" s="283">
        <v>49912</v>
      </c>
      <c r="G1089" s="284">
        <v>0.71082979000000002</v>
      </c>
    </row>
    <row r="1090" spans="2:7">
      <c r="B1090" s="281">
        <f t="shared" ca="1" si="17"/>
        <v>51146</v>
      </c>
      <c r="C1090" s="282">
        <v>2.2202E-2</v>
      </c>
      <c r="F1090" s="283">
        <v>49919</v>
      </c>
      <c r="G1090" s="284">
        <v>0.71055188999999996</v>
      </c>
    </row>
    <row r="1091" spans="2:7">
      <c r="B1091" s="281">
        <f t="shared" ca="1" si="17"/>
        <v>51153</v>
      </c>
      <c r="C1091" s="282">
        <v>2.2197000000000001E-2</v>
      </c>
      <c r="F1091" s="283">
        <v>49926</v>
      </c>
      <c r="G1091" s="284">
        <v>0.71027414</v>
      </c>
    </row>
    <row r="1092" spans="2:7">
      <c r="B1092" s="281">
        <f t="shared" ca="1" si="17"/>
        <v>51160</v>
      </c>
      <c r="C1092" s="282">
        <v>2.2192E-2</v>
      </c>
      <c r="F1092" s="283">
        <v>49933</v>
      </c>
      <c r="G1092" s="284">
        <v>0.70999654999999995</v>
      </c>
    </row>
    <row r="1093" spans="2:7">
      <c r="B1093" s="281">
        <f t="shared" ca="1" si="17"/>
        <v>51167</v>
      </c>
      <c r="C1093" s="282">
        <v>2.2186999999999998E-2</v>
      </c>
      <c r="F1093" s="283">
        <v>49940</v>
      </c>
      <c r="G1093" s="284">
        <v>0.70971910000000005</v>
      </c>
    </row>
    <row r="1094" spans="2:7">
      <c r="B1094" s="281">
        <f t="shared" ca="1" si="17"/>
        <v>51174</v>
      </c>
      <c r="C1094" s="282">
        <v>2.2183000000000001E-2</v>
      </c>
      <c r="F1094" s="283">
        <v>49947</v>
      </c>
      <c r="G1094" s="284">
        <v>0.70944180999999995</v>
      </c>
    </row>
    <row r="1095" spans="2:7">
      <c r="B1095" s="281">
        <f t="shared" ca="1" si="17"/>
        <v>51181</v>
      </c>
      <c r="C1095" s="282">
        <v>2.2176999999999999E-2</v>
      </c>
      <c r="F1095" s="283">
        <v>49954</v>
      </c>
      <c r="G1095" s="284">
        <v>0.70916467000000005</v>
      </c>
    </row>
    <row r="1096" spans="2:7">
      <c r="B1096" s="281">
        <f t="shared" ca="1" si="17"/>
        <v>51188</v>
      </c>
      <c r="C1096" s="282">
        <v>2.2172000000000001E-2</v>
      </c>
      <c r="F1096" s="283">
        <v>49961</v>
      </c>
      <c r="G1096" s="284">
        <v>0.70888768000000002</v>
      </c>
    </row>
    <row r="1097" spans="2:7">
      <c r="B1097" s="281">
        <f t="shared" ca="1" si="17"/>
        <v>51195</v>
      </c>
      <c r="C1097" s="282">
        <v>2.2166999999999999E-2</v>
      </c>
      <c r="F1097" s="283">
        <v>49968</v>
      </c>
      <c r="G1097" s="284">
        <v>0.70861085000000001</v>
      </c>
    </row>
    <row r="1098" spans="2:7">
      <c r="B1098" s="281">
        <f t="shared" ca="1" si="17"/>
        <v>51202</v>
      </c>
      <c r="C1098" s="282">
        <v>2.2161E-2</v>
      </c>
      <c r="F1098" s="283">
        <v>49975</v>
      </c>
      <c r="G1098" s="284">
        <v>0.70833416000000005</v>
      </c>
    </row>
    <row r="1099" spans="2:7">
      <c r="B1099" s="281">
        <f t="shared" ca="1" si="17"/>
        <v>51209</v>
      </c>
      <c r="C1099" s="282">
        <v>2.2155000000000001E-2</v>
      </c>
      <c r="F1099" s="283">
        <v>49982</v>
      </c>
      <c r="G1099" s="284">
        <v>0.70805762999999999</v>
      </c>
    </row>
    <row r="1100" spans="2:7">
      <c r="B1100" s="281">
        <f t="shared" ca="1" si="17"/>
        <v>51216</v>
      </c>
      <c r="C1100" s="282">
        <v>2.215E-2</v>
      </c>
      <c r="F1100" s="283">
        <v>49989</v>
      </c>
      <c r="G1100" s="284">
        <v>0.70778125000000003</v>
      </c>
    </row>
    <row r="1101" spans="2:7">
      <c r="B1101" s="281">
        <f t="shared" ca="1" si="17"/>
        <v>51223</v>
      </c>
      <c r="C1101" s="282">
        <v>2.2145000000000001E-2</v>
      </c>
      <c r="F1101" s="283">
        <v>49996</v>
      </c>
      <c r="G1101" s="284">
        <v>0.70750502000000004</v>
      </c>
    </row>
    <row r="1102" spans="2:7">
      <c r="B1102" s="281">
        <f t="shared" ca="1" si="17"/>
        <v>51230</v>
      </c>
      <c r="C1102" s="282">
        <v>2.214E-2</v>
      </c>
      <c r="F1102" s="283">
        <v>50003</v>
      </c>
      <c r="G1102" s="284">
        <v>0.70722894000000003</v>
      </c>
    </row>
    <row r="1103" spans="2:7">
      <c r="B1103" s="281">
        <f t="shared" ca="1" si="17"/>
        <v>51237</v>
      </c>
      <c r="C1103" s="282">
        <v>2.2134999999999998E-2</v>
      </c>
      <c r="F1103" s="283">
        <v>50010</v>
      </c>
      <c r="G1103" s="284">
        <v>0.70695302000000004</v>
      </c>
    </row>
    <row r="1104" spans="2:7">
      <c r="B1104" s="281">
        <f t="shared" ca="1" si="17"/>
        <v>51244</v>
      </c>
      <c r="C1104" s="282">
        <v>2.2128999999999999E-2</v>
      </c>
      <c r="F1104" s="283">
        <v>50017</v>
      </c>
      <c r="G1104" s="284">
        <v>0.70667725000000003</v>
      </c>
    </row>
    <row r="1105" spans="2:7">
      <c r="B1105" s="281">
        <f t="shared" ca="1" si="17"/>
        <v>51251</v>
      </c>
      <c r="C1105" s="282">
        <v>2.2124000000000001E-2</v>
      </c>
      <c r="F1105" s="283">
        <v>50024</v>
      </c>
      <c r="G1105" s="284">
        <v>0.70640163</v>
      </c>
    </row>
    <row r="1106" spans="2:7">
      <c r="B1106" s="281">
        <f t="shared" ca="1" si="17"/>
        <v>51258</v>
      </c>
      <c r="C1106" s="282">
        <v>2.2117999999999999E-2</v>
      </c>
      <c r="F1106" s="283">
        <v>50031</v>
      </c>
      <c r="G1106" s="284">
        <v>0.70612617</v>
      </c>
    </row>
    <row r="1107" spans="2:7">
      <c r="B1107" s="281">
        <f t="shared" ca="1" si="17"/>
        <v>51265</v>
      </c>
      <c r="C1107" s="282">
        <v>2.2112E-2</v>
      </c>
      <c r="F1107" s="283">
        <v>50038</v>
      </c>
      <c r="G1107" s="284">
        <v>0.70585085000000003</v>
      </c>
    </row>
    <row r="1108" spans="2:7">
      <c r="B1108" s="281">
        <f t="shared" ca="1" si="17"/>
        <v>51272</v>
      </c>
      <c r="C1108" s="282">
        <v>2.2107000000000002E-2</v>
      </c>
      <c r="F1108" s="256">
        <v>50045</v>
      </c>
      <c r="G1108" s="284">
        <v>0.70557568999999998</v>
      </c>
    </row>
    <row r="1109" spans="2:7">
      <c r="B1109" s="281">
        <f t="shared" ca="1" si="17"/>
        <v>51279</v>
      </c>
      <c r="C1109" s="282">
        <v>2.2102E-2</v>
      </c>
      <c r="F1109" s="256">
        <v>50052</v>
      </c>
      <c r="G1109" s="284">
        <v>0.70530068000000001</v>
      </c>
    </row>
    <row r="1110" spans="2:7">
      <c r="B1110" s="281">
        <f t="shared" ca="1" si="17"/>
        <v>51286</v>
      </c>
      <c r="C1110" s="282">
        <v>2.2096000000000001E-2</v>
      </c>
      <c r="F1110" s="256">
        <v>50059</v>
      </c>
      <c r="G1110" s="284">
        <v>0.70502582999999996</v>
      </c>
    </row>
    <row r="1111" spans="2:7">
      <c r="B1111" s="281">
        <f t="shared" ca="1" si="17"/>
        <v>51293</v>
      </c>
      <c r="C1111" s="282">
        <v>2.2089999999999999E-2</v>
      </c>
      <c r="F1111" s="256">
        <v>50066</v>
      </c>
      <c r="G1111" s="284">
        <v>0.70475111999999995</v>
      </c>
    </row>
    <row r="1112" spans="2:7">
      <c r="B1112" s="281">
        <f t="shared" ca="1" si="17"/>
        <v>51300</v>
      </c>
      <c r="C1112" s="282">
        <v>2.2083999999999999E-2</v>
      </c>
      <c r="F1112" s="256">
        <v>50073</v>
      </c>
      <c r="G1112" s="284">
        <v>0.70447656999999997</v>
      </c>
    </row>
    <row r="1113" spans="2:7">
      <c r="B1113" s="281">
        <f t="shared" ca="1" si="17"/>
        <v>51307</v>
      </c>
      <c r="C1113" s="282">
        <v>2.2079000000000001E-2</v>
      </c>
      <c r="F1113" s="256">
        <v>50080</v>
      </c>
      <c r="G1113" s="284">
        <v>0.70420216999999996</v>
      </c>
    </row>
    <row r="1114" spans="2:7">
      <c r="B1114" s="281">
        <f t="shared" ca="1" si="17"/>
        <v>51314</v>
      </c>
      <c r="C1114" s="282">
        <v>2.2072999999999999E-2</v>
      </c>
      <c r="F1114" s="256">
        <v>50087</v>
      </c>
      <c r="G1114" s="284">
        <v>0.70392792999999998</v>
      </c>
    </row>
    <row r="1115" spans="2:7">
      <c r="B1115" s="281">
        <f t="shared" ca="1" si="17"/>
        <v>51321</v>
      </c>
      <c r="C1115" s="282">
        <v>2.2067E-2</v>
      </c>
      <c r="F1115" s="256">
        <v>50094</v>
      </c>
      <c r="G1115" s="284">
        <v>0.70365383000000004</v>
      </c>
    </row>
    <row r="1116" spans="2:7">
      <c r="B1116" s="281">
        <f t="shared" ref="B1116:B1179" ca="1" si="18">B1115+$A$28</f>
        <v>51328</v>
      </c>
      <c r="C1116" s="282">
        <v>2.2064E-2</v>
      </c>
      <c r="F1116" s="256">
        <v>50101</v>
      </c>
      <c r="G1116" s="284">
        <v>0.70337989000000001</v>
      </c>
    </row>
    <row r="1117" spans="2:7">
      <c r="B1117" s="281">
        <f t="shared" ca="1" si="18"/>
        <v>51335</v>
      </c>
      <c r="C1117" s="282">
        <v>2.2058000000000001E-2</v>
      </c>
      <c r="F1117" s="256">
        <v>50108</v>
      </c>
      <c r="G1117" s="284">
        <v>0.70310609999999996</v>
      </c>
    </row>
    <row r="1118" spans="2:7">
      <c r="B1118" s="281">
        <f t="shared" ca="1" si="18"/>
        <v>51342</v>
      </c>
      <c r="C1118" s="282">
        <v>2.2051999999999999E-2</v>
      </c>
      <c r="F1118" s="256">
        <v>50115</v>
      </c>
      <c r="G1118" s="284">
        <v>0.70283245999999999</v>
      </c>
    </row>
    <row r="1119" spans="2:7">
      <c r="B1119" s="281">
        <f t="shared" ca="1" si="18"/>
        <v>51349</v>
      </c>
      <c r="C1119" s="282">
        <v>2.2047000000000001E-2</v>
      </c>
      <c r="F1119" s="256">
        <v>50122</v>
      </c>
      <c r="G1119" s="284">
        <v>0.70255898000000006</v>
      </c>
    </row>
    <row r="1120" spans="2:7">
      <c r="B1120" s="281">
        <f t="shared" ca="1" si="18"/>
        <v>51356</v>
      </c>
      <c r="C1120" s="282">
        <v>2.2040000000000001E-2</v>
      </c>
      <c r="F1120" s="256">
        <v>50129</v>
      </c>
      <c r="G1120" s="284">
        <v>0.70228564000000004</v>
      </c>
    </row>
    <row r="1121" spans="2:7">
      <c r="B1121" s="281">
        <f t="shared" ca="1" si="18"/>
        <v>51363</v>
      </c>
      <c r="C1121" s="282">
        <v>2.2034999999999999E-2</v>
      </c>
      <c r="F1121" s="256">
        <v>50136</v>
      </c>
      <c r="G1121" s="284">
        <v>0.70201245999999995</v>
      </c>
    </row>
    <row r="1122" spans="2:7">
      <c r="B1122" s="281">
        <f t="shared" ca="1" si="18"/>
        <v>51370</v>
      </c>
      <c r="C1122" s="282">
        <v>2.2029E-2</v>
      </c>
      <c r="F1122" s="256">
        <v>50143</v>
      </c>
      <c r="G1122" s="284">
        <v>0.70173943000000005</v>
      </c>
    </row>
    <row r="1123" spans="2:7">
      <c r="B1123" s="281">
        <f t="shared" ca="1" si="18"/>
        <v>51377</v>
      </c>
      <c r="C1123" s="282">
        <v>2.2023999999999998E-2</v>
      </c>
      <c r="F1123" s="256">
        <v>50150</v>
      </c>
      <c r="G1123" s="284">
        <v>0.70146655000000002</v>
      </c>
    </row>
    <row r="1124" spans="2:7">
      <c r="B1124" s="281">
        <f t="shared" ca="1" si="18"/>
        <v>51384</v>
      </c>
      <c r="C1124" s="282">
        <v>2.2017999999999999E-2</v>
      </c>
      <c r="F1124" s="256">
        <v>50157</v>
      </c>
      <c r="G1124" s="284">
        <v>0.70119381999999997</v>
      </c>
    </row>
    <row r="1125" spans="2:7">
      <c r="B1125" s="281">
        <f t="shared" ca="1" si="18"/>
        <v>51391</v>
      </c>
      <c r="C1125" s="282">
        <v>2.2013999999999999E-2</v>
      </c>
      <c r="F1125" s="256">
        <v>50164</v>
      </c>
      <c r="G1125" s="284">
        <v>0.70092125000000005</v>
      </c>
    </row>
    <row r="1126" spans="2:7">
      <c r="B1126" s="281">
        <f t="shared" ca="1" si="18"/>
        <v>51398</v>
      </c>
      <c r="C1126" s="282">
        <v>2.2008E-2</v>
      </c>
      <c r="F1126" s="256">
        <v>50171</v>
      </c>
      <c r="G1126" s="284">
        <v>0.70064881999999995</v>
      </c>
    </row>
    <row r="1127" spans="2:7">
      <c r="B1127" s="281">
        <f t="shared" ca="1" si="18"/>
        <v>51405</v>
      </c>
      <c r="C1127" s="282">
        <v>2.2003000000000002E-2</v>
      </c>
      <c r="F1127" s="256">
        <v>50178</v>
      </c>
      <c r="G1127" s="284">
        <v>0.70037654999999999</v>
      </c>
    </row>
    <row r="1128" spans="2:7">
      <c r="B1128" s="281">
        <f t="shared" ca="1" si="18"/>
        <v>51412</v>
      </c>
      <c r="C1128" s="282">
        <v>2.1996999999999999E-2</v>
      </c>
      <c r="F1128" s="256">
        <v>50185</v>
      </c>
      <c r="G1128" s="284">
        <v>0.70010443</v>
      </c>
    </row>
    <row r="1129" spans="2:7">
      <c r="B1129" s="281">
        <f t="shared" ca="1" si="18"/>
        <v>51419</v>
      </c>
      <c r="C1129" s="282">
        <v>2.1991E-2</v>
      </c>
      <c r="F1129" s="256">
        <v>50192</v>
      </c>
      <c r="G1129" s="284">
        <v>0.69983245999999999</v>
      </c>
    </row>
    <row r="1130" spans="2:7">
      <c r="B1130" s="281">
        <f t="shared" ca="1" si="18"/>
        <v>51426</v>
      </c>
      <c r="C1130" s="282">
        <v>2.1985000000000001E-2</v>
      </c>
      <c r="F1130" s="256">
        <v>50199</v>
      </c>
      <c r="G1130" s="284">
        <v>0.69956063000000002</v>
      </c>
    </row>
    <row r="1131" spans="2:7">
      <c r="B1131" s="281">
        <f t="shared" ca="1" si="18"/>
        <v>51433</v>
      </c>
      <c r="C1131" s="282">
        <v>2.198E-2</v>
      </c>
      <c r="F1131" s="256">
        <v>50206</v>
      </c>
      <c r="G1131" s="284">
        <v>0.69928895999999996</v>
      </c>
    </row>
    <row r="1132" spans="2:7">
      <c r="B1132" s="281">
        <f t="shared" ca="1" si="18"/>
        <v>51440</v>
      </c>
      <c r="C1132" s="282">
        <v>2.1975000000000001E-2</v>
      </c>
      <c r="F1132" s="256">
        <v>50213</v>
      </c>
      <c r="G1132" s="284">
        <v>0.69901743999999999</v>
      </c>
    </row>
    <row r="1133" spans="2:7">
      <c r="B1133" s="281">
        <f t="shared" ca="1" si="18"/>
        <v>51447</v>
      </c>
      <c r="C1133" s="282">
        <v>2.197E-2</v>
      </c>
      <c r="F1133" s="256">
        <v>50220</v>
      </c>
      <c r="G1133" s="284">
        <v>0.69874607</v>
      </c>
    </row>
    <row r="1134" spans="2:7">
      <c r="B1134" s="281">
        <f t="shared" ca="1" si="18"/>
        <v>51454</v>
      </c>
      <c r="C1134" s="282">
        <v>2.1964999999999998E-2</v>
      </c>
      <c r="F1134" s="256">
        <v>50227</v>
      </c>
      <c r="G1134" s="284">
        <v>0.69847484999999998</v>
      </c>
    </row>
    <row r="1135" spans="2:7">
      <c r="B1135" s="281">
        <f t="shared" ca="1" si="18"/>
        <v>51461</v>
      </c>
      <c r="C1135" s="282">
        <v>2.1958999999999999E-2</v>
      </c>
      <c r="F1135" s="256">
        <v>50234</v>
      </c>
      <c r="G1135" s="284">
        <v>0.69820378000000005</v>
      </c>
    </row>
    <row r="1136" spans="2:7">
      <c r="B1136" s="281">
        <f t="shared" ca="1" si="18"/>
        <v>51468</v>
      </c>
      <c r="C1136" s="282">
        <v>2.1954000000000001E-2</v>
      </c>
      <c r="F1136" s="256">
        <v>50241</v>
      </c>
      <c r="G1136" s="284">
        <v>0.69793285999999999</v>
      </c>
    </row>
    <row r="1137" spans="2:7">
      <c r="B1137" s="281">
        <f t="shared" ca="1" si="18"/>
        <v>51475</v>
      </c>
      <c r="C1137" s="282">
        <v>2.1947999999999999E-2</v>
      </c>
      <c r="F1137" s="256">
        <v>50248</v>
      </c>
      <c r="G1137" s="284">
        <v>0.69766209000000001</v>
      </c>
    </row>
    <row r="1138" spans="2:7">
      <c r="B1138" s="281">
        <f t="shared" ca="1" si="18"/>
        <v>51482</v>
      </c>
      <c r="C1138" s="282">
        <v>2.1944000000000002E-2</v>
      </c>
      <c r="F1138" s="256">
        <v>50255</v>
      </c>
      <c r="G1138" s="284">
        <v>0.69739145999999996</v>
      </c>
    </row>
    <row r="1139" spans="2:7">
      <c r="B1139" s="281">
        <f t="shared" ca="1" si="18"/>
        <v>51489</v>
      </c>
      <c r="C1139" s="282">
        <v>2.1937999999999999E-2</v>
      </c>
      <c r="F1139" s="256">
        <v>50262</v>
      </c>
      <c r="G1139" s="284">
        <v>0.69712099000000005</v>
      </c>
    </row>
    <row r="1140" spans="2:7">
      <c r="B1140" s="281">
        <f t="shared" ca="1" si="18"/>
        <v>51496</v>
      </c>
      <c r="C1140" s="282">
        <v>2.1933000000000001E-2</v>
      </c>
      <c r="F1140" s="256">
        <v>50269</v>
      </c>
      <c r="G1140" s="284">
        <v>0.69685065999999996</v>
      </c>
    </row>
    <row r="1141" spans="2:7">
      <c r="B1141" s="281">
        <f t="shared" ca="1" si="18"/>
        <v>51503</v>
      </c>
      <c r="C1141" s="282">
        <v>2.1928E-2</v>
      </c>
      <c r="F1141" s="256">
        <v>50276</v>
      </c>
      <c r="G1141" s="284">
        <v>0.69658049</v>
      </c>
    </row>
    <row r="1142" spans="2:7">
      <c r="B1142" s="281">
        <f t="shared" ca="1" si="18"/>
        <v>51510</v>
      </c>
      <c r="C1142" s="282">
        <v>2.1922000000000001E-2</v>
      </c>
      <c r="F1142" s="256">
        <v>50283</v>
      </c>
      <c r="G1142" s="284">
        <v>0.69631045999999996</v>
      </c>
    </row>
    <row r="1143" spans="2:7">
      <c r="B1143" s="281">
        <f t="shared" ca="1" si="18"/>
        <v>51517</v>
      </c>
      <c r="C1143" s="282">
        <v>2.1916000000000001E-2</v>
      </c>
      <c r="F1143" s="256">
        <v>50290</v>
      </c>
      <c r="G1143" s="284">
        <v>0.69604058000000002</v>
      </c>
    </row>
    <row r="1144" spans="2:7">
      <c r="B1144" s="281">
        <f t="shared" ca="1" si="18"/>
        <v>51524</v>
      </c>
      <c r="C1144" s="282">
        <v>2.1911E-2</v>
      </c>
      <c r="F1144" s="256">
        <v>50297</v>
      </c>
      <c r="G1144" s="284">
        <v>0.69577085000000005</v>
      </c>
    </row>
    <row r="1145" spans="2:7">
      <c r="B1145" s="281">
        <f t="shared" ca="1" si="18"/>
        <v>51531</v>
      </c>
      <c r="C1145" s="282">
        <v>2.1905999999999998E-2</v>
      </c>
      <c r="F1145" s="256">
        <v>50304</v>
      </c>
      <c r="G1145" s="284">
        <v>0.69550126000000001</v>
      </c>
    </row>
    <row r="1146" spans="2:7">
      <c r="B1146" s="281">
        <f t="shared" ca="1" si="18"/>
        <v>51538</v>
      </c>
      <c r="C1146" s="282">
        <v>2.1901E-2</v>
      </c>
      <c r="F1146" s="256">
        <v>50311</v>
      </c>
      <c r="G1146" s="284">
        <v>0.69523181999999994</v>
      </c>
    </row>
    <row r="1147" spans="2:7">
      <c r="B1147" s="281">
        <f t="shared" ca="1" si="18"/>
        <v>51545</v>
      </c>
      <c r="C1147" s="282">
        <v>2.1897E-2</v>
      </c>
      <c r="F1147" s="256">
        <v>50318</v>
      </c>
      <c r="G1147" s="284">
        <v>0.69496252999999997</v>
      </c>
    </row>
    <row r="1148" spans="2:7">
      <c r="B1148" s="281">
        <f t="shared" ca="1" si="18"/>
        <v>51552</v>
      </c>
      <c r="C1148" s="282">
        <v>2.1892000000000002E-2</v>
      </c>
      <c r="F1148" s="256">
        <v>50325</v>
      </c>
      <c r="G1148" s="284">
        <v>0.69469338999999997</v>
      </c>
    </row>
    <row r="1149" spans="2:7">
      <c r="B1149" s="281">
        <f t="shared" ca="1" si="18"/>
        <v>51559</v>
      </c>
      <c r="C1149" s="282">
        <v>2.1887E-2</v>
      </c>
      <c r="F1149" s="256">
        <v>50332</v>
      </c>
      <c r="G1149" s="284">
        <v>0.69442439</v>
      </c>
    </row>
    <row r="1150" spans="2:7">
      <c r="B1150" s="281">
        <f t="shared" ca="1" si="18"/>
        <v>51566</v>
      </c>
      <c r="C1150" s="282">
        <v>2.1881999999999999E-2</v>
      </c>
      <c r="F1150" s="256">
        <v>50339</v>
      </c>
      <c r="G1150" s="284">
        <v>0.69415554000000002</v>
      </c>
    </row>
    <row r="1151" spans="2:7">
      <c r="B1151" s="281">
        <f t="shared" ca="1" si="18"/>
        <v>51573</v>
      </c>
      <c r="C1151" s="282">
        <v>2.1876E-2</v>
      </c>
      <c r="F1151" s="256">
        <v>50346</v>
      </c>
      <c r="G1151" s="284">
        <v>0.69388682999999995</v>
      </c>
    </row>
    <row r="1152" spans="2:7">
      <c r="B1152" s="281">
        <f t="shared" ca="1" si="18"/>
        <v>51580</v>
      </c>
      <c r="C1152" s="282">
        <v>2.1871000000000002E-2</v>
      </c>
      <c r="F1152" s="256">
        <v>50353</v>
      </c>
      <c r="G1152" s="284">
        <v>0.69361826999999998</v>
      </c>
    </row>
    <row r="1153" spans="2:7">
      <c r="B1153" s="281">
        <f t="shared" ca="1" si="18"/>
        <v>51587</v>
      </c>
      <c r="C1153" s="282">
        <v>2.1866E-2</v>
      </c>
      <c r="F1153" s="256">
        <v>50360</v>
      </c>
      <c r="G1153" s="284">
        <v>0.69334985999999998</v>
      </c>
    </row>
    <row r="1154" spans="2:7">
      <c r="B1154" s="281">
        <f t="shared" ca="1" si="18"/>
        <v>51594</v>
      </c>
      <c r="C1154" s="282">
        <v>2.1863E-2</v>
      </c>
      <c r="F1154" s="256">
        <v>50367</v>
      </c>
      <c r="G1154" s="284">
        <v>0.69308159000000003</v>
      </c>
    </row>
    <row r="1155" spans="2:7">
      <c r="B1155" s="281">
        <f t="shared" ca="1" si="18"/>
        <v>51601</v>
      </c>
      <c r="C1155" s="282">
        <v>2.1857999999999999E-2</v>
      </c>
      <c r="F1155" s="256">
        <v>50374</v>
      </c>
      <c r="G1155" s="284">
        <v>0.69281345999999999</v>
      </c>
    </row>
    <row r="1156" spans="2:7">
      <c r="B1156" s="281">
        <f t="shared" ca="1" si="18"/>
        <v>51608</v>
      </c>
      <c r="C1156" s="282">
        <v>2.1853000000000001E-2</v>
      </c>
      <c r="F1156" s="256">
        <v>50381</v>
      </c>
      <c r="G1156" s="284">
        <v>0.69254548000000005</v>
      </c>
    </row>
    <row r="1157" spans="2:7">
      <c r="B1157" s="281">
        <f t="shared" ca="1" si="18"/>
        <v>51615</v>
      </c>
      <c r="C1157" s="282">
        <v>2.1849E-2</v>
      </c>
      <c r="F1157" s="256">
        <v>50388</v>
      </c>
      <c r="G1157" s="284">
        <v>0.69227764999999997</v>
      </c>
    </row>
    <row r="1158" spans="2:7">
      <c r="B1158" s="281">
        <f t="shared" ca="1" si="18"/>
        <v>51622</v>
      </c>
      <c r="C1158" s="282">
        <v>2.1843999999999999E-2</v>
      </c>
      <c r="F1158" s="256">
        <v>50395</v>
      </c>
      <c r="G1158" s="284">
        <v>0.69200996000000004</v>
      </c>
    </row>
    <row r="1159" spans="2:7">
      <c r="B1159" s="281">
        <f t="shared" ca="1" si="18"/>
        <v>51629</v>
      </c>
      <c r="C1159" s="282">
        <v>2.1838E-2</v>
      </c>
      <c r="F1159" s="256">
        <v>50402</v>
      </c>
      <c r="G1159" s="284">
        <v>0.69174241000000003</v>
      </c>
    </row>
    <row r="1160" spans="2:7">
      <c r="B1160" s="281">
        <f t="shared" ca="1" si="18"/>
        <v>51636</v>
      </c>
      <c r="C1160" s="282">
        <v>2.1835E-2</v>
      </c>
      <c r="F1160" s="256">
        <v>50409</v>
      </c>
      <c r="G1160" s="284">
        <v>0.69147501</v>
      </c>
    </row>
    <row r="1161" spans="2:7">
      <c r="B1161" s="281">
        <f t="shared" ca="1" si="18"/>
        <v>51643</v>
      </c>
      <c r="C1161" s="282">
        <v>2.1829999999999999E-2</v>
      </c>
      <c r="F1161" s="256">
        <v>50416</v>
      </c>
      <c r="G1161" s="284">
        <v>0.69120773999999996</v>
      </c>
    </row>
    <row r="1162" spans="2:7">
      <c r="B1162" s="281">
        <f t="shared" ca="1" si="18"/>
        <v>51650</v>
      </c>
      <c r="C1162" s="282">
        <v>2.1825000000000001E-2</v>
      </c>
      <c r="F1162" s="256">
        <v>50423</v>
      </c>
      <c r="G1162" s="284">
        <v>0.69094062000000001</v>
      </c>
    </row>
    <row r="1163" spans="2:7">
      <c r="B1163" s="281">
        <f t="shared" ca="1" si="18"/>
        <v>51657</v>
      </c>
      <c r="C1163" s="282">
        <v>2.1819999999999999E-2</v>
      </c>
      <c r="F1163" s="256">
        <v>50430</v>
      </c>
      <c r="G1163" s="284">
        <v>0.69067365000000003</v>
      </c>
    </row>
    <row r="1164" spans="2:7">
      <c r="B1164" s="281">
        <f t="shared" ca="1" si="18"/>
        <v>51664</v>
      </c>
      <c r="C1164" s="282">
        <v>2.1815000000000001E-2</v>
      </c>
      <c r="F1164" s="256">
        <v>50437</v>
      </c>
      <c r="G1164" s="284">
        <v>0.69040681000000004</v>
      </c>
    </row>
    <row r="1165" spans="2:7">
      <c r="B1165" s="281">
        <f t="shared" ca="1" si="18"/>
        <v>51671</v>
      </c>
      <c r="C1165" s="282">
        <v>2.181E-2</v>
      </c>
      <c r="F1165" s="256">
        <v>50444</v>
      </c>
      <c r="G1165" s="284">
        <v>0.69014012000000002</v>
      </c>
    </row>
    <row r="1166" spans="2:7">
      <c r="B1166" s="281">
        <f t="shared" ca="1" si="18"/>
        <v>51678</v>
      </c>
      <c r="C1166" s="282">
        <v>2.1805999999999999E-2</v>
      </c>
      <c r="F1166" s="256">
        <v>50451</v>
      </c>
      <c r="G1166" s="284">
        <v>0.68987357000000005</v>
      </c>
    </row>
    <row r="1167" spans="2:7">
      <c r="B1167" s="281">
        <f t="shared" ca="1" si="18"/>
        <v>51685</v>
      </c>
      <c r="C1167" s="282">
        <v>2.1801999999999998E-2</v>
      </c>
      <c r="F1167" s="256">
        <v>50458</v>
      </c>
      <c r="G1167" s="284">
        <v>0.68960716</v>
      </c>
    </row>
    <row r="1168" spans="2:7">
      <c r="B1168" s="281">
        <f t="shared" ca="1" si="18"/>
        <v>51692</v>
      </c>
      <c r="C1168" s="282">
        <v>2.1798999999999999E-2</v>
      </c>
      <c r="F1168" s="256">
        <v>50465</v>
      </c>
      <c r="G1168" s="284">
        <v>0.68934088999999998</v>
      </c>
    </row>
    <row r="1169" spans="2:7">
      <c r="B1169" s="281">
        <f t="shared" ca="1" si="18"/>
        <v>51699</v>
      </c>
      <c r="C1169" s="282">
        <v>2.1794999999999998E-2</v>
      </c>
      <c r="F1169" s="256">
        <v>50472</v>
      </c>
      <c r="G1169" s="284">
        <v>0.68907476000000001</v>
      </c>
    </row>
    <row r="1170" spans="2:7">
      <c r="B1170" s="281">
        <f t="shared" ca="1" si="18"/>
        <v>51706</v>
      </c>
      <c r="C1170" s="282">
        <v>2.1791000000000001E-2</v>
      </c>
      <c r="F1170" s="256">
        <v>50479</v>
      </c>
      <c r="G1170" s="284">
        <v>0.68880876999999996</v>
      </c>
    </row>
    <row r="1171" spans="2:7">
      <c r="B1171" s="281">
        <f t="shared" ca="1" si="18"/>
        <v>51713</v>
      </c>
      <c r="C1171" s="282">
        <v>2.1787000000000001E-2</v>
      </c>
      <c r="F1171" s="256">
        <v>50486</v>
      </c>
      <c r="G1171" s="284">
        <v>0.68854293</v>
      </c>
    </row>
    <row r="1172" spans="2:7">
      <c r="B1172" s="281">
        <f t="shared" ca="1" si="18"/>
        <v>51720</v>
      </c>
      <c r="C1172" s="282">
        <v>2.1781999999999999E-2</v>
      </c>
      <c r="F1172" s="256">
        <v>50493</v>
      </c>
      <c r="G1172" s="284">
        <v>0.68827722000000002</v>
      </c>
    </row>
    <row r="1173" spans="2:7">
      <c r="B1173" s="281">
        <f t="shared" ca="1" si="18"/>
        <v>51727</v>
      </c>
      <c r="C1173" s="282">
        <v>2.1777999999999999E-2</v>
      </c>
      <c r="F1173" s="256">
        <v>50500</v>
      </c>
      <c r="G1173" s="284">
        <v>0.68801164999999997</v>
      </c>
    </row>
    <row r="1174" spans="2:7">
      <c r="B1174" s="281">
        <f t="shared" ca="1" si="18"/>
        <v>51734</v>
      </c>
      <c r="C1174" s="282">
        <v>2.1774000000000002E-2</v>
      </c>
      <c r="F1174" s="256">
        <v>50507</v>
      </c>
      <c r="G1174" s="284">
        <v>0.68774621999999996</v>
      </c>
    </row>
    <row r="1175" spans="2:7">
      <c r="B1175" s="281">
        <f t="shared" ca="1" si="18"/>
        <v>51741</v>
      </c>
      <c r="C1175" s="282">
        <v>2.1770000000000001E-2</v>
      </c>
      <c r="F1175" s="256">
        <v>50514</v>
      </c>
      <c r="G1175" s="284">
        <v>0.68748092000000005</v>
      </c>
    </row>
    <row r="1176" spans="2:7">
      <c r="B1176" s="281">
        <f t="shared" ca="1" si="18"/>
        <v>51748</v>
      </c>
      <c r="C1176" s="282">
        <v>2.1766000000000001E-2</v>
      </c>
      <c r="F1176" s="256">
        <v>50521</v>
      </c>
      <c r="G1176" s="284">
        <v>0.68721577</v>
      </c>
    </row>
    <row r="1177" spans="2:7">
      <c r="B1177" s="281">
        <f t="shared" ca="1" si="18"/>
        <v>51755</v>
      </c>
      <c r="C1177" s="282">
        <v>2.1763000000000001E-2</v>
      </c>
      <c r="F1177" s="256">
        <v>50528</v>
      </c>
      <c r="G1177" s="284">
        <v>0.68695075000000005</v>
      </c>
    </row>
    <row r="1178" spans="2:7">
      <c r="B1178" s="281">
        <f t="shared" ca="1" si="18"/>
        <v>51762</v>
      </c>
      <c r="C1178" s="282">
        <v>2.1759000000000001E-2</v>
      </c>
      <c r="F1178" s="256">
        <v>50535</v>
      </c>
      <c r="G1178" s="284">
        <v>0.68668587000000003</v>
      </c>
    </row>
    <row r="1179" spans="2:7">
      <c r="B1179" s="281">
        <f t="shared" ca="1" si="18"/>
        <v>51769</v>
      </c>
      <c r="C1179" s="282">
        <v>2.1755E-2</v>
      </c>
      <c r="F1179" s="256">
        <v>50542</v>
      </c>
      <c r="G1179" s="284">
        <v>0.68642113000000005</v>
      </c>
    </row>
    <row r="1180" spans="2:7">
      <c r="B1180" s="281">
        <f t="shared" ref="B1180:B1243" ca="1" si="19">B1179+$A$28</f>
        <v>51776</v>
      </c>
      <c r="C1180" s="282">
        <v>2.1752000000000001E-2</v>
      </c>
      <c r="F1180" s="256">
        <v>50549</v>
      </c>
      <c r="G1180" s="284">
        <v>0.68615652000000005</v>
      </c>
    </row>
    <row r="1181" spans="2:7">
      <c r="B1181" s="281">
        <f t="shared" ca="1" si="19"/>
        <v>51783</v>
      </c>
      <c r="C1181" s="282">
        <v>2.1746999999999999E-2</v>
      </c>
      <c r="F1181" s="256">
        <v>50556</v>
      </c>
      <c r="G1181" s="284">
        <v>0.68589204999999998</v>
      </c>
    </row>
    <row r="1182" spans="2:7">
      <c r="B1182" s="281">
        <f t="shared" ca="1" si="19"/>
        <v>51790</v>
      </c>
      <c r="C1182" s="282">
        <v>2.1742999999999998E-2</v>
      </c>
      <c r="F1182" s="256">
        <v>50563</v>
      </c>
      <c r="G1182" s="284">
        <v>0.68562772000000005</v>
      </c>
    </row>
    <row r="1183" spans="2:7">
      <c r="B1183" s="281">
        <f t="shared" ca="1" si="19"/>
        <v>51797</v>
      </c>
      <c r="C1183" s="282">
        <v>2.1739999999999999E-2</v>
      </c>
      <c r="F1183" s="256">
        <v>50570</v>
      </c>
      <c r="G1183" s="284">
        <v>0.68536352</v>
      </c>
    </row>
    <row r="1184" spans="2:7">
      <c r="B1184" s="281">
        <f t="shared" ca="1" si="19"/>
        <v>51804</v>
      </c>
      <c r="C1184" s="282">
        <v>2.1735999999999998E-2</v>
      </c>
      <c r="F1184" s="256">
        <v>50577</v>
      </c>
      <c r="G1184" s="284">
        <v>0.68509945999999999</v>
      </c>
    </row>
    <row r="1185" spans="2:7">
      <c r="B1185" s="281">
        <f t="shared" ca="1" si="19"/>
        <v>51811</v>
      </c>
      <c r="C1185" s="282">
        <v>2.1732999999999999E-2</v>
      </c>
      <c r="F1185" s="256">
        <v>50584</v>
      </c>
      <c r="G1185" s="284">
        <v>0.68483552999999997</v>
      </c>
    </row>
    <row r="1186" spans="2:7">
      <c r="B1186" s="281">
        <f t="shared" ca="1" si="19"/>
        <v>51818</v>
      </c>
      <c r="C1186" s="282">
        <v>2.1731E-2</v>
      </c>
      <c r="F1186" s="256">
        <v>50591</v>
      </c>
      <c r="G1186" s="284">
        <v>0.68457173999999998</v>
      </c>
    </row>
    <row r="1187" spans="2:7">
      <c r="B1187" s="281">
        <f t="shared" ca="1" si="19"/>
        <v>51825</v>
      </c>
      <c r="C1187" s="282">
        <v>2.1727E-2</v>
      </c>
      <c r="F1187" s="256">
        <v>50598</v>
      </c>
      <c r="G1187" s="284">
        <v>0.68430807999999999</v>
      </c>
    </row>
    <row r="1188" spans="2:7">
      <c r="B1188" s="281">
        <f t="shared" ca="1" si="19"/>
        <v>51832</v>
      </c>
      <c r="C1188" s="282">
        <v>2.1724E-2</v>
      </c>
      <c r="F1188" s="256">
        <v>50605</v>
      </c>
      <c r="G1188" s="284">
        <v>0.68404454999999997</v>
      </c>
    </row>
    <row r="1189" spans="2:7">
      <c r="B1189" s="281">
        <f t="shared" ca="1" si="19"/>
        <v>51839</v>
      </c>
      <c r="C1189" s="282">
        <v>2.1721000000000001E-2</v>
      </c>
      <c r="F1189" s="256">
        <v>50612</v>
      </c>
      <c r="G1189" s="284">
        <v>0.68378116</v>
      </c>
    </row>
    <row r="1190" spans="2:7">
      <c r="B1190" s="281">
        <f t="shared" ca="1" si="19"/>
        <v>51846</v>
      </c>
      <c r="C1190" s="282">
        <v>2.1718000000000001E-2</v>
      </c>
      <c r="F1190" s="256">
        <v>50619</v>
      </c>
      <c r="G1190" s="284">
        <v>0.68351790000000001</v>
      </c>
    </row>
    <row r="1191" spans="2:7">
      <c r="B1191" s="281">
        <f t="shared" ca="1" si="19"/>
        <v>51853</v>
      </c>
      <c r="C1191" s="282">
        <v>2.1714000000000001E-2</v>
      </c>
      <c r="F1191" s="256">
        <v>50626</v>
      </c>
      <c r="G1191" s="284">
        <v>0.68325477999999995</v>
      </c>
    </row>
    <row r="1192" spans="2:7">
      <c r="B1192" s="281">
        <f t="shared" ca="1" si="19"/>
        <v>51860</v>
      </c>
      <c r="C1192" s="282">
        <v>2.1711000000000001E-2</v>
      </c>
      <c r="F1192" s="256">
        <v>50633</v>
      </c>
      <c r="G1192" s="284">
        <v>0.68299178000000005</v>
      </c>
    </row>
    <row r="1193" spans="2:7">
      <c r="B1193" s="281">
        <f t="shared" ca="1" si="19"/>
        <v>51867</v>
      </c>
      <c r="C1193" s="282">
        <v>2.1708000000000002E-2</v>
      </c>
      <c r="F1193" s="256">
        <v>50640</v>
      </c>
      <c r="G1193" s="284">
        <v>0.68272891999999996</v>
      </c>
    </row>
    <row r="1194" spans="2:7">
      <c r="B1194" s="281">
        <f t="shared" ca="1" si="19"/>
        <v>51874</v>
      </c>
      <c r="C1194" s="282">
        <v>2.1704000000000001E-2</v>
      </c>
      <c r="F1194" s="256">
        <v>50647</v>
      </c>
      <c r="G1194" s="284">
        <v>0.68246618999999997</v>
      </c>
    </row>
    <row r="1195" spans="2:7">
      <c r="B1195" s="281">
        <f t="shared" ca="1" si="19"/>
        <v>51881</v>
      </c>
      <c r="C1195" s="282">
        <v>2.1701000000000002E-2</v>
      </c>
      <c r="F1195" s="256">
        <v>50654</v>
      </c>
      <c r="G1195" s="284">
        <v>0.68220358999999997</v>
      </c>
    </row>
    <row r="1196" spans="2:7">
      <c r="B1196" s="281">
        <f t="shared" ca="1" si="19"/>
        <v>51888</v>
      </c>
      <c r="C1196" s="282">
        <v>2.1697999999999999E-2</v>
      </c>
      <c r="F1196" s="256">
        <v>50661</v>
      </c>
      <c r="G1196" s="284">
        <v>0.68194113000000001</v>
      </c>
    </row>
    <row r="1197" spans="2:7">
      <c r="B1197" s="281">
        <f t="shared" ca="1" si="19"/>
        <v>51895</v>
      </c>
      <c r="C1197" s="282">
        <v>2.1694999999999999E-2</v>
      </c>
      <c r="F1197" s="256">
        <v>50668</v>
      </c>
      <c r="G1197" s="284">
        <v>0.68167878999999998</v>
      </c>
    </row>
    <row r="1198" spans="2:7">
      <c r="B1198" s="281">
        <f t="shared" ca="1" si="19"/>
        <v>51902</v>
      </c>
      <c r="C1198" s="282">
        <v>2.1691999999999999E-2</v>
      </c>
      <c r="F1198" s="256">
        <v>50675</v>
      </c>
      <c r="G1198" s="284">
        <v>0.68141658000000005</v>
      </c>
    </row>
    <row r="1199" spans="2:7">
      <c r="B1199" s="281">
        <f t="shared" ca="1" si="19"/>
        <v>51909</v>
      </c>
      <c r="C1199" s="282">
        <v>2.1690999999999998E-2</v>
      </c>
      <c r="F1199" s="256">
        <v>50682</v>
      </c>
      <c r="G1199" s="284">
        <v>0.68115451000000005</v>
      </c>
    </row>
    <row r="1200" spans="2:7">
      <c r="B1200" s="281">
        <f t="shared" ca="1" si="19"/>
        <v>51916</v>
      </c>
      <c r="C1200" s="282">
        <v>2.1687999999999999E-2</v>
      </c>
      <c r="F1200" s="256">
        <v>50689</v>
      </c>
      <c r="G1200" s="284">
        <v>0.68089255999999998</v>
      </c>
    </row>
    <row r="1201" spans="2:7">
      <c r="B1201" s="281">
        <f t="shared" ca="1" si="19"/>
        <v>51923</v>
      </c>
      <c r="C1201" s="282">
        <v>2.1684999999999999E-2</v>
      </c>
      <c r="F1201" s="256">
        <v>50696</v>
      </c>
      <c r="G1201" s="284">
        <v>0.68063074000000001</v>
      </c>
    </row>
    <row r="1202" spans="2:7">
      <c r="B1202" s="281">
        <f t="shared" ca="1" si="19"/>
        <v>51930</v>
      </c>
      <c r="C1202" s="282">
        <v>2.1683000000000001E-2</v>
      </c>
      <c r="F1202" s="256">
        <v>50703</v>
      </c>
      <c r="G1202" s="284">
        <v>0.68036905000000003</v>
      </c>
    </row>
    <row r="1203" spans="2:7">
      <c r="B1203" s="281">
        <f t="shared" ca="1" si="19"/>
        <v>51937</v>
      </c>
      <c r="C1203" s="282">
        <v>2.1679E-2</v>
      </c>
      <c r="F1203" s="256">
        <v>50710</v>
      </c>
      <c r="G1203" s="284">
        <v>0.68010749000000004</v>
      </c>
    </row>
    <row r="1204" spans="2:7">
      <c r="B1204" s="281">
        <f t="shared" ca="1" si="19"/>
        <v>51944</v>
      </c>
      <c r="C1204" s="282">
        <v>2.1676000000000001E-2</v>
      </c>
      <c r="F1204" s="256">
        <v>50717</v>
      </c>
      <c r="G1204" s="284">
        <v>0.67984604999999998</v>
      </c>
    </row>
    <row r="1205" spans="2:7">
      <c r="B1205" s="281">
        <f t="shared" ca="1" si="19"/>
        <v>51951</v>
      </c>
      <c r="C1205" s="282">
        <v>2.1673999999999999E-2</v>
      </c>
      <c r="F1205" s="256">
        <v>50724</v>
      </c>
      <c r="G1205" s="284">
        <v>0.67958474999999996</v>
      </c>
    </row>
    <row r="1206" spans="2:7">
      <c r="B1206" s="281">
        <f t="shared" ca="1" si="19"/>
        <v>51958</v>
      </c>
      <c r="C1206" s="282">
        <v>2.1670999999999999E-2</v>
      </c>
      <c r="F1206" s="256">
        <v>50731</v>
      </c>
      <c r="G1206" s="284">
        <v>0.67932356999999999</v>
      </c>
    </row>
    <row r="1207" spans="2:7">
      <c r="B1207" s="281">
        <f t="shared" ca="1" si="19"/>
        <v>51965</v>
      </c>
      <c r="C1207" s="282">
        <v>2.1670999999999999E-2</v>
      </c>
      <c r="F1207" s="256">
        <v>50738</v>
      </c>
      <c r="G1207" s="284">
        <v>0.67906252</v>
      </c>
    </row>
    <row r="1208" spans="2:7">
      <c r="B1208" s="281">
        <f t="shared" ca="1" si="19"/>
        <v>51972</v>
      </c>
      <c r="C1208" s="282">
        <v>2.1668E-2</v>
      </c>
      <c r="F1208" s="256">
        <v>50745</v>
      </c>
      <c r="G1208" s="284">
        <v>0.67880158999999995</v>
      </c>
    </row>
    <row r="1209" spans="2:7">
      <c r="B1209" s="281">
        <f t="shared" ca="1" si="19"/>
        <v>51979</v>
      </c>
      <c r="C1209" s="282">
        <v>2.1666000000000001E-2</v>
      </c>
      <c r="F1209" s="256">
        <v>50752</v>
      </c>
      <c r="G1209" s="284">
        <v>0.67854079</v>
      </c>
    </row>
    <row r="1210" spans="2:7">
      <c r="B1210" s="281">
        <f t="shared" ca="1" si="19"/>
        <v>51986</v>
      </c>
      <c r="C1210" s="282">
        <v>2.1663999999999999E-2</v>
      </c>
      <c r="F1210" s="256">
        <v>50759</v>
      </c>
      <c r="G1210" s="284">
        <v>0.67828012000000004</v>
      </c>
    </row>
    <row r="1211" spans="2:7">
      <c r="B1211" s="281">
        <f t="shared" ca="1" si="19"/>
        <v>51993</v>
      </c>
      <c r="C1211" s="282">
        <v>2.1661E-2</v>
      </c>
      <c r="F1211" s="256">
        <v>50766</v>
      </c>
      <c r="G1211" s="284">
        <v>0.67801957000000002</v>
      </c>
    </row>
    <row r="1212" spans="2:7">
      <c r="B1212" s="281">
        <f t="shared" ca="1" si="19"/>
        <v>52000</v>
      </c>
      <c r="C1212" s="282">
        <v>2.1659999999999999E-2</v>
      </c>
      <c r="F1212" s="256">
        <v>50773</v>
      </c>
      <c r="G1212" s="284">
        <v>0.67775914999999998</v>
      </c>
    </row>
    <row r="1213" spans="2:7">
      <c r="B1213" s="281">
        <f t="shared" ca="1" si="19"/>
        <v>52007</v>
      </c>
      <c r="C1213" s="282">
        <v>2.1656999999999999E-2</v>
      </c>
      <c r="F1213" s="256">
        <v>50780</v>
      </c>
      <c r="G1213" s="284">
        <v>0.67749884999999999</v>
      </c>
    </row>
    <row r="1214" spans="2:7">
      <c r="B1214" s="281">
        <f t="shared" ca="1" si="19"/>
        <v>52014</v>
      </c>
      <c r="C1214" s="282">
        <v>2.1656000000000002E-2</v>
      </c>
      <c r="F1214" s="256">
        <v>50787</v>
      </c>
      <c r="G1214" s="284">
        <v>0.67723867000000004</v>
      </c>
    </row>
    <row r="1215" spans="2:7">
      <c r="B1215" s="281">
        <f t="shared" ca="1" si="19"/>
        <v>52021</v>
      </c>
      <c r="C1215" s="282">
        <v>2.1654E-2</v>
      </c>
      <c r="F1215" s="256">
        <v>50794</v>
      </c>
      <c r="G1215" s="284">
        <v>0.67697861999999998</v>
      </c>
    </row>
    <row r="1216" spans="2:7">
      <c r="B1216" s="281">
        <f t="shared" ca="1" si="19"/>
        <v>52028</v>
      </c>
      <c r="C1216" s="282">
        <v>2.1649000000000002E-2</v>
      </c>
      <c r="F1216" s="256">
        <v>50801</v>
      </c>
      <c r="G1216" s="284">
        <v>0.67671870000000001</v>
      </c>
    </row>
    <row r="1217" spans="2:7">
      <c r="B1217" s="281">
        <f t="shared" ca="1" si="19"/>
        <v>52035</v>
      </c>
      <c r="C1217" s="282">
        <v>2.1647E-2</v>
      </c>
      <c r="F1217" s="256">
        <v>50808</v>
      </c>
      <c r="G1217" s="284">
        <v>0.67645889999999997</v>
      </c>
    </row>
    <row r="1218" spans="2:7">
      <c r="B1218" s="281">
        <f t="shared" ca="1" si="19"/>
        <v>52042</v>
      </c>
      <c r="C1218" s="282">
        <v>2.1645000000000001E-2</v>
      </c>
      <c r="F1218" s="256">
        <v>50815</v>
      </c>
      <c r="G1218" s="284">
        <v>0.67619921999999999</v>
      </c>
    </row>
    <row r="1219" spans="2:7">
      <c r="B1219" s="281">
        <f t="shared" ca="1" si="19"/>
        <v>52049</v>
      </c>
      <c r="C1219" s="282">
        <v>2.1644E-2</v>
      </c>
      <c r="F1219" s="256">
        <v>50822</v>
      </c>
      <c r="G1219" s="284">
        <v>0.67593966000000005</v>
      </c>
    </row>
    <row r="1220" spans="2:7">
      <c r="B1220" s="281">
        <f t="shared" ca="1" si="19"/>
        <v>52056</v>
      </c>
      <c r="C1220" s="282">
        <v>2.1645000000000001E-2</v>
      </c>
      <c r="F1220" s="256">
        <v>50829</v>
      </c>
      <c r="G1220" s="284">
        <v>0.67568022000000005</v>
      </c>
    </row>
    <row r="1221" spans="2:7">
      <c r="B1221" s="281">
        <f t="shared" ca="1" si="19"/>
        <v>52063</v>
      </c>
      <c r="C1221" s="282">
        <v>2.1642999999999999E-2</v>
      </c>
      <c r="F1221" s="256">
        <v>50836</v>
      </c>
      <c r="G1221" s="284">
        <v>0.67542091000000004</v>
      </c>
    </row>
    <row r="1222" spans="2:7">
      <c r="B1222" s="281">
        <f t="shared" ca="1" si="19"/>
        <v>52070</v>
      </c>
      <c r="C1222" s="282">
        <v>2.1641000000000001E-2</v>
      </c>
      <c r="F1222" s="256">
        <v>50843</v>
      </c>
      <c r="G1222" s="284">
        <v>0.67516171999999997</v>
      </c>
    </row>
    <row r="1223" spans="2:7">
      <c r="B1223" s="281">
        <f t="shared" ca="1" si="19"/>
        <v>52077</v>
      </c>
      <c r="C1223" s="282">
        <v>2.164E-2</v>
      </c>
      <c r="F1223" s="256">
        <v>50850</v>
      </c>
      <c r="G1223" s="284">
        <v>0.67490265000000005</v>
      </c>
    </row>
    <row r="1224" spans="2:7">
      <c r="B1224" s="281">
        <f t="shared" ca="1" si="19"/>
        <v>52084</v>
      </c>
      <c r="C1224" s="282">
        <v>2.1637E-2</v>
      </c>
      <c r="F1224" s="256">
        <v>50857</v>
      </c>
      <c r="G1224" s="284">
        <v>0.67464369999999996</v>
      </c>
    </row>
    <row r="1225" spans="2:7">
      <c r="B1225" s="281">
        <f t="shared" ca="1" si="19"/>
        <v>52091</v>
      </c>
      <c r="C1225" s="282">
        <v>2.1635000000000001E-2</v>
      </c>
      <c r="F1225" s="256">
        <v>50864</v>
      </c>
      <c r="G1225" s="284">
        <v>0.67438487000000003</v>
      </c>
    </row>
    <row r="1226" spans="2:7">
      <c r="B1226" s="281">
        <f t="shared" ca="1" si="19"/>
        <v>52098</v>
      </c>
      <c r="C1226" s="282">
        <v>2.1634E-2</v>
      </c>
      <c r="F1226" s="256">
        <v>50871</v>
      </c>
      <c r="G1226" s="284">
        <v>0.67412616000000003</v>
      </c>
    </row>
    <row r="1227" spans="2:7">
      <c r="B1227" s="281">
        <f t="shared" ca="1" si="19"/>
        <v>52105</v>
      </c>
      <c r="C1227" s="282">
        <v>2.1631999999999998E-2</v>
      </c>
      <c r="F1227" s="256">
        <v>50878</v>
      </c>
      <c r="G1227" s="284">
        <v>0.67386756999999997</v>
      </c>
    </row>
    <row r="1228" spans="2:7">
      <c r="B1228" s="281">
        <f t="shared" ca="1" si="19"/>
        <v>52112</v>
      </c>
      <c r="C1228" s="282">
        <v>2.1631000000000001E-2</v>
      </c>
      <c r="F1228" s="256">
        <v>50885</v>
      </c>
      <c r="G1228" s="284">
        <v>0.67360909999999996</v>
      </c>
    </row>
    <row r="1229" spans="2:7">
      <c r="B1229" s="281">
        <f t="shared" ca="1" si="19"/>
        <v>52119</v>
      </c>
      <c r="C1229" s="282">
        <v>2.1631000000000001E-2</v>
      </c>
      <c r="F1229" s="256">
        <v>50892</v>
      </c>
      <c r="G1229" s="284">
        <v>0.67335075</v>
      </c>
    </row>
    <row r="1230" spans="2:7">
      <c r="B1230" s="281">
        <f t="shared" ca="1" si="19"/>
        <v>52126</v>
      </c>
      <c r="C1230" s="282">
        <v>2.163E-2</v>
      </c>
      <c r="F1230" s="256">
        <v>50899</v>
      </c>
      <c r="G1230" s="284">
        <v>0.67309251999999997</v>
      </c>
    </row>
    <row r="1231" spans="2:7">
      <c r="B1231" s="281">
        <f t="shared" ca="1" si="19"/>
        <v>52133</v>
      </c>
      <c r="C1231" s="282">
        <v>2.1628999999999999E-2</v>
      </c>
      <c r="F1231" s="256">
        <v>50906</v>
      </c>
      <c r="G1231" s="284">
        <v>0.67283440999999999</v>
      </c>
    </row>
    <row r="1232" spans="2:7">
      <c r="B1232" s="281">
        <f t="shared" ca="1" si="19"/>
        <v>52140</v>
      </c>
      <c r="C1232" s="282">
        <v>2.1628000000000001E-2</v>
      </c>
      <c r="F1232" s="256">
        <v>50913</v>
      </c>
      <c r="G1232" s="284">
        <v>0.67257641999999995</v>
      </c>
    </row>
    <row r="1233" spans="2:7">
      <c r="B1233" s="281">
        <f t="shared" ca="1" si="19"/>
        <v>52147</v>
      </c>
      <c r="C1233" s="282">
        <v>2.1624999999999998E-2</v>
      </c>
      <c r="F1233" s="256">
        <v>50920</v>
      </c>
      <c r="G1233" s="284">
        <v>0.67231854000000002</v>
      </c>
    </row>
    <row r="1234" spans="2:7">
      <c r="B1234" s="281">
        <f t="shared" ca="1" si="19"/>
        <v>52154</v>
      </c>
      <c r="C1234" s="282">
        <v>2.1624000000000001E-2</v>
      </c>
      <c r="F1234" s="256">
        <v>50927</v>
      </c>
      <c r="G1234" s="284">
        <v>0.67206078000000002</v>
      </c>
    </row>
    <row r="1235" spans="2:7">
      <c r="B1235" s="281">
        <f t="shared" ca="1" si="19"/>
        <v>52161</v>
      </c>
      <c r="C1235" s="282">
        <v>2.1623E-2</v>
      </c>
      <c r="F1235" s="256">
        <v>50934</v>
      </c>
      <c r="G1235" s="284">
        <v>0.67180313999999997</v>
      </c>
    </row>
    <row r="1236" spans="2:7">
      <c r="B1236" s="281">
        <f t="shared" ca="1" si="19"/>
        <v>52168</v>
      </c>
      <c r="C1236" s="282">
        <v>2.1621999999999999E-2</v>
      </c>
      <c r="F1236" s="256">
        <v>50941</v>
      </c>
      <c r="G1236" s="284">
        <v>0.67154561999999995</v>
      </c>
    </row>
    <row r="1237" spans="2:7">
      <c r="B1237" s="281">
        <f t="shared" ca="1" si="19"/>
        <v>52175</v>
      </c>
      <c r="C1237" s="282">
        <v>2.1621000000000001E-2</v>
      </c>
      <c r="F1237" s="256">
        <v>50948</v>
      </c>
      <c r="G1237" s="284">
        <v>0.67128821000000005</v>
      </c>
    </row>
    <row r="1238" spans="2:7">
      <c r="B1238" s="281">
        <f t="shared" ca="1" si="19"/>
        <v>52182</v>
      </c>
      <c r="C1238" s="282">
        <v>2.1621999999999999E-2</v>
      </c>
      <c r="F1238" s="256">
        <v>50955</v>
      </c>
      <c r="G1238" s="284">
        <v>0.67103091999999998</v>
      </c>
    </row>
    <row r="1239" spans="2:7">
      <c r="B1239" s="281">
        <f t="shared" ca="1" si="19"/>
        <v>52189</v>
      </c>
      <c r="C1239" s="282">
        <v>2.1621000000000001E-2</v>
      </c>
      <c r="F1239" s="256">
        <v>50962</v>
      </c>
      <c r="G1239" s="284">
        <v>0.67077374999999995</v>
      </c>
    </row>
    <row r="1240" spans="2:7">
      <c r="B1240" s="281">
        <f t="shared" ca="1" si="19"/>
        <v>52196</v>
      </c>
      <c r="C1240" s="282">
        <v>2.162E-2</v>
      </c>
      <c r="F1240" s="256">
        <v>50969</v>
      </c>
      <c r="G1240" s="284">
        <v>0.67051669000000003</v>
      </c>
    </row>
    <row r="1241" spans="2:7">
      <c r="B1241" s="281">
        <f t="shared" ca="1" si="19"/>
        <v>52203</v>
      </c>
      <c r="C1241" s="282">
        <v>2.162E-2</v>
      </c>
      <c r="F1241" s="256">
        <v>50976</v>
      </c>
      <c r="G1241" s="284">
        <v>0.67025975000000004</v>
      </c>
    </row>
    <row r="1242" spans="2:7">
      <c r="B1242" s="281">
        <f t="shared" ca="1" si="19"/>
        <v>52210</v>
      </c>
      <c r="C1242" s="282">
        <v>2.1618999999999999E-2</v>
      </c>
      <c r="F1242" s="256">
        <v>50983</v>
      </c>
      <c r="G1242" s="284">
        <v>0.67000291999999995</v>
      </c>
    </row>
    <row r="1243" spans="2:7">
      <c r="B1243" s="281">
        <f t="shared" ca="1" si="19"/>
        <v>52217</v>
      </c>
      <c r="C1243" s="282">
        <v>2.1617999999999998E-2</v>
      </c>
      <c r="F1243" s="256">
        <v>50990</v>
      </c>
      <c r="G1243" s="284">
        <v>0.66974621000000001</v>
      </c>
    </row>
    <row r="1244" spans="2:7">
      <c r="B1244" s="281">
        <f t="shared" ref="B1244:B1307" ca="1" si="20">B1243+$A$28</f>
        <v>52224</v>
      </c>
      <c r="C1244" s="282">
        <v>2.1617000000000001E-2</v>
      </c>
      <c r="F1244" s="256">
        <v>50997</v>
      </c>
      <c r="G1244" s="284">
        <v>0.66948960999999996</v>
      </c>
    </row>
    <row r="1245" spans="2:7">
      <c r="B1245" s="281">
        <f t="shared" ca="1" si="20"/>
        <v>52231</v>
      </c>
      <c r="C1245" s="282">
        <v>2.1616E-2</v>
      </c>
      <c r="F1245" s="256">
        <v>51004</v>
      </c>
      <c r="G1245" s="284">
        <v>0.66923312999999995</v>
      </c>
    </row>
    <row r="1246" spans="2:7">
      <c r="B1246" s="281">
        <f t="shared" ca="1" si="20"/>
        <v>52238</v>
      </c>
      <c r="C1246" s="282">
        <v>2.1614000000000001E-2</v>
      </c>
      <c r="F1246" s="256">
        <v>51011</v>
      </c>
      <c r="G1246" s="284">
        <v>0.66897675999999995</v>
      </c>
    </row>
    <row r="1247" spans="2:7">
      <c r="B1247" s="281">
        <f t="shared" ca="1" si="20"/>
        <v>52245</v>
      </c>
      <c r="C1247" s="282">
        <v>2.1613E-2</v>
      </c>
      <c r="F1247" s="256">
        <v>51018</v>
      </c>
      <c r="G1247" s="284">
        <v>0.66872050000000005</v>
      </c>
    </row>
    <row r="1248" spans="2:7">
      <c r="B1248" s="281">
        <f t="shared" ca="1" si="20"/>
        <v>52252</v>
      </c>
      <c r="C1248" s="282">
        <v>2.1613E-2</v>
      </c>
      <c r="F1248" s="256">
        <v>51025</v>
      </c>
      <c r="G1248" s="284">
        <v>0.66846435999999998</v>
      </c>
    </row>
    <row r="1249" spans="2:7">
      <c r="B1249" s="281">
        <f t="shared" ca="1" si="20"/>
        <v>52259</v>
      </c>
      <c r="C1249" s="282">
        <v>2.1611999999999999E-2</v>
      </c>
      <c r="F1249" s="256">
        <v>51032</v>
      </c>
      <c r="G1249" s="284">
        <v>0.66820833000000002</v>
      </c>
    </row>
    <row r="1250" spans="2:7">
      <c r="B1250" s="281">
        <f t="shared" ca="1" si="20"/>
        <v>52266</v>
      </c>
      <c r="C1250" s="282">
        <v>2.1611999999999999E-2</v>
      </c>
      <c r="F1250" s="256">
        <v>51039</v>
      </c>
      <c r="G1250" s="284">
        <v>0.66795241999999999</v>
      </c>
    </row>
    <row r="1251" spans="2:7">
      <c r="B1251" s="281">
        <f t="shared" ca="1" si="20"/>
        <v>52273</v>
      </c>
      <c r="C1251" s="282">
        <v>2.1613E-2</v>
      </c>
      <c r="F1251" s="256">
        <v>51046</v>
      </c>
      <c r="G1251" s="284">
        <v>0.66769661999999996</v>
      </c>
    </row>
    <row r="1252" spans="2:7">
      <c r="B1252" s="281">
        <f t="shared" ca="1" si="20"/>
        <v>52280</v>
      </c>
      <c r="C1252" s="282">
        <v>2.1613E-2</v>
      </c>
      <c r="F1252" s="256">
        <v>51053</v>
      </c>
      <c r="G1252" s="284">
        <v>0.66744093000000004</v>
      </c>
    </row>
    <row r="1253" spans="2:7">
      <c r="B1253" s="281">
        <f t="shared" ca="1" si="20"/>
        <v>52287</v>
      </c>
      <c r="C1253" s="282">
        <v>2.1611999999999999E-2</v>
      </c>
      <c r="F1253" s="256">
        <v>51060</v>
      </c>
      <c r="G1253" s="284">
        <v>0.66718535000000001</v>
      </c>
    </row>
    <row r="1254" spans="2:7">
      <c r="B1254" s="281">
        <f t="shared" ca="1" si="20"/>
        <v>52294</v>
      </c>
      <c r="C1254" s="282">
        <v>2.1611999999999999E-2</v>
      </c>
      <c r="F1254" s="256">
        <v>51067</v>
      </c>
      <c r="G1254" s="284">
        <v>0.66692989000000003</v>
      </c>
    </row>
    <row r="1255" spans="2:7">
      <c r="B1255" s="281">
        <f t="shared" ca="1" si="20"/>
        <v>52301</v>
      </c>
      <c r="C1255" s="282">
        <v>2.1610000000000001E-2</v>
      </c>
      <c r="F1255" s="256">
        <v>51074</v>
      </c>
      <c r="G1255" s="284">
        <v>0.66667454000000004</v>
      </c>
    </row>
    <row r="1256" spans="2:7">
      <c r="B1256" s="281">
        <f t="shared" ca="1" si="20"/>
        <v>52308</v>
      </c>
      <c r="C1256" s="282">
        <v>2.1609E-2</v>
      </c>
      <c r="F1256" s="256">
        <v>51081</v>
      </c>
      <c r="G1256" s="284">
        <v>0.66641930000000005</v>
      </c>
    </row>
    <row r="1257" spans="2:7">
      <c r="B1257" s="281">
        <f t="shared" ca="1" si="20"/>
        <v>52315</v>
      </c>
      <c r="C1257" s="282">
        <v>2.1609E-2</v>
      </c>
      <c r="F1257" s="256">
        <v>51088</v>
      </c>
      <c r="G1257" s="284">
        <v>0.66616417000000006</v>
      </c>
    </row>
    <row r="1258" spans="2:7">
      <c r="B1258" s="281">
        <f t="shared" ca="1" si="20"/>
        <v>52322</v>
      </c>
      <c r="C1258" s="282">
        <v>2.1609E-2</v>
      </c>
      <c r="F1258" s="256">
        <v>51095</v>
      </c>
      <c r="G1258" s="284">
        <v>0.66590914999999995</v>
      </c>
    </row>
    <row r="1259" spans="2:7">
      <c r="B1259" s="281">
        <f t="shared" ca="1" si="20"/>
        <v>52329</v>
      </c>
      <c r="C1259" s="282">
        <v>2.1607999999999999E-2</v>
      </c>
      <c r="F1259" s="256">
        <v>51102</v>
      </c>
      <c r="G1259" s="284">
        <v>0.66565425</v>
      </c>
    </row>
    <row r="1260" spans="2:7">
      <c r="B1260" s="281">
        <f t="shared" ca="1" si="20"/>
        <v>52336</v>
      </c>
      <c r="C1260" s="282">
        <v>2.1610000000000001E-2</v>
      </c>
      <c r="F1260" s="256">
        <v>51109</v>
      </c>
      <c r="G1260" s="284">
        <v>0.66539945</v>
      </c>
    </row>
    <row r="1261" spans="2:7">
      <c r="B1261" s="281">
        <f t="shared" ca="1" si="20"/>
        <v>52343</v>
      </c>
      <c r="C1261" s="282">
        <v>2.1610999999999998E-2</v>
      </c>
      <c r="F1261" s="256">
        <v>51116</v>
      </c>
      <c r="G1261" s="284">
        <v>0.66514477000000005</v>
      </c>
    </row>
    <row r="1262" spans="2:7">
      <c r="B1262" s="281">
        <f t="shared" ca="1" si="20"/>
        <v>52350</v>
      </c>
      <c r="C1262" s="282">
        <v>2.1610000000000001E-2</v>
      </c>
      <c r="F1262" s="256">
        <v>51123</v>
      </c>
      <c r="G1262" s="284">
        <v>0.66489019000000005</v>
      </c>
    </row>
    <row r="1263" spans="2:7">
      <c r="B1263" s="281">
        <f t="shared" ca="1" si="20"/>
        <v>52357</v>
      </c>
      <c r="C1263" s="282">
        <v>2.1609E-2</v>
      </c>
      <c r="F1263" s="256">
        <v>51130</v>
      </c>
      <c r="G1263" s="284">
        <v>0.66463572999999998</v>
      </c>
    </row>
    <row r="1264" spans="2:7">
      <c r="B1264" s="281">
        <f t="shared" ca="1" si="20"/>
        <v>52364</v>
      </c>
      <c r="C1264" s="282">
        <v>2.1610000000000001E-2</v>
      </c>
      <c r="F1264" s="256">
        <v>51137</v>
      </c>
      <c r="G1264" s="284">
        <v>0.66438138000000002</v>
      </c>
    </row>
    <row r="1265" spans="2:7">
      <c r="B1265" s="281">
        <f t="shared" ca="1" si="20"/>
        <v>52371</v>
      </c>
      <c r="C1265" s="282">
        <v>2.1609E-2</v>
      </c>
      <c r="F1265" s="256">
        <v>51144</v>
      </c>
      <c r="G1265" s="284">
        <v>0.66412713999999995</v>
      </c>
    </row>
    <row r="1266" spans="2:7">
      <c r="B1266" s="281">
        <f t="shared" ca="1" si="20"/>
        <v>52378</v>
      </c>
      <c r="C1266" s="282">
        <v>2.1610000000000001E-2</v>
      </c>
      <c r="F1266" s="256">
        <v>51151</v>
      </c>
      <c r="G1266" s="284">
        <v>0.66387300000000005</v>
      </c>
    </row>
    <row r="1267" spans="2:7">
      <c r="B1267" s="281">
        <f t="shared" ca="1" si="20"/>
        <v>52385</v>
      </c>
      <c r="C1267" s="282">
        <v>2.1609E-2</v>
      </c>
      <c r="F1267" s="256">
        <v>51158</v>
      </c>
      <c r="G1267" s="284">
        <v>0.66361897999999997</v>
      </c>
    </row>
    <row r="1268" spans="2:7">
      <c r="B1268" s="281">
        <f t="shared" ca="1" si="20"/>
        <v>52392</v>
      </c>
      <c r="C1268" s="282">
        <v>2.1607000000000001E-2</v>
      </c>
      <c r="F1268" s="256">
        <v>51165</v>
      </c>
      <c r="G1268" s="284">
        <v>0.66336507</v>
      </c>
    </row>
    <row r="1269" spans="2:7">
      <c r="B1269" s="281">
        <f t="shared" ca="1" si="20"/>
        <v>52399</v>
      </c>
      <c r="C1269" s="282">
        <v>2.1607000000000001E-2</v>
      </c>
      <c r="F1269" s="256">
        <v>51172</v>
      </c>
      <c r="G1269" s="284">
        <v>0.66311125999999998</v>
      </c>
    </row>
    <row r="1270" spans="2:7">
      <c r="B1270" s="281">
        <f t="shared" ca="1" si="20"/>
        <v>52406</v>
      </c>
      <c r="C1270" s="282">
        <v>2.1607000000000001E-2</v>
      </c>
      <c r="F1270" s="256">
        <v>51179</v>
      </c>
      <c r="G1270" s="284">
        <v>0.66285757000000001</v>
      </c>
    </row>
    <row r="1271" spans="2:7">
      <c r="B1271" s="281">
        <f t="shared" ca="1" si="20"/>
        <v>52413</v>
      </c>
      <c r="C1271" s="282">
        <v>2.1607000000000001E-2</v>
      </c>
      <c r="F1271" s="256">
        <v>51186</v>
      </c>
      <c r="G1271" s="284">
        <v>0.66260397999999998</v>
      </c>
    </row>
    <row r="1272" spans="2:7">
      <c r="B1272" s="281">
        <f t="shared" ca="1" si="20"/>
        <v>52420</v>
      </c>
      <c r="C1272" s="282">
        <v>2.1607000000000001E-2</v>
      </c>
      <c r="F1272" s="256">
        <v>51193</v>
      </c>
      <c r="G1272" s="284">
        <v>0.66235049999999995</v>
      </c>
    </row>
    <row r="1273" spans="2:7">
      <c r="B1273" s="281">
        <f t="shared" ca="1" si="20"/>
        <v>52427</v>
      </c>
      <c r="C1273" s="282">
        <v>2.1609E-2</v>
      </c>
      <c r="F1273" s="256">
        <v>51200</v>
      </c>
      <c r="G1273" s="284">
        <v>0.66209713000000003</v>
      </c>
    </row>
    <row r="1274" spans="2:7">
      <c r="B1274" s="281">
        <f t="shared" ca="1" si="20"/>
        <v>52434</v>
      </c>
      <c r="C1274" s="282">
        <v>2.1609E-2</v>
      </c>
      <c r="F1274" s="256">
        <v>51207</v>
      </c>
      <c r="G1274" s="284">
        <v>0.66184387</v>
      </c>
    </row>
    <row r="1275" spans="2:7">
      <c r="B1275" s="281">
        <f t="shared" ca="1" si="20"/>
        <v>52441</v>
      </c>
      <c r="C1275" s="282">
        <v>2.1609E-2</v>
      </c>
      <c r="F1275" s="256">
        <v>51214</v>
      </c>
      <c r="G1275" s="284">
        <v>0.66159071999999997</v>
      </c>
    </row>
    <row r="1276" spans="2:7">
      <c r="B1276" s="281">
        <f t="shared" ca="1" si="20"/>
        <v>52448</v>
      </c>
      <c r="C1276" s="282">
        <v>2.1609E-2</v>
      </c>
      <c r="F1276" s="256">
        <v>51221</v>
      </c>
      <c r="G1276" s="284">
        <v>0.66133768000000004</v>
      </c>
    </row>
    <row r="1277" spans="2:7">
      <c r="B1277" s="281">
        <f t="shared" ca="1" si="20"/>
        <v>52455</v>
      </c>
      <c r="C1277" s="282">
        <v>2.1607000000000001E-2</v>
      </c>
      <c r="F1277" s="256">
        <v>51228</v>
      </c>
      <c r="G1277" s="284">
        <v>0.66108475</v>
      </c>
    </row>
    <row r="1278" spans="2:7">
      <c r="B1278" s="281">
        <f t="shared" ca="1" si="20"/>
        <v>52462</v>
      </c>
      <c r="C1278" s="282">
        <v>2.1607000000000001E-2</v>
      </c>
      <c r="F1278" s="256">
        <v>51235</v>
      </c>
      <c r="G1278" s="284">
        <v>0.66083192000000002</v>
      </c>
    </row>
    <row r="1279" spans="2:7">
      <c r="B1279" s="281">
        <f t="shared" ca="1" si="20"/>
        <v>52469</v>
      </c>
      <c r="C1279" s="282">
        <v>2.1607999999999999E-2</v>
      </c>
      <c r="F1279" s="256">
        <v>51242</v>
      </c>
      <c r="G1279" s="284">
        <v>0.66057920000000003</v>
      </c>
    </row>
    <row r="1280" spans="2:7">
      <c r="B1280" s="281">
        <f t="shared" ca="1" si="20"/>
        <v>52476</v>
      </c>
      <c r="C1280" s="282">
        <v>2.1607999999999999E-2</v>
      </c>
      <c r="F1280" s="256">
        <v>51249</v>
      </c>
      <c r="G1280" s="284">
        <v>0.66032659000000005</v>
      </c>
    </row>
    <row r="1281" spans="2:7">
      <c r="B1281" s="281">
        <f t="shared" ca="1" si="20"/>
        <v>52483</v>
      </c>
      <c r="C1281" s="282">
        <v>2.1610000000000001E-2</v>
      </c>
      <c r="F1281" s="256">
        <v>51256</v>
      </c>
      <c r="G1281" s="284">
        <v>0.66007408999999995</v>
      </c>
    </row>
    <row r="1282" spans="2:7">
      <c r="B1282" s="281">
        <f t="shared" ca="1" si="20"/>
        <v>52490</v>
      </c>
      <c r="C1282" s="282">
        <v>2.1610000000000001E-2</v>
      </c>
      <c r="F1282" s="256">
        <v>51263</v>
      </c>
      <c r="G1282" s="284">
        <v>0.65982169999999996</v>
      </c>
    </row>
    <row r="1283" spans="2:7">
      <c r="B1283" s="281">
        <f t="shared" ca="1" si="20"/>
        <v>52497</v>
      </c>
      <c r="C1283" s="282">
        <v>2.1610000000000001E-2</v>
      </c>
      <c r="F1283" s="256">
        <v>51270</v>
      </c>
      <c r="G1283" s="284">
        <v>0.65956941000000002</v>
      </c>
    </row>
    <row r="1284" spans="2:7">
      <c r="B1284" s="281">
        <f t="shared" ca="1" si="20"/>
        <v>52504</v>
      </c>
      <c r="C1284" s="282">
        <v>2.1610000000000001E-2</v>
      </c>
      <c r="F1284" s="256">
        <v>51277</v>
      </c>
      <c r="G1284" s="284">
        <v>0.65931722999999998</v>
      </c>
    </row>
    <row r="1285" spans="2:7">
      <c r="B1285" s="281">
        <f t="shared" ca="1" si="20"/>
        <v>52511</v>
      </c>
      <c r="C1285" s="282">
        <v>2.1607999999999999E-2</v>
      </c>
      <c r="F1285" s="256">
        <v>51284</v>
      </c>
      <c r="G1285" s="284">
        <v>0.65906516000000004</v>
      </c>
    </row>
    <row r="1286" spans="2:7">
      <c r="B1286" s="281">
        <f t="shared" ca="1" si="20"/>
        <v>52518</v>
      </c>
      <c r="C1286" s="282">
        <v>2.1607999999999999E-2</v>
      </c>
      <c r="F1286" s="256">
        <v>51291</v>
      </c>
      <c r="G1286" s="284">
        <v>0.65881319999999999</v>
      </c>
    </row>
    <row r="1287" spans="2:7">
      <c r="B1287" s="281">
        <f t="shared" ca="1" si="20"/>
        <v>52525</v>
      </c>
      <c r="C1287" s="282">
        <v>2.1607999999999999E-2</v>
      </c>
      <c r="F1287" s="256">
        <v>51298</v>
      </c>
      <c r="G1287" s="284">
        <v>0.65856134</v>
      </c>
    </row>
    <row r="1288" spans="2:7">
      <c r="B1288" s="281">
        <f t="shared" ca="1" si="20"/>
        <v>52532</v>
      </c>
      <c r="C1288" s="282">
        <v>2.1607999999999999E-2</v>
      </c>
      <c r="F1288" s="256">
        <v>51305</v>
      </c>
      <c r="G1288" s="284">
        <v>0.65830960000000005</v>
      </c>
    </row>
    <row r="1289" spans="2:7">
      <c r="B1289" s="281">
        <f t="shared" ca="1" si="20"/>
        <v>52539</v>
      </c>
      <c r="C1289" s="282">
        <v>2.1607999999999999E-2</v>
      </c>
      <c r="F1289" s="256">
        <v>51312</v>
      </c>
      <c r="G1289" s="284">
        <v>0.65805796000000005</v>
      </c>
    </row>
    <row r="1290" spans="2:7">
      <c r="B1290" s="281">
        <f t="shared" ca="1" si="20"/>
        <v>52546</v>
      </c>
      <c r="C1290" s="282">
        <v>2.1610000000000001E-2</v>
      </c>
      <c r="F1290" s="256">
        <v>51319</v>
      </c>
      <c r="G1290" s="284">
        <v>0.65780642</v>
      </c>
    </row>
    <row r="1291" spans="2:7">
      <c r="B1291" s="281">
        <f t="shared" ca="1" si="20"/>
        <v>52553</v>
      </c>
      <c r="C1291" s="282">
        <v>2.1610000000000001E-2</v>
      </c>
      <c r="F1291" s="256">
        <v>51326</v>
      </c>
      <c r="G1291" s="284">
        <v>0.657555</v>
      </c>
    </row>
    <row r="1292" spans="2:7">
      <c r="B1292" s="281">
        <f t="shared" ca="1" si="20"/>
        <v>52560</v>
      </c>
      <c r="C1292" s="282">
        <v>2.1610000000000001E-2</v>
      </c>
      <c r="F1292" s="256">
        <v>51333</v>
      </c>
      <c r="G1292" s="284">
        <v>0.65730367999999995</v>
      </c>
    </row>
    <row r="1293" spans="2:7">
      <c r="B1293" s="281">
        <f t="shared" ca="1" si="20"/>
        <v>52567</v>
      </c>
      <c r="C1293" s="282">
        <v>2.1610999999999998E-2</v>
      </c>
      <c r="F1293" s="256">
        <v>51340</v>
      </c>
      <c r="G1293" s="284">
        <v>0.65705247</v>
      </c>
    </row>
    <row r="1294" spans="2:7">
      <c r="B1294" s="281">
        <f t="shared" ca="1" si="20"/>
        <v>52574</v>
      </c>
      <c r="C1294" s="282">
        <v>2.1610999999999998E-2</v>
      </c>
      <c r="F1294" s="256">
        <v>51347</v>
      </c>
      <c r="G1294" s="284">
        <v>0.65680137000000005</v>
      </c>
    </row>
    <row r="1295" spans="2:7">
      <c r="B1295" s="281">
        <f t="shared" ca="1" si="20"/>
        <v>52581</v>
      </c>
      <c r="C1295" s="282">
        <v>2.1610000000000001E-2</v>
      </c>
      <c r="F1295" s="256">
        <v>51354</v>
      </c>
      <c r="G1295" s="284">
        <v>0.65655037000000005</v>
      </c>
    </row>
    <row r="1296" spans="2:7">
      <c r="B1296" s="281">
        <f t="shared" ca="1" si="20"/>
        <v>52588</v>
      </c>
      <c r="C1296" s="282">
        <v>2.1610000000000001E-2</v>
      </c>
      <c r="F1296" s="256">
        <v>51361</v>
      </c>
      <c r="G1296" s="284">
        <v>0.65629948999999999</v>
      </c>
    </row>
    <row r="1297" spans="2:7">
      <c r="B1297" s="281">
        <f t="shared" ca="1" si="20"/>
        <v>52595</v>
      </c>
      <c r="C1297" s="282">
        <v>2.1610000000000001E-2</v>
      </c>
      <c r="F1297" s="256">
        <v>51368</v>
      </c>
      <c r="G1297" s="284">
        <v>0.65604870999999998</v>
      </c>
    </row>
    <row r="1298" spans="2:7">
      <c r="B1298" s="281">
        <f t="shared" ca="1" si="20"/>
        <v>52602</v>
      </c>
      <c r="C1298" s="282">
        <v>2.1607999999999999E-2</v>
      </c>
      <c r="F1298" s="256">
        <v>51375</v>
      </c>
      <c r="G1298" s="284">
        <v>0.65579803999999997</v>
      </c>
    </row>
    <row r="1299" spans="2:7">
      <c r="B1299" s="281">
        <f t="shared" ca="1" si="20"/>
        <v>52609</v>
      </c>
      <c r="C1299" s="282">
        <v>2.1607999999999999E-2</v>
      </c>
      <c r="F1299" s="256">
        <v>51382</v>
      </c>
      <c r="G1299" s="284">
        <v>0.65554747000000002</v>
      </c>
    </row>
    <row r="1300" spans="2:7">
      <c r="B1300" s="281">
        <f t="shared" ca="1" si="20"/>
        <v>52616</v>
      </c>
      <c r="C1300" s="282">
        <v>2.1607999999999999E-2</v>
      </c>
      <c r="F1300" s="256">
        <v>51389</v>
      </c>
      <c r="G1300" s="284">
        <v>0.65529702000000001</v>
      </c>
    </row>
    <row r="1301" spans="2:7">
      <c r="B1301" s="281">
        <f t="shared" ca="1" si="20"/>
        <v>52623</v>
      </c>
      <c r="C1301" s="282">
        <v>2.1607000000000001E-2</v>
      </c>
      <c r="F1301" s="256">
        <v>51396</v>
      </c>
      <c r="G1301" s="284">
        <v>0.65504667000000005</v>
      </c>
    </row>
    <row r="1302" spans="2:7">
      <c r="B1302" s="281">
        <f t="shared" ca="1" si="20"/>
        <v>52630</v>
      </c>
      <c r="C1302" s="282">
        <v>2.1607000000000001E-2</v>
      </c>
      <c r="F1302" s="256">
        <v>51403</v>
      </c>
      <c r="G1302" s="284">
        <v>0.65479642999999998</v>
      </c>
    </row>
    <row r="1303" spans="2:7">
      <c r="B1303" s="281">
        <f t="shared" ca="1" si="20"/>
        <v>52637</v>
      </c>
      <c r="C1303" s="282">
        <v>2.1609E-2</v>
      </c>
      <c r="F1303" s="256">
        <v>51410</v>
      </c>
      <c r="G1303" s="284">
        <v>0.65454630000000003</v>
      </c>
    </row>
    <row r="1304" spans="2:7">
      <c r="B1304" s="281">
        <f t="shared" ca="1" si="20"/>
        <v>52644</v>
      </c>
      <c r="C1304" s="282">
        <v>2.1609E-2</v>
      </c>
      <c r="F1304" s="256">
        <v>51417</v>
      </c>
      <c r="G1304" s="284">
        <v>0.65429627000000001</v>
      </c>
    </row>
    <row r="1305" spans="2:7">
      <c r="B1305" s="281">
        <f t="shared" ca="1" si="20"/>
        <v>52651</v>
      </c>
      <c r="C1305" s="282">
        <v>2.1607999999999999E-2</v>
      </c>
      <c r="F1305" s="256">
        <v>51424</v>
      </c>
      <c r="G1305" s="284">
        <v>0.65404636000000005</v>
      </c>
    </row>
    <row r="1306" spans="2:7">
      <c r="B1306" s="281">
        <f t="shared" ca="1" si="20"/>
        <v>52658</v>
      </c>
      <c r="C1306" s="282">
        <v>2.1607999999999999E-2</v>
      </c>
      <c r="F1306" s="256">
        <v>51431</v>
      </c>
      <c r="G1306" s="284">
        <v>0.65379655000000003</v>
      </c>
    </row>
    <row r="1307" spans="2:7">
      <c r="B1307" s="281">
        <f t="shared" ca="1" si="20"/>
        <v>52665</v>
      </c>
      <c r="C1307" s="282">
        <v>2.1606E-2</v>
      </c>
      <c r="F1307" s="256">
        <v>51438</v>
      </c>
      <c r="G1307" s="284">
        <v>0.65354685000000001</v>
      </c>
    </row>
    <row r="1308" spans="2:7">
      <c r="B1308" s="281">
        <f t="shared" ref="B1308:B1371" ca="1" si="21">B1307+$A$28</f>
        <v>52672</v>
      </c>
      <c r="C1308" s="282">
        <v>2.1604999999999999E-2</v>
      </c>
      <c r="F1308" s="256">
        <v>51445</v>
      </c>
      <c r="G1308" s="284">
        <v>0.65329725999999999</v>
      </c>
    </row>
    <row r="1309" spans="2:7">
      <c r="B1309" s="281">
        <f t="shared" ca="1" si="21"/>
        <v>52679</v>
      </c>
      <c r="C1309" s="282">
        <v>2.1604999999999999E-2</v>
      </c>
      <c r="F1309" s="256">
        <v>51452</v>
      </c>
      <c r="G1309" s="284">
        <v>0.65304777999999997</v>
      </c>
    </row>
    <row r="1310" spans="2:7">
      <c r="B1310" s="281">
        <f t="shared" ca="1" si="21"/>
        <v>52686</v>
      </c>
      <c r="C1310" s="282">
        <v>2.1604000000000002E-2</v>
      </c>
      <c r="F1310" s="256">
        <v>51459</v>
      </c>
      <c r="G1310" s="284">
        <v>0.6527984</v>
      </c>
    </row>
    <row r="1311" spans="2:7">
      <c r="B1311" s="281">
        <f t="shared" ca="1" si="21"/>
        <v>52693</v>
      </c>
      <c r="C1311" s="282">
        <v>2.1604000000000002E-2</v>
      </c>
      <c r="F1311" s="256">
        <v>51466</v>
      </c>
      <c r="G1311" s="284">
        <v>0.65254913999999997</v>
      </c>
    </row>
    <row r="1312" spans="2:7">
      <c r="B1312" s="281">
        <f t="shared" ca="1" si="21"/>
        <v>52700</v>
      </c>
      <c r="C1312" s="282">
        <v>2.1604999999999999E-2</v>
      </c>
      <c r="F1312" s="256">
        <v>51473</v>
      </c>
      <c r="G1312" s="284">
        <v>0.65229998</v>
      </c>
    </row>
    <row r="1313" spans="2:7">
      <c r="B1313" s="281">
        <f t="shared" ca="1" si="21"/>
        <v>52707</v>
      </c>
      <c r="C1313" s="282">
        <v>2.1604999999999999E-2</v>
      </c>
      <c r="F1313" s="256">
        <v>51480</v>
      </c>
      <c r="G1313" s="284">
        <v>0.65205093999999997</v>
      </c>
    </row>
    <row r="1314" spans="2:7">
      <c r="B1314" s="281">
        <f t="shared" ca="1" si="21"/>
        <v>52714</v>
      </c>
      <c r="C1314" s="282">
        <v>2.1604000000000002E-2</v>
      </c>
      <c r="F1314" s="256">
        <v>51487</v>
      </c>
      <c r="G1314" s="284">
        <v>0.65180199999999999</v>
      </c>
    </row>
    <row r="1315" spans="2:7">
      <c r="B1315" s="281">
        <f t="shared" ca="1" si="21"/>
        <v>52721</v>
      </c>
      <c r="C1315" s="282">
        <v>2.1602E-2</v>
      </c>
      <c r="F1315" s="256">
        <v>51494</v>
      </c>
      <c r="G1315" s="284">
        <v>0.65155317999999995</v>
      </c>
    </row>
    <row r="1316" spans="2:7">
      <c r="B1316" s="281">
        <f t="shared" ca="1" si="21"/>
        <v>52728</v>
      </c>
      <c r="C1316" s="282">
        <v>2.1602E-2</v>
      </c>
      <c r="F1316" s="256">
        <v>51501</v>
      </c>
      <c r="G1316" s="284">
        <v>0.65130445999999997</v>
      </c>
    </row>
    <row r="1317" spans="2:7">
      <c r="B1317" s="281">
        <f t="shared" ca="1" si="21"/>
        <v>52735</v>
      </c>
      <c r="C1317" s="282">
        <v>2.1602E-2</v>
      </c>
      <c r="F1317" s="256">
        <v>51508</v>
      </c>
      <c r="G1317" s="284">
        <v>0.65105584999999999</v>
      </c>
    </row>
    <row r="1318" spans="2:7">
      <c r="B1318" s="281">
        <f t="shared" ca="1" si="21"/>
        <v>52742</v>
      </c>
      <c r="C1318" s="282">
        <v>2.1600999999999999E-2</v>
      </c>
      <c r="F1318" s="256">
        <v>51515</v>
      </c>
      <c r="G1318" s="284">
        <v>0.65080735999999995</v>
      </c>
    </row>
    <row r="1319" spans="2:7">
      <c r="B1319" s="281">
        <f t="shared" ca="1" si="21"/>
        <v>52749</v>
      </c>
      <c r="C1319" s="282">
        <v>2.1600000000000001E-2</v>
      </c>
      <c r="F1319" s="256">
        <v>51522</v>
      </c>
      <c r="G1319" s="284">
        <v>0.65055896999999996</v>
      </c>
    </row>
    <row r="1320" spans="2:7">
      <c r="B1320" s="281">
        <f t="shared" ca="1" si="21"/>
        <v>52756</v>
      </c>
      <c r="C1320" s="282">
        <v>2.1597000000000002E-2</v>
      </c>
      <c r="F1320" s="256">
        <v>51529</v>
      </c>
      <c r="G1320" s="284">
        <v>0.65031068999999997</v>
      </c>
    </row>
    <row r="1321" spans="2:7">
      <c r="B1321" s="281">
        <f t="shared" ca="1" si="21"/>
        <v>52763</v>
      </c>
      <c r="C1321" s="282">
        <v>2.1595E-2</v>
      </c>
      <c r="F1321" s="256">
        <v>51536</v>
      </c>
      <c r="G1321" s="284">
        <v>0.65006253000000003</v>
      </c>
    </row>
    <row r="1322" spans="2:7">
      <c r="B1322" s="281">
        <f t="shared" ca="1" si="21"/>
        <v>52770</v>
      </c>
      <c r="C1322" s="282">
        <v>2.1593999999999999E-2</v>
      </c>
      <c r="F1322" s="256">
        <v>51543</v>
      </c>
      <c r="G1322" s="284">
        <v>0.64981447999999997</v>
      </c>
    </row>
    <row r="1323" spans="2:7">
      <c r="B1323" s="281">
        <f t="shared" ca="1" si="21"/>
        <v>52777</v>
      </c>
      <c r="C1323" s="282">
        <v>2.1593000000000001E-2</v>
      </c>
      <c r="F1323" s="256">
        <v>51550</v>
      </c>
      <c r="G1323" s="284">
        <v>0.64956654000000003</v>
      </c>
    </row>
    <row r="1324" spans="2:7">
      <c r="B1324" s="281">
        <f t="shared" ca="1" si="21"/>
        <v>52784</v>
      </c>
      <c r="C1324" s="282">
        <v>2.1592E-2</v>
      </c>
      <c r="F1324" s="256">
        <v>51557</v>
      </c>
      <c r="G1324" s="284">
        <v>0.64931870999999997</v>
      </c>
    </row>
    <row r="1325" spans="2:7">
      <c r="B1325" s="281">
        <f t="shared" ca="1" si="21"/>
        <v>52791</v>
      </c>
      <c r="C1325" s="282">
        <v>2.1593000000000001E-2</v>
      </c>
      <c r="F1325" s="256">
        <v>51564</v>
      </c>
      <c r="G1325" s="284">
        <v>0.64907099000000001</v>
      </c>
    </row>
    <row r="1326" spans="2:7">
      <c r="B1326" s="281">
        <f t="shared" ca="1" si="21"/>
        <v>52798</v>
      </c>
      <c r="C1326" s="282">
        <v>2.1592E-2</v>
      </c>
      <c r="F1326" s="256">
        <v>51571</v>
      </c>
      <c r="G1326" s="284">
        <v>0.64882337999999995</v>
      </c>
    </row>
    <row r="1327" spans="2:7">
      <c r="B1327" s="281">
        <f t="shared" ca="1" si="21"/>
        <v>52805</v>
      </c>
      <c r="C1327" s="282">
        <v>2.1590999999999999E-2</v>
      </c>
      <c r="F1327" s="256">
        <v>51578</v>
      </c>
      <c r="G1327" s="284">
        <v>0.64857589000000004</v>
      </c>
    </row>
    <row r="1328" spans="2:7">
      <c r="B1328" s="281">
        <f t="shared" ca="1" si="21"/>
        <v>52812</v>
      </c>
      <c r="C1328" s="282">
        <v>2.1589000000000001E-2</v>
      </c>
      <c r="F1328" s="256">
        <v>51585</v>
      </c>
      <c r="G1328" s="284">
        <v>0.64832851000000002</v>
      </c>
    </row>
    <row r="1329" spans="2:7">
      <c r="B1329" s="281">
        <f t="shared" ca="1" si="21"/>
        <v>52819</v>
      </c>
      <c r="C1329" s="282">
        <v>2.1586000000000001E-2</v>
      </c>
      <c r="F1329" s="256">
        <v>51592</v>
      </c>
      <c r="G1329" s="284">
        <v>0.64808124</v>
      </c>
    </row>
    <row r="1330" spans="2:7">
      <c r="B1330" s="281">
        <f t="shared" ca="1" si="21"/>
        <v>52826</v>
      </c>
      <c r="C1330" s="282">
        <v>2.1583999999999999E-2</v>
      </c>
      <c r="F1330" s="256">
        <v>51599</v>
      </c>
      <c r="G1330" s="284">
        <v>0.64783409000000003</v>
      </c>
    </row>
    <row r="1331" spans="2:7">
      <c r="B1331" s="281">
        <f t="shared" ca="1" si="21"/>
        <v>52833</v>
      </c>
      <c r="C1331" s="282">
        <v>2.1583000000000001E-2</v>
      </c>
      <c r="F1331" s="256">
        <v>51606</v>
      </c>
      <c r="G1331" s="284">
        <v>0.64758705000000005</v>
      </c>
    </row>
    <row r="1332" spans="2:7">
      <c r="B1332" s="281">
        <f t="shared" ca="1" si="21"/>
        <v>52840</v>
      </c>
      <c r="C1332" s="282">
        <v>2.1580999999999999E-2</v>
      </c>
      <c r="F1332" s="256">
        <v>51613</v>
      </c>
      <c r="G1332" s="284">
        <v>0.64734013000000001</v>
      </c>
    </row>
    <row r="1333" spans="2:7">
      <c r="B1333" s="281">
        <f t="shared" ca="1" si="21"/>
        <v>52847</v>
      </c>
      <c r="C1333" s="282">
        <v>2.1580999999999999E-2</v>
      </c>
      <c r="F1333" s="256">
        <v>51620</v>
      </c>
      <c r="G1333" s="284">
        <v>0.64709331000000003</v>
      </c>
    </row>
    <row r="1334" spans="2:7">
      <c r="B1334" s="281">
        <f t="shared" ca="1" si="21"/>
        <v>52854</v>
      </c>
      <c r="C1334" s="282">
        <v>2.1579999999999998E-2</v>
      </c>
      <c r="F1334" s="256">
        <v>51627</v>
      </c>
      <c r="G1334" s="284">
        <v>0.64684662000000004</v>
      </c>
    </row>
    <row r="1335" spans="2:7">
      <c r="B1335" s="281">
        <f t="shared" ca="1" si="21"/>
        <v>52861</v>
      </c>
      <c r="C1335" s="282">
        <v>2.1578E-2</v>
      </c>
      <c r="F1335" s="256">
        <v>51634</v>
      </c>
      <c r="G1335" s="284">
        <v>0.64660002999999999</v>
      </c>
    </row>
    <row r="1336" spans="2:7">
      <c r="B1336" s="281">
        <f t="shared" ca="1" si="21"/>
        <v>52868</v>
      </c>
      <c r="C1336" s="282">
        <v>2.1576999999999999E-2</v>
      </c>
      <c r="F1336" s="256">
        <v>51641</v>
      </c>
      <c r="G1336" s="284">
        <v>0.64635355999999999</v>
      </c>
    </row>
    <row r="1337" spans="2:7">
      <c r="B1337" s="281">
        <f t="shared" ca="1" si="21"/>
        <v>52875</v>
      </c>
      <c r="C1337" s="282">
        <v>2.1573999999999999E-2</v>
      </c>
      <c r="F1337" s="256">
        <v>51648</v>
      </c>
      <c r="G1337" s="284">
        <v>0.64610719999999999</v>
      </c>
    </row>
    <row r="1338" spans="2:7">
      <c r="B1338" s="281">
        <f t="shared" ca="1" si="21"/>
        <v>52882</v>
      </c>
      <c r="C1338" s="282">
        <v>2.1572999999999998E-2</v>
      </c>
      <c r="F1338" s="256">
        <v>51655</v>
      </c>
      <c r="G1338" s="284">
        <v>0.64586094000000005</v>
      </c>
    </row>
    <row r="1339" spans="2:7">
      <c r="B1339" s="281">
        <f t="shared" ca="1" si="21"/>
        <v>52889</v>
      </c>
      <c r="C1339" s="282">
        <v>2.1572000000000001E-2</v>
      </c>
      <c r="F1339" s="256">
        <v>51662</v>
      </c>
      <c r="G1339" s="284">
        <v>0.64561480000000004</v>
      </c>
    </row>
    <row r="1340" spans="2:7">
      <c r="B1340" s="281">
        <f t="shared" ca="1" si="21"/>
        <v>52896</v>
      </c>
      <c r="C1340" s="282">
        <v>2.1571E-2</v>
      </c>
      <c r="F1340" s="256">
        <v>51669</v>
      </c>
      <c r="G1340" s="284">
        <v>0.64536875999999999</v>
      </c>
    </row>
    <row r="1341" spans="2:7">
      <c r="B1341" s="281">
        <f t="shared" ca="1" si="21"/>
        <v>52903</v>
      </c>
      <c r="C1341" s="282">
        <v>2.1569999999999999E-2</v>
      </c>
      <c r="F1341" s="256">
        <v>51676</v>
      </c>
      <c r="G1341" s="284">
        <v>0.64512283000000004</v>
      </c>
    </row>
    <row r="1342" spans="2:7">
      <c r="B1342" s="281">
        <f t="shared" ca="1" si="21"/>
        <v>52910</v>
      </c>
      <c r="C1342" s="282">
        <v>2.1569999999999999E-2</v>
      </c>
      <c r="F1342" s="256">
        <v>51683</v>
      </c>
      <c r="G1342" s="284">
        <v>0.64487700000000003</v>
      </c>
    </row>
    <row r="1343" spans="2:7">
      <c r="B1343" s="281">
        <f t="shared" ca="1" si="21"/>
        <v>52917</v>
      </c>
      <c r="C1343" s="282">
        <v>2.1569000000000001E-2</v>
      </c>
      <c r="F1343" s="256">
        <v>51690</v>
      </c>
      <c r="G1343" s="284">
        <v>0.64463128000000003</v>
      </c>
    </row>
    <row r="1344" spans="2:7">
      <c r="B1344" s="281">
        <f t="shared" ca="1" si="21"/>
        <v>52924</v>
      </c>
      <c r="C1344" s="282">
        <v>2.1569000000000001E-2</v>
      </c>
      <c r="F1344" s="256">
        <v>51697</v>
      </c>
      <c r="G1344" s="284">
        <v>0.64438567000000002</v>
      </c>
    </row>
    <row r="1345" spans="2:7">
      <c r="B1345" s="281">
        <f t="shared" ca="1" si="21"/>
        <v>52931</v>
      </c>
      <c r="C1345" s="282">
        <v>2.1568E-2</v>
      </c>
      <c r="F1345" s="256">
        <v>51704</v>
      </c>
      <c r="G1345" s="284">
        <v>0.64414015999999996</v>
      </c>
    </row>
    <row r="1346" spans="2:7">
      <c r="B1346" s="281">
        <f t="shared" ca="1" si="21"/>
        <v>52938</v>
      </c>
      <c r="C1346" s="282">
        <v>2.1565000000000001E-2</v>
      </c>
      <c r="F1346" s="256">
        <v>51711</v>
      </c>
      <c r="G1346" s="284">
        <v>0.64389474999999996</v>
      </c>
    </row>
    <row r="1347" spans="2:7">
      <c r="B1347" s="281">
        <f t="shared" ca="1" si="21"/>
        <v>52945</v>
      </c>
      <c r="C1347" s="282">
        <v>2.1565999999999998E-2</v>
      </c>
      <c r="F1347" s="256">
        <v>51718</v>
      </c>
      <c r="G1347" s="284">
        <v>0.64364944000000002</v>
      </c>
    </row>
    <row r="1348" spans="2:7">
      <c r="B1348" s="281">
        <f t="shared" ca="1" si="21"/>
        <v>52952</v>
      </c>
      <c r="C1348" s="282">
        <v>2.1565000000000001E-2</v>
      </c>
      <c r="F1348" s="256">
        <v>51725</v>
      </c>
      <c r="G1348" s="284">
        <v>0.64340423000000002</v>
      </c>
    </row>
    <row r="1349" spans="2:7">
      <c r="B1349" s="281">
        <f t="shared" ca="1" si="21"/>
        <v>52959</v>
      </c>
      <c r="C1349" s="282">
        <v>2.1564E-2</v>
      </c>
      <c r="F1349" s="256">
        <v>51732</v>
      </c>
      <c r="G1349" s="284">
        <v>0.64315911999999997</v>
      </c>
    </row>
    <row r="1350" spans="2:7">
      <c r="B1350" s="281">
        <f t="shared" ca="1" si="21"/>
        <v>52966</v>
      </c>
      <c r="C1350" s="282">
        <v>2.1564E-2</v>
      </c>
      <c r="F1350" s="256">
        <v>51739</v>
      </c>
      <c r="G1350" s="284">
        <v>0.64291412000000003</v>
      </c>
    </row>
    <row r="1351" spans="2:7">
      <c r="B1351" s="281">
        <f t="shared" ca="1" si="21"/>
        <v>52973</v>
      </c>
      <c r="C1351" s="282">
        <v>2.1561E-2</v>
      </c>
      <c r="F1351" s="256">
        <v>51746</v>
      </c>
      <c r="G1351" s="284">
        <v>0.64266920999999999</v>
      </c>
    </row>
    <row r="1352" spans="2:7">
      <c r="B1352" s="281">
        <f t="shared" ca="1" si="21"/>
        <v>52980</v>
      </c>
      <c r="C1352" s="282">
        <v>2.1561E-2</v>
      </c>
      <c r="F1352" s="256">
        <v>51753</v>
      </c>
      <c r="G1352" s="284">
        <v>0.64242440000000001</v>
      </c>
    </row>
    <row r="1353" spans="2:7">
      <c r="B1353" s="281">
        <f t="shared" ca="1" si="21"/>
        <v>52987</v>
      </c>
      <c r="C1353" s="282">
        <v>2.1559999999999999E-2</v>
      </c>
      <c r="F1353" s="256">
        <v>51760</v>
      </c>
      <c r="G1353" s="284">
        <v>0.64217968999999997</v>
      </c>
    </row>
    <row r="1354" spans="2:7">
      <c r="B1354" s="281">
        <f t="shared" ca="1" si="21"/>
        <v>52994</v>
      </c>
      <c r="C1354" s="282">
        <v>2.1558999999999998E-2</v>
      </c>
      <c r="F1354" s="256">
        <v>51767</v>
      </c>
      <c r="G1354" s="284">
        <v>0.64193507999999999</v>
      </c>
    </row>
    <row r="1355" spans="2:7">
      <c r="B1355" s="281">
        <f t="shared" ca="1" si="21"/>
        <v>53001</v>
      </c>
      <c r="C1355" s="282">
        <v>2.1561E-2</v>
      </c>
      <c r="F1355" s="256">
        <v>51774</v>
      </c>
      <c r="G1355" s="284">
        <v>0.64169056000000002</v>
      </c>
    </row>
    <row r="1356" spans="2:7">
      <c r="B1356" s="281">
        <f t="shared" ca="1" si="21"/>
        <v>53008</v>
      </c>
      <c r="C1356" s="282">
        <v>2.1561E-2</v>
      </c>
      <c r="F1356" s="256">
        <v>51781</v>
      </c>
      <c r="G1356" s="284">
        <v>0.64144614</v>
      </c>
    </row>
    <row r="1357" spans="2:7">
      <c r="B1357" s="281">
        <f t="shared" ca="1" si="21"/>
        <v>53015</v>
      </c>
      <c r="C1357" s="282">
        <v>2.1559999999999999E-2</v>
      </c>
      <c r="F1357" s="256">
        <v>51788</v>
      </c>
      <c r="G1357" s="284">
        <v>0.64120180999999998</v>
      </c>
    </row>
    <row r="1358" spans="2:7">
      <c r="B1358" s="281">
        <f t="shared" ca="1" si="21"/>
        <v>53022</v>
      </c>
      <c r="C1358" s="282">
        <v>2.1558999999999998E-2</v>
      </c>
      <c r="F1358" s="256">
        <v>51795</v>
      </c>
      <c r="G1358" s="284">
        <v>0.64095758000000003</v>
      </c>
    </row>
    <row r="1359" spans="2:7">
      <c r="B1359" s="281">
        <f t="shared" ca="1" si="21"/>
        <v>53029</v>
      </c>
      <c r="C1359" s="282">
        <v>2.1557E-2</v>
      </c>
      <c r="F1359" s="256">
        <v>51802</v>
      </c>
      <c r="G1359" s="284">
        <v>0.64071345000000002</v>
      </c>
    </row>
    <row r="1360" spans="2:7">
      <c r="B1360" s="281">
        <f t="shared" ca="1" si="21"/>
        <v>53036</v>
      </c>
      <c r="C1360" s="282">
        <v>2.1555999999999999E-2</v>
      </c>
      <c r="F1360" s="256">
        <v>51809</v>
      </c>
      <c r="G1360" s="284">
        <v>0.64046941000000002</v>
      </c>
    </row>
    <row r="1361" spans="2:7">
      <c r="B1361" s="281">
        <f t="shared" ca="1" si="21"/>
        <v>53043</v>
      </c>
      <c r="C1361" s="282">
        <v>2.1555999999999999E-2</v>
      </c>
      <c r="F1361" s="256">
        <v>51816</v>
      </c>
      <c r="G1361" s="284">
        <v>0.64022546000000002</v>
      </c>
    </row>
    <row r="1362" spans="2:7">
      <c r="B1362" s="281">
        <f t="shared" ca="1" si="21"/>
        <v>53050</v>
      </c>
      <c r="C1362" s="282">
        <v>2.1555000000000001E-2</v>
      </c>
      <c r="F1362" s="256">
        <v>51823</v>
      </c>
      <c r="G1362" s="284">
        <v>0.63998160999999998</v>
      </c>
    </row>
    <row r="1363" spans="2:7">
      <c r="B1363" s="281">
        <f t="shared" ca="1" si="21"/>
        <v>53057</v>
      </c>
      <c r="C1363" s="282">
        <v>2.1555000000000001E-2</v>
      </c>
      <c r="F1363" s="256">
        <v>51830</v>
      </c>
      <c r="G1363" s="284">
        <v>0.63973785000000005</v>
      </c>
    </row>
    <row r="1364" spans="2:7">
      <c r="B1364" s="281">
        <f t="shared" ca="1" si="21"/>
        <v>53064</v>
      </c>
      <c r="C1364" s="282">
        <v>2.1555999999999999E-2</v>
      </c>
      <c r="F1364" s="256">
        <v>51837</v>
      </c>
      <c r="G1364" s="284">
        <v>0.63949418000000002</v>
      </c>
    </row>
    <row r="1365" spans="2:7">
      <c r="B1365" s="281">
        <f t="shared" ca="1" si="21"/>
        <v>53071</v>
      </c>
      <c r="C1365" s="282">
        <v>2.1555999999999999E-2</v>
      </c>
      <c r="F1365" s="256">
        <v>51844</v>
      </c>
      <c r="G1365" s="284">
        <v>0.63925061000000005</v>
      </c>
    </row>
    <row r="1366" spans="2:7">
      <c r="B1366" s="281">
        <f t="shared" ca="1" si="21"/>
        <v>53078</v>
      </c>
      <c r="C1366" s="282">
        <v>2.1555999999999999E-2</v>
      </c>
      <c r="F1366" s="256">
        <v>51851</v>
      </c>
      <c r="G1366" s="284">
        <v>0.63900712999999998</v>
      </c>
    </row>
    <row r="1367" spans="2:7">
      <c r="B1367" s="281">
        <f t="shared" ca="1" si="21"/>
        <v>53085</v>
      </c>
      <c r="C1367" s="282">
        <v>2.1554E-2</v>
      </c>
      <c r="F1367" s="256">
        <v>51858</v>
      </c>
      <c r="G1367" s="284">
        <v>0.63876374000000002</v>
      </c>
    </row>
    <row r="1368" spans="2:7">
      <c r="B1368" s="281">
        <f t="shared" ca="1" si="21"/>
        <v>53092</v>
      </c>
      <c r="C1368" s="282">
        <v>2.1554E-2</v>
      </c>
      <c r="F1368" s="256">
        <v>51865</v>
      </c>
      <c r="G1368" s="284">
        <v>0.63852043999999997</v>
      </c>
    </row>
    <row r="1369" spans="2:7">
      <c r="B1369" s="281">
        <f t="shared" ca="1" si="21"/>
        <v>53099</v>
      </c>
      <c r="C1369" s="282">
        <v>2.1555000000000001E-2</v>
      </c>
      <c r="F1369" s="256">
        <v>51872</v>
      </c>
      <c r="G1369" s="284">
        <v>0.63827723000000003</v>
      </c>
    </row>
    <row r="1370" spans="2:7">
      <c r="B1370" s="281">
        <f t="shared" ca="1" si="21"/>
        <v>53106</v>
      </c>
      <c r="C1370" s="282">
        <v>2.1555000000000001E-2</v>
      </c>
      <c r="F1370" s="256">
        <v>51879</v>
      </c>
      <c r="G1370" s="284">
        <v>0.63803410999999999</v>
      </c>
    </row>
    <row r="1371" spans="2:7">
      <c r="B1371" s="281">
        <f t="shared" ca="1" si="21"/>
        <v>53113</v>
      </c>
      <c r="C1371" s="282">
        <v>2.1554E-2</v>
      </c>
      <c r="F1371" s="256">
        <v>51886</v>
      </c>
      <c r="G1371" s="284">
        <v>0.63779109</v>
      </c>
    </row>
    <row r="1372" spans="2:7">
      <c r="B1372" s="281">
        <f t="shared" ref="B1372:B1435" ca="1" si="22">B1371+$A$28</f>
        <v>53120</v>
      </c>
      <c r="C1372" s="282">
        <v>2.1552000000000002E-2</v>
      </c>
      <c r="F1372" s="256">
        <v>51893</v>
      </c>
      <c r="G1372" s="284">
        <v>0.63754816000000003</v>
      </c>
    </row>
    <row r="1373" spans="2:7">
      <c r="B1373" s="281">
        <f t="shared" ca="1" si="22"/>
        <v>53127</v>
      </c>
      <c r="C1373" s="282">
        <v>2.155E-2</v>
      </c>
      <c r="F1373" s="256">
        <v>51900</v>
      </c>
      <c r="G1373" s="284">
        <v>0.63730531000000001</v>
      </c>
    </row>
    <row r="1374" spans="2:7">
      <c r="B1374" s="281">
        <f t="shared" ca="1" si="22"/>
        <v>53134</v>
      </c>
      <c r="C1374" s="282">
        <v>2.155E-2</v>
      </c>
      <c r="F1374" s="256">
        <v>51907</v>
      </c>
      <c r="G1374" s="284">
        <v>0.63706256000000006</v>
      </c>
    </row>
    <row r="1375" spans="2:7">
      <c r="B1375" s="281">
        <f t="shared" ca="1" si="22"/>
        <v>53141</v>
      </c>
      <c r="C1375" s="282">
        <v>2.155E-2</v>
      </c>
      <c r="F1375" s="256">
        <v>51914</v>
      </c>
      <c r="G1375" s="284">
        <v>0.63681989000000006</v>
      </c>
    </row>
    <row r="1376" spans="2:7">
      <c r="B1376" s="281">
        <f t="shared" ca="1" si="22"/>
        <v>53148</v>
      </c>
      <c r="C1376" s="282">
        <v>2.1548999999999999E-2</v>
      </c>
      <c r="F1376" s="256">
        <v>51921</v>
      </c>
      <c r="G1376" s="284">
        <v>0.63657732</v>
      </c>
    </row>
    <row r="1377" spans="2:7">
      <c r="B1377" s="281">
        <f t="shared" ca="1" si="22"/>
        <v>53155</v>
      </c>
      <c r="C1377" s="282">
        <v>2.1552999999999999E-2</v>
      </c>
      <c r="F1377" s="256">
        <v>51928</v>
      </c>
      <c r="G1377" s="284">
        <v>0.63633483999999996</v>
      </c>
    </row>
    <row r="1378" spans="2:7">
      <c r="B1378" s="281">
        <f t="shared" ca="1" si="22"/>
        <v>53162</v>
      </c>
      <c r="C1378" s="282">
        <v>2.1552000000000002E-2</v>
      </c>
      <c r="F1378" s="256">
        <v>51935</v>
      </c>
      <c r="G1378" s="284">
        <v>0.63609245000000003</v>
      </c>
    </row>
    <row r="1379" spans="2:7">
      <c r="B1379" s="281">
        <f t="shared" ca="1" si="22"/>
        <v>53169</v>
      </c>
      <c r="C1379" s="282">
        <v>2.1552000000000002E-2</v>
      </c>
      <c r="F1379" s="256">
        <v>51942</v>
      </c>
      <c r="G1379" s="284">
        <v>0.63585013999999995</v>
      </c>
    </row>
    <row r="1380" spans="2:7">
      <c r="B1380" s="281">
        <f t="shared" ca="1" si="22"/>
        <v>53176</v>
      </c>
      <c r="C1380" s="282">
        <v>2.1551000000000001E-2</v>
      </c>
      <c r="F1380" s="256">
        <v>51949</v>
      </c>
      <c r="G1380" s="284">
        <v>0.63560793000000004</v>
      </c>
    </row>
    <row r="1381" spans="2:7">
      <c r="B1381" s="281">
        <f t="shared" ca="1" si="22"/>
        <v>53183</v>
      </c>
      <c r="C1381" s="282">
        <v>2.1548999999999999E-2</v>
      </c>
      <c r="F1381" s="256">
        <v>51956</v>
      </c>
      <c r="G1381" s="284">
        <v>0.63536581000000003</v>
      </c>
    </row>
    <row r="1382" spans="2:7">
      <c r="B1382" s="281">
        <f t="shared" ca="1" si="22"/>
        <v>53190</v>
      </c>
      <c r="C1382" s="282">
        <v>2.1548999999999999E-2</v>
      </c>
      <c r="F1382" s="256">
        <v>51963</v>
      </c>
      <c r="G1382" s="284">
        <v>0.63512376999999998</v>
      </c>
    </row>
    <row r="1383" spans="2:7">
      <c r="B1383" s="281">
        <f t="shared" ca="1" si="22"/>
        <v>53197</v>
      </c>
      <c r="C1383" s="282">
        <v>2.1548000000000001E-2</v>
      </c>
      <c r="F1383" s="256">
        <v>51970</v>
      </c>
      <c r="G1383" s="284">
        <v>0.63488182999999998</v>
      </c>
    </row>
    <row r="1384" spans="2:7">
      <c r="B1384" s="281">
        <f t="shared" ca="1" si="22"/>
        <v>53204</v>
      </c>
      <c r="C1384" s="282">
        <v>2.1548000000000001E-2</v>
      </c>
      <c r="F1384" s="256">
        <v>51977</v>
      </c>
      <c r="G1384" s="284">
        <v>0.63463997000000005</v>
      </c>
    </row>
    <row r="1385" spans="2:7">
      <c r="B1385" s="281">
        <f t="shared" ca="1" si="22"/>
        <v>53211</v>
      </c>
      <c r="C1385" s="282">
        <v>2.1548000000000001E-2</v>
      </c>
      <c r="F1385" s="256">
        <v>51984</v>
      </c>
      <c r="G1385" s="284">
        <v>0.63439820999999996</v>
      </c>
    </row>
    <row r="1386" spans="2:7">
      <c r="B1386" s="281">
        <f t="shared" ca="1" si="22"/>
        <v>53218</v>
      </c>
      <c r="C1386" s="282">
        <v>2.1548999999999999E-2</v>
      </c>
      <c r="F1386" s="256">
        <v>51991</v>
      </c>
      <c r="G1386" s="284">
        <v>0.63415653000000005</v>
      </c>
    </row>
    <row r="1387" spans="2:7">
      <c r="B1387" s="281">
        <f t="shared" ca="1" si="22"/>
        <v>53225</v>
      </c>
      <c r="C1387" s="282">
        <v>2.1548999999999999E-2</v>
      </c>
      <c r="F1387" s="256">
        <v>51998</v>
      </c>
      <c r="G1387" s="284">
        <v>0.63391494999999998</v>
      </c>
    </row>
    <row r="1388" spans="2:7">
      <c r="B1388" s="281">
        <f t="shared" ca="1" si="22"/>
        <v>53232</v>
      </c>
      <c r="C1388" s="282">
        <v>2.1548999999999999E-2</v>
      </c>
      <c r="F1388" s="256">
        <v>52005</v>
      </c>
      <c r="G1388" s="284">
        <v>0.63367344999999997</v>
      </c>
    </row>
    <row r="1389" spans="2:7">
      <c r="B1389" s="281">
        <f t="shared" ca="1" si="22"/>
        <v>53239</v>
      </c>
      <c r="C1389" s="282">
        <v>2.1548000000000001E-2</v>
      </c>
      <c r="F1389" s="256">
        <v>52012</v>
      </c>
      <c r="G1389" s="284">
        <v>0.63343205000000002</v>
      </c>
    </row>
    <row r="1390" spans="2:7">
      <c r="B1390" s="281">
        <f t="shared" ca="1" si="22"/>
        <v>53246</v>
      </c>
      <c r="C1390" s="282">
        <v>2.1548000000000001E-2</v>
      </c>
      <c r="F1390" s="256">
        <v>52019</v>
      </c>
      <c r="G1390" s="284">
        <v>0.63319073000000003</v>
      </c>
    </row>
    <row r="1391" spans="2:7">
      <c r="B1391" s="281">
        <f t="shared" ca="1" si="22"/>
        <v>53253</v>
      </c>
      <c r="C1391" s="282">
        <v>2.1545999999999999E-2</v>
      </c>
      <c r="F1391" s="256">
        <v>52026</v>
      </c>
      <c r="G1391" s="284">
        <v>0.63294950999999999</v>
      </c>
    </row>
    <row r="1392" spans="2:7">
      <c r="B1392" s="281">
        <f t="shared" ca="1" si="22"/>
        <v>53260</v>
      </c>
      <c r="C1392" s="282">
        <v>2.1545000000000002E-2</v>
      </c>
      <c r="F1392" s="256">
        <v>52033</v>
      </c>
      <c r="G1392" s="284">
        <v>0.63270837000000002</v>
      </c>
    </row>
    <row r="1393" spans="2:7">
      <c r="B1393" s="281">
        <f t="shared" ca="1" si="22"/>
        <v>53267</v>
      </c>
      <c r="C1393" s="282">
        <v>2.1545000000000002E-2</v>
      </c>
      <c r="F1393" s="256">
        <v>52040</v>
      </c>
      <c r="G1393" s="284">
        <v>0.63246732999999999</v>
      </c>
    </row>
    <row r="1394" spans="2:7">
      <c r="B1394" s="281">
        <f t="shared" ca="1" si="22"/>
        <v>53274</v>
      </c>
      <c r="C1394" s="282">
        <v>2.1545999999999999E-2</v>
      </c>
      <c r="F1394" s="256">
        <v>52047</v>
      </c>
      <c r="G1394" s="284">
        <v>0.63222637999999998</v>
      </c>
    </row>
    <row r="1395" spans="2:7">
      <c r="B1395" s="281">
        <f t="shared" ca="1" si="22"/>
        <v>53281</v>
      </c>
      <c r="C1395" s="282">
        <v>2.1545999999999999E-2</v>
      </c>
      <c r="F1395" s="256">
        <v>52054</v>
      </c>
      <c r="G1395" s="284">
        <v>0.63198551000000003</v>
      </c>
    </row>
    <row r="1396" spans="2:7">
      <c r="B1396" s="281">
        <f t="shared" ca="1" si="22"/>
        <v>53288</v>
      </c>
      <c r="C1396" s="282">
        <v>2.1545000000000002E-2</v>
      </c>
      <c r="F1396" s="256">
        <v>52061</v>
      </c>
      <c r="G1396" s="284">
        <v>0.63174474000000003</v>
      </c>
    </row>
    <row r="1397" spans="2:7">
      <c r="B1397" s="281">
        <f t="shared" ca="1" si="22"/>
        <v>53295</v>
      </c>
      <c r="C1397" s="282">
        <v>2.1545999999999999E-2</v>
      </c>
      <c r="F1397" s="256">
        <v>52068</v>
      </c>
      <c r="G1397" s="284">
        <v>0.63150406000000003</v>
      </c>
    </row>
    <row r="1398" spans="2:7">
      <c r="B1398" s="281">
        <f t="shared" ca="1" si="22"/>
        <v>53302</v>
      </c>
      <c r="C1398" s="282">
        <v>2.1543E-2</v>
      </c>
      <c r="F1398" s="256">
        <v>52075</v>
      </c>
      <c r="G1398" s="284">
        <v>0.63126347000000005</v>
      </c>
    </row>
    <row r="1399" spans="2:7">
      <c r="B1399" s="281">
        <f t="shared" ca="1" si="22"/>
        <v>53309</v>
      </c>
      <c r="C1399" s="282">
        <v>2.1544000000000001E-2</v>
      </c>
      <c r="F1399" s="256">
        <v>52082</v>
      </c>
      <c r="G1399" s="284">
        <v>0.63102298000000001</v>
      </c>
    </row>
    <row r="1400" spans="2:7">
      <c r="B1400" s="281">
        <f t="shared" ca="1" si="22"/>
        <v>53316</v>
      </c>
      <c r="C1400" s="282">
        <v>2.1543E-2</v>
      </c>
      <c r="F1400" s="256">
        <v>52089</v>
      </c>
      <c r="G1400" s="284">
        <v>0.63078257000000004</v>
      </c>
    </row>
    <row r="1401" spans="2:7">
      <c r="B1401" s="281">
        <f t="shared" ca="1" si="22"/>
        <v>53323</v>
      </c>
      <c r="C1401" s="282">
        <v>2.1543E-2</v>
      </c>
      <c r="F1401" s="256">
        <v>52096</v>
      </c>
      <c r="G1401" s="284">
        <v>0.63054226000000002</v>
      </c>
    </row>
    <row r="1402" spans="2:7">
      <c r="B1402" s="281">
        <f t="shared" ca="1" si="22"/>
        <v>53330</v>
      </c>
      <c r="C1402" s="282">
        <v>2.1541999999999999E-2</v>
      </c>
      <c r="F1402" s="256">
        <v>52103</v>
      </c>
      <c r="G1402" s="284">
        <v>0.63030204000000001</v>
      </c>
    </row>
    <row r="1403" spans="2:7">
      <c r="B1403" s="281">
        <f t="shared" ca="1" si="22"/>
        <v>53337</v>
      </c>
      <c r="C1403" s="282">
        <v>2.154E-2</v>
      </c>
      <c r="F1403" s="256">
        <v>52110</v>
      </c>
      <c r="G1403" s="284">
        <v>0.63006191</v>
      </c>
    </row>
    <row r="1404" spans="2:7">
      <c r="B1404" s="281">
        <f t="shared" ca="1" si="22"/>
        <v>53344</v>
      </c>
      <c r="C1404" s="282">
        <v>2.1538999999999999E-2</v>
      </c>
      <c r="F1404" s="256">
        <v>52117</v>
      </c>
      <c r="G1404" s="284">
        <v>0.62982187000000001</v>
      </c>
    </row>
    <row r="1405" spans="2:7">
      <c r="B1405" s="281">
        <f t="shared" ca="1" si="22"/>
        <v>53351</v>
      </c>
      <c r="C1405" s="282">
        <v>2.1538999999999999E-2</v>
      </c>
      <c r="F1405" s="256">
        <v>52124</v>
      </c>
      <c r="G1405" s="284">
        <v>0.62958192999999996</v>
      </c>
    </row>
    <row r="1406" spans="2:7">
      <c r="B1406" s="281">
        <f t="shared" ca="1" si="22"/>
        <v>53358</v>
      </c>
      <c r="C1406" s="282">
        <v>2.1538000000000002E-2</v>
      </c>
      <c r="F1406" s="256">
        <v>52131</v>
      </c>
      <c r="G1406" s="284">
        <v>0.62934208000000003</v>
      </c>
    </row>
    <row r="1407" spans="2:7">
      <c r="B1407" s="281">
        <f t="shared" ca="1" si="22"/>
        <v>53365</v>
      </c>
      <c r="C1407" s="282">
        <v>2.1538999999999999E-2</v>
      </c>
      <c r="F1407" s="256">
        <v>52138</v>
      </c>
      <c r="G1407" s="284">
        <v>0.62910233000000004</v>
      </c>
    </row>
    <row r="1408" spans="2:7">
      <c r="B1408" s="281">
        <f t="shared" ca="1" si="22"/>
        <v>53372</v>
      </c>
      <c r="C1408" s="282">
        <v>2.1538999999999999E-2</v>
      </c>
      <c r="F1408" s="256">
        <v>52145</v>
      </c>
      <c r="G1408" s="284">
        <v>0.62886266999999996</v>
      </c>
    </row>
    <row r="1409" spans="2:7">
      <c r="B1409" s="281">
        <f t="shared" ca="1" si="22"/>
        <v>53379</v>
      </c>
      <c r="C1409" s="282">
        <v>2.1538000000000002E-2</v>
      </c>
      <c r="F1409" s="256">
        <v>52152</v>
      </c>
      <c r="G1409" s="284">
        <v>0.62862309999999999</v>
      </c>
    </row>
    <row r="1410" spans="2:7">
      <c r="B1410" s="281">
        <f t="shared" ca="1" si="22"/>
        <v>53386</v>
      </c>
      <c r="C1410" s="282">
        <v>2.1537000000000001E-2</v>
      </c>
      <c r="F1410" s="256">
        <v>52159</v>
      </c>
      <c r="G1410" s="284">
        <v>0.62838362999999997</v>
      </c>
    </row>
    <row r="1411" spans="2:7">
      <c r="B1411" s="281">
        <f t="shared" ca="1" si="22"/>
        <v>53393</v>
      </c>
      <c r="C1411" s="282">
        <v>2.1534999999999999E-2</v>
      </c>
      <c r="F1411" s="256">
        <v>52166</v>
      </c>
      <c r="G1411" s="284">
        <v>0.62814426000000001</v>
      </c>
    </row>
    <row r="1412" spans="2:7">
      <c r="B1412" s="281">
        <f t="shared" ca="1" si="22"/>
        <v>53400</v>
      </c>
      <c r="C1412" s="282">
        <v>2.1534000000000001E-2</v>
      </c>
      <c r="F1412" s="256">
        <v>52173</v>
      </c>
      <c r="G1412" s="284">
        <v>0.62790497999999995</v>
      </c>
    </row>
    <row r="1413" spans="2:7">
      <c r="B1413" s="281">
        <f t="shared" ca="1" si="22"/>
        <v>53407</v>
      </c>
      <c r="C1413" s="282">
        <v>2.1533E-2</v>
      </c>
      <c r="F1413" s="256">
        <v>52180</v>
      </c>
      <c r="G1413" s="284">
        <v>0.62766579</v>
      </c>
    </row>
    <row r="1414" spans="2:7">
      <c r="B1414" s="281">
        <f t="shared" ca="1" si="22"/>
        <v>53414</v>
      </c>
      <c r="C1414" s="282">
        <v>2.1531999999999999E-2</v>
      </c>
      <c r="F1414" s="256">
        <v>52187</v>
      </c>
      <c r="G1414" s="284">
        <v>0.62742671000000005</v>
      </c>
    </row>
    <row r="1415" spans="2:7">
      <c r="B1415" s="281">
        <f t="shared" ca="1" si="22"/>
        <v>53421</v>
      </c>
      <c r="C1415" s="282">
        <v>2.1533E-2</v>
      </c>
      <c r="F1415" s="256">
        <v>52194</v>
      </c>
      <c r="G1415" s="284">
        <v>0.62718772</v>
      </c>
    </row>
    <row r="1416" spans="2:7">
      <c r="B1416" s="281">
        <f t="shared" ca="1" si="22"/>
        <v>53428</v>
      </c>
      <c r="C1416" s="282">
        <v>2.1531999999999999E-2</v>
      </c>
      <c r="F1416" s="256">
        <v>52201</v>
      </c>
      <c r="G1416" s="284">
        <v>0.62694881999999996</v>
      </c>
    </row>
    <row r="1417" spans="2:7">
      <c r="B1417" s="281">
        <f t="shared" ca="1" si="22"/>
        <v>53435</v>
      </c>
      <c r="C1417" s="282">
        <v>2.1531000000000002E-2</v>
      </c>
      <c r="F1417" s="256">
        <v>52208</v>
      </c>
      <c r="G1417" s="284">
        <v>0.62671003000000003</v>
      </c>
    </row>
    <row r="1418" spans="2:7">
      <c r="B1418" s="281">
        <f t="shared" ca="1" si="22"/>
        <v>53442</v>
      </c>
      <c r="C1418" s="282">
        <v>2.1531000000000002E-2</v>
      </c>
      <c r="F1418" s="256">
        <v>52215</v>
      </c>
      <c r="G1418" s="284">
        <v>0.62647132999999999</v>
      </c>
    </row>
    <row r="1419" spans="2:7">
      <c r="B1419" s="281">
        <f t="shared" ca="1" si="22"/>
        <v>53449</v>
      </c>
      <c r="C1419" s="282">
        <v>2.1529E-2</v>
      </c>
      <c r="F1419" s="256">
        <v>52222</v>
      </c>
      <c r="G1419" s="284">
        <v>0.62623273000000002</v>
      </c>
    </row>
    <row r="1420" spans="2:7">
      <c r="B1420" s="281">
        <f t="shared" ca="1" si="22"/>
        <v>53456</v>
      </c>
      <c r="C1420" s="282">
        <v>2.1527000000000001E-2</v>
      </c>
      <c r="F1420" s="256">
        <v>52229</v>
      </c>
      <c r="G1420" s="284">
        <v>0.62599422999999998</v>
      </c>
    </row>
    <row r="1421" spans="2:7">
      <c r="B1421" s="281">
        <f t="shared" ca="1" si="22"/>
        <v>53463</v>
      </c>
      <c r="C1421" s="282">
        <v>2.1527000000000001E-2</v>
      </c>
      <c r="F1421" s="256">
        <v>52236</v>
      </c>
      <c r="G1421" s="284">
        <v>0.62575583000000001</v>
      </c>
    </row>
    <row r="1422" spans="2:7">
      <c r="B1422" s="281">
        <f t="shared" ca="1" si="22"/>
        <v>53470</v>
      </c>
      <c r="C1422" s="282">
        <v>2.1527000000000001E-2</v>
      </c>
      <c r="F1422" s="256">
        <v>52243</v>
      </c>
      <c r="G1422" s="284">
        <v>0.62551752999999999</v>
      </c>
    </row>
    <row r="1423" spans="2:7">
      <c r="B1423" s="281">
        <f t="shared" ca="1" si="22"/>
        <v>53477</v>
      </c>
      <c r="C1423" s="282">
        <v>2.1524999999999999E-2</v>
      </c>
      <c r="F1423" s="256">
        <v>52250</v>
      </c>
      <c r="G1423" s="284">
        <v>0.62527931999999997</v>
      </c>
    </row>
    <row r="1424" spans="2:7">
      <c r="B1424" s="281">
        <f t="shared" ca="1" si="22"/>
        <v>53484</v>
      </c>
      <c r="C1424" s="282">
        <v>2.1521999999999999E-2</v>
      </c>
      <c r="F1424" s="256">
        <v>52257</v>
      </c>
      <c r="G1424" s="284">
        <v>0.62504121999999995</v>
      </c>
    </row>
    <row r="1425" spans="2:7">
      <c r="B1425" s="281">
        <f t="shared" ca="1" si="22"/>
        <v>53491</v>
      </c>
      <c r="C1425" s="282">
        <v>2.1520000000000001E-2</v>
      </c>
      <c r="F1425" s="256">
        <v>52264</v>
      </c>
      <c r="G1425" s="284">
        <v>0.62480321999999999</v>
      </c>
    </row>
    <row r="1426" spans="2:7">
      <c r="B1426" s="281">
        <f t="shared" ca="1" si="22"/>
        <v>53498</v>
      </c>
      <c r="C1426" s="282">
        <v>2.1519E-2</v>
      </c>
      <c r="F1426" s="256">
        <v>52271</v>
      </c>
      <c r="G1426" s="284">
        <v>0.62456533000000003</v>
      </c>
    </row>
    <row r="1427" spans="2:7">
      <c r="B1427" s="281">
        <f t="shared" ca="1" si="22"/>
        <v>53505</v>
      </c>
      <c r="C1427" s="282">
        <v>2.1517000000000001E-2</v>
      </c>
      <c r="F1427" s="256">
        <v>52278</v>
      </c>
      <c r="G1427" s="284">
        <v>0.62432752999999996</v>
      </c>
    </row>
    <row r="1428" spans="2:7">
      <c r="B1428" s="281">
        <f t="shared" ca="1" si="22"/>
        <v>53512</v>
      </c>
      <c r="C1428" s="282">
        <v>2.1516E-2</v>
      </c>
      <c r="F1428" s="256">
        <v>52285</v>
      </c>
      <c r="G1428" s="284">
        <v>0.62408984000000001</v>
      </c>
    </row>
    <row r="1429" spans="2:7">
      <c r="B1429" s="281">
        <f t="shared" ca="1" si="22"/>
        <v>53519</v>
      </c>
      <c r="C1429" s="282">
        <v>2.1517999999999999E-2</v>
      </c>
      <c r="F1429" s="256">
        <v>52292</v>
      </c>
      <c r="G1429" s="284">
        <v>0.62385225</v>
      </c>
    </row>
    <row r="1430" spans="2:7">
      <c r="B1430" s="281">
        <f t="shared" ca="1" si="22"/>
        <v>53526</v>
      </c>
      <c r="C1430" s="282">
        <v>2.1516E-2</v>
      </c>
      <c r="F1430" s="256">
        <v>52299</v>
      </c>
      <c r="G1430" s="284">
        <v>0.62361476000000005</v>
      </c>
    </row>
    <row r="1431" spans="2:7">
      <c r="B1431" s="281">
        <f t="shared" ca="1" si="22"/>
        <v>53533</v>
      </c>
      <c r="C1431" s="282">
        <v>2.1514999999999999E-2</v>
      </c>
      <c r="F1431" s="256">
        <v>52306</v>
      </c>
      <c r="G1431" s="284">
        <v>0.62337737999999998</v>
      </c>
    </row>
    <row r="1432" spans="2:7">
      <c r="B1432" s="281">
        <f t="shared" ca="1" si="22"/>
        <v>53540</v>
      </c>
      <c r="C1432" s="282">
        <v>2.1513999999999998E-2</v>
      </c>
      <c r="F1432" s="256">
        <v>52313</v>
      </c>
      <c r="G1432" s="284">
        <v>0.62314009999999997</v>
      </c>
    </row>
    <row r="1433" spans="2:7">
      <c r="B1433" s="281">
        <f t="shared" ca="1" si="22"/>
        <v>53547</v>
      </c>
      <c r="C1433" s="282">
        <v>2.1510000000000001E-2</v>
      </c>
      <c r="F1433" s="256">
        <v>52320</v>
      </c>
      <c r="G1433" s="284">
        <v>0.62290292999999997</v>
      </c>
    </row>
    <row r="1434" spans="2:7">
      <c r="B1434" s="281">
        <f t="shared" ca="1" si="22"/>
        <v>53554</v>
      </c>
      <c r="C1434" s="282">
        <v>2.1509E-2</v>
      </c>
      <c r="F1434" s="256">
        <v>52327</v>
      </c>
      <c r="G1434" s="284">
        <v>0.62266586000000002</v>
      </c>
    </row>
    <row r="1435" spans="2:7">
      <c r="B1435" s="281">
        <f t="shared" ca="1" si="22"/>
        <v>53561</v>
      </c>
      <c r="C1435" s="282">
        <v>2.1506999999999998E-2</v>
      </c>
      <c r="F1435" s="256">
        <v>52334</v>
      </c>
      <c r="G1435" s="284">
        <v>0.62242889999999995</v>
      </c>
    </row>
    <row r="1436" spans="2:7">
      <c r="B1436" s="281">
        <f t="shared" ref="B1436:B1499" ca="1" si="23">B1435+$A$28</f>
        <v>53568</v>
      </c>
      <c r="C1436" s="282">
        <v>2.1506000000000001E-2</v>
      </c>
      <c r="F1436" s="256">
        <v>52341</v>
      </c>
      <c r="G1436" s="284">
        <v>0.62219205</v>
      </c>
    </row>
    <row r="1437" spans="2:7">
      <c r="B1437" s="281">
        <f t="shared" ca="1" si="23"/>
        <v>53575</v>
      </c>
      <c r="C1437" s="282">
        <v>2.1503999999999999E-2</v>
      </c>
      <c r="F1437" s="256">
        <v>52348</v>
      </c>
      <c r="G1437" s="284">
        <v>0.62195529999999999</v>
      </c>
    </row>
    <row r="1438" spans="2:7">
      <c r="B1438" s="281">
        <f t="shared" ca="1" si="23"/>
        <v>53582</v>
      </c>
      <c r="C1438" s="282">
        <v>2.1503999999999999E-2</v>
      </c>
      <c r="F1438" s="256">
        <v>52355</v>
      </c>
      <c r="G1438" s="284">
        <v>0.62171865999999998</v>
      </c>
    </row>
    <row r="1439" spans="2:7">
      <c r="B1439" s="281">
        <f t="shared" ca="1" si="23"/>
        <v>53589</v>
      </c>
      <c r="C1439" s="282">
        <v>2.1503000000000001E-2</v>
      </c>
      <c r="F1439" s="256">
        <v>52362</v>
      </c>
      <c r="G1439" s="284">
        <v>0.62148212999999997</v>
      </c>
    </row>
    <row r="1440" spans="2:7">
      <c r="B1440" s="281">
        <f t="shared" ca="1" si="23"/>
        <v>53596</v>
      </c>
      <c r="C1440" s="282">
        <v>2.1500999999999999E-2</v>
      </c>
      <c r="F1440" s="256">
        <v>52369</v>
      </c>
      <c r="G1440" s="284">
        <v>0.62124570999999995</v>
      </c>
    </row>
    <row r="1441" spans="2:7">
      <c r="B1441" s="281">
        <f t="shared" ca="1" si="23"/>
        <v>53603</v>
      </c>
      <c r="C1441" s="282">
        <v>2.1499000000000001E-2</v>
      </c>
      <c r="F1441" s="256">
        <v>52376</v>
      </c>
      <c r="G1441" s="284">
        <v>0.62100940000000004</v>
      </c>
    </row>
    <row r="1442" spans="2:7">
      <c r="B1442" s="281">
        <f t="shared" ca="1" si="23"/>
        <v>53610</v>
      </c>
      <c r="C1442" s="282">
        <v>2.1496000000000001E-2</v>
      </c>
      <c r="F1442" s="256">
        <v>52383</v>
      </c>
      <c r="G1442" s="284">
        <v>0.62077320000000002</v>
      </c>
    </row>
    <row r="1443" spans="2:7">
      <c r="B1443" s="281">
        <f t="shared" ca="1" si="23"/>
        <v>53617</v>
      </c>
      <c r="C1443" s="282">
        <v>2.1493999999999999E-2</v>
      </c>
      <c r="F1443" s="256">
        <v>52390</v>
      </c>
      <c r="G1443" s="284">
        <v>0.62053709999999995</v>
      </c>
    </row>
    <row r="1444" spans="2:7">
      <c r="B1444" s="281">
        <f t="shared" ca="1" si="23"/>
        <v>53624</v>
      </c>
      <c r="C1444" s="282">
        <v>2.1492000000000001E-2</v>
      </c>
      <c r="F1444" s="256">
        <v>52397</v>
      </c>
      <c r="G1444" s="284">
        <v>0.62030112000000004</v>
      </c>
    </row>
    <row r="1445" spans="2:7">
      <c r="B1445" s="281">
        <f t="shared" ca="1" si="23"/>
        <v>53631</v>
      </c>
      <c r="C1445" s="282">
        <v>2.1489999999999999E-2</v>
      </c>
      <c r="F1445" s="256">
        <v>52404</v>
      </c>
      <c r="G1445" s="284">
        <v>0.62006525999999995</v>
      </c>
    </row>
    <row r="1446" spans="2:7">
      <c r="B1446" s="281">
        <f t="shared" ca="1" si="23"/>
        <v>53638</v>
      </c>
      <c r="C1446" s="282">
        <v>2.1489999999999999E-2</v>
      </c>
      <c r="F1446" s="256">
        <v>52411</v>
      </c>
      <c r="G1446" s="284">
        <v>0.61982950000000003</v>
      </c>
    </row>
    <row r="1447" spans="2:7">
      <c r="B1447" s="281">
        <f t="shared" ca="1" si="23"/>
        <v>53645</v>
      </c>
      <c r="C1447" s="282">
        <v>2.1488E-2</v>
      </c>
      <c r="F1447" s="256">
        <v>52418</v>
      </c>
      <c r="G1447" s="284">
        <v>0.61959386000000005</v>
      </c>
    </row>
    <row r="1448" spans="2:7">
      <c r="B1448" s="281">
        <f t="shared" ca="1" si="23"/>
        <v>53652</v>
      </c>
      <c r="C1448" s="282">
        <v>2.1486000000000002E-2</v>
      </c>
      <c r="F1448" s="256">
        <v>52425</v>
      </c>
      <c r="G1448" s="284">
        <v>0.61935832999999996</v>
      </c>
    </row>
    <row r="1449" spans="2:7">
      <c r="B1449" s="281">
        <f t="shared" ca="1" si="23"/>
        <v>53659</v>
      </c>
      <c r="C1449" s="282">
        <v>2.1484E-2</v>
      </c>
      <c r="F1449" s="256">
        <v>52432</v>
      </c>
      <c r="G1449" s="284">
        <v>0.61912290999999997</v>
      </c>
    </row>
    <row r="1450" spans="2:7">
      <c r="B1450" s="281">
        <f t="shared" ca="1" si="23"/>
        <v>53666</v>
      </c>
      <c r="C1450" s="282">
        <v>2.1479999999999999E-2</v>
      </c>
      <c r="F1450" s="256">
        <v>52439</v>
      </c>
      <c r="G1450" s="284">
        <v>0.61888761000000003</v>
      </c>
    </row>
    <row r="1451" spans="2:7">
      <c r="B1451" s="281">
        <f t="shared" ca="1" si="23"/>
        <v>53673</v>
      </c>
      <c r="C1451" s="282">
        <v>2.1479999999999999E-2</v>
      </c>
      <c r="F1451" s="256">
        <v>52446</v>
      </c>
      <c r="G1451" s="284">
        <v>0.61865243000000003</v>
      </c>
    </row>
    <row r="1452" spans="2:7">
      <c r="B1452" s="281">
        <f t="shared" ca="1" si="23"/>
        <v>53680</v>
      </c>
      <c r="C1452" s="282">
        <v>2.1477E-2</v>
      </c>
      <c r="F1452" s="256">
        <v>52453</v>
      </c>
      <c r="G1452" s="284">
        <v>0.61841736000000003</v>
      </c>
    </row>
    <row r="1453" spans="2:7">
      <c r="B1453" s="281">
        <f t="shared" ca="1" si="23"/>
        <v>53687</v>
      </c>
      <c r="C1453" s="282">
        <v>2.1475000000000001E-2</v>
      </c>
      <c r="F1453" s="256">
        <v>52460</v>
      </c>
      <c r="G1453" s="284">
        <v>0.61818240999999996</v>
      </c>
    </row>
    <row r="1454" spans="2:7">
      <c r="B1454" s="281">
        <f t="shared" ca="1" si="23"/>
        <v>53694</v>
      </c>
      <c r="C1454" s="282">
        <v>2.1472999999999999E-2</v>
      </c>
      <c r="F1454" s="256">
        <v>52467</v>
      </c>
      <c r="G1454" s="284">
        <v>0.61794757</v>
      </c>
    </row>
    <row r="1455" spans="2:7">
      <c r="B1455" s="281">
        <f t="shared" ca="1" si="23"/>
        <v>53701</v>
      </c>
      <c r="C1455" s="282">
        <v>2.1468999999999999E-2</v>
      </c>
      <c r="F1455" s="256">
        <v>52474</v>
      </c>
      <c r="G1455" s="284">
        <v>0.61771284999999998</v>
      </c>
    </row>
    <row r="1456" spans="2:7">
      <c r="B1456" s="281">
        <f t="shared" ca="1" si="23"/>
        <v>53708</v>
      </c>
      <c r="C1456" s="282">
        <v>2.1467E-2</v>
      </c>
      <c r="F1456" s="256">
        <v>52481</v>
      </c>
      <c r="G1456" s="284">
        <v>0.61747825000000001</v>
      </c>
    </row>
    <row r="1457" spans="2:7">
      <c r="B1457" s="281">
        <f t="shared" ca="1" si="23"/>
        <v>53715</v>
      </c>
      <c r="C1457" s="282">
        <v>2.1464E-2</v>
      </c>
      <c r="F1457" s="256">
        <v>52488</v>
      </c>
      <c r="G1457" s="284">
        <v>0.61724376999999997</v>
      </c>
    </row>
    <row r="1458" spans="2:7">
      <c r="B1458" s="281">
        <f t="shared" ca="1" si="23"/>
        <v>53722</v>
      </c>
      <c r="C1458" s="282">
        <v>2.1461999999999998E-2</v>
      </c>
      <c r="F1458" s="256">
        <v>52495</v>
      </c>
      <c r="G1458" s="284">
        <v>0.61700940999999998</v>
      </c>
    </row>
    <row r="1459" spans="2:7">
      <c r="B1459" s="281">
        <f t="shared" ca="1" si="23"/>
        <v>53729</v>
      </c>
      <c r="C1459" s="282">
        <v>2.146E-2</v>
      </c>
      <c r="F1459" s="256">
        <v>52502</v>
      </c>
      <c r="G1459" s="284">
        <v>0.61677517000000004</v>
      </c>
    </row>
    <row r="1460" spans="2:7">
      <c r="B1460" s="281">
        <f t="shared" ca="1" si="23"/>
        <v>53736</v>
      </c>
      <c r="C1460" s="282">
        <v>2.1458999999999999E-2</v>
      </c>
      <c r="F1460" s="256">
        <v>52509</v>
      </c>
      <c r="G1460" s="284">
        <v>0.61654103999999998</v>
      </c>
    </row>
    <row r="1461" spans="2:7">
      <c r="B1461" s="281">
        <f t="shared" ca="1" si="23"/>
        <v>53743</v>
      </c>
      <c r="C1461" s="282">
        <v>2.1455999999999999E-2</v>
      </c>
      <c r="F1461" s="256">
        <v>52516</v>
      </c>
      <c r="G1461" s="284">
        <v>0.61630704000000003</v>
      </c>
    </row>
    <row r="1462" spans="2:7">
      <c r="B1462" s="281">
        <f t="shared" ca="1" si="23"/>
        <v>53750</v>
      </c>
      <c r="C1462" s="282">
        <v>2.1453E-2</v>
      </c>
      <c r="F1462" s="256">
        <v>52523</v>
      </c>
      <c r="G1462" s="284">
        <v>0.61607316999999995</v>
      </c>
    </row>
    <row r="1463" spans="2:7">
      <c r="B1463" s="281">
        <f t="shared" ca="1" si="23"/>
        <v>53757</v>
      </c>
      <c r="C1463" s="282">
        <v>2.1451000000000001E-2</v>
      </c>
      <c r="F1463" s="256">
        <v>52530</v>
      </c>
      <c r="G1463" s="284">
        <v>0.61583940999999998</v>
      </c>
    </row>
    <row r="1464" spans="2:7">
      <c r="B1464" s="281">
        <f t="shared" ca="1" si="23"/>
        <v>53764</v>
      </c>
      <c r="C1464" s="282">
        <v>2.1447000000000001E-2</v>
      </c>
      <c r="F1464" s="256">
        <v>52537</v>
      </c>
      <c r="G1464" s="284">
        <v>0.61560577999999999</v>
      </c>
    </row>
    <row r="1465" spans="2:7">
      <c r="B1465" s="281">
        <f t="shared" ca="1" si="23"/>
        <v>53771</v>
      </c>
      <c r="C1465" s="282">
        <v>2.1444000000000001E-2</v>
      </c>
      <c r="F1465" s="256">
        <v>52544</v>
      </c>
      <c r="G1465" s="284">
        <v>0.61537227000000005</v>
      </c>
    </row>
    <row r="1466" spans="2:7">
      <c r="B1466" s="281">
        <f t="shared" ca="1" si="23"/>
        <v>53778</v>
      </c>
      <c r="C1466" s="282">
        <v>2.1441000000000002E-2</v>
      </c>
      <c r="F1466" s="256">
        <v>52551</v>
      </c>
      <c r="G1466" s="284">
        <v>0.61513888000000005</v>
      </c>
    </row>
    <row r="1467" spans="2:7">
      <c r="B1467" s="281">
        <f t="shared" ca="1" si="23"/>
        <v>53785</v>
      </c>
      <c r="C1467" s="282">
        <v>2.1440000000000001E-2</v>
      </c>
      <c r="F1467" s="256">
        <v>52558</v>
      </c>
      <c r="G1467" s="284">
        <v>0.61490562000000004</v>
      </c>
    </row>
    <row r="1468" spans="2:7">
      <c r="B1468" s="281">
        <f t="shared" ca="1" si="23"/>
        <v>53792</v>
      </c>
      <c r="C1468" s="282">
        <v>2.1437000000000001E-2</v>
      </c>
      <c r="F1468" s="256">
        <v>52565</v>
      </c>
      <c r="G1468" s="284">
        <v>0.61467247999999997</v>
      </c>
    </row>
    <row r="1469" spans="2:7">
      <c r="B1469" s="281">
        <f t="shared" ca="1" si="23"/>
        <v>53799</v>
      </c>
      <c r="C1469" s="282">
        <v>2.1434000000000002E-2</v>
      </c>
      <c r="F1469" s="256">
        <v>52572</v>
      </c>
      <c r="G1469" s="284">
        <v>0.61443946999999999</v>
      </c>
    </row>
    <row r="1470" spans="2:7">
      <c r="B1470" s="281">
        <f t="shared" ca="1" si="23"/>
        <v>53806</v>
      </c>
      <c r="C1470" s="282">
        <v>2.1432E-2</v>
      </c>
      <c r="F1470" s="256">
        <v>52579</v>
      </c>
      <c r="G1470" s="284">
        <v>0.61420659</v>
      </c>
    </row>
    <row r="1471" spans="2:7">
      <c r="B1471" s="281">
        <f t="shared" ca="1" si="23"/>
        <v>53813</v>
      </c>
      <c r="C1471" s="282">
        <v>2.1427999999999999E-2</v>
      </c>
      <c r="F1471" s="256">
        <v>52586</v>
      </c>
      <c r="G1471" s="284">
        <v>0.61397383000000005</v>
      </c>
    </row>
    <row r="1472" spans="2:7">
      <c r="B1472" s="281">
        <f t="shared" ca="1" si="23"/>
        <v>53820</v>
      </c>
      <c r="C1472" s="282">
        <v>2.1423999999999999E-2</v>
      </c>
      <c r="F1472" s="256">
        <v>52593</v>
      </c>
      <c r="G1472" s="284">
        <v>0.61374119999999999</v>
      </c>
    </row>
    <row r="1473" spans="2:7">
      <c r="B1473" s="281">
        <f t="shared" ca="1" si="23"/>
        <v>53827</v>
      </c>
      <c r="C1473" s="282">
        <v>2.1422E-2</v>
      </c>
      <c r="F1473" s="256">
        <v>52600</v>
      </c>
      <c r="G1473" s="284">
        <v>0.61350870000000002</v>
      </c>
    </row>
    <row r="1474" spans="2:7">
      <c r="B1474" s="281">
        <f t="shared" ca="1" si="23"/>
        <v>53834</v>
      </c>
      <c r="C1474" s="282">
        <v>2.1420000000000002E-2</v>
      </c>
      <c r="F1474" s="256">
        <v>52607</v>
      </c>
      <c r="G1474" s="284">
        <v>0.61327633000000004</v>
      </c>
    </row>
    <row r="1475" spans="2:7">
      <c r="B1475" s="281">
        <f t="shared" ca="1" si="23"/>
        <v>53841</v>
      </c>
      <c r="C1475" s="282">
        <v>2.1416000000000001E-2</v>
      </c>
      <c r="F1475" s="256">
        <v>52614</v>
      </c>
      <c r="G1475" s="284">
        <v>0.61304407999999999</v>
      </c>
    </row>
    <row r="1476" spans="2:7">
      <c r="B1476" s="281">
        <f t="shared" ca="1" si="23"/>
        <v>53848</v>
      </c>
      <c r="C1476" s="282">
        <v>2.1413000000000001E-2</v>
      </c>
      <c r="F1476" s="256">
        <v>52621</v>
      </c>
      <c r="G1476" s="284">
        <v>0.61281196999999998</v>
      </c>
    </row>
    <row r="1477" spans="2:7">
      <c r="B1477" s="281">
        <f t="shared" ca="1" si="23"/>
        <v>53855</v>
      </c>
      <c r="C1477" s="282">
        <v>2.1408E-2</v>
      </c>
      <c r="F1477" s="256">
        <v>52628</v>
      </c>
      <c r="G1477" s="284">
        <v>0.61257998999999996</v>
      </c>
    </row>
    <row r="1478" spans="2:7">
      <c r="B1478" s="281">
        <f t="shared" ca="1" si="23"/>
        <v>53862</v>
      </c>
      <c r="C1478" s="282">
        <v>2.1405E-2</v>
      </c>
      <c r="F1478" s="256">
        <v>52635</v>
      </c>
      <c r="G1478" s="284">
        <v>0.61234812999999999</v>
      </c>
    </row>
    <row r="1479" spans="2:7">
      <c r="B1479" s="281">
        <f t="shared" ca="1" si="23"/>
        <v>53869</v>
      </c>
      <c r="C1479" s="282">
        <v>2.1402000000000001E-2</v>
      </c>
      <c r="F1479" s="256">
        <v>52642</v>
      </c>
      <c r="G1479" s="284">
        <v>0.61211641000000006</v>
      </c>
    </row>
    <row r="1480" spans="2:7">
      <c r="B1480" s="281">
        <f t="shared" ca="1" si="23"/>
        <v>53876</v>
      </c>
      <c r="C1480" s="282">
        <v>2.1399000000000001E-2</v>
      </c>
      <c r="F1480" s="256">
        <v>52649</v>
      </c>
      <c r="G1480" s="284">
        <v>0.61188482</v>
      </c>
    </row>
    <row r="1481" spans="2:7">
      <c r="B1481" s="281">
        <f t="shared" ca="1" si="23"/>
        <v>53883</v>
      </c>
      <c r="C1481" s="282">
        <v>2.1396999999999999E-2</v>
      </c>
      <c r="F1481" s="256">
        <v>52656</v>
      </c>
      <c r="G1481" s="284">
        <v>0.61165336999999997</v>
      </c>
    </row>
    <row r="1482" spans="2:7">
      <c r="B1482" s="281">
        <f t="shared" ca="1" si="23"/>
        <v>53890</v>
      </c>
      <c r="C1482" s="282">
        <v>2.1394E-2</v>
      </c>
      <c r="F1482" s="256">
        <v>52663</v>
      </c>
      <c r="G1482" s="284">
        <v>0.61142204</v>
      </c>
    </row>
    <row r="1483" spans="2:7">
      <c r="B1483" s="281">
        <f t="shared" ca="1" si="23"/>
        <v>53897</v>
      </c>
      <c r="C1483" s="282">
        <v>2.1391E-2</v>
      </c>
      <c r="F1483" s="256">
        <v>52670</v>
      </c>
      <c r="G1483" s="284">
        <v>0.61119084999999995</v>
      </c>
    </row>
    <row r="1484" spans="2:7">
      <c r="B1484" s="281">
        <f t="shared" ca="1" si="23"/>
        <v>53904</v>
      </c>
      <c r="C1484" s="282">
        <v>2.1387E-2</v>
      </c>
      <c r="F1484" s="256">
        <v>52677</v>
      </c>
      <c r="G1484" s="284">
        <v>0.61095980000000005</v>
      </c>
    </row>
    <row r="1485" spans="2:7">
      <c r="B1485" s="281">
        <f t="shared" ca="1" si="23"/>
        <v>53911</v>
      </c>
      <c r="C1485" s="282">
        <v>2.1382000000000002E-2</v>
      </c>
      <c r="F1485" s="256">
        <v>52684</v>
      </c>
      <c r="G1485" s="284">
        <v>0.61072888000000003</v>
      </c>
    </row>
    <row r="1486" spans="2:7">
      <c r="B1486" s="281">
        <f t="shared" ca="1" si="23"/>
        <v>53918</v>
      </c>
      <c r="C1486" s="282">
        <v>2.1378999999999999E-2</v>
      </c>
      <c r="F1486" s="256">
        <v>52691</v>
      </c>
      <c r="G1486" s="284">
        <v>0.61049808999999999</v>
      </c>
    </row>
    <row r="1487" spans="2:7">
      <c r="B1487" s="281">
        <f t="shared" ca="1" si="23"/>
        <v>53925</v>
      </c>
      <c r="C1487" s="282">
        <v>2.1375000000000002E-2</v>
      </c>
      <c r="F1487" s="256">
        <v>52698</v>
      </c>
      <c r="G1487" s="284">
        <v>0.61026743999999999</v>
      </c>
    </row>
    <row r="1488" spans="2:7">
      <c r="B1488" s="281">
        <f t="shared" ca="1" si="23"/>
        <v>53932</v>
      </c>
      <c r="C1488" s="282">
        <v>2.1371999999999999E-2</v>
      </c>
      <c r="F1488" s="256">
        <v>52705</v>
      </c>
      <c r="G1488" s="284">
        <v>0.61003693000000003</v>
      </c>
    </row>
    <row r="1489" spans="2:7">
      <c r="B1489" s="281">
        <f t="shared" ca="1" si="23"/>
        <v>53939</v>
      </c>
      <c r="C1489" s="282">
        <v>2.1368000000000002E-2</v>
      </c>
      <c r="F1489" s="256">
        <v>52712</v>
      </c>
      <c r="G1489" s="284">
        <v>0.60980654999999995</v>
      </c>
    </row>
    <row r="1490" spans="2:7">
      <c r="B1490" s="281">
        <f t="shared" ca="1" si="23"/>
        <v>53946</v>
      </c>
      <c r="C1490" s="282">
        <v>2.1364999999999999E-2</v>
      </c>
      <c r="F1490" s="256">
        <v>52719</v>
      </c>
      <c r="G1490" s="284">
        <v>0.60957631000000001</v>
      </c>
    </row>
    <row r="1491" spans="2:7">
      <c r="B1491" s="281">
        <f t="shared" ca="1" si="23"/>
        <v>53953</v>
      </c>
      <c r="C1491" s="282">
        <v>2.1361999999999999E-2</v>
      </c>
      <c r="F1491" s="256">
        <v>52726</v>
      </c>
      <c r="G1491" s="284">
        <v>0.60934621</v>
      </c>
    </row>
    <row r="1492" spans="2:7">
      <c r="B1492" s="281">
        <f t="shared" ca="1" si="23"/>
        <v>53960</v>
      </c>
      <c r="C1492" s="282">
        <v>2.1357999999999999E-2</v>
      </c>
      <c r="F1492" s="256">
        <v>52733</v>
      </c>
      <c r="G1492" s="284">
        <v>0.60911623999999998</v>
      </c>
    </row>
    <row r="1493" spans="2:7">
      <c r="B1493" s="281">
        <f t="shared" ca="1" si="23"/>
        <v>53967</v>
      </c>
      <c r="C1493" s="282">
        <v>2.1354000000000001E-2</v>
      </c>
      <c r="F1493" s="256">
        <v>52740</v>
      </c>
      <c r="G1493" s="284">
        <v>0.60888642000000004</v>
      </c>
    </row>
    <row r="1494" spans="2:7">
      <c r="B1494" s="281">
        <f t="shared" ca="1" si="23"/>
        <v>53974</v>
      </c>
      <c r="C1494" s="282">
        <v>2.1349E-2</v>
      </c>
      <c r="F1494" s="256">
        <v>52747</v>
      </c>
      <c r="G1494" s="284">
        <v>0.60865672999999998</v>
      </c>
    </row>
    <row r="1495" spans="2:7">
      <c r="B1495" s="281">
        <f t="shared" ca="1" si="23"/>
        <v>53981</v>
      </c>
      <c r="C1495" s="282">
        <v>2.1346E-2</v>
      </c>
      <c r="F1495" s="256">
        <v>52754</v>
      </c>
      <c r="G1495" s="284">
        <v>0.60842717999999996</v>
      </c>
    </row>
    <row r="1496" spans="2:7">
      <c r="B1496" s="281">
        <f t="shared" ca="1" si="23"/>
        <v>53988</v>
      </c>
      <c r="C1496" s="282">
        <v>2.1342E-2</v>
      </c>
      <c r="F1496" s="256">
        <v>52761</v>
      </c>
      <c r="G1496" s="284">
        <v>0.60819778000000002</v>
      </c>
    </row>
    <row r="1497" spans="2:7">
      <c r="B1497" s="281">
        <f t="shared" ca="1" si="23"/>
        <v>53995</v>
      </c>
      <c r="C1497" s="282">
        <v>2.1337999999999999E-2</v>
      </c>
      <c r="F1497" s="256">
        <v>52768</v>
      </c>
      <c r="G1497" s="284">
        <v>0.60796850999999996</v>
      </c>
    </row>
    <row r="1498" spans="2:7">
      <c r="B1498" s="281">
        <f t="shared" ca="1" si="23"/>
        <v>54002</v>
      </c>
      <c r="C1498" s="282">
        <v>2.1333999999999999E-2</v>
      </c>
      <c r="F1498" s="256">
        <v>52775</v>
      </c>
      <c r="G1498" s="284">
        <v>0.60773938000000005</v>
      </c>
    </row>
    <row r="1499" spans="2:7">
      <c r="B1499" s="281">
        <f t="shared" ca="1" si="23"/>
        <v>54009</v>
      </c>
      <c r="C1499" s="282">
        <v>2.1330999999999999E-2</v>
      </c>
      <c r="F1499" s="256">
        <v>52782</v>
      </c>
      <c r="G1499" s="284">
        <v>0.60751040000000001</v>
      </c>
    </row>
    <row r="1500" spans="2:7">
      <c r="B1500" s="281">
        <f t="shared" ref="B1500:B1563" ca="1" si="24">B1499+$A$28</f>
        <v>54016</v>
      </c>
      <c r="C1500" s="282">
        <v>2.1326999999999999E-2</v>
      </c>
      <c r="F1500" s="256">
        <v>52789</v>
      </c>
      <c r="G1500" s="284">
        <v>0.60728156</v>
      </c>
    </row>
    <row r="1501" spans="2:7">
      <c r="B1501" s="281">
        <f t="shared" ca="1" si="24"/>
        <v>54023</v>
      </c>
      <c r="C1501" s="282">
        <v>2.1323000000000002E-2</v>
      </c>
      <c r="F1501" s="256">
        <v>52796</v>
      </c>
      <c r="G1501" s="284">
        <v>0.60705286000000003</v>
      </c>
    </row>
    <row r="1502" spans="2:7">
      <c r="B1502" s="281">
        <f t="shared" ca="1" si="24"/>
        <v>54030</v>
      </c>
      <c r="C1502" s="282">
        <v>2.1319000000000001E-2</v>
      </c>
      <c r="F1502" s="256">
        <v>52803</v>
      </c>
      <c r="G1502" s="284">
        <v>0.60682429999999998</v>
      </c>
    </row>
    <row r="1503" spans="2:7">
      <c r="B1503" s="281">
        <f t="shared" ca="1" si="24"/>
        <v>54037</v>
      </c>
      <c r="C1503" s="282">
        <v>2.1315000000000001E-2</v>
      </c>
      <c r="F1503" s="256">
        <v>52810</v>
      </c>
      <c r="G1503" s="284">
        <v>0.60659589000000003</v>
      </c>
    </row>
    <row r="1504" spans="2:7">
      <c r="B1504" s="281">
        <f t="shared" ca="1" si="24"/>
        <v>54044</v>
      </c>
      <c r="C1504" s="282">
        <v>2.1311E-2</v>
      </c>
      <c r="F1504" s="256">
        <v>52817</v>
      </c>
      <c r="G1504" s="284">
        <v>0.60636760999999995</v>
      </c>
    </row>
    <row r="1505" spans="2:7">
      <c r="B1505" s="281">
        <f t="shared" ca="1" si="24"/>
        <v>54051</v>
      </c>
      <c r="C1505" s="282">
        <v>2.1307E-2</v>
      </c>
      <c r="F1505" s="256">
        <v>52824</v>
      </c>
      <c r="G1505" s="284">
        <v>0.60613949</v>
      </c>
    </row>
    <row r="1506" spans="2:7">
      <c r="B1506" s="281">
        <f t="shared" ca="1" si="24"/>
        <v>54058</v>
      </c>
      <c r="C1506" s="282">
        <v>2.1302999999999999E-2</v>
      </c>
      <c r="F1506" s="256">
        <v>52831</v>
      </c>
      <c r="G1506" s="284">
        <v>0.60591150000000005</v>
      </c>
    </row>
    <row r="1507" spans="2:7">
      <c r="B1507" s="281">
        <f t="shared" ca="1" si="24"/>
        <v>54065</v>
      </c>
      <c r="C1507" s="282">
        <v>2.1298000000000001E-2</v>
      </c>
      <c r="F1507" s="256">
        <v>52838</v>
      </c>
      <c r="G1507" s="284">
        <v>0.60568367000000001</v>
      </c>
    </row>
    <row r="1508" spans="2:7">
      <c r="B1508" s="281">
        <f t="shared" ca="1" si="24"/>
        <v>54072</v>
      </c>
      <c r="C1508" s="282">
        <v>2.1292999999999999E-2</v>
      </c>
      <c r="F1508" s="256">
        <v>52845</v>
      </c>
      <c r="G1508" s="284">
        <v>0.60545596999999995</v>
      </c>
    </row>
    <row r="1509" spans="2:7">
      <c r="B1509" s="281">
        <f t="shared" ca="1" si="24"/>
        <v>54079</v>
      </c>
      <c r="C1509" s="282">
        <v>2.1288999999999999E-2</v>
      </c>
      <c r="F1509" s="256">
        <v>52852</v>
      </c>
      <c r="G1509" s="284">
        <v>0.60522841999999999</v>
      </c>
    </row>
    <row r="1510" spans="2:7">
      <c r="B1510" s="281">
        <f t="shared" ca="1" si="24"/>
        <v>54086</v>
      </c>
      <c r="C1510" s="282">
        <v>2.1284999999999998E-2</v>
      </c>
      <c r="F1510" s="256">
        <v>52859</v>
      </c>
      <c r="G1510" s="284">
        <v>0.60500102</v>
      </c>
    </row>
    <row r="1511" spans="2:7">
      <c r="B1511" s="281">
        <f t="shared" ca="1" si="24"/>
        <v>54093</v>
      </c>
      <c r="C1511" s="282">
        <v>2.1281000000000001E-2</v>
      </c>
      <c r="F1511" s="256">
        <v>52866</v>
      </c>
      <c r="G1511" s="284">
        <v>0.60477376999999999</v>
      </c>
    </row>
    <row r="1512" spans="2:7">
      <c r="B1512" s="281">
        <f t="shared" ca="1" si="24"/>
        <v>54100</v>
      </c>
      <c r="C1512" s="282">
        <v>2.1277000000000001E-2</v>
      </c>
      <c r="F1512" s="256">
        <v>52873</v>
      </c>
      <c r="G1512" s="284">
        <v>0.60454666000000001</v>
      </c>
    </row>
    <row r="1513" spans="2:7">
      <c r="B1513" s="281">
        <f t="shared" ca="1" si="24"/>
        <v>54107</v>
      </c>
      <c r="C1513" s="282">
        <v>2.1273E-2</v>
      </c>
      <c r="F1513" s="256">
        <v>52880</v>
      </c>
      <c r="G1513" s="284">
        <v>0.60431968999999996</v>
      </c>
    </row>
    <row r="1514" spans="2:7">
      <c r="B1514" s="281">
        <f t="shared" ca="1" si="24"/>
        <v>54114</v>
      </c>
      <c r="C1514" s="282">
        <v>2.1269E-2</v>
      </c>
      <c r="F1514" s="256">
        <v>52887</v>
      </c>
      <c r="G1514" s="284">
        <v>0.60409287</v>
      </c>
    </row>
    <row r="1515" spans="2:7">
      <c r="B1515" s="281">
        <f t="shared" ca="1" si="24"/>
        <v>54121</v>
      </c>
      <c r="C1515" s="282">
        <v>2.1264000000000002E-2</v>
      </c>
      <c r="F1515" s="256">
        <v>52894</v>
      </c>
      <c r="G1515" s="284">
        <v>0.60386620999999996</v>
      </c>
    </row>
    <row r="1516" spans="2:7">
      <c r="B1516" s="281">
        <f t="shared" ca="1" si="24"/>
        <v>54128</v>
      </c>
      <c r="C1516" s="282">
        <v>2.1259E-2</v>
      </c>
      <c r="F1516" s="256">
        <v>52901</v>
      </c>
      <c r="G1516" s="284">
        <v>0.60363968000000001</v>
      </c>
    </row>
    <row r="1517" spans="2:7">
      <c r="B1517" s="281">
        <f t="shared" ca="1" si="24"/>
        <v>54135</v>
      </c>
      <c r="C1517" s="282">
        <v>2.1253999999999999E-2</v>
      </c>
      <c r="F1517" s="256">
        <v>52908</v>
      </c>
      <c r="G1517" s="284">
        <v>0.60341330999999998</v>
      </c>
    </row>
    <row r="1518" spans="2:7">
      <c r="B1518" s="281">
        <f t="shared" ca="1" si="24"/>
        <v>54142</v>
      </c>
      <c r="C1518" s="282">
        <v>2.1250000000000002E-2</v>
      </c>
      <c r="F1518" s="256">
        <v>52915</v>
      </c>
      <c r="G1518" s="284">
        <v>0.60318707999999999</v>
      </c>
    </row>
    <row r="1519" spans="2:7">
      <c r="B1519" s="281">
        <f t="shared" ca="1" si="24"/>
        <v>54149</v>
      </c>
      <c r="C1519" s="282">
        <v>2.1246000000000001E-2</v>
      </c>
      <c r="F1519" s="256">
        <v>52922</v>
      </c>
      <c r="G1519" s="284">
        <v>0.60296099999999997</v>
      </c>
    </row>
    <row r="1520" spans="2:7">
      <c r="B1520" s="281">
        <f t="shared" ca="1" si="24"/>
        <v>54156</v>
      </c>
      <c r="C1520" s="282">
        <v>2.1240999999999999E-2</v>
      </c>
      <c r="F1520" s="256">
        <v>52929</v>
      </c>
      <c r="G1520" s="284">
        <v>0.60273507999999998</v>
      </c>
    </row>
    <row r="1521" spans="2:7">
      <c r="B1521" s="281">
        <f t="shared" ca="1" si="24"/>
        <v>54163</v>
      </c>
      <c r="C1521" s="282">
        <v>2.1236999999999999E-2</v>
      </c>
      <c r="F1521" s="256">
        <v>52936</v>
      </c>
      <c r="G1521" s="284">
        <v>0.60250928999999998</v>
      </c>
    </row>
    <row r="1522" spans="2:7">
      <c r="B1522" s="281">
        <f t="shared" ca="1" si="24"/>
        <v>54170</v>
      </c>
      <c r="C1522" s="282">
        <v>2.1232999999999998E-2</v>
      </c>
      <c r="F1522" s="256">
        <v>52943</v>
      </c>
      <c r="G1522" s="284">
        <v>0.60228366</v>
      </c>
    </row>
    <row r="1523" spans="2:7">
      <c r="B1523" s="281">
        <f t="shared" ca="1" si="24"/>
        <v>54177</v>
      </c>
      <c r="C1523" s="282">
        <v>2.1228E-2</v>
      </c>
      <c r="F1523" s="256">
        <v>52950</v>
      </c>
      <c r="G1523" s="284">
        <v>0.60205818</v>
      </c>
    </row>
    <row r="1524" spans="2:7">
      <c r="B1524" s="281">
        <f t="shared" ca="1" si="24"/>
        <v>54184</v>
      </c>
      <c r="C1524" s="282">
        <v>2.1222999999999999E-2</v>
      </c>
      <c r="F1524" s="256">
        <v>52957</v>
      </c>
      <c r="G1524" s="284">
        <v>0.60183284999999997</v>
      </c>
    </row>
    <row r="1525" spans="2:7">
      <c r="B1525" s="281">
        <f t="shared" ca="1" si="24"/>
        <v>54191</v>
      </c>
      <c r="C1525" s="282">
        <v>2.1218999999999998E-2</v>
      </c>
      <c r="F1525" s="256">
        <v>52964</v>
      </c>
      <c r="G1525" s="284">
        <v>0.60160765999999999</v>
      </c>
    </row>
    <row r="1526" spans="2:7">
      <c r="B1526" s="281">
        <f t="shared" ca="1" si="24"/>
        <v>54198</v>
      </c>
      <c r="C1526" s="282">
        <v>2.1215000000000001E-2</v>
      </c>
      <c r="F1526" s="256">
        <v>52971</v>
      </c>
      <c r="G1526" s="284">
        <v>0.60138263000000003</v>
      </c>
    </row>
    <row r="1527" spans="2:7">
      <c r="B1527" s="281">
        <f t="shared" ca="1" si="24"/>
        <v>54205</v>
      </c>
      <c r="C1527" s="282">
        <v>2.121E-2</v>
      </c>
      <c r="F1527" s="256">
        <v>52978</v>
      </c>
      <c r="G1527" s="284">
        <v>0.60115775000000005</v>
      </c>
    </row>
    <row r="1528" spans="2:7">
      <c r="B1528" s="281">
        <f t="shared" ca="1" si="24"/>
        <v>54212</v>
      </c>
      <c r="C1528" s="282">
        <v>2.1205999999999999E-2</v>
      </c>
      <c r="F1528" s="256">
        <v>52985</v>
      </c>
      <c r="G1528" s="284">
        <v>0.60093300999999999</v>
      </c>
    </row>
    <row r="1529" spans="2:7">
      <c r="B1529" s="281">
        <f t="shared" ca="1" si="24"/>
        <v>54219</v>
      </c>
      <c r="C1529" s="282">
        <v>2.1198999999999999E-2</v>
      </c>
      <c r="F1529" s="256">
        <v>52992</v>
      </c>
      <c r="G1529" s="284">
        <v>0.60070842999999996</v>
      </c>
    </row>
    <row r="1530" spans="2:7">
      <c r="B1530" s="281">
        <f t="shared" ca="1" si="24"/>
        <v>54226</v>
      </c>
      <c r="C1530" s="282">
        <v>2.1194999999999999E-2</v>
      </c>
      <c r="F1530" s="256">
        <v>52999</v>
      </c>
      <c r="G1530" s="284">
        <v>0.60048400000000002</v>
      </c>
    </row>
    <row r="1531" spans="2:7">
      <c r="B1531" s="281">
        <f t="shared" ca="1" si="24"/>
        <v>54233</v>
      </c>
      <c r="C1531" s="282">
        <v>2.1190000000000001E-2</v>
      </c>
      <c r="F1531" s="256">
        <v>53006</v>
      </c>
      <c r="G1531" s="284">
        <v>0.60025971</v>
      </c>
    </row>
    <row r="1532" spans="2:7">
      <c r="B1532" s="281">
        <f t="shared" ca="1" si="24"/>
        <v>54240</v>
      </c>
      <c r="C1532" s="282">
        <v>2.1186E-2</v>
      </c>
      <c r="F1532" s="256">
        <v>53013</v>
      </c>
      <c r="G1532" s="284">
        <v>0.60003558000000001</v>
      </c>
    </row>
    <row r="1533" spans="2:7">
      <c r="B1533" s="281">
        <f t="shared" ca="1" si="24"/>
        <v>54247</v>
      </c>
      <c r="C1533" s="282">
        <v>2.1181999999999999E-2</v>
      </c>
      <c r="F1533" s="256">
        <v>53020</v>
      </c>
      <c r="G1533" s="284">
        <v>0.5998116</v>
      </c>
    </row>
    <row r="1534" spans="2:7">
      <c r="B1534" s="281">
        <f t="shared" ca="1" si="24"/>
        <v>54254</v>
      </c>
      <c r="C1534" s="282">
        <v>2.1177999999999999E-2</v>
      </c>
      <c r="F1534" s="256">
        <v>53027</v>
      </c>
      <c r="G1534" s="284">
        <v>0.59958776999999996</v>
      </c>
    </row>
    <row r="1535" spans="2:7">
      <c r="B1535" s="281">
        <f t="shared" ca="1" si="24"/>
        <v>54261</v>
      </c>
      <c r="C1535" s="282">
        <v>2.1173000000000001E-2</v>
      </c>
      <c r="F1535" s="256">
        <v>53034</v>
      </c>
      <c r="G1535" s="284">
        <v>0.59936409000000002</v>
      </c>
    </row>
    <row r="1536" spans="2:7">
      <c r="B1536" s="281">
        <f t="shared" ca="1" si="24"/>
        <v>54268</v>
      </c>
      <c r="C1536" s="282">
        <v>2.1167999999999999E-2</v>
      </c>
      <c r="F1536" s="256">
        <v>53041</v>
      </c>
      <c r="G1536" s="284">
        <v>0.59914056000000004</v>
      </c>
    </row>
    <row r="1537" spans="2:7">
      <c r="B1537" s="281">
        <f t="shared" ca="1" si="24"/>
        <v>54275</v>
      </c>
      <c r="C1537" s="282">
        <v>2.1163000000000001E-2</v>
      </c>
      <c r="F1537" s="256">
        <v>53048</v>
      </c>
      <c r="G1537" s="284">
        <v>0.59891718000000005</v>
      </c>
    </row>
    <row r="1538" spans="2:7">
      <c r="B1538" s="281">
        <f t="shared" ca="1" si="24"/>
        <v>54282</v>
      </c>
      <c r="C1538" s="282">
        <v>2.1158E-2</v>
      </c>
      <c r="F1538" s="256">
        <v>53055</v>
      </c>
      <c r="G1538" s="284">
        <v>0.59869395000000003</v>
      </c>
    </row>
    <row r="1539" spans="2:7">
      <c r="B1539" s="281">
        <f t="shared" ca="1" si="24"/>
        <v>54289</v>
      </c>
      <c r="C1539" s="282">
        <v>2.1153000000000002E-2</v>
      </c>
      <c r="F1539" s="256">
        <v>53062</v>
      </c>
      <c r="G1539" s="284">
        <v>0.59847086999999999</v>
      </c>
    </row>
    <row r="1540" spans="2:7">
      <c r="B1540" s="281">
        <f t="shared" ca="1" si="24"/>
        <v>54296</v>
      </c>
      <c r="C1540" s="282">
        <v>2.1149000000000001E-2</v>
      </c>
      <c r="F1540" s="256">
        <v>53069</v>
      </c>
      <c r="G1540" s="284">
        <v>0.59824794999999997</v>
      </c>
    </row>
    <row r="1541" spans="2:7">
      <c r="B1541" s="281">
        <f t="shared" ca="1" si="24"/>
        <v>54303</v>
      </c>
      <c r="C1541" s="282">
        <v>2.1144E-2</v>
      </c>
      <c r="F1541" s="256">
        <v>53076</v>
      </c>
      <c r="G1541" s="284">
        <v>0.59802516999999999</v>
      </c>
    </row>
    <row r="1542" spans="2:7">
      <c r="B1542" s="281">
        <f t="shared" ca="1" si="24"/>
        <v>54310</v>
      </c>
      <c r="C1542" s="282">
        <v>2.1139999999999999E-2</v>
      </c>
      <c r="F1542" s="256">
        <v>53083</v>
      </c>
      <c r="G1542" s="284">
        <v>0.59780253999999999</v>
      </c>
    </row>
    <row r="1543" spans="2:7">
      <c r="B1543" s="281">
        <f t="shared" ca="1" si="24"/>
        <v>54317</v>
      </c>
      <c r="C1543" s="282">
        <v>2.1135000000000001E-2</v>
      </c>
      <c r="F1543" s="256">
        <v>53090</v>
      </c>
      <c r="G1543" s="284">
        <v>0.59758007000000002</v>
      </c>
    </row>
    <row r="1544" spans="2:7">
      <c r="B1544" s="281">
        <f t="shared" ca="1" si="24"/>
        <v>54324</v>
      </c>
      <c r="C1544" s="282">
        <v>2.1131E-2</v>
      </c>
      <c r="F1544" s="256">
        <v>53097</v>
      </c>
      <c r="G1544" s="284">
        <v>0.59735775000000002</v>
      </c>
    </row>
    <row r="1545" spans="2:7">
      <c r="B1545" s="281">
        <f t="shared" ca="1" si="24"/>
        <v>54331</v>
      </c>
      <c r="C1545" s="282">
        <v>2.1125999999999999E-2</v>
      </c>
      <c r="F1545" s="256">
        <v>53104</v>
      </c>
      <c r="G1545" s="284">
        <v>0.59713556999999995</v>
      </c>
    </row>
    <row r="1546" spans="2:7">
      <c r="B1546" s="281">
        <f t="shared" ca="1" si="24"/>
        <v>54338</v>
      </c>
      <c r="C1546" s="282">
        <v>2.112E-2</v>
      </c>
      <c r="F1546" s="256">
        <v>53111</v>
      </c>
      <c r="G1546" s="284">
        <v>0.59691355000000001</v>
      </c>
    </row>
    <row r="1547" spans="2:7">
      <c r="B1547" s="281">
        <f t="shared" ca="1" si="24"/>
        <v>54345</v>
      </c>
      <c r="C1547" s="282">
        <v>2.1115999999999999E-2</v>
      </c>
      <c r="F1547" s="256">
        <v>53118</v>
      </c>
      <c r="G1547" s="284">
        <v>0.59669167999999995</v>
      </c>
    </row>
    <row r="1548" spans="2:7">
      <c r="B1548" s="281">
        <f t="shared" ca="1" si="24"/>
        <v>54352</v>
      </c>
      <c r="C1548" s="282">
        <v>2.1111000000000001E-2</v>
      </c>
      <c r="F1548" s="256">
        <v>53125</v>
      </c>
      <c r="G1548" s="284">
        <v>0.59646995000000003</v>
      </c>
    </row>
    <row r="1549" spans="2:7">
      <c r="B1549" s="281">
        <f t="shared" ca="1" si="24"/>
        <v>54359</v>
      </c>
      <c r="C1549" s="282">
        <v>2.1106E-2</v>
      </c>
      <c r="F1549" s="256">
        <v>53132</v>
      </c>
      <c r="G1549" s="284">
        <v>0.59624838000000002</v>
      </c>
    </row>
    <row r="1550" spans="2:7">
      <c r="B1550" s="281">
        <f t="shared" ca="1" si="24"/>
        <v>54366</v>
      </c>
      <c r="C1550" s="282">
        <v>2.1101999999999999E-2</v>
      </c>
      <c r="F1550" s="256">
        <v>53139</v>
      </c>
      <c r="G1550" s="284">
        <v>0.59602695999999999</v>
      </c>
    </row>
    <row r="1551" spans="2:7">
      <c r="B1551" s="281">
        <f t="shared" ca="1" si="24"/>
        <v>54373</v>
      </c>
      <c r="C1551" s="282">
        <v>2.1097999999999999E-2</v>
      </c>
      <c r="F1551" s="256">
        <v>53146</v>
      </c>
      <c r="G1551" s="284">
        <v>0.59580569000000005</v>
      </c>
    </row>
    <row r="1552" spans="2:7">
      <c r="B1552" s="281">
        <f t="shared" ca="1" si="24"/>
        <v>54380</v>
      </c>
      <c r="C1552" s="282">
        <v>2.1093000000000001E-2</v>
      </c>
      <c r="F1552" s="256">
        <v>53153</v>
      </c>
      <c r="G1552" s="284">
        <v>0.59558456000000004</v>
      </c>
    </row>
    <row r="1553" spans="2:7">
      <c r="B1553" s="281">
        <f t="shared" ca="1" si="24"/>
        <v>54387</v>
      </c>
      <c r="C1553" s="282">
        <v>2.1089E-2</v>
      </c>
      <c r="F1553" s="256">
        <v>53160</v>
      </c>
      <c r="G1553" s="284">
        <v>0.59536359000000005</v>
      </c>
    </row>
    <row r="1554" spans="2:7">
      <c r="B1554" s="281">
        <f t="shared" ca="1" si="24"/>
        <v>54394</v>
      </c>
      <c r="C1554" s="282">
        <v>2.1083999999999999E-2</v>
      </c>
      <c r="F1554" s="256">
        <v>53167</v>
      </c>
      <c r="G1554" s="284">
        <v>0.59514275999999999</v>
      </c>
    </row>
    <row r="1555" spans="2:7">
      <c r="B1555" s="281">
        <f t="shared" ca="1" si="24"/>
        <v>54401</v>
      </c>
      <c r="C1555" s="282">
        <v>2.1080000000000002E-2</v>
      </c>
      <c r="F1555" s="256">
        <v>53174</v>
      </c>
      <c r="G1555" s="284">
        <v>0.59492208000000002</v>
      </c>
    </row>
    <row r="1556" spans="2:7">
      <c r="B1556" s="281">
        <f t="shared" ca="1" si="24"/>
        <v>54408</v>
      </c>
      <c r="C1556" s="282">
        <v>2.1075E-2</v>
      </c>
      <c r="F1556" s="256">
        <v>53181</v>
      </c>
      <c r="G1556" s="284">
        <v>0.59470155999999996</v>
      </c>
    </row>
    <row r="1557" spans="2:7">
      <c r="B1557" s="281">
        <f t="shared" ca="1" si="24"/>
        <v>54415</v>
      </c>
      <c r="C1557" s="282">
        <v>2.1069999999999998E-2</v>
      </c>
      <c r="F1557" s="256">
        <v>53188</v>
      </c>
      <c r="G1557" s="284">
        <v>0.59448118000000005</v>
      </c>
    </row>
    <row r="1558" spans="2:7">
      <c r="B1558" s="281">
        <f t="shared" ca="1" si="24"/>
        <v>54422</v>
      </c>
      <c r="C1558" s="282">
        <v>2.1066000000000001E-2</v>
      </c>
      <c r="F1558" s="256">
        <v>53195</v>
      </c>
      <c r="G1558" s="284">
        <v>0.59426093999999996</v>
      </c>
    </row>
    <row r="1559" spans="2:7">
      <c r="B1559" s="281">
        <f t="shared" ca="1" si="24"/>
        <v>54429</v>
      </c>
      <c r="C1559" s="282">
        <v>2.1059999999999999E-2</v>
      </c>
      <c r="F1559" s="256">
        <v>53202</v>
      </c>
      <c r="G1559" s="284">
        <v>0.59404086</v>
      </c>
    </row>
    <row r="1560" spans="2:7">
      <c r="B1560" s="281">
        <f t="shared" ca="1" si="24"/>
        <v>54436</v>
      </c>
      <c r="C1560" s="282">
        <v>2.1055999999999998E-2</v>
      </c>
      <c r="F1560" s="256">
        <v>53209</v>
      </c>
      <c r="G1560" s="284">
        <v>0.59382091999999997</v>
      </c>
    </row>
    <row r="1561" spans="2:7">
      <c r="B1561" s="281">
        <f t="shared" ca="1" si="24"/>
        <v>54443</v>
      </c>
      <c r="C1561" s="282">
        <v>2.1051E-2</v>
      </c>
      <c r="F1561" s="256">
        <v>53216</v>
      </c>
      <c r="G1561" s="284">
        <v>0.59360113000000003</v>
      </c>
    </row>
    <row r="1562" spans="2:7">
      <c r="B1562" s="281">
        <f t="shared" ca="1" si="24"/>
        <v>54450</v>
      </c>
      <c r="C1562" s="282">
        <v>2.1047E-2</v>
      </c>
      <c r="F1562" s="256">
        <v>53223</v>
      </c>
      <c r="G1562" s="284">
        <v>0.59338148999999996</v>
      </c>
    </row>
    <row r="1563" spans="2:7">
      <c r="B1563" s="281">
        <f t="shared" ca="1" si="24"/>
        <v>54457</v>
      </c>
      <c r="C1563" s="282">
        <v>2.1042000000000002E-2</v>
      </c>
      <c r="F1563" s="256">
        <v>53230</v>
      </c>
      <c r="G1563" s="284">
        <v>0.59316199000000003</v>
      </c>
    </row>
    <row r="1564" spans="2:7">
      <c r="B1564" s="281">
        <f t="shared" ref="B1564:B1627" ca="1" si="25">B1563+$A$28</f>
        <v>54464</v>
      </c>
      <c r="C1564" s="282">
        <v>2.1038000000000001E-2</v>
      </c>
      <c r="F1564" s="256">
        <v>53237</v>
      </c>
      <c r="G1564" s="284">
        <v>0.59294263999999997</v>
      </c>
    </row>
    <row r="1565" spans="2:7">
      <c r="B1565" s="281">
        <f t="shared" ca="1" si="25"/>
        <v>54471</v>
      </c>
      <c r="C1565" s="282">
        <v>2.1034000000000001E-2</v>
      </c>
      <c r="F1565" s="256">
        <v>53244</v>
      </c>
      <c r="G1565" s="284">
        <v>0.59272343000000005</v>
      </c>
    </row>
    <row r="1566" spans="2:7">
      <c r="B1566" s="281">
        <f t="shared" ca="1" si="25"/>
        <v>54478</v>
      </c>
      <c r="C1566" s="282">
        <v>2.103E-2</v>
      </c>
      <c r="F1566" s="256">
        <v>53251</v>
      </c>
      <c r="G1566" s="284">
        <v>0.59250437</v>
      </c>
    </row>
    <row r="1567" spans="2:7">
      <c r="B1567" s="281">
        <f t="shared" ca="1" si="25"/>
        <v>54485</v>
      </c>
      <c r="C1567" s="282">
        <v>2.1024999999999999E-2</v>
      </c>
      <c r="F1567" s="256">
        <v>53258</v>
      </c>
      <c r="G1567" s="284">
        <v>0.59228544999999999</v>
      </c>
    </row>
    <row r="1568" spans="2:7">
      <c r="B1568" s="281">
        <f t="shared" ca="1" si="25"/>
        <v>54492</v>
      </c>
      <c r="C1568" s="282">
        <v>2.102E-2</v>
      </c>
      <c r="F1568" s="256">
        <v>53265</v>
      </c>
      <c r="G1568" s="284">
        <v>0.59206667999999996</v>
      </c>
    </row>
    <row r="1569" spans="2:7">
      <c r="B1569" s="281">
        <f t="shared" ca="1" si="25"/>
        <v>54499</v>
      </c>
      <c r="C1569" s="282">
        <v>2.1016E-2</v>
      </c>
      <c r="F1569" s="256">
        <v>53272</v>
      </c>
      <c r="G1569" s="284">
        <v>0.59184804999999996</v>
      </c>
    </row>
    <row r="1570" spans="2:7">
      <c r="B1570" s="281">
        <f t="shared" ca="1" si="25"/>
        <v>54506</v>
      </c>
      <c r="C1570" s="282">
        <v>2.1010999999999998E-2</v>
      </c>
      <c r="F1570" s="256">
        <v>53279</v>
      </c>
      <c r="G1570" s="284">
        <v>0.59162956</v>
      </c>
    </row>
    <row r="1571" spans="2:7">
      <c r="B1571" s="281">
        <f t="shared" ca="1" si="25"/>
        <v>54513</v>
      </c>
      <c r="C1571" s="282">
        <v>2.1007000000000001E-2</v>
      </c>
      <c r="F1571" s="256">
        <v>53286</v>
      </c>
      <c r="G1571" s="284">
        <v>0.59141120999999996</v>
      </c>
    </row>
    <row r="1572" spans="2:7">
      <c r="B1572" s="281">
        <f t="shared" ca="1" si="25"/>
        <v>54520</v>
      </c>
      <c r="C1572" s="282">
        <v>2.1003000000000001E-2</v>
      </c>
      <c r="F1572" s="256">
        <v>53293</v>
      </c>
      <c r="G1572" s="284">
        <v>0.59119301000000002</v>
      </c>
    </row>
    <row r="1573" spans="2:7">
      <c r="B1573" s="281">
        <f t="shared" ca="1" si="25"/>
        <v>54527</v>
      </c>
      <c r="C1573" s="282">
        <v>2.1000000000000001E-2</v>
      </c>
      <c r="F1573" s="256">
        <v>53300</v>
      </c>
      <c r="G1573" s="284">
        <v>0.59097495</v>
      </c>
    </row>
    <row r="1574" spans="2:7">
      <c r="B1574" s="281">
        <f t="shared" ca="1" si="25"/>
        <v>54534</v>
      </c>
      <c r="C1574" s="282">
        <v>2.0996000000000001E-2</v>
      </c>
      <c r="F1574" s="256">
        <v>53307</v>
      </c>
      <c r="G1574" s="284">
        <v>0.59075703000000002</v>
      </c>
    </row>
    <row r="1575" spans="2:7">
      <c r="B1575" s="281">
        <f t="shared" ca="1" si="25"/>
        <v>54541</v>
      </c>
      <c r="C1575" s="282">
        <v>2.0990999999999999E-2</v>
      </c>
      <c r="F1575" s="256">
        <v>53314</v>
      </c>
      <c r="G1575" s="284">
        <v>0.59053924999999996</v>
      </c>
    </row>
    <row r="1576" spans="2:7">
      <c r="B1576" s="281">
        <f t="shared" ca="1" si="25"/>
        <v>54548</v>
      </c>
      <c r="C1576" s="282">
        <v>2.0986000000000001E-2</v>
      </c>
      <c r="F1576" s="256">
        <v>53321</v>
      </c>
      <c r="G1576" s="284">
        <v>0.5903216</v>
      </c>
    </row>
    <row r="1577" spans="2:7">
      <c r="B1577" s="281">
        <f t="shared" ca="1" si="25"/>
        <v>54555</v>
      </c>
      <c r="C1577" s="282">
        <v>2.0983000000000002E-2</v>
      </c>
      <c r="F1577" s="256">
        <v>53328</v>
      </c>
      <c r="G1577" s="284">
        <v>0.59010410000000002</v>
      </c>
    </row>
    <row r="1578" spans="2:7">
      <c r="B1578" s="281">
        <f t="shared" ca="1" si="25"/>
        <v>54562</v>
      </c>
      <c r="C1578" s="282">
        <v>2.0979000000000001E-2</v>
      </c>
      <c r="F1578" s="256">
        <v>53335</v>
      </c>
      <c r="G1578" s="284">
        <v>0.58988673000000003</v>
      </c>
    </row>
    <row r="1579" spans="2:7">
      <c r="B1579" s="281">
        <f t="shared" ca="1" si="25"/>
        <v>54569</v>
      </c>
      <c r="C1579" s="282">
        <v>2.0976000000000002E-2</v>
      </c>
      <c r="F1579" s="256">
        <v>53342</v>
      </c>
      <c r="G1579" s="284">
        <v>0.58966951000000001</v>
      </c>
    </row>
    <row r="1580" spans="2:7">
      <c r="B1580" s="281">
        <f t="shared" ca="1" si="25"/>
        <v>54576</v>
      </c>
      <c r="C1580" s="282">
        <v>2.0971E-2</v>
      </c>
      <c r="F1580" s="256">
        <v>53349</v>
      </c>
      <c r="G1580" s="284">
        <v>0.58945241999999998</v>
      </c>
    </row>
    <row r="1581" spans="2:7">
      <c r="B1581" s="281">
        <f t="shared" ca="1" si="25"/>
        <v>54583</v>
      </c>
      <c r="C1581" s="282">
        <v>2.0965999999999999E-2</v>
      </c>
      <c r="F1581" s="256">
        <v>53356</v>
      </c>
      <c r="G1581" s="284">
        <v>0.58923546000000004</v>
      </c>
    </row>
    <row r="1582" spans="2:7">
      <c r="B1582" s="281">
        <f t="shared" ca="1" si="25"/>
        <v>54590</v>
      </c>
      <c r="C1582" s="282">
        <v>2.0962000000000001E-2</v>
      </c>
      <c r="F1582" s="256">
        <v>53363</v>
      </c>
      <c r="G1582" s="284">
        <v>0.58901864000000004</v>
      </c>
    </row>
    <row r="1583" spans="2:7">
      <c r="B1583" s="281">
        <f t="shared" ca="1" si="25"/>
        <v>54597</v>
      </c>
      <c r="C1583" s="282">
        <v>2.0958000000000001E-2</v>
      </c>
      <c r="F1583" s="256">
        <v>53370</v>
      </c>
      <c r="G1583" s="284">
        <v>0.58880195000000002</v>
      </c>
    </row>
    <row r="1584" spans="2:7">
      <c r="B1584" s="281">
        <f t="shared" ca="1" si="25"/>
        <v>54604</v>
      </c>
      <c r="C1584" s="282">
        <v>2.0954E-2</v>
      </c>
      <c r="F1584" s="256">
        <v>53377</v>
      </c>
      <c r="G1584" s="284">
        <v>0.58858540000000004</v>
      </c>
    </row>
    <row r="1585" spans="2:7">
      <c r="B1585" s="281">
        <f t="shared" ca="1" si="25"/>
        <v>54611</v>
      </c>
      <c r="C1585" s="282">
        <v>2.0951000000000001E-2</v>
      </c>
      <c r="F1585" s="256">
        <v>53384</v>
      </c>
      <c r="G1585" s="284">
        <v>0.58836898000000004</v>
      </c>
    </row>
    <row r="1586" spans="2:7">
      <c r="B1586" s="281">
        <f t="shared" ca="1" si="25"/>
        <v>54618</v>
      </c>
      <c r="C1586" s="282">
        <v>2.0948999999999999E-2</v>
      </c>
      <c r="F1586" s="256">
        <v>53391</v>
      </c>
      <c r="G1586" s="284">
        <v>0.58815269999999997</v>
      </c>
    </row>
    <row r="1587" spans="2:7">
      <c r="B1587" s="281">
        <f t="shared" ca="1" si="25"/>
        <v>54625</v>
      </c>
      <c r="C1587" s="282">
        <v>2.0944999999999998E-2</v>
      </c>
      <c r="F1587" s="256">
        <v>53398</v>
      </c>
      <c r="G1587" s="284">
        <v>0.58793653999999995</v>
      </c>
    </row>
    <row r="1588" spans="2:7">
      <c r="B1588" s="281">
        <f t="shared" ca="1" si="25"/>
        <v>54632</v>
      </c>
      <c r="C1588" s="282">
        <v>2.0941999999999999E-2</v>
      </c>
      <c r="F1588" s="256">
        <v>53405</v>
      </c>
      <c r="G1588" s="284">
        <v>0.58772051000000003</v>
      </c>
    </row>
    <row r="1589" spans="2:7">
      <c r="B1589" s="281">
        <f t="shared" ca="1" si="25"/>
        <v>54639</v>
      </c>
      <c r="C1589" s="282">
        <v>2.0937999999999998E-2</v>
      </c>
      <c r="F1589" s="256">
        <v>53412</v>
      </c>
      <c r="G1589" s="284">
        <v>0.58750462000000003</v>
      </c>
    </row>
    <row r="1590" spans="2:7">
      <c r="B1590" s="281">
        <f t="shared" ca="1" si="25"/>
        <v>54646</v>
      </c>
      <c r="C1590" s="282">
        <v>2.0934000000000001E-2</v>
      </c>
      <c r="F1590" s="256">
        <v>53419</v>
      </c>
      <c r="G1590" s="284">
        <v>0.58728884999999997</v>
      </c>
    </row>
    <row r="1591" spans="2:7">
      <c r="B1591" s="281">
        <f t="shared" ca="1" si="25"/>
        <v>54653</v>
      </c>
      <c r="C1591" s="282">
        <v>2.0930000000000001E-2</v>
      </c>
      <c r="F1591" s="256">
        <v>53426</v>
      </c>
      <c r="G1591" s="284">
        <v>0.58707321000000001</v>
      </c>
    </row>
    <row r="1592" spans="2:7">
      <c r="B1592" s="281">
        <f t="shared" ca="1" si="25"/>
        <v>54660</v>
      </c>
      <c r="C1592" s="282">
        <v>2.0927000000000001E-2</v>
      </c>
      <c r="F1592" s="256">
        <v>53433</v>
      </c>
      <c r="G1592" s="284">
        <v>0.58685768999999999</v>
      </c>
    </row>
    <row r="1593" spans="2:7">
      <c r="B1593" s="281">
        <f t="shared" ca="1" si="25"/>
        <v>54667</v>
      </c>
      <c r="C1593" s="282">
        <v>2.0924000000000002E-2</v>
      </c>
      <c r="F1593" s="256">
        <v>53440</v>
      </c>
      <c r="G1593" s="284">
        <v>0.58664229999999995</v>
      </c>
    </row>
    <row r="1594" spans="2:7">
      <c r="B1594" s="281">
        <f t="shared" ca="1" si="25"/>
        <v>54674</v>
      </c>
      <c r="C1594" s="282">
        <v>2.0920999999999999E-2</v>
      </c>
      <c r="F1594" s="256">
        <v>53447</v>
      </c>
      <c r="G1594" s="284">
        <v>0.58642704000000001</v>
      </c>
    </row>
    <row r="1595" spans="2:7">
      <c r="B1595" s="281">
        <f t="shared" ca="1" si="25"/>
        <v>54681</v>
      </c>
      <c r="C1595" s="282">
        <v>2.0917999999999999E-2</v>
      </c>
      <c r="F1595" s="256">
        <v>53454</v>
      </c>
      <c r="G1595" s="284">
        <v>0.58621190000000001</v>
      </c>
    </row>
    <row r="1596" spans="2:7">
      <c r="B1596" s="281">
        <f t="shared" ca="1" si="25"/>
        <v>54688</v>
      </c>
      <c r="C1596" s="282">
        <v>2.0913999999999999E-2</v>
      </c>
      <c r="F1596" s="256">
        <v>53461</v>
      </c>
      <c r="G1596" s="284">
        <v>0.58599688000000005</v>
      </c>
    </row>
    <row r="1597" spans="2:7">
      <c r="B1597" s="281">
        <f t="shared" ca="1" si="25"/>
        <v>54695</v>
      </c>
      <c r="C1597" s="282">
        <v>2.0910999999999999E-2</v>
      </c>
      <c r="F1597" s="256">
        <v>53468</v>
      </c>
      <c r="G1597" s="284">
        <v>0.58578198999999997</v>
      </c>
    </row>
    <row r="1598" spans="2:7">
      <c r="B1598" s="281">
        <f t="shared" ca="1" si="25"/>
        <v>54702</v>
      </c>
      <c r="C1598" s="282">
        <v>2.0906999999999999E-2</v>
      </c>
      <c r="F1598" s="256">
        <v>53475</v>
      </c>
      <c r="G1598" s="284">
        <v>0.58556722999999999</v>
      </c>
    </row>
    <row r="1599" spans="2:7">
      <c r="B1599" s="281">
        <f t="shared" ca="1" si="25"/>
        <v>54709</v>
      </c>
      <c r="C1599" s="282">
        <v>2.0903000000000001E-2</v>
      </c>
      <c r="F1599" s="256">
        <v>53482</v>
      </c>
      <c r="G1599" s="284">
        <v>0.58535258999999995</v>
      </c>
    </row>
    <row r="1600" spans="2:7">
      <c r="B1600" s="281">
        <f t="shared" ca="1" si="25"/>
        <v>54716</v>
      </c>
      <c r="C1600" s="282">
        <v>2.0899999999999998E-2</v>
      </c>
      <c r="F1600" s="256">
        <v>53489</v>
      </c>
      <c r="G1600" s="284">
        <v>0.58513808</v>
      </c>
    </row>
    <row r="1601" spans="2:7">
      <c r="B1601" s="281">
        <f t="shared" ca="1" si="25"/>
        <v>54723</v>
      </c>
      <c r="C1601" s="282">
        <v>2.0896000000000001E-2</v>
      </c>
      <c r="F1601" s="256">
        <v>53496</v>
      </c>
      <c r="G1601" s="284">
        <v>0.58492369</v>
      </c>
    </row>
    <row r="1602" spans="2:7">
      <c r="B1602" s="281">
        <f t="shared" ca="1" si="25"/>
        <v>54730</v>
      </c>
      <c r="C1602" s="282">
        <v>2.0892999999999998E-2</v>
      </c>
      <c r="F1602" s="256">
        <v>53503</v>
      </c>
      <c r="G1602" s="284">
        <v>0.58470942999999997</v>
      </c>
    </row>
    <row r="1603" spans="2:7">
      <c r="B1603" s="281">
        <f t="shared" ca="1" si="25"/>
        <v>54737</v>
      </c>
      <c r="C1603" s="282">
        <v>2.0889999999999999E-2</v>
      </c>
      <c r="F1603" s="256">
        <v>53510</v>
      </c>
      <c r="G1603" s="284">
        <v>0.58449530000000005</v>
      </c>
    </row>
    <row r="1604" spans="2:7">
      <c r="B1604" s="281">
        <f t="shared" ca="1" si="25"/>
        <v>54744</v>
      </c>
      <c r="C1604" s="282">
        <v>2.0886999999999999E-2</v>
      </c>
      <c r="F1604" s="256">
        <v>53517</v>
      </c>
      <c r="G1604" s="284">
        <v>0.58428128999999995</v>
      </c>
    </row>
    <row r="1605" spans="2:7">
      <c r="B1605" s="281">
        <f t="shared" ca="1" si="25"/>
        <v>54751</v>
      </c>
      <c r="C1605" s="282">
        <v>2.0882999999999999E-2</v>
      </c>
      <c r="F1605" s="256">
        <v>53524</v>
      </c>
      <c r="G1605" s="284">
        <v>0.58406740999999995</v>
      </c>
    </row>
    <row r="1606" spans="2:7">
      <c r="B1606" s="281">
        <f t="shared" ca="1" si="25"/>
        <v>54758</v>
      </c>
      <c r="C1606" s="282">
        <v>2.0879999999999999E-2</v>
      </c>
      <c r="F1606" s="256">
        <v>53531</v>
      </c>
      <c r="G1606" s="284">
        <v>0.58385365</v>
      </c>
    </row>
    <row r="1607" spans="2:7">
      <c r="B1607" s="281">
        <f t="shared" ca="1" si="25"/>
        <v>54765</v>
      </c>
      <c r="C1607" s="282">
        <v>2.0877E-2</v>
      </c>
      <c r="F1607" s="256">
        <v>53538</v>
      </c>
      <c r="G1607" s="284">
        <v>0.58364002000000004</v>
      </c>
    </row>
    <row r="1608" spans="2:7">
      <c r="B1608" s="281">
        <f t="shared" ca="1" si="25"/>
        <v>54772</v>
      </c>
      <c r="C1608" s="282">
        <v>2.0872999999999999E-2</v>
      </c>
      <c r="F1608" s="256">
        <v>53545</v>
      </c>
      <c r="G1608" s="284">
        <v>0.58342651999999995</v>
      </c>
    </row>
    <row r="1609" spans="2:7">
      <c r="B1609" s="281">
        <f t="shared" ca="1" si="25"/>
        <v>54779</v>
      </c>
      <c r="C1609" s="282">
        <v>2.0868999999999999E-2</v>
      </c>
      <c r="F1609" s="256">
        <v>53552</v>
      </c>
      <c r="G1609" s="284">
        <v>0.58321314000000002</v>
      </c>
    </row>
    <row r="1610" spans="2:7">
      <c r="B1610" s="281">
        <f t="shared" ca="1" si="25"/>
        <v>54786</v>
      </c>
      <c r="C1610" s="282">
        <v>2.0865999999999999E-2</v>
      </c>
      <c r="F1610" s="256">
        <v>53559</v>
      </c>
      <c r="G1610" s="284">
        <v>0.58299988999999997</v>
      </c>
    </row>
    <row r="1611" spans="2:7">
      <c r="B1611" s="281">
        <f t="shared" ca="1" si="25"/>
        <v>54793</v>
      </c>
      <c r="C1611" s="282">
        <v>2.0861000000000001E-2</v>
      </c>
      <c r="F1611" s="256">
        <v>53566</v>
      </c>
      <c r="G1611" s="284">
        <v>0.58278677000000001</v>
      </c>
    </row>
    <row r="1612" spans="2:7">
      <c r="B1612" s="281">
        <f t="shared" ca="1" si="25"/>
        <v>54800</v>
      </c>
      <c r="C1612" s="282">
        <v>2.0858000000000002E-2</v>
      </c>
      <c r="F1612" s="256">
        <v>53573</v>
      </c>
      <c r="G1612" s="284">
        <v>0.58257376999999999</v>
      </c>
    </row>
    <row r="1613" spans="2:7">
      <c r="B1613" s="281">
        <f t="shared" ca="1" si="25"/>
        <v>54807</v>
      </c>
      <c r="C1613" s="282">
        <v>2.0854000000000001E-2</v>
      </c>
      <c r="F1613" s="256">
        <v>53580</v>
      </c>
      <c r="G1613" s="284">
        <v>0.58236089999999996</v>
      </c>
    </row>
    <row r="1614" spans="2:7">
      <c r="B1614" s="281">
        <f t="shared" ca="1" si="25"/>
        <v>54814</v>
      </c>
      <c r="C1614" s="282">
        <v>2.0851000000000001E-2</v>
      </c>
      <c r="F1614" s="256">
        <v>53587</v>
      </c>
      <c r="G1614" s="284">
        <v>0.58214816000000003</v>
      </c>
    </row>
    <row r="1615" spans="2:7">
      <c r="B1615" s="281">
        <f t="shared" ca="1" si="25"/>
        <v>54821</v>
      </c>
      <c r="C1615" s="282">
        <v>2.0847000000000001E-2</v>
      </c>
      <c r="F1615" s="256">
        <v>53594</v>
      </c>
      <c r="G1615" s="284">
        <v>0.58193554000000003</v>
      </c>
    </row>
    <row r="1616" spans="2:7">
      <c r="B1616" s="281">
        <f t="shared" ca="1" si="25"/>
        <v>54828</v>
      </c>
      <c r="C1616" s="282">
        <v>2.0844000000000001E-2</v>
      </c>
      <c r="F1616" s="256">
        <v>53601</v>
      </c>
      <c r="G1616" s="284">
        <v>0.58172305999999996</v>
      </c>
    </row>
    <row r="1617" spans="2:7">
      <c r="B1617" s="281">
        <f t="shared" ca="1" si="25"/>
        <v>54835</v>
      </c>
      <c r="C1617" s="282">
        <v>2.0840999999999998E-2</v>
      </c>
      <c r="F1617" s="256">
        <v>53608</v>
      </c>
      <c r="G1617" s="284">
        <v>0.58151070000000005</v>
      </c>
    </row>
    <row r="1618" spans="2:7">
      <c r="B1618" s="281">
        <f t="shared" ca="1" si="25"/>
        <v>54842</v>
      </c>
      <c r="C1618" s="282">
        <v>2.0837000000000001E-2</v>
      </c>
      <c r="F1618" s="256">
        <v>53615</v>
      </c>
      <c r="G1618" s="284">
        <v>0.58129845999999996</v>
      </c>
    </row>
    <row r="1619" spans="2:7">
      <c r="B1619" s="281">
        <f t="shared" ca="1" si="25"/>
        <v>54849</v>
      </c>
      <c r="C1619" s="282">
        <v>2.0833999999999998E-2</v>
      </c>
      <c r="F1619" s="256">
        <v>53622</v>
      </c>
      <c r="G1619" s="284">
        <v>0.58108636000000002</v>
      </c>
    </row>
    <row r="1620" spans="2:7">
      <c r="B1620" s="281">
        <f t="shared" ca="1" si="25"/>
        <v>54856</v>
      </c>
      <c r="C1620" s="282">
        <v>2.0829E-2</v>
      </c>
      <c r="F1620" s="256">
        <v>53629</v>
      </c>
      <c r="G1620" s="284">
        <v>0.58087438000000002</v>
      </c>
    </row>
    <row r="1621" spans="2:7">
      <c r="B1621" s="281">
        <f t="shared" ca="1" si="25"/>
        <v>54863</v>
      </c>
      <c r="C1621" s="282">
        <v>2.0826000000000001E-2</v>
      </c>
      <c r="F1621" s="256">
        <v>53636</v>
      </c>
      <c r="G1621" s="284">
        <v>0.58066253000000001</v>
      </c>
    </row>
    <row r="1622" spans="2:7">
      <c r="B1622" s="281">
        <f t="shared" ca="1" si="25"/>
        <v>54870</v>
      </c>
      <c r="C1622" s="282">
        <v>2.0822E-2</v>
      </c>
      <c r="F1622" s="256">
        <v>53643</v>
      </c>
      <c r="G1622" s="284">
        <v>0.58045080000000004</v>
      </c>
    </row>
    <row r="1623" spans="2:7">
      <c r="B1623" s="281">
        <f t="shared" ca="1" si="25"/>
        <v>54877</v>
      </c>
      <c r="C1623" s="282">
        <v>2.0818E-2</v>
      </c>
      <c r="F1623" s="256">
        <v>53650</v>
      </c>
      <c r="G1623" s="284">
        <v>0.58023921000000001</v>
      </c>
    </row>
    <row r="1624" spans="2:7">
      <c r="B1624" s="281">
        <f t="shared" ca="1" si="25"/>
        <v>54884</v>
      </c>
      <c r="C1624" s="282">
        <v>2.0815E-2</v>
      </c>
      <c r="F1624" s="256">
        <v>53657</v>
      </c>
      <c r="G1624" s="284">
        <v>0.58002774000000001</v>
      </c>
    </row>
    <row r="1625" spans="2:7">
      <c r="B1625" s="281">
        <f t="shared" ca="1" si="25"/>
        <v>54891</v>
      </c>
      <c r="C1625" s="282">
        <v>2.0812000000000001E-2</v>
      </c>
      <c r="F1625" s="256">
        <v>53664</v>
      </c>
      <c r="G1625" s="284">
        <v>0.57981640000000001</v>
      </c>
    </row>
    <row r="1626" spans="2:7">
      <c r="B1626" s="281">
        <f t="shared" ca="1" si="25"/>
        <v>54898</v>
      </c>
      <c r="C1626" s="282">
        <v>2.0809000000000001E-2</v>
      </c>
      <c r="F1626" s="256">
        <v>53671</v>
      </c>
      <c r="G1626" s="284">
        <v>0.57960518999999999</v>
      </c>
    </row>
    <row r="1627" spans="2:7">
      <c r="B1627" s="281">
        <f t="shared" ca="1" si="25"/>
        <v>54905</v>
      </c>
      <c r="C1627" s="282">
        <v>2.0805000000000001E-2</v>
      </c>
      <c r="F1627" s="256">
        <v>53678</v>
      </c>
      <c r="G1627" s="284">
        <v>0.57939410000000002</v>
      </c>
    </row>
    <row r="1628" spans="2:7">
      <c r="B1628" s="281">
        <f t="shared" ref="B1628:B1677" ca="1" si="26">B1627+$A$28</f>
        <v>54912</v>
      </c>
      <c r="C1628" s="282">
        <v>2.0799999999999999E-2</v>
      </c>
      <c r="F1628" s="256">
        <v>53685</v>
      </c>
      <c r="G1628" s="284">
        <v>0.57918314999999998</v>
      </c>
    </row>
    <row r="1629" spans="2:7">
      <c r="B1629" s="281">
        <f t="shared" ca="1" si="26"/>
        <v>54919</v>
      </c>
      <c r="C1629" s="282">
        <v>2.0797E-2</v>
      </c>
      <c r="F1629" s="256">
        <v>53692</v>
      </c>
      <c r="G1629" s="284">
        <v>0.57897231999999998</v>
      </c>
    </row>
    <row r="1630" spans="2:7">
      <c r="B1630" s="281">
        <f t="shared" ca="1" si="26"/>
        <v>54926</v>
      </c>
      <c r="C1630" s="282">
        <v>2.0794E-2</v>
      </c>
      <c r="F1630" s="256">
        <v>53699</v>
      </c>
      <c r="G1630" s="284">
        <v>0.57876161999999998</v>
      </c>
    </row>
    <row r="1631" spans="2:7">
      <c r="B1631" s="281">
        <f t="shared" ca="1" si="26"/>
        <v>54933</v>
      </c>
      <c r="C1631" s="282">
        <v>2.0791E-2</v>
      </c>
      <c r="F1631" s="256">
        <v>53706</v>
      </c>
      <c r="G1631" s="284">
        <v>0.57855104999999996</v>
      </c>
    </row>
    <row r="1632" spans="2:7">
      <c r="B1632" s="281">
        <f t="shared" ca="1" si="26"/>
        <v>54940</v>
      </c>
      <c r="C1632" s="282">
        <v>2.0787E-2</v>
      </c>
      <c r="F1632" s="256">
        <v>53713</v>
      </c>
      <c r="G1632" s="284">
        <v>0.57834059999999998</v>
      </c>
    </row>
    <row r="1633" spans="2:7">
      <c r="B1633" s="281">
        <f t="shared" ca="1" si="26"/>
        <v>54947</v>
      </c>
      <c r="C1633" s="282">
        <v>2.0781999999999998E-2</v>
      </c>
      <c r="F1633" s="256">
        <v>53720</v>
      </c>
      <c r="G1633" s="284">
        <v>0.57813029000000005</v>
      </c>
    </row>
    <row r="1634" spans="2:7">
      <c r="B1634" s="281">
        <f t="shared" ca="1" si="26"/>
        <v>54954</v>
      </c>
      <c r="C1634" s="282">
        <v>2.0778000000000001E-2</v>
      </c>
      <c r="F1634" s="256">
        <v>53727</v>
      </c>
      <c r="G1634" s="284">
        <v>0.57792010000000005</v>
      </c>
    </row>
    <row r="1635" spans="2:7">
      <c r="B1635" s="281">
        <f t="shared" ca="1" si="26"/>
        <v>54961</v>
      </c>
      <c r="C1635" s="282">
        <v>2.0774000000000001E-2</v>
      </c>
      <c r="F1635" s="256">
        <v>53734</v>
      </c>
      <c r="G1635" s="284">
        <v>0.57771004000000004</v>
      </c>
    </row>
    <row r="1636" spans="2:7">
      <c r="B1636" s="281">
        <f t="shared" ca="1" si="26"/>
        <v>54968</v>
      </c>
      <c r="C1636" s="282">
        <v>2.077E-2</v>
      </c>
      <c r="F1636" s="256">
        <v>53741</v>
      </c>
      <c r="G1636" s="284">
        <v>0.57750011000000001</v>
      </c>
    </row>
    <row r="1637" spans="2:7">
      <c r="B1637" s="281">
        <f t="shared" ca="1" si="26"/>
        <v>54975</v>
      </c>
      <c r="C1637" s="282">
        <v>2.0767000000000001E-2</v>
      </c>
      <c r="F1637" s="256">
        <v>53748</v>
      </c>
      <c r="G1637" s="284">
        <v>0.57729030000000003</v>
      </c>
    </row>
    <row r="1638" spans="2:7">
      <c r="B1638" s="281">
        <f t="shared" ca="1" si="26"/>
        <v>54982</v>
      </c>
      <c r="C1638" s="282">
        <v>2.0764999999999999E-2</v>
      </c>
      <c r="F1638" s="256">
        <v>53755</v>
      </c>
      <c r="G1638" s="284">
        <v>0.57708062999999998</v>
      </c>
    </row>
    <row r="1639" spans="2:7">
      <c r="B1639" s="281">
        <f t="shared" ca="1" si="26"/>
        <v>54989</v>
      </c>
      <c r="C1639" s="282">
        <v>2.0761000000000002E-2</v>
      </c>
      <c r="F1639" s="256">
        <v>53762</v>
      </c>
      <c r="G1639" s="284">
        <v>0.57687107999999998</v>
      </c>
    </row>
    <row r="1640" spans="2:7">
      <c r="B1640" s="281">
        <f t="shared" ca="1" si="26"/>
        <v>54996</v>
      </c>
      <c r="C1640" s="282">
        <v>2.0757000000000001E-2</v>
      </c>
      <c r="F1640" s="256">
        <v>53769</v>
      </c>
      <c r="G1640" s="284">
        <v>0.57666165999999996</v>
      </c>
    </row>
    <row r="1641" spans="2:7">
      <c r="B1641" s="281">
        <f t="shared" ca="1" si="26"/>
        <v>55003</v>
      </c>
      <c r="C1641" s="282">
        <v>2.0754000000000002E-2</v>
      </c>
      <c r="F1641" s="256">
        <v>53776</v>
      </c>
      <c r="G1641" s="284">
        <v>0.57645237000000005</v>
      </c>
    </row>
    <row r="1642" spans="2:7">
      <c r="B1642" s="281">
        <f t="shared" ca="1" si="26"/>
        <v>55010</v>
      </c>
      <c r="C1642" s="282">
        <v>2.0749E-2</v>
      </c>
      <c r="F1642" s="256">
        <v>53783</v>
      </c>
      <c r="G1642" s="284">
        <v>0.57624321000000001</v>
      </c>
    </row>
    <row r="1643" spans="2:7">
      <c r="B1643" s="281">
        <f t="shared" ca="1" si="26"/>
        <v>55017</v>
      </c>
      <c r="C1643" s="282">
        <v>2.0745E-2</v>
      </c>
      <c r="F1643" s="256">
        <v>53790</v>
      </c>
      <c r="G1643" s="284">
        <v>0.57603417999999995</v>
      </c>
    </row>
    <row r="1644" spans="2:7">
      <c r="B1644" s="281">
        <f t="shared" ca="1" si="26"/>
        <v>55024</v>
      </c>
      <c r="C1644" s="282">
        <v>2.0742E-2</v>
      </c>
      <c r="F1644" s="256">
        <v>53797</v>
      </c>
      <c r="G1644" s="284">
        <v>0.57582526999999994</v>
      </c>
    </row>
    <row r="1645" spans="2:7">
      <c r="B1645" s="281">
        <f t="shared" ca="1" si="26"/>
        <v>55031</v>
      </c>
      <c r="C1645" s="282">
        <v>2.0737999999999999E-2</v>
      </c>
      <c r="F1645" s="256">
        <v>53804</v>
      </c>
      <c r="G1645" s="284">
        <v>0.57561649000000004</v>
      </c>
    </row>
    <row r="1646" spans="2:7">
      <c r="B1646" s="281">
        <f t="shared" ca="1" si="26"/>
        <v>55038</v>
      </c>
      <c r="C1646" s="282">
        <v>2.0735E-2</v>
      </c>
      <c r="F1646" s="256">
        <v>53811</v>
      </c>
      <c r="G1646" s="284">
        <v>0.57540784</v>
      </c>
    </row>
    <row r="1647" spans="2:7">
      <c r="B1647" s="281">
        <f t="shared" ca="1" si="26"/>
        <v>55045</v>
      </c>
      <c r="C1647" s="282">
        <v>2.0730999999999999E-2</v>
      </c>
      <c r="F1647" s="256">
        <v>53818</v>
      </c>
      <c r="G1647" s="284">
        <v>0.57519931999999996</v>
      </c>
    </row>
    <row r="1648" spans="2:7">
      <c r="B1648" s="281">
        <f t="shared" ca="1" si="26"/>
        <v>55052</v>
      </c>
      <c r="C1648" s="282">
        <v>2.0728E-2</v>
      </c>
      <c r="F1648" s="256">
        <v>53825</v>
      </c>
      <c r="G1648" s="284">
        <v>0.57499093000000001</v>
      </c>
    </row>
    <row r="1649" spans="2:7">
      <c r="B1649" s="281">
        <f t="shared" ca="1" si="26"/>
        <v>55059</v>
      </c>
      <c r="C1649" s="282">
        <v>2.0723999999999999E-2</v>
      </c>
      <c r="F1649" s="256">
        <v>53832</v>
      </c>
      <c r="G1649" s="284">
        <v>0.57478267000000005</v>
      </c>
    </row>
    <row r="1650" spans="2:7">
      <c r="B1650" s="281">
        <f t="shared" ca="1" si="26"/>
        <v>55066</v>
      </c>
      <c r="C1650" s="282">
        <v>2.0719000000000001E-2</v>
      </c>
      <c r="F1650" s="256">
        <v>53839</v>
      </c>
      <c r="G1650" s="284">
        <v>0.57457453000000003</v>
      </c>
    </row>
    <row r="1651" spans="2:7">
      <c r="B1651" s="281">
        <f t="shared" ca="1" si="26"/>
        <v>55073</v>
      </c>
      <c r="C1651" s="282">
        <v>2.0715999999999998E-2</v>
      </c>
      <c r="F1651" s="256">
        <v>53846</v>
      </c>
      <c r="G1651" s="284">
        <v>0.57436651999999999</v>
      </c>
    </row>
    <row r="1652" spans="2:7">
      <c r="B1652" s="281">
        <f t="shared" ca="1" si="26"/>
        <v>55080</v>
      </c>
      <c r="C1652" s="282">
        <v>2.0712000000000001E-2</v>
      </c>
      <c r="F1652" s="256">
        <v>53853</v>
      </c>
      <c r="G1652" s="284">
        <v>0.57415864000000005</v>
      </c>
    </row>
    <row r="1653" spans="2:7">
      <c r="B1653" s="281">
        <f t="shared" ca="1" si="26"/>
        <v>55087</v>
      </c>
      <c r="C1653" s="282">
        <v>2.0708000000000001E-2</v>
      </c>
      <c r="F1653" s="256">
        <v>53860</v>
      </c>
      <c r="G1653" s="284">
        <v>0.57395088999999999</v>
      </c>
    </row>
    <row r="1654" spans="2:7">
      <c r="B1654" s="281">
        <f t="shared" ca="1" si="26"/>
        <v>55094</v>
      </c>
      <c r="C1654" s="282">
        <v>2.0704E-2</v>
      </c>
      <c r="F1654" s="256">
        <v>53867</v>
      </c>
      <c r="G1654" s="284">
        <v>0.57374327000000003</v>
      </c>
    </row>
    <row r="1655" spans="2:7">
      <c r="B1655" s="281">
        <f t="shared" ca="1" si="26"/>
        <v>55101</v>
      </c>
      <c r="C1655" s="282">
        <v>2.0702000000000002E-2</v>
      </c>
      <c r="F1655" s="256">
        <v>53874</v>
      </c>
      <c r="G1655" s="284">
        <v>0.57353578000000005</v>
      </c>
    </row>
    <row r="1656" spans="2:7">
      <c r="B1656" s="281">
        <f t="shared" ca="1" si="26"/>
        <v>55108</v>
      </c>
      <c r="C1656" s="282">
        <v>2.0698000000000001E-2</v>
      </c>
      <c r="F1656" s="256">
        <v>53881</v>
      </c>
      <c r="G1656" s="284">
        <v>0.57332841000000001</v>
      </c>
    </row>
    <row r="1657" spans="2:7">
      <c r="B1657" s="281">
        <f t="shared" ca="1" si="26"/>
        <v>55115</v>
      </c>
      <c r="C1657" s="282">
        <v>2.0694000000000001E-2</v>
      </c>
      <c r="F1657" s="256">
        <v>53888</v>
      </c>
      <c r="G1657" s="284">
        <v>0.57312116999999996</v>
      </c>
    </row>
    <row r="1658" spans="2:7">
      <c r="B1658" s="281">
        <f t="shared" ca="1" si="26"/>
        <v>55122</v>
      </c>
      <c r="C1658" s="282">
        <v>2.0691000000000001E-2</v>
      </c>
      <c r="F1658" s="256">
        <v>53895</v>
      </c>
      <c r="G1658" s="284">
        <v>0.57291406</v>
      </c>
    </row>
    <row r="1659" spans="2:7">
      <c r="B1659" s="281">
        <f t="shared" ca="1" si="26"/>
        <v>55129</v>
      </c>
      <c r="C1659" s="282">
        <v>2.0686E-2</v>
      </c>
      <c r="F1659" s="256">
        <v>53902</v>
      </c>
      <c r="G1659" s="284">
        <v>0.57270708000000004</v>
      </c>
    </row>
    <row r="1660" spans="2:7">
      <c r="B1660" s="281">
        <f t="shared" ca="1" si="26"/>
        <v>55136</v>
      </c>
      <c r="C1660" s="282">
        <v>2.0683E-2</v>
      </c>
      <c r="F1660" s="256">
        <v>53909</v>
      </c>
      <c r="G1660" s="284">
        <v>0.57250023000000005</v>
      </c>
    </row>
    <row r="1661" spans="2:7">
      <c r="B1661" s="281">
        <f t="shared" ca="1" si="26"/>
        <v>55143</v>
      </c>
      <c r="C1661" s="282">
        <v>2.0678999999999999E-2</v>
      </c>
      <c r="F1661" s="256">
        <v>53916</v>
      </c>
      <c r="G1661" s="284">
        <v>0.57229350000000001</v>
      </c>
    </row>
    <row r="1662" spans="2:7">
      <c r="B1662" s="281">
        <f t="shared" ca="1" si="26"/>
        <v>55150</v>
      </c>
      <c r="C1662" s="282">
        <v>2.0676E-2</v>
      </c>
      <c r="F1662" s="256">
        <v>53923</v>
      </c>
      <c r="G1662" s="284">
        <v>0.57208689999999995</v>
      </c>
    </row>
    <row r="1663" spans="2:7">
      <c r="B1663" s="281">
        <f t="shared" ca="1" si="26"/>
        <v>55157</v>
      </c>
      <c r="C1663" s="282">
        <v>2.0671999999999999E-2</v>
      </c>
      <c r="F1663" s="256">
        <v>53930</v>
      </c>
      <c r="G1663" s="284">
        <v>0.57188043</v>
      </c>
    </row>
    <row r="1664" spans="2:7">
      <c r="B1664" s="281">
        <f t="shared" ca="1" si="26"/>
        <v>55164</v>
      </c>
      <c r="C1664" s="282">
        <v>2.0667000000000001E-2</v>
      </c>
      <c r="F1664" s="256">
        <v>53937</v>
      </c>
      <c r="G1664" s="284">
        <v>0.57167409000000002</v>
      </c>
    </row>
    <row r="1665" spans="2:7">
      <c r="B1665" s="281">
        <f t="shared" ca="1" si="26"/>
        <v>55171</v>
      </c>
      <c r="C1665" s="282">
        <v>2.0663000000000001E-2</v>
      </c>
      <c r="F1665" s="256">
        <v>53944</v>
      </c>
      <c r="G1665" s="284">
        <v>0.57146788000000004</v>
      </c>
    </row>
    <row r="1666" spans="2:7">
      <c r="B1666" s="281">
        <f t="shared" ca="1" si="26"/>
        <v>55178</v>
      </c>
      <c r="C1666" s="282">
        <v>2.0660000000000001E-2</v>
      </c>
      <c r="F1666" s="256">
        <v>53951</v>
      </c>
      <c r="G1666" s="284">
        <v>0.57126178999999999</v>
      </c>
    </row>
    <row r="1667" spans="2:7">
      <c r="B1667" s="281">
        <f t="shared" ca="1" si="26"/>
        <v>55185</v>
      </c>
      <c r="C1667" s="282">
        <v>2.0656000000000001E-2</v>
      </c>
      <c r="F1667" s="256">
        <v>53958</v>
      </c>
      <c r="G1667" s="284">
        <v>0.57105583999999998</v>
      </c>
    </row>
    <row r="1668" spans="2:7">
      <c r="B1668" s="281">
        <f t="shared" ca="1" si="26"/>
        <v>55192</v>
      </c>
      <c r="C1668" s="282">
        <v>2.0653000000000001E-2</v>
      </c>
      <c r="F1668" s="256">
        <v>53965</v>
      </c>
      <c r="G1668" s="284">
        <v>0.57085001000000002</v>
      </c>
    </row>
    <row r="1669" spans="2:7">
      <c r="B1669" s="281">
        <f t="shared" ca="1" si="26"/>
        <v>55199</v>
      </c>
      <c r="C1669" s="282">
        <v>2.0650000000000002E-2</v>
      </c>
      <c r="F1669" s="256">
        <v>53972</v>
      </c>
      <c r="G1669" s="284">
        <v>0.57064429999999999</v>
      </c>
    </row>
    <row r="1670" spans="2:7">
      <c r="B1670" s="281">
        <f t="shared" ca="1" si="26"/>
        <v>55206</v>
      </c>
      <c r="C1670" s="282">
        <v>2.0645E-2</v>
      </c>
      <c r="F1670" s="256">
        <v>53979</v>
      </c>
      <c r="G1670" s="284">
        <v>0.57043873</v>
      </c>
    </row>
    <row r="1671" spans="2:7">
      <c r="B1671" s="281">
        <f t="shared" ca="1" si="26"/>
        <v>55213</v>
      </c>
      <c r="C1671" s="282">
        <v>2.0642000000000001E-2</v>
      </c>
      <c r="F1671" s="256">
        <v>53986</v>
      </c>
      <c r="G1671" s="284">
        <v>0.57023327999999995</v>
      </c>
    </row>
    <row r="1672" spans="2:7">
      <c r="B1672" s="281">
        <f t="shared" ca="1" si="26"/>
        <v>55220</v>
      </c>
      <c r="C1672" s="282">
        <v>2.0636999999999999E-2</v>
      </c>
      <c r="F1672" s="256">
        <v>53993</v>
      </c>
      <c r="G1672" s="284">
        <v>0.57002796</v>
      </c>
    </row>
    <row r="1673" spans="2:7">
      <c r="B1673" s="281">
        <f t="shared" ca="1" si="26"/>
        <v>55227</v>
      </c>
      <c r="C1673" s="282">
        <v>2.0632999999999999E-2</v>
      </c>
      <c r="F1673" s="256">
        <v>54000</v>
      </c>
      <c r="G1673" s="284">
        <v>0.56982277000000003</v>
      </c>
    </row>
    <row r="1674" spans="2:7">
      <c r="B1674" s="281">
        <f t="shared" ca="1" si="26"/>
        <v>55234</v>
      </c>
      <c r="C1674" s="282">
        <v>2.0629000000000002E-2</v>
      </c>
      <c r="F1674" s="256">
        <v>54007</v>
      </c>
      <c r="G1674" s="284">
        <v>0.56961771000000005</v>
      </c>
    </row>
    <row r="1675" spans="2:7">
      <c r="B1675" s="281">
        <f t="shared" ca="1" si="26"/>
        <v>55241</v>
      </c>
      <c r="C1675" s="282">
        <v>2.0625999999999999E-2</v>
      </c>
      <c r="F1675" s="256">
        <v>54014</v>
      </c>
      <c r="G1675" s="284">
        <v>0.56941277000000001</v>
      </c>
    </row>
    <row r="1676" spans="2:7">
      <c r="B1676" s="281">
        <f t="shared" ca="1" si="26"/>
        <v>55248</v>
      </c>
      <c r="C1676" s="282">
        <v>2.0622000000000001E-2</v>
      </c>
      <c r="F1676" s="256">
        <v>54021</v>
      </c>
      <c r="G1676" s="284">
        <v>0.56920795999999996</v>
      </c>
    </row>
    <row r="1677" spans="2:7">
      <c r="B1677" s="281">
        <f t="shared" ca="1" si="26"/>
        <v>55255</v>
      </c>
      <c r="C1677" s="282">
        <v>2.0618999999999998E-2</v>
      </c>
      <c r="F1677" s="256">
        <v>54028</v>
      </c>
      <c r="G1677" s="284">
        <v>0.56900328</v>
      </c>
    </row>
  </sheetData>
  <dataValidations count="4">
    <dataValidation type="list" allowBlank="1" showInputMessage="1" showErrorMessage="1" sqref="C20 G20">
      <formula1>"Discount,ZeroYield,ForwardRate"</formula1>
    </dataValidation>
    <dataValidation type="list" allowBlank="1" showInputMessage="1" showErrorMessage="1" sqref="C19 G19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C18 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21 C21">
      <formula1>Interpolations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D461"/>
  <sheetViews>
    <sheetView topLeftCell="A49" zoomScale="85" zoomScaleNormal="85" workbookViewId="0">
      <selection activeCell="F65" sqref="F65"/>
    </sheetView>
  </sheetViews>
  <sheetFormatPr defaultRowHeight="15" outlineLevelCol="1"/>
  <cols>
    <col min="1" max="1" width="9.140625" style="115"/>
    <col min="2" max="2" width="32.28515625" style="115" customWidth="1"/>
    <col min="3" max="3" width="13.85546875" style="115" customWidth="1"/>
    <col min="4" max="4" width="26.140625" style="115" bestFit="1" customWidth="1"/>
    <col min="5" max="5" width="9.7109375" style="115" customWidth="1"/>
    <col min="6" max="6" width="11.5703125" style="115" bestFit="1" customWidth="1"/>
    <col min="7" max="7" width="16.7109375" style="115" customWidth="1"/>
    <col min="8" max="8" width="25.140625" style="115" bestFit="1" customWidth="1"/>
    <col min="9" max="9" width="15.7109375" style="115" bestFit="1" customWidth="1"/>
    <col min="10" max="10" width="10" style="115" customWidth="1"/>
    <col min="11" max="11" width="13.7109375" style="115" customWidth="1"/>
    <col min="12" max="12" width="20.85546875" style="115" bestFit="1" customWidth="1"/>
    <col min="13" max="13" width="5.85546875" style="115" customWidth="1"/>
    <col min="14" max="14" width="1.140625" style="115" customWidth="1"/>
    <col min="15" max="15" width="4.140625" style="115" customWidth="1"/>
    <col min="16" max="16" width="10" style="115" bestFit="1" customWidth="1"/>
    <col min="17" max="17" width="17.42578125" style="115" hidden="1" customWidth="1" outlineLevel="1"/>
    <col min="18" max="18" width="25" style="115" hidden="1" customWidth="1" outlineLevel="1"/>
    <col min="19" max="19" width="18.85546875" style="115" hidden="1" customWidth="1" outlineLevel="1"/>
    <col min="20" max="20" width="17" style="115" hidden="1" customWidth="1" outlineLevel="1"/>
    <col min="21" max="21" width="15.5703125" style="115" hidden="1" customWidth="1" outlineLevel="1"/>
    <col min="22" max="22" width="18.28515625" style="115" hidden="1" customWidth="1" outlineLevel="1"/>
    <col min="23" max="23" width="15.42578125" style="115" hidden="1" customWidth="1" outlineLevel="1"/>
    <col min="24" max="24" width="15.140625" style="115" customWidth="1" collapsed="1"/>
    <col min="25" max="25" width="12.28515625" style="115" customWidth="1"/>
    <col min="26" max="26" width="6" style="115" customWidth="1"/>
    <col min="27" max="27" width="5.85546875" style="115" customWidth="1"/>
    <col min="28" max="28" width="1.5703125" style="115" customWidth="1"/>
    <col min="29" max="29" width="10" style="115" bestFit="1" customWidth="1"/>
    <col min="30" max="30" width="18" style="115" hidden="1" customWidth="1" outlineLevel="1"/>
    <col min="31" max="31" width="24.28515625" style="115" hidden="1" customWidth="1" outlineLevel="1"/>
    <col min="32" max="32" width="17" style="115" hidden="1" customWidth="1" outlineLevel="1"/>
    <col min="33" max="33" width="16.5703125" style="115" hidden="1" customWidth="1" outlineLevel="1"/>
    <col min="34" max="34" width="23" style="115" hidden="1" customWidth="1" outlineLevel="1"/>
    <col min="35" max="37" width="9.140625" style="115" hidden="1" customWidth="1" outlineLevel="1"/>
    <col min="38" max="38" width="18" style="115" bestFit="1" customWidth="1" collapsed="1"/>
    <col min="39" max="39" width="12.42578125" style="115" bestFit="1" customWidth="1"/>
    <col min="40" max="40" width="10.28515625" style="115" customWidth="1"/>
    <col min="41" max="46" width="19.7109375" style="115" hidden="1" customWidth="1"/>
    <col min="47" max="47" width="19.7109375" style="115" customWidth="1"/>
    <col min="48" max="48" width="16.28515625" style="115" bestFit="1" customWidth="1"/>
    <col min="49" max="49" width="13.85546875" style="115" bestFit="1" customWidth="1"/>
    <col min="50" max="16384" width="9.140625" style="115"/>
  </cols>
  <sheetData>
    <row r="1" spans="2:35">
      <c r="R1" s="115" t="s">
        <v>741</v>
      </c>
      <c r="S1" s="115" t="s">
        <v>741</v>
      </c>
      <c r="AE1" s="115" t="s">
        <v>333</v>
      </c>
    </row>
    <row r="2" spans="2:35">
      <c r="B2" s="116" t="s">
        <v>327</v>
      </c>
      <c r="C2" s="104">
        <f>_xll.qlSettingsEvaluationDate()</f>
        <v>43705</v>
      </c>
      <c r="Q2" s="148" t="s">
        <v>739</v>
      </c>
      <c r="R2" s="338">
        <f>C2</f>
        <v>43705</v>
      </c>
      <c r="S2" s="317">
        <f>C2</f>
        <v>43705</v>
      </c>
      <c r="AD2" s="162" t="s">
        <v>739</v>
      </c>
      <c r="AE2" s="324">
        <f ca="1">Input!C13+2</f>
        <v>43707</v>
      </c>
    </row>
    <row r="3" spans="2:35">
      <c r="B3" s="116" t="s">
        <v>366</v>
      </c>
      <c r="C3" s="104">
        <f>_xll.qlCalendarAdvance(R5,C2,"2d",R7)</f>
        <v>43707</v>
      </c>
      <c r="E3" s="115">
        <f>_xll.qlSettingsEvaluationDate()</f>
        <v>43705</v>
      </c>
      <c r="Q3" s="290" t="s">
        <v>740</v>
      </c>
      <c r="R3" s="339"/>
      <c r="S3" s="313"/>
      <c r="AD3" s="316" t="s">
        <v>740</v>
      </c>
      <c r="AE3" s="325"/>
    </row>
    <row r="4" spans="2:35">
      <c r="B4" s="115" t="s">
        <v>360</v>
      </c>
      <c r="C4" s="115" t="s">
        <v>818</v>
      </c>
      <c r="Q4" s="290" t="s">
        <v>245</v>
      </c>
      <c r="R4" s="340" t="s">
        <v>747</v>
      </c>
      <c r="S4" s="314" t="s">
        <v>748</v>
      </c>
      <c r="AD4" s="316" t="s">
        <v>245</v>
      </c>
      <c r="AE4" s="326" t="s">
        <v>747</v>
      </c>
    </row>
    <row r="5" spans="2:35">
      <c r="Q5" s="290" t="s">
        <v>269</v>
      </c>
      <c r="R5" s="340" t="s">
        <v>750</v>
      </c>
      <c r="S5" s="314" t="s">
        <v>750</v>
      </c>
      <c r="AD5" s="316" t="s">
        <v>269</v>
      </c>
      <c r="AE5" s="326" t="s">
        <v>330</v>
      </c>
    </row>
    <row r="6" spans="2:35">
      <c r="G6" s="116" t="s">
        <v>805</v>
      </c>
      <c r="H6" s="127">
        <v>1E-4</v>
      </c>
      <c r="Q6" s="319" t="s">
        <v>791</v>
      </c>
      <c r="R6" s="340" t="s">
        <v>253</v>
      </c>
      <c r="S6" s="314" t="s">
        <v>253</v>
      </c>
      <c r="AD6" s="319" t="s">
        <v>287</v>
      </c>
      <c r="AE6" s="326" t="s">
        <v>253</v>
      </c>
    </row>
    <row r="7" spans="2:35">
      <c r="Q7" s="290" t="s">
        <v>752</v>
      </c>
      <c r="R7" s="340" t="s">
        <v>252</v>
      </c>
      <c r="S7" s="314" t="s">
        <v>252</v>
      </c>
      <c r="AD7" s="316" t="s">
        <v>752</v>
      </c>
      <c r="AE7" s="326" t="s">
        <v>252</v>
      </c>
    </row>
    <row r="8" spans="2:35">
      <c r="B8" s="131" t="s">
        <v>765</v>
      </c>
      <c r="C8" s="329">
        <f>C9/C12</f>
        <v>6513554.7073459867</v>
      </c>
      <c r="Q8" s="290" t="s">
        <v>753</v>
      </c>
      <c r="R8" s="340" t="s">
        <v>252</v>
      </c>
      <c r="S8" s="314" t="s">
        <v>252</v>
      </c>
      <c r="AD8" s="316" t="s">
        <v>753</v>
      </c>
      <c r="AE8" s="326" t="s">
        <v>252</v>
      </c>
    </row>
    <row r="9" spans="2:35">
      <c r="B9" s="107" t="s">
        <v>346</v>
      </c>
      <c r="C9" s="330">
        <v>100000000</v>
      </c>
      <c r="Q9" s="290" t="s">
        <v>756</v>
      </c>
      <c r="R9" s="340" t="s">
        <v>757</v>
      </c>
      <c r="S9" s="314" t="s">
        <v>757</v>
      </c>
      <c r="AD9" s="316"/>
      <c r="AE9" s="326" t="s">
        <v>763</v>
      </c>
    </row>
    <row r="10" spans="2:35">
      <c r="G10" s="116" t="s">
        <v>766</v>
      </c>
      <c r="H10" s="286">
        <f ca="1">AW38</f>
        <v>65563.688910771903</v>
      </c>
      <c r="I10" s="342"/>
      <c r="Q10" s="290" t="s">
        <v>759</v>
      </c>
      <c r="R10" s="340"/>
      <c r="S10" s="314"/>
      <c r="AD10" s="316" t="s">
        <v>759</v>
      </c>
      <c r="AE10" s="326"/>
    </row>
    <row r="11" spans="2:35">
      <c r="B11" s="10"/>
      <c r="C11" s="11"/>
      <c r="Q11" s="290" t="s">
        <v>760</v>
      </c>
      <c r="R11" s="339"/>
      <c r="S11" s="313"/>
      <c r="AD11" s="316" t="s">
        <v>760</v>
      </c>
      <c r="AE11" s="325"/>
    </row>
    <row r="12" spans="2:35">
      <c r="B12" s="115" t="s">
        <v>764</v>
      </c>
      <c r="C12" s="173">
        <f>D12</f>
        <v>15.352600000000001</v>
      </c>
      <c r="D12" s="115">
        <f>'RISK INPUT'!BA6</f>
        <v>15.352600000000001</v>
      </c>
      <c r="Q12" s="290" t="s">
        <v>761</v>
      </c>
      <c r="R12" s="339"/>
      <c r="S12" s="313"/>
      <c r="V12" s="115" t="str">
        <f ca="1">_xll.ohRangeRetrieveError(V13)</f>
        <v>qlVanillaSwap - ObjectHandler error: attempt to retrieve object with unknown ID ''</v>
      </c>
      <c r="AD12" s="316" t="s">
        <v>761</v>
      </c>
      <c r="AE12" s="325"/>
    </row>
    <row r="13" spans="2:35">
      <c r="G13" s="118" t="s">
        <v>270</v>
      </c>
      <c r="H13" s="119" t="s">
        <v>280</v>
      </c>
      <c r="I13" s="134"/>
      <c r="J13" s="287"/>
      <c r="K13" s="118" t="s">
        <v>270</v>
      </c>
      <c r="L13" s="119" t="s">
        <v>280</v>
      </c>
      <c r="M13" s="134"/>
      <c r="N13" s="134"/>
      <c r="O13" s="279"/>
      <c r="Q13" s="290" t="s">
        <v>247</v>
      </c>
      <c r="R13" s="340"/>
      <c r="S13" s="314"/>
      <c r="V13" s="115" t="e">
        <f>_xll.qlVanillaSwap(,"RECEIVER",$C$8,S22,Q22,$R$6,R22,$S$18,,$R$6,$S$7)</f>
        <v>#NUM!</v>
      </c>
      <c r="W13" s="343" t="e">
        <f>_xll.qlInstrumentNPV(_xll.qlVanillaSwap(,"RECEIVER",$C$8,S22,Q22,$R$6,R22,$S$18,,$R$6,$S$7),_xll.qlInstrumentSetPricingEngine(_xll.qlVanillaSwap(,"RECEIVER",$C$8,S22,Q22,$R$6,R22,$S$18,,$R$6,$S$7),$R$16))/$C$12</f>
        <v>#VALUE!</v>
      </c>
      <c r="X13" s="115" t="e">
        <f>_xll.qlVanillaSwap(,"RECEIVER",$C$8,S22,Q22,$R$6,R22,$R$18,,$R$6,$S$7)</f>
        <v>#NUM!</v>
      </c>
      <c r="Y13" s="115" t="e">
        <f>_xll.qlInstrumentNPV(_xll.qlVanillaSwap(,"RECEIVER",$C$8,S22,Q22,$R$6,R22,$R$18,,$R$6,$S$7),_xll.qlInstrumentSetPricingEngine(_xll.qlVanillaSwap(,"RECEIVER",$C$8,S22,Q22,$R$6,R22,$R$18,,$R$6,$S$7),$S$16))/$C$12</f>
        <v>#VALUE!</v>
      </c>
      <c r="AD13" s="316" t="s">
        <v>247</v>
      </c>
      <c r="AE13" s="326"/>
    </row>
    <row r="14" spans="2:35">
      <c r="G14" s="120" t="s">
        <v>269</v>
      </c>
      <c r="H14" s="121" t="s">
        <v>251</v>
      </c>
      <c r="I14" s="134"/>
      <c r="J14" s="287"/>
      <c r="K14" s="120" t="s">
        <v>269</v>
      </c>
      <c r="L14" s="121" t="s">
        <v>251</v>
      </c>
      <c r="M14" s="134"/>
      <c r="N14" s="134"/>
      <c r="O14" s="279"/>
      <c r="Q14" s="290" t="s">
        <v>248</v>
      </c>
      <c r="R14" s="341"/>
      <c r="S14" s="315"/>
      <c r="V14" s="115" t="e">
        <f>_xll.qlVanillaSwap(,"RECEIVER",$C$8,S23,Q23,$R$6,R23,$S$18,,$R$6,$S$7)</f>
        <v>#NUM!</v>
      </c>
      <c r="W14" s="343" t="e">
        <f>_xll.qlInstrumentNPV(_xll.qlVanillaSwap(,"RECEIVER",$C$8,S23,Q23,$R$6,R23,$S$18,,$R$6,$S$7),_xll.qlInstrumentSetPricingEngine(_xll.qlVanillaSwap(,"RECEIVER",$C$8,S23,Q23,$R$6,R23,$S$18,,$R$6,$S$7),$R$16))/$C$12</f>
        <v>#VALUE!</v>
      </c>
      <c r="X14" s="115" t="e">
        <f>_xll.qlVanillaSwap(,"RECEIVER",$C$8,S23,Q23,$R$6,R23,$R$18,,$R$6,$S$7)</f>
        <v>#NUM!</v>
      </c>
      <c r="Y14" s="115" t="e">
        <f>_xll.qlInstrumentNPV(_xll.qlVanillaSwap(,"RECEIVER",$C$8,S23,Q23,$R$6,R23,$R$18,,$R$6,$S$7),_xll.qlInstrumentSetPricingEngine(_xll.qlVanillaSwap(,"RECEIVER",$C$8,S23,Q23,$R$6,R23,$R$18,,$R$6,$S$7),$S$16))/$C$12</f>
        <v>#VALUE!</v>
      </c>
      <c r="AD14" s="163" t="s">
        <v>248</v>
      </c>
      <c r="AE14" s="327"/>
    </row>
    <row r="15" spans="2:35">
      <c r="G15" s="120" t="s">
        <v>271</v>
      </c>
      <c r="H15" s="121" t="s">
        <v>272</v>
      </c>
      <c r="I15" s="134"/>
      <c r="J15" s="287"/>
      <c r="K15" s="120" t="s">
        <v>271</v>
      </c>
      <c r="L15" s="121" t="s">
        <v>272</v>
      </c>
      <c r="M15" s="134"/>
      <c r="N15" s="134"/>
      <c r="O15" s="279"/>
      <c r="Q15" s="321" t="s">
        <v>295</v>
      </c>
      <c r="R15" s="142" t="str">
        <f>L17</f>
        <v>obj_00122#0000</v>
      </c>
      <c r="S15" s="140" t="str">
        <f>M17</f>
        <v>obj_00125#0000</v>
      </c>
      <c r="V15" s="115" t="e">
        <f>_xll.qlVanillaSwap(,"RECEIVER",$C$8,S24,Q24,$R$6,R24,$S$18,,$R$6,$S$7)</f>
        <v>#NUM!</v>
      </c>
      <c r="W15" s="343" t="e">
        <f>_xll.qlInstrumentNPV(_xll.qlVanillaSwap(,"RECEIVER",$C$8,S24,Q24,$R$6,R24,$S$18,,$R$6,$S$7),_xll.qlInstrumentSetPricingEngine(_xll.qlVanillaSwap(,"RECEIVER",$C$8,S24,Q24,$R$6,R24,$S$18,,$R$6,$S$7),$R$16))/$C$12</f>
        <v>#VALUE!</v>
      </c>
      <c r="X15" s="115" t="e">
        <f>_xll.qlVanillaSwap(,"RECEIVER",$C$8,S24,Q24,$R$6,R24,$R$18,,$R$6,$S$7)</f>
        <v>#NUM!</v>
      </c>
      <c r="Y15" s="115" t="e">
        <f>_xll.qlInstrumentNPV(_xll.qlVanillaSwap(,"RECEIVER",$C$8,S24,Q24,$R$6,R24,$R$18,,$R$6,$S$7),_xll.qlInstrumentSetPricingEngine(_xll.qlVanillaSwap(,"RECEIVER",$C$8,S24,Q24,$R$6,R24,$R$18,,$R$6,$S$7),$S$16))/$C$12</f>
        <v>#VALUE!</v>
      </c>
      <c r="AD15" s="321" t="s">
        <v>295</v>
      </c>
      <c r="AE15" s="278" t="str">
        <f>'USD OIS'!R4</f>
        <v>USD_OIS_COL00_QL#0000</v>
      </c>
    </row>
    <row r="16" spans="2:35">
      <c r="G16" s="122" t="s">
        <v>273</v>
      </c>
      <c r="H16" s="123" t="s">
        <v>274</v>
      </c>
      <c r="I16" s="134"/>
      <c r="J16" s="287"/>
      <c r="K16" s="122" t="s">
        <v>273</v>
      </c>
      <c r="L16" s="123" t="s">
        <v>274</v>
      </c>
      <c r="M16" s="134"/>
      <c r="N16" s="134"/>
      <c r="O16" s="279"/>
      <c r="Q16" s="318" t="s">
        <v>342</v>
      </c>
      <c r="R16" s="136" t="str">
        <f>_xll.qlDiscountingSwapEngine(,$R$15)</f>
        <v>obj_0012d#0000</v>
      </c>
      <c r="S16" s="90" t="str">
        <f>_xll.qlDiscountingSwapEngine(,$S$15)</f>
        <v>obj_00129#0000</v>
      </c>
      <c r="W16" s="115" t="str">
        <f ca="1">_xll.ohRangeRetrieveError(W14)</f>
        <v>qlVanillaSwap - ObjectHandler error: attempt to retrieve object with unknown ID ''</v>
      </c>
      <c r="AD16" s="318" t="s">
        <v>342</v>
      </c>
      <c r="AE16" s="115" t="str">
        <f>_xll.qlDiscountingSwapEngine(,$AE$15)</f>
        <v>obj_00205#0000</v>
      </c>
      <c r="AI16" s="115" t="str">
        <f>_xll.ohRangeRetrieveError(AE16)</f>
        <v/>
      </c>
    </row>
    <row r="17" spans="1:49" ht="15.75" thickBot="1">
      <c r="G17" s="124" t="s">
        <v>328</v>
      </c>
      <c r="H17" s="125" t="str">
        <f>_xll.qlInterpolatedYieldCurve(H20,G21:G37,H21:H37,H14,H13,,,H15,H16)</f>
        <v>obj_00123#0000</v>
      </c>
      <c r="I17" s="135" t="str">
        <f t="array" ref="I17">_xll.qlInterpolatedYieldCurve(,G21:G37,H21:H37+(O21:O37*$H$6),H14,H13,,,H15,H16)</f>
        <v>obj_00124#0000</v>
      </c>
      <c r="J17" s="287"/>
      <c r="K17" s="124" t="s">
        <v>328</v>
      </c>
      <c r="L17" s="125" t="str">
        <f>_xll.qlInterpolatedYieldCurve(L20,K23:K37,L23:L37,L14,L13,,,L15,L16)</f>
        <v>obj_00122#0000</v>
      </c>
      <c r="M17" s="135" t="str">
        <f t="array" ref="M17">_xll.qlInterpolatedYieldCurve(,K23:K37,L23:L37+(O23:O37*$H$6),L14,L13,,,L15,L16)</f>
        <v>obj_00125#0000</v>
      </c>
      <c r="N17" s="135"/>
      <c r="O17" s="279"/>
      <c r="Q17" s="318" t="s">
        <v>789</v>
      </c>
      <c r="R17" s="136" t="str">
        <f>H17</f>
        <v>obj_00123#0000</v>
      </c>
      <c r="S17" s="90" t="str">
        <f>I17</f>
        <v>obj_00124#0000</v>
      </c>
      <c r="U17" s="115" t="str">
        <f>_xll.ohRangeRetrieveError(R18)</f>
        <v/>
      </c>
      <c r="AD17" s="318" t="s">
        <v>789</v>
      </c>
      <c r="AE17" s="278" t="str">
        <f ca="1">'USD 1m'!R4</f>
        <v>USD_SWAP_1M_QL#0000</v>
      </c>
    </row>
    <row r="18" spans="1:49" ht="18" thickBot="1">
      <c r="B18" s="176" t="s">
        <v>199</v>
      </c>
      <c r="O18" s="279"/>
      <c r="Q18" s="318" t="s">
        <v>790</v>
      </c>
      <c r="R18" s="136" t="str">
        <f>_xll.qlIborIndex(,"TIIE","28D",,"MXN",$R$5,$R$7,,$R$6,$R$17)</f>
        <v>obj_0012c#0000</v>
      </c>
      <c r="S18" s="115" t="str">
        <f>_xll.qlIborIndex(,"TIIE","28D",,"MXN",$R$5,$R$7,,$R$6,$S$17)</f>
        <v>obj_0012a#0000</v>
      </c>
      <c r="X18" s="375" t="e">
        <f>_xll.qlInstrumentNPV(V22,W22)</f>
        <v>#NUM!</v>
      </c>
      <c r="Y18" s="115">
        <f>((1+Q22*(P22-C2)/360)*_xll.qlYieldTSDiscount(L17,P22)-1)*C8</f>
        <v>-40.031146208032325</v>
      </c>
      <c r="AD18" s="318" t="s">
        <v>790</v>
      </c>
      <c r="AE18" s="115" t="str">
        <f ca="1">AF18</f>
        <v>obj_00217#0000</v>
      </c>
      <c r="AF18" s="115" t="str">
        <f ca="1">_xll.qlIborIndex(,"Libor","1M",,"USD",$R$5,$AE$7,,$AE$6,AE17)</f>
        <v>obj_00217#0000</v>
      </c>
      <c r="AM18" s="128"/>
      <c r="AN18" s="260"/>
      <c r="AO18" s="260"/>
      <c r="AP18" s="260"/>
      <c r="AQ18" s="260"/>
      <c r="AR18" s="260"/>
      <c r="AS18" s="260"/>
      <c r="AT18" s="260"/>
      <c r="AU18" s="260"/>
      <c r="AV18" s="260"/>
      <c r="AW18" s="115">
        <f>SQRT(AN24*AN24+Y24*Y24+Y22*Y22+Y23*Y23)</f>
        <v>0</v>
      </c>
    </row>
    <row r="19" spans="1:49">
      <c r="Q19" s="163"/>
      <c r="R19" s="320"/>
      <c r="AD19" s="163"/>
      <c r="AF19" s="115" t="str">
        <f ca="1">_xll.qlLibor(,"USD","1M",$AE$17)</f>
        <v>obj_00219#0000</v>
      </c>
      <c r="AL19" s="306"/>
    </row>
    <row r="20" spans="1:49">
      <c r="G20" s="289" t="s">
        <v>767</v>
      </c>
      <c r="H20" s="140"/>
      <c r="I20" s="136"/>
      <c r="K20" s="289" t="s">
        <v>767</v>
      </c>
      <c r="L20" s="140"/>
      <c r="M20" s="136"/>
      <c r="N20" s="136"/>
      <c r="X20" s="115">
        <f>_xll.qlYieldTSDiscount(L17,P22)</f>
        <v>0.99989011557875596</v>
      </c>
      <c r="AK20" s="303"/>
    </row>
    <row r="21" spans="1:49" ht="15.75" thickBot="1">
      <c r="G21" s="335">
        <f>C2</f>
        <v>43705</v>
      </c>
      <c r="H21" s="175">
        <f t="shared" ref="H21" si="0">EXP(-2%*(G21-$G$21)/365)</f>
        <v>1</v>
      </c>
      <c r="I21" s="136"/>
      <c r="K21" s="331"/>
      <c r="L21" s="332"/>
      <c r="M21" s="136"/>
      <c r="N21" s="136"/>
      <c r="P21" s="179"/>
      <c r="Q21" s="319" t="s">
        <v>250</v>
      </c>
      <c r="R21" s="115" t="s">
        <v>769</v>
      </c>
      <c r="S21" s="115" t="s">
        <v>770</v>
      </c>
      <c r="T21" s="115" t="s">
        <v>334</v>
      </c>
      <c r="U21" s="115" t="s">
        <v>771</v>
      </c>
      <c r="V21" s="115" t="s">
        <v>772</v>
      </c>
      <c r="X21" s="115" t="s">
        <v>773</v>
      </c>
      <c r="Y21" s="115" t="s">
        <v>774</v>
      </c>
      <c r="Z21" s="115" t="s">
        <v>795</v>
      </c>
      <c r="AA21" s="115" t="s">
        <v>796</v>
      </c>
      <c r="AK21" s="303">
        <v>0</v>
      </c>
      <c r="AL21" s="115" t="s">
        <v>782</v>
      </c>
      <c r="AM21" s="115" t="s">
        <v>339</v>
      </c>
      <c r="AN21" s="115" t="s">
        <v>794</v>
      </c>
      <c r="AU21" s="115" t="s">
        <v>797</v>
      </c>
      <c r="AV21" s="115" t="s">
        <v>798</v>
      </c>
      <c r="AW21" s="115" t="s">
        <v>783</v>
      </c>
    </row>
    <row r="22" spans="1:49">
      <c r="A22" s="115">
        <v>1</v>
      </c>
      <c r="B22" s="291" t="str">
        <f>'RISK INPUT'!O6</f>
        <v>DEPO-MXN-FIX-O/N-</v>
      </c>
      <c r="C22" s="292">
        <f>'RISK INPUT'!P6</f>
        <v>3.7349999999999999</v>
      </c>
      <c r="G22" s="335">
        <f t="shared" ref="G22:G37" si="1">P22</f>
        <v>43706</v>
      </c>
      <c r="H22" s="175">
        <v>0.99968884684641912</v>
      </c>
      <c r="I22" s="136"/>
      <c r="K22" s="331"/>
      <c r="L22" s="332"/>
      <c r="M22" s="136"/>
      <c r="N22" s="136"/>
      <c r="O22" s="348"/>
      <c r="P22" s="288">
        <f>_xll.qlCalendarAdvance($R$5,$C$2+A22,"0D",$R$7)</f>
        <v>43706</v>
      </c>
      <c r="Q22" s="353">
        <f t="shared" ref="Q22:Q37" si="2">C22/100</f>
        <v>3.7350000000000001E-2</v>
      </c>
      <c r="R22" s="354"/>
      <c r="S22" s="354"/>
      <c r="T22" s="354"/>
      <c r="U22" s="354"/>
      <c r="V22" s="354"/>
      <c r="W22" s="354"/>
      <c r="X22" s="355"/>
      <c r="Y22" s="374"/>
      <c r="Z22" s="346"/>
      <c r="AA22" s="346"/>
      <c r="AK22" s="303"/>
    </row>
    <row r="23" spans="1:49">
      <c r="A23" s="115">
        <v>28</v>
      </c>
      <c r="B23" s="293" t="str">
        <f>'RISK INPUT'!O7</f>
        <v>SWAP-MXN-MXNTIIE28D-28D-</v>
      </c>
      <c r="C23" s="294">
        <f>'RISK INPUT'!P7</f>
        <v>4.0999999999999996</v>
      </c>
      <c r="G23" s="335">
        <f t="shared" si="1"/>
        <v>43733</v>
      </c>
      <c r="H23" s="175">
        <v>0.99684829796460195</v>
      </c>
      <c r="I23" s="136"/>
      <c r="K23" s="114">
        <f>C2</f>
        <v>43705</v>
      </c>
      <c r="L23" s="175">
        <f t="shared" ref="L23" si="3">EXP(-5%*(K23-$K$23)/365)</f>
        <v>1</v>
      </c>
      <c r="M23" s="136"/>
      <c r="N23" s="328"/>
      <c r="O23" s="349"/>
      <c r="P23" s="288">
        <f>_xll.qlCalendarAdvance($R$5,$C$2+A23,"0D",$R$7)</f>
        <v>43733</v>
      </c>
      <c r="Q23" s="353">
        <f t="shared" si="2"/>
        <v>4.0999999999999995E-2</v>
      </c>
      <c r="R23" s="354"/>
      <c r="S23" s="354"/>
      <c r="T23" s="354"/>
      <c r="U23" s="354"/>
      <c r="V23" s="354"/>
      <c r="W23" s="354"/>
      <c r="X23" s="355"/>
      <c r="Y23" s="374"/>
      <c r="Z23" s="346"/>
      <c r="AA23" s="346"/>
      <c r="AD23" s="179"/>
      <c r="AK23" s="303"/>
    </row>
    <row r="24" spans="1:49" ht="15.75" thickBot="1">
      <c r="A24" s="115">
        <v>84</v>
      </c>
      <c r="B24" s="293" t="str">
        <f>'RISK INPUT'!O8</f>
        <v>SWAP-MXN-MXNTIIE28D-84D-</v>
      </c>
      <c r="C24" s="294">
        <f>'RISK INPUT'!P8</f>
        <v>4.2149999999999999</v>
      </c>
      <c r="D24" s="307" t="str">
        <f>'RISK INPUT'!O22</f>
        <v>CCS-USD/MXN-28D-84D-</v>
      </c>
      <c r="E24" s="143">
        <f>'RISK INPUT'!P22</f>
        <v>0.03</v>
      </c>
      <c r="G24" s="335">
        <f t="shared" si="1"/>
        <v>43789</v>
      </c>
      <c r="H24" s="175">
        <v>0.99036701017812834</v>
      </c>
      <c r="I24" s="136"/>
      <c r="K24" s="114">
        <f t="shared" ref="K24:K37" si="4">P24</f>
        <v>43789</v>
      </c>
      <c r="L24" s="175">
        <v>0.99081167447956719</v>
      </c>
      <c r="M24" s="136"/>
      <c r="N24" s="351"/>
      <c r="O24" s="349">
        <f t="shared" ref="O24:O37" si="5">IF(ROW(O24)=23+$Y$41,1,0)</f>
        <v>0</v>
      </c>
      <c r="P24" s="288">
        <f>_xll.qlCalendarAdvance($R$5,$C$2+A24,"0D",$R$7)</f>
        <v>43789</v>
      </c>
      <c r="Q24" s="353">
        <f t="shared" si="2"/>
        <v>4.215E-2</v>
      </c>
      <c r="R24" s="354"/>
      <c r="S24" s="354"/>
      <c r="T24" s="354"/>
      <c r="U24" s="354"/>
      <c r="V24" s="354"/>
      <c r="W24" s="354"/>
      <c r="X24" s="355"/>
      <c r="Y24" s="356"/>
      <c r="Z24" s="365"/>
      <c r="AA24" s="365"/>
      <c r="AB24" s="61"/>
      <c r="AC24" s="366"/>
      <c r="AD24" s="363"/>
      <c r="AE24" s="364"/>
      <c r="AF24" s="364"/>
      <c r="AG24" s="364"/>
      <c r="AH24" s="364"/>
      <c r="AI24" s="364"/>
      <c r="AJ24" s="364"/>
      <c r="AK24" s="367"/>
      <c r="AL24" s="368"/>
      <c r="AM24" s="368"/>
      <c r="AN24" s="369"/>
      <c r="AO24" s="61"/>
      <c r="AP24" s="370"/>
      <c r="AQ24" s="61"/>
      <c r="AR24" s="61"/>
      <c r="AS24" s="61"/>
      <c r="AT24" s="61"/>
      <c r="AU24" s="371"/>
      <c r="AV24" s="371"/>
      <c r="AW24" s="372"/>
    </row>
    <row r="25" spans="1:49" ht="15.75" thickBot="1">
      <c r="A25" s="297">
        <v>168</v>
      </c>
      <c r="B25" s="298" t="str">
        <f>'RISK INPUT'!O9</f>
        <v>SWAP-MXN-MXNTIIE28D-168D-</v>
      </c>
      <c r="C25" s="294">
        <f>'RISK INPUT'!P9</f>
        <v>4.4349999999999996</v>
      </c>
      <c r="D25" s="298" t="str">
        <f>'RISK INPUT'!O23</f>
        <v>CCS-USD/MXN-28D-168D-</v>
      </c>
      <c r="E25" s="392">
        <f>'RISK INPUT'!P23</f>
        <v>0.15</v>
      </c>
      <c r="G25" s="335">
        <f t="shared" si="1"/>
        <v>43873</v>
      </c>
      <c r="H25" s="175">
        <v>0.9802316905030376</v>
      </c>
      <c r="I25" s="136"/>
      <c r="K25" s="114">
        <f t="shared" si="4"/>
        <v>43873</v>
      </c>
      <c r="L25" s="175">
        <v>0.98200031449889102</v>
      </c>
      <c r="M25" s="136"/>
      <c r="N25" s="296"/>
      <c r="O25" s="349">
        <f t="shared" si="5"/>
        <v>0</v>
      </c>
      <c r="P25" s="288">
        <f>_xll.qlCalendarAdvance($R$5,$C$2+A25,"0D",$R$7)</f>
        <v>43873</v>
      </c>
      <c r="Q25" s="353">
        <f t="shared" si="2"/>
        <v>4.4349999999999994E-2</v>
      </c>
      <c r="R25" s="354"/>
      <c r="S25" s="354"/>
      <c r="T25" s="354"/>
      <c r="U25" s="354"/>
      <c r="V25" s="354"/>
      <c r="W25" s="354"/>
      <c r="X25" s="355"/>
      <c r="Y25" s="356"/>
      <c r="Z25" s="357"/>
      <c r="AA25" s="357"/>
      <c r="AB25" s="136"/>
      <c r="AC25" s="300"/>
      <c r="AD25" s="353"/>
      <c r="AE25" s="354"/>
      <c r="AF25" s="354"/>
      <c r="AG25" s="354"/>
      <c r="AH25" s="354"/>
      <c r="AI25" s="354"/>
      <c r="AJ25" s="354"/>
      <c r="AK25" s="358"/>
      <c r="AL25" s="359"/>
      <c r="AM25" s="359"/>
      <c r="AN25" s="360"/>
      <c r="AO25" s="136"/>
      <c r="AP25" s="361"/>
      <c r="AQ25" s="136"/>
      <c r="AR25" s="136"/>
      <c r="AS25" s="136"/>
      <c r="AT25" s="136"/>
      <c r="AU25" s="362"/>
      <c r="AV25" s="362"/>
      <c r="AW25" s="309"/>
    </row>
    <row r="26" spans="1:49">
      <c r="A26" s="115">
        <v>252</v>
      </c>
      <c r="B26" s="299" t="str">
        <f>'RISK INPUT'!O10</f>
        <v>SWAP-MXN-MXNTIIE28D-252D-</v>
      </c>
      <c r="C26" s="294">
        <f>'RISK INPUT'!P10</f>
        <v>4.6050000000000004</v>
      </c>
      <c r="D26" s="299" t="str">
        <f>'RISK INPUT'!O24</f>
        <v>CCS-USD/MXN-28D-252D-</v>
      </c>
      <c r="E26" s="392">
        <f>'RISK INPUT'!P24</f>
        <v>0.34</v>
      </c>
      <c r="G26" s="335">
        <f t="shared" si="1"/>
        <v>43957</v>
      </c>
      <c r="H26" s="175">
        <v>0.96964251918282152</v>
      </c>
      <c r="I26" s="136"/>
      <c r="K26" s="114">
        <f t="shared" si="4"/>
        <v>43957</v>
      </c>
      <c r="L26" s="175">
        <v>0.97339709128181862</v>
      </c>
      <c r="M26" s="136"/>
      <c r="N26" s="296"/>
      <c r="O26" s="349">
        <f t="shared" si="5"/>
        <v>0</v>
      </c>
      <c r="P26" s="288">
        <f>_xll.qlCalendarAdvance($R$5,$C$2+A26,"0D",$R$7)</f>
        <v>43957</v>
      </c>
      <c r="Q26" s="312">
        <f t="shared" si="2"/>
        <v>4.6050000000000008E-2</v>
      </c>
      <c r="R26" s="323"/>
      <c r="S26" s="323"/>
      <c r="T26" s="323"/>
      <c r="U26" s="323"/>
      <c r="V26" s="323"/>
      <c r="W26" s="323"/>
      <c r="X26" s="295"/>
      <c r="Y26" s="344"/>
      <c r="Z26" s="346"/>
      <c r="AA26" s="346"/>
      <c r="AC26" s="300"/>
      <c r="AD26" s="312"/>
      <c r="AE26" s="323"/>
      <c r="AF26" s="323"/>
      <c r="AG26" s="323"/>
      <c r="AH26" s="323"/>
      <c r="AI26" s="323"/>
      <c r="AJ26" s="323"/>
      <c r="AK26" s="336"/>
      <c r="AL26" s="308"/>
      <c r="AM26" s="308"/>
      <c r="AN26" s="345"/>
      <c r="AP26" s="179"/>
      <c r="AU26" s="347"/>
      <c r="AV26" s="347"/>
      <c r="AW26" s="309"/>
    </row>
    <row r="27" spans="1:49">
      <c r="A27" s="115">
        <v>364</v>
      </c>
      <c r="B27" s="291" t="str">
        <f>'RISK INPUT'!O11</f>
        <v>SWAP-MXN-MXNTIIE28D-364D-</v>
      </c>
      <c r="C27" s="294">
        <f>'RISK INPUT'!P11</f>
        <v>4.7383499999999996</v>
      </c>
      <c r="D27" s="291" t="str">
        <f>'RISK INPUT'!O25</f>
        <v>CCS-USD/MXN-28D-364D-</v>
      </c>
      <c r="E27" s="392">
        <f>'RISK INPUT'!P25</f>
        <v>0.53</v>
      </c>
      <c r="G27" s="335">
        <f t="shared" si="1"/>
        <v>44069</v>
      </c>
      <c r="H27" s="175">
        <v>0.9549805661247589</v>
      </c>
      <c r="I27" s="136"/>
      <c r="K27" s="114">
        <f t="shared" si="4"/>
        <v>44069</v>
      </c>
      <c r="L27" s="175">
        <v>0.96158491038163729</v>
      </c>
      <c r="M27" s="136"/>
      <c r="N27" s="296"/>
      <c r="O27" s="349">
        <f t="shared" si="5"/>
        <v>0</v>
      </c>
      <c r="P27" s="288">
        <f>_xll.qlCalendarAdvance($R$5,$C$2+A27,"0D",$R$7)</f>
        <v>44069</v>
      </c>
      <c r="Q27" s="312">
        <f t="shared" si="2"/>
        <v>4.7383499999999995E-2</v>
      </c>
      <c r="R27" s="323"/>
      <c r="S27" s="323"/>
      <c r="T27" s="323"/>
      <c r="U27" s="323"/>
      <c r="V27" s="323"/>
      <c r="W27" s="323"/>
      <c r="X27" s="295"/>
      <c r="Y27" s="344"/>
      <c r="Z27" s="346"/>
      <c r="AA27" s="346"/>
      <c r="AC27" s="288"/>
      <c r="AD27" s="312"/>
      <c r="AE27" s="323"/>
      <c r="AF27" s="323"/>
      <c r="AG27" s="323"/>
      <c r="AH27" s="323"/>
      <c r="AI27" s="323"/>
      <c r="AJ27" s="323"/>
      <c r="AK27" s="336"/>
      <c r="AL27" s="308"/>
      <c r="AM27" s="308"/>
      <c r="AN27" s="345"/>
      <c r="AP27" s="179"/>
      <c r="AU27" s="347"/>
      <c r="AV27" s="347"/>
      <c r="AW27" s="309"/>
    </row>
    <row r="28" spans="1:49">
      <c r="A28" s="115">
        <v>728</v>
      </c>
      <c r="B28" s="291" t="str">
        <f>'RISK INPUT'!O12</f>
        <v>SWAP-MXN-MXNTIIE28D-728D-</v>
      </c>
      <c r="C28" s="294">
        <f>'RISK INPUT'!P12</f>
        <v>5.01</v>
      </c>
      <c r="D28" s="291" t="str">
        <f>'RISK INPUT'!O26</f>
        <v>CCS-USD/MXN-28D-728D-</v>
      </c>
      <c r="E28" s="392">
        <f>'RISK INPUT'!P26</f>
        <v>0.69</v>
      </c>
      <c r="G28" s="335">
        <f t="shared" si="1"/>
        <v>44433</v>
      </c>
      <c r="H28" s="175">
        <v>0.9068878044094012</v>
      </c>
      <c r="I28" s="136"/>
      <c r="K28" s="114">
        <f t="shared" si="4"/>
        <v>44433</v>
      </c>
      <c r="L28" s="175">
        <v>0.92173105678255507</v>
      </c>
      <c r="M28" s="136"/>
      <c r="N28" s="296"/>
      <c r="O28" s="349">
        <f t="shared" si="5"/>
        <v>0</v>
      </c>
      <c r="P28" s="288">
        <f>_xll.qlCalendarAdvance($R$5,$C$2+A28,"0D",$R$7)</f>
        <v>44433</v>
      </c>
      <c r="Q28" s="312">
        <f t="shared" si="2"/>
        <v>5.0099999999999999E-2</v>
      </c>
      <c r="R28" s="323"/>
      <c r="S28" s="323"/>
      <c r="T28" s="323"/>
      <c r="U28" s="323"/>
      <c r="V28" s="323"/>
      <c r="W28" s="323"/>
      <c r="X28" s="295"/>
      <c r="Y28" s="344"/>
      <c r="Z28" s="346"/>
      <c r="AA28" s="346"/>
      <c r="AC28" s="288"/>
      <c r="AD28" s="312"/>
      <c r="AE28" s="323"/>
      <c r="AF28" s="323"/>
      <c r="AG28" s="323"/>
      <c r="AH28" s="323"/>
      <c r="AI28" s="323"/>
      <c r="AJ28" s="323"/>
      <c r="AK28" s="336"/>
      <c r="AL28" s="308"/>
      <c r="AM28" s="308"/>
      <c r="AN28" s="345"/>
      <c r="AP28" s="179"/>
      <c r="AU28" s="347"/>
      <c r="AV28" s="347"/>
      <c r="AW28" s="309"/>
    </row>
    <row r="29" spans="1:49">
      <c r="A29" s="115">
        <v>1092</v>
      </c>
      <c r="B29" s="291" t="str">
        <f>'RISK INPUT'!O13</f>
        <v>SWAP-MXN-MXNTIIE28D-1092D-</v>
      </c>
      <c r="C29" s="294">
        <f>'RISK INPUT'!P13</f>
        <v>5.24</v>
      </c>
      <c r="D29" s="291" t="str">
        <f>'RISK INPUT'!O27</f>
        <v>CCS-USD/MXN-28D-1092D-</v>
      </c>
      <c r="E29" s="392">
        <f>'RISK INPUT'!P27</f>
        <v>0.76</v>
      </c>
      <c r="G29" s="335">
        <f t="shared" si="1"/>
        <v>44797</v>
      </c>
      <c r="H29" s="175">
        <v>0.85718492243275768</v>
      </c>
      <c r="I29" s="136"/>
      <c r="K29" s="114">
        <f t="shared" si="4"/>
        <v>44797</v>
      </c>
      <c r="L29" s="175">
        <v>0.88198003870481878</v>
      </c>
      <c r="M29" s="136"/>
      <c r="N29" s="296"/>
      <c r="O29" s="349">
        <f t="shared" si="5"/>
        <v>0</v>
      </c>
      <c r="P29" s="288">
        <f>_xll.qlCalendarAdvance($R$5,$C$2+A29,"0D",$R$7)</f>
        <v>44797</v>
      </c>
      <c r="Q29" s="312">
        <f t="shared" si="2"/>
        <v>5.2400000000000002E-2</v>
      </c>
      <c r="R29" s="323"/>
      <c r="S29" s="323"/>
      <c r="T29" s="323"/>
      <c r="U29" s="323"/>
      <c r="V29" s="323"/>
      <c r="W29" s="323"/>
      <c r="X29" s="295"/>
      <c r="Y29" s="344"/>
      <c r="Z29" s="346"/>
      <c r="AA29" s="346"/>
      <c r="AC29" s="288"/>
      <c r="AD29" s="312"/>
      <c r="AE29" s="323"/>
      <c r="AF29" s="323"/>
      <c r="AG29" s="323"/>
      <c r="AH29" s="323"/>
      <c r="AI29" s="323"/>
      <c r="AJ29" s="323"/>
      <c r="AK29" s="336"/>
      <c r="AL29" s="308"/>
      <c r="AM29" s="308"/>
      <c r="AN29" s="345"/>
      <c r="AP29" s="179"/>
      <c r="AU29" s="347"/>
      <c r="AV29" s="347"/>
      <c r="AW29" s="309"/>
    </row>
    <row r="30" spans="1:49">
      <c r="A30" s="115">
        <v>1456</v>
      </c>
      <c r="B30" s="291" t="str">
        <f>'RISK INPUT'!O14</f>
        <v>SWAP-MXN-MXNTIIE28D-1456D-</v>
      </c>
      <c r="C30" s="294">
        <f>'RISK INPUT'!P14</f>
        <v>5.45</v>
      </c>
      <c r="D30" s="291" t="str">
        <f>'RISK INPUT'!O28</f>
        <v>CCS-USD/MXN-28D-1456D-</v>
      </c>
      <c r="E30" s="392">
        <f>'RISK INPUT'!P28</f>
        <v>0.82</v>
      </c>
      <c r="G30" s="335">
        <f t="shared" si="1"/>
        <v>45161</v>
      </c>
      <c r="H30" s="175">
        <v>0.80705248950205699</v>
      </c>
      <c r="I30" s="136"/>
      <c r="K30" s="114">
        <f t="shared" si="4"/>
        <v>45161</v>
      </c>
      <c r="L30" s="175">
        <v>0.8399304849957564</v>
      </c>
      <c r="M30" s="136"/>
      <c r="N30" s="296"/>
      <c r="O30" s="349">
        <f t="shared" si="5"/>
        <v>0</v>
      </c>
      <c r="P30" s="288">
        <f>_xll.qlCalendarAdvance($R$5,$C$2+A30,"0D",$R$7)</f>
        <v>45161</v>
      </c>
      <c r="Q30" s="312">
        <f t="shared" si="2"/>
        <v>5.45E-2</v>
      </c>
      <c r="R30" s="323"/>
      <c r="S30" s="323"/>
      <c r="T30" s="323"/>
      <c r="U30" s="323"/>
      <c r="V30" s="323"/>
      <c r="W30" s="323"/>
      <c r="X30" s="295"/>
      <c r="Y30" s="344"/>
      <c r="Z30" s="346"/>
      <c r="AA30" s="346"/>
      <c r="AC30" s="288"/>
      <c r="AD30" s="312"/>
      <c r="AE30" s="323"/>
      <c r="AF30" s="323"/>
      <c r="AG30" s="323"/>
      <c r="AH30" s="323"/>
      <c r="AI30" s="323"/>
      <c r="AJ30" s="323"/>
      <c r="AK30" s="336"/>
      <c r="AL30" s="308"/>
      <c r="AM30" s="308"/>
      <c r="AN30" s="345"/>
      <c r="AP30" s="179"/>
      <c r="AU30" s="347"/>
      <c r="AV30" s="347"/>
      <c r="AW30" s="309"/>
    </row>
    <row r="31" spans="1:49">
      <c r="A31" s="115">
        <v>1820</v>
      </c>
      <c r="B31" s="291" t="str">
        <f>'RISK INPUT'!O15</f>
        <v>SWAP-MXN-MXNTIIE28D-1820D-</v>
      </c>
      <c r="C31" s="294">
        <f>'RISK INPUT'!P15</f>
        <v>5.66</v>
      </c>
      <c r="D31" s="291" t="str">
        <f>'RISK INPUT'!O29</f>
        <v>CCS-USD/MXN-28D-1820D-</v>
      </c>
      <c r="E31" s="392">
        <f>'RISK INPUT'!P29</f>
        <v>0.88</v>
      </c>
      <c r="G31" s="335">
        <f t="shared" si="1"/>
        <v>45525</v>
      </c>
      <c r="H31" s="175">
        <v>0.75671877973727242</v>
      </c>
      <c r="I31" s="136"/>
      <c r="K31" s="114">
        <f t="shared" si="4"/>
        <v>45525</v>
      </c>
      <c r="L31" s="175">
        <v>0.79888810313866043</v>
      </c>
      <c r="M31" s="136"/>
      <c r="N31" s="296"/>
      <c r="O31" s="349">
        <f t="shared" si="5"/>
        <v>0</v>
      </c>
      <c r="P31" s="288">
        <f>_xll.qlCalendarAdvance($R$5,$C$2+A31,"0D",$R$7)</f>
        <v>45525</v>
      </c>
      <c r="Q31" s="312">
        <f t="shared" si="2"/>
        <v>5.6600000000000004E-2</v>
      </c>
      <c r="R31" s="323"/>
      <c r="S31" s="323"/>
      <c r="T31" s="323"/>
      <c r="U31" s="323"/>
      <c r="V31" s="323"/>
      <c r="W31" s="323"/>
      <c r="X31" s="295"/>
      <c r="Y31" s="344"/>
      <c r="Z31" s="346"/>
      <c r="AA31" s="346"/>
      <c r="AC31" s="288"/>
      <c r="AD31" s="312"/>
      <c r="AE31" s="323"/>
      <c r="AF31" s="323"/>
      <c r="AG31" s="323"/>
      <c r="AH31" s="323"/>
      <c r="AI31" s="323"/>
      <c r="AJ31" s="323"/>
      <c r="AK31" s="336"/>
      <c r="AL31" s="308"/>
      <c r="AM31" s="308"/>
      <c r="AN31" s="345"/>
      <c r="AP31" s="179"/>
      <c r="AU31" s="347"/>
      <c r="AV31" s="347"/>
      <c r="AW31" s="309"/>
    </row>
    <row r="32" spans="1:49">
      <c r="A32" s="115">
        <v>2548</v>
      </c>
      <c r="B32" s="291" t="str">
        <f>'RISK INPUT'!O16</f>
        <v>SWAP-MXN-MXNTIIE28D-2548D-</v>
      </c>
      <c r="C32" s="294">
        <f>'RISK INPUT'!P16</f>
        <v>6</v>
      </c>
      <c r="D32" s="291" t="str">
        <f>'RISK INPUT'!O30</f>
        <v>CCS-USD/MXN-28D-2548D-</v>
      </c>
      <c r="E32" s="392">
        <f>'RISK INPUT'!P30</f>
        <v>0.98</v>
      </c>
      <c r="G32" s="335">
        <f t="shared" si="1"/>
        <v>46253</v>
      </c>
      <c r="H32" s="175">
        <v>0.65850633643895307</v>
      </c>
      <c r="I32" s="136"/>
      <c r="K32" s="114">
        <f t="shared" si="4"/>
        <v>46253</v>
      </c>
      <c r="L32" s="175">
        <v>0.72134587457805677</v>
      </c>
      <c r="M32" s="136"/>
      <c r="N32" s="296"/>
      <c r="O32" s="349">
        <f t="shared" si="5"/>
        <v>0</v>
      </c>
      <c r="P32" s="288">
        <f>_xll.qlCalendarAdvance($R$5,$C$2+A32,"0D",$R$7)</f>
        <v>46253</v>
      </c>
      <c r="Q32" s="312">
        <f t="shared" si="2"/>
        <v>0.06</v>
      </c>
      <c r="R32" s="323"/>
      <c r="S32" s="323"/>
      <c r="T32" s="323"/>
      <c r="U32" s="323"/>
      <c r="V32" s="323"/>
      <c r="W32" s="323"/>
      <c r="X32" s="295"/>
      <c r="Y32" s="344"/>
      <c r="Z32" s="346"/>
      <c r="AA32" s="346"/>
      <c r="AC32" s="288"/>
      <c r="AD32" s="312"/>
      <c r="AE32" s="323"/>
      <c r="AF32" s="323"/>
      <c r="AG32" s="323"/>
      <c r="AH32" s="323"/>
      <c r="AI32" s="323"/>
      <c r="AJ32" s="323"/>
      <c r="AK32" s="336"/>
      <c r="AL32" s="308"/>
      <c r="AM32" s="308"/>
      <c r="AN32" s="345"/>
      <c r="AP32" s="179"/>
      <c r="AU32" s="347"/>
      <c r="AV32" s="347"/>
      <c r="AW32" s="309"/>
    </row>
    <row r="33" spans="1:56">
      <c r="A33" s="115">
        <v>3640</v>
      </c>
      <c r="B33" s="291" t="str">
        <f>'RISK INPUT'!O17</f>
        <v>SWAP-MXN-MXNTIIE28D-3640D-</v>
      </c>
      <c r="C33" s="301">
        <f>'RISK INPUT'!P17</f>
        <v>6.33499999</v>
      </c>
      <c r="D33" s="291" t="str">
        <f>'RISK INPUT'!O31</f>
        <v>CCS-USD/MXN-28D-3640D-</v>
      </c>
      <c r="E33" s="393">
        <f>'RISK INPUT'!P31</f>
        <v>0.96999999000000003</v>
      </c>
      <c r="G33" s="335">
        <f t="shared" si="1"/>
        <v>47345</v>
      </c>
      <c r="H33" s="175">
        <v>0.52881301961664517</v>
      </c>
      <c r="I33" s="136"/>
      <c r="K33" s="114">
        <f t="shared" si="4"/>
        <v>47345</v>
      </c>
      <c r="L33" s="175">
        <v>0.60663960230559744</v>
      </c>
      <c r="M33" s="136"/>
      <c r="N33" s="296"/>
      <c r="O33" s="349">
        <f t="shared" si="5"/>
        <v>0</v>
      </c>
      <c r="P33" s="288">
        <f>_xll.qlCalendarAdvance($R$5,$C$2+A33,"0D",$R$7)</f>
        <v>47345</v>
      </c>
      <c r="Q33" s="312">
        <f t="shared" si="2"/>
        <v>6.3349999899999995E-2</v>
      </c>
      <c r="R33" s="323"/>
      <c r="S33" s="323"/>
      <c r="T33" s="323"/>
      <c r="U33" s="323"/>
      <c r="V33" s="323"/>
      <c r="W33" s="323"/>
      <c r="X33" s="295"/>
      <c r="Y33" s="344"/>
      <c r="Z33" s="346"/>
      <c r="AA33" s="346"/>
      <c r="AC33" s="288"/>
      <c r="AD33" s="312"/>
      <c r="AE33" s="323"/>
      <c r="AF33" s="323"/>
      <c r="AG33" s="323"/>
      <c r="AH33" s="323"/>
      <c r="AI33" s="323"/>
      <c r="AJ33" s="323"/>
      <c r="AK33" s="336"/>
      <c r="AL33" s="308"/>
      <c r="AM33" s="308"/>
      <c r="AN33" s="345"/>
      <c r="AP33" s="179"/>
      <c r="AU33" s="347"/>
      <c r="AV33" s="347"/>
      <c r="AW33" s="309"/>
    </row>
    <row r="34" spans="1:56">
      <c r="A34" s="115">
        <v>4368</v>
      </c>
      <c r="B34" s="291" t="str">
        <f>'RISK INPUT'!O18</f>
        <v>SWAP-MXN-MXNTIIE28D-4368D-</v>
      </c>
      <c r="C34" s="294">
        <f>'RISK INPUT'!P18</f>
        <v>6.54499999</v>
      </c>
      <c r="D34" s="291" t="str">
        <f>'RISK INPUT'!O32</f>
        <v>CCS-USD/MXN-28D-4368D-</v>
      </c>
      <c r="E34" s="392">
        <f>'RISK INPUT'!P32</f>
        <v>0.97</v>
      </c>
      <c r="G34" s="335">
        <f t="shared" si="1"/>
        <v>48073</v>
      </c>
      <c r="H34" s="175">
        <v>0.45414283461628474</v>
      </c>
      <c r="I34" s="136"/>
      <c r="K34" s="114">
        <f t="shared" si="4"/>
        <v>48073</v>
      </c>
      <c r="L34" s="175">
        <v>0.53969071420419779</v>
      </c>
      <c r="M34" s="136"/>
      <c r="N34" s="296"/>
      <c r="O34" s="349">
        <f t="shared" si="5"/>
        <v>0</v>
      </c>
      <c r="P34" s="288">
        <f>_xll.qlCalendarAdvance($R$5,$C$2+A34,"0D",$R$7)</f>
        <v>48073</v>
      </c>
      <c r="Q34" s="312">
        <f t="shared" si="2"/>
        <v>6.54499999E-2</v>
      </c>
      <c r="R34" s="323"/>
      <c r="S34" s="323"/>
      <c r="T34" s="323"/>
      <c r="U34" s="323"/>
      <c r="V34" s="323"/>
      <c r="W34" s="323"/>
      <c r="X34" s="295"/>
      <c r="Y34" s="344"/>
      <c r="Z34" s="346"/>
      <c r="AA34" s="346"/>
      <c r="AC34" s="288"/>
      <c r="AD34" s="312"/>
      <c r="AE34" s="323"/>
      <c r="AF34" s="323"/>
      <c r="AG34" s="323"/>
      <c r="AH34" s="323"/>
      <c r="AI34" s="323"/>
      <c r="AJ34" s="323"/>
      <c r="AK34" s="336"/>
      <c r="AL34" s="308"/>
      <c r="AM34" s="308"/>
      <c r="AN34" s="345"/>
      <c r="AP34" s="179"/>
      <c r="AU34" s="347"/>
      <c r="AV34" s="347"/>
      <c r="AW34" s="309"/>
    </row>
    <row r="35" spans="1:56">
      <c r="A35" s="115">
        <v>5460</v>
      </c>
      <c r="B35" s="291" t="str">
        <f>'RISK INPUT'!O19</f>
        <v>SWAP-MXN-MXNTIIE28D-5460D-</v>
      </c>
      <c r="C35" s="294">
        <f>'RISK INPUT'!P19</f>
        <v>6.7499999900000001</v>
      </c>
      <c r="D35" s="291" t="str">
        <f>'RISK INPUT'!O33</f>
        <v>CCS-USD/MXN-28D-5460D-</v>
      </c>
      <c r="E35" s="392">
        <f>'RISK INPUT'!P33</f>
        <v>0.96999999000000003</v>
      </c>
      <c r="G35" s="335">
        <f t="shared" si="1"/>
        <v>49165</v>
      </c>
      <c r="H35" s="175">
        <v>0.35442263600245622</v>
      </c>
      <c r="I35" s="136"/>
      <c r="K35" s="114">
        <f t="shared" si="4"/>
        <v>49165</v>
      </c>
      <c r="L35" s="175">
        <v>0.44612328269919305</v>
      </c>
      <c r="M35" s="136"/>
      <c r="N35" s="296"/>
      <c r="O35" s="349">
        <f t="shared" si="5"/>
        <v>0</v>
      </c>
      <c r="P35" s="288">
        <f>_xll.qlCalendarAdvance($R$5,$C$2+A35,"0D",$R$7)</f>
        <v>49165</v>
      </c>
      <c r="Q35" s="312">
        <f t="shared" si="2"/>
        <v>6.7499999899999996E-2</v>
      </c>
      <c r="R35" s="323"/>
      <c r="S35" s="323"/>
      <c r="T35" s="323"/>
      <c r="U35" s="323"/>
      <c r="V35" s="323"/>
      <c r="W35" s="323"/>
      <c r="X35" s="295"/>
      <c r="Y35" s="344"/>
      <c r="Z35" s="346"/>
      <c r="AA35" s="346"/>
      <c r="AC35" s="288"/>
      <c r="AD35" s="312"/>
      <c r="AE35" s="323"/>
      <c r="AF35" s="323"/>
      <c r="AG35" s="323"/>
      <c r="AH35" s="323"/>
      <c r="AI35" s="323"/>
      <c r="AJ35" s="323"/>
      <c r="AK35" s="336"/>
      <c r="AL35" s="308"/>
      <c r="AM35" s="308"/>
      <c r="AN35" s="345"/>
      <c r="AP35" s="179"/>
      <c r="AU35" s="347"/>
      <c r="AV35" s="347"/>
      <c r="AW35" s="309"/>
    </row>
    <row r="36" spans="1:56">
      <c r="A36" s="115">
        <v>7280</v>
      </c>
      <c r="B36" s="291" t="str">
        <f>'RISK INPUT'!O20</f>
        <v>SWAP-MXN-MXNTIIE28D-7280D-</v>
      </c>
      <c r="C36" s="294">
        <f>'RISK INPUT'!P20</f>
        <v>6.9850000000000003</v>
      </c>
      <c r="D36" s="291" t="str">
        <f>'RISK INPUT'!O34</f>
        <v>CCS-USD/MXN-28D-7280D-</v>
      </c>
      <c r="E36" s="392">
        <f>'RISK INPUT'!P34</f>
        <v>0.97</v>
      </c>
      <c r="G36" s="335">
        <f t="shared" si="1"/>
        <v>50985</v>
      </c>
      <c r="H36" s="175">
        <v>0.23464829160828865</v>
      </c>
      <c r="I36" s="136"/>
      <c r="K36" s="114">
        <f t="shared" si="4"/>
        <v>50985</v>
      </c>
      <c r="L36" s="175">
        <v>0.32832560622420853</v>
      </c>
      <c r="M36" s="136"/>
      <c r="N36" s="296"/>
      <c r="O36" s="349">
        <f t="shared" si="5"/>
        <v>0</v>
      </c>
      <c r="P36" s="288">
        <f>_xll.qlCalendarAdvance($R$5,$C$2+A36,"0D",$R$7)</f>
        <v>50985</v>
      </c>
      <c r="Q36" s="312">
        <f t="shared" si="2"/>
        <v>6.9850000000000009E-2</v>
      </c>
      <c r="R36" s="323"/>
      <c r="S36" s="323"/>
      <c r="T36" s="323"/>
      <c r="U36" s="323"/>
      <c r="V36" s="323"/>
      <c r="W36" s="323"/>
      <c r="X36" s="295"/>
      <c r="Y36" s="344"/>
      <c r="Z36" s="346"/>
      <c r="AA36" s="346"/>
      <c r="AC36" s="288"/>
      <c r="AD36" s="312"/>
      <c r="AE36" s="323"/>
      <c r="AF36" s="323"/>
      <c r="AG36" s="323"/>
      <c r="AH36" s="323"/>
      <c r="AI36" s="323"/>
      <c r="AJ36" s="323"/>
      <c r="AK36" s="336"/>
      <c r="AL36" s="308"/>
      <c r="AM36" s="308"/>
      <c r="AN36" s="345"/>
      <c r="AP36" s="179"/>
      <c r="AU36" s="347"/>
      <c r="AV36" s="347"/>
      <c r="AW36" s="309"/>
    </row>
    <row r="37" spans="1:56" ht="15.75" thickBot="1">
      <c r="A37" s="115">
        <v>10920</v>
      </c>
      <c r="B37" s="291" t="str">
        <f>'RISK INPUT'!O21</f>
        <v>SWAP-MXN-MXNTIIE28D-10920D-</v>
      </c>
      <c r="C37" s="302">
        <f>'RISK INPUT'!P21</f>
        <v>7.2049999400000004</v>
      </c>
      <c r="D37" s="291" t="str">
        <f>'RISK INPUT'!O35</f>
        <v>CCS-USD/MXN-28D-10920D-</v>
      </c>
      <c r="E37" s="392">
        <f>'RISK INPUT'!P35</f>
        <v>0.96999995999999999</v>
      </c>
      <c r="G37" s="337">
        <f t="shared" si="1"/>
        <v>54625</v>
      </c>
      <c r="H37" s="334">
        <v>0.10296112181609036</v>
      </c>
      <c r="I37" s="136"/>
      <c r="K37" s="333">
        <f t="shared" si="4"/>
        <v>54625</v>
      </c>
      <c r="L37" s="334">
        <v>0.18778243771457434</v>
      </c>
      <c r="M37" s="136"/>
      <c r="N37" s="296"/>
      <c r="O37" s="350">
        <f t="shared" si="5"/>
        <v>0</v>
      </c>
      <c r="P37" s="288">
        <f>_xll.qlCalendarAdvance($R$5,$C$2+A37,"0D",$R$7)</f>
        <v>54625</v>
      </c>
      <c r="Q37" s="312">
        <f t="shared" si="2"/>
        <v>7.2049999400000009E-2</v>
      </c>
      <c r="R37" s="323" t="str">
        <f>_xll.qlSchedule(,$R$2,P37,$R$4,$R$5,$R$7,$R$8,$R$9,$R$10,$R$11,$R$12,$R$13,$R$14)</f>
        <v>obj_00024#0000</v>
      </c>
      <c r="S37" s="323" t="str">
        <f>_xll.qlSchedule(,$S$2,P37,$S$4,$S$5,$S$7,$S$8,$S$9,$S$10,$S$11,$S$12,$S$13,$S$14)</f>
        <v>obj_00023#0000</v>
      </c>
      <c r="T37" s="323" t="str">
        <f>_xll.qlIborLeg(,"Following",$C$8,R37,,,"Actual/360",,,$R$18)</f>
        <v>obj_00130#0000</v>
      </c>
      <c r="U37" s="323" t="str">
        <f>_xll.qlFixedRateLeg(,"Following",$C$8,S37,Q37,$S$6)</f>
        <v>obj_00025#0000</v>
      </c>
      <c r="V37" s="323" t="str">
        <f>_xll.qlSwap(,T37:U37,$T$38:$U$38)</f>
        <v>obj_00131#0000</v>
      </c>
      <c r="W37" s="323" t="b">
        <f>_xll.qlInstrumentSetPricingEngine(V37,$R$16)</f>
        <v>1</v>
      </c>
      <c r="X37" s="295">
        <f>_xll.qlInstrumentNPV(V37,W37)</f>
        <v>128735.52271107771</v>
      </c>
      <c r="Y37" s="344">
        <f t="shared" ref="Y37" si="6">X37/$C$12</f>
        <v>8385.2586995738639</v>
      </c>
      <c r="Z37" s="346">
        <f>(_xll.qlInstrumentNPV(_xll.qlVanillaSwap(,"RECEIVER",$C$8,S37,Q37,$R$6,R37,$S$18,,$R$6,$S$7),_xll.qlInstrumentSetPricingEngine(_xll.qlVanillaSwap(,"RECEIVER",$C$8,S37,Q37,$R$6,R37,$S$18,,$R$6,$S$7),$R$16))/$C$12-Y37)/$H$6</f>
        <v>0</v>
      </c>
      <c r="AA37" s="346">
        <f>(_xll.qlInstrumentNPV(_xll.qlVanillaSwap(,"RECEIVER",$C$8,S37,Q37,$R$6,R37,$R$18,,$R$6,$S$7),_xll.qlInstrumentSetPricingEngine(_xll.qlVanillaSwap(,"RECEIVER",$C$8,S37,Q37,$R$6,R37,$R$18,,$R$6,$S$7),$S$16))/$C$12-Y37)/$H$6</f>
        <v>0</v>
      </c>
      <c r="AC37" s="288">
        <f t="shared" ref="AC37" si="7">P37</f>
        <v>54625</v>
      </c>
      <c r="AD37" s="312">
        <f t="shared" ref="AD37" si="8">E37/100</f>
        <v>9.6999996000000002E-3</v>
      </c>
      <c r="AE37" s="323" t="str">
        <f ca="1">_xll.qlSchedule(,$AE$2,AC37,$AE$4,$AE$5,$AE$7,$AE$8,$AE$9,$AE$10,Input!O60,Input!O61)</f>
        <v>obj_0004d#0000</v>
      </c>
      <c r="AF37" s="323" t="str">
        <f>_xll.qlIborLeg(,"Following",$C$9,R37,,,"Actual/360",,,$R$18,0)</f>
        <v>obj_00134#0000</v>
      </c>
      <c r="AG37" s="323" t="str">
        <f ca="1">_xll.qlIborLeg(,"Following",$C$8,AE37,,,"Actual/360",,,$AE$18,AD37)</f>
        <v>obj_00218#0000</v>
      </c>
      <c r="AH37" s="323" t="str">
        <f>_xll.qlSwap(,AF37,$AF$38)</f>
        <v>obj_00135#0000</v>
      </c>
      <c r="AI37" s="323" t="str">
        <f ca="1">_xll.qlSwap(,AG37,$AG$38)</f>
        <v>obj_00237#0000</v>
      </c>
      <c r="AJ37" s="323" t="b">
        <f>_xll.qlInstrumentSetPricingEngine(AH37,$R$16)</f>
        <v>1</v>
      </c>
      <c r="AK37" s="336" t="b">
        <f ca="1">_xll.qlInstrumentSetPricingEngine(AI37,$AE$16)</f>
        <v>1</v>
      </c>
      <c r="AL37" s="308">
        <f>_xll.qlInstrumentNPV(AH37,AJ37)+IF($AF$38,1,-1)*$C$9*(1-_xll.qlYieldTSDiscount($L$17,AC37))</f>
        <v>26328542.576472074</v>
      </c>
      <c r="AM37" s="308">
        <f ca="1">_xll.qlInstrumentNPV(AI37,AK37)+IF($AG$38,1,-1)*$C$8*(1-_xll.qlYieldTSDiscount($AE$15,AC37))</f>
        <v>-1779949.2866880409</v>
      </c>
      <c r="AN37" s="345">
        <f t="shared" ref="AN37" ca="1" si="9">AM37+AL37/$C$12</f>
        <v>-65025.262322651921</v>
      </c>
      <c r="AO37" s="115" t="str">
        <f>_xll.qlIborLeg(,"Following",$C$9,R37,,,"Actual/360",,,$S$18,0)</f>
        <v>obj_0012e#0000</v>
      </c>
      <c r="AP37" s="179" t="str">
        <f>_xll.qlSwap(,AO37,$AF$38)</f>
        <v>obj_0012f#0000</v>
      </c>
      <c r="AQ37" s="115" t="b">
        <f>_xll.qlInstrumentSetPricingEngine(AP37,$R$16)</f>
        <v>1</v>
      </c>
      <c r="AR37" s="115" t="str">
        <f>_xll.qlIborLeg(,"Following",$C$9,R37,,,"Actual/360",,,$R$18,0)</f>
        <v>obj_00132#0000</v>
      </c>
      <c r="AS37" s="115" t="str">
        <f>_xll.qlSwap(,AR37,$AF$38)</f>
        <v>obj_00133#0000</v>
      </c>
      <c r="AT37" s="115" t="b">
        <f>_xll.qlInstrumentSetPricingEngine(AS37,$S$16)</f>
        <v>1</v>
      </c>
      <c r="AU37" s="347">
        <f ca="1">((_xll.qlInstrumentNPV(AP37,AQ37)+IF($AF$38,1,-1)*$C$9*(1-_xll.qlYieldTSDiscount($L$17,AC37)))/$C$12+AM37-AN37)/$H$6</f>
        <v>0</v>
      </c>
      <c r="AV37" s="347">
        <f ca="1">((_xll.qlInstrumentNPV(AS37,AT37)+IF($AF$38,1,-1)*$C$9*(1-_xll.qlYieldTSDiscount($M$17,AC37)))/$C$12+AM37-AN37)/$H$6</f>
        <v>0</v>
      </c>
      <c r="AW37" s="310">
        <f t="shared" ref="AW37" ca="1" si="10">SQRT(AN37*AN37+Y37*Y37)</f>
        <v>65563.688910771903</v>
      </c>
    </row>
    <row r="38" spans="1:56">
      <c r="H38" s="303"/>
      <c r="I38" s="136"/>
      <c r="L38" s="303"/>
      <c r="M38" s="136"/>
      <c r="N38" s="303"/>
      <c r="R38" s="322"/>
      <c r="S38" s="322"/>
      <c r="T38" s="322" t="b">
        <v>1</v>
      </c>
      <c r="U38" s="322" t="b">
        <f>IF(T38,FALSE,TRUE)</f>
        <v>0</v>
      </c>
      <c r="V38" s="322"/>
      <c r="W38" s="322"/>
      <c r="Y38" s="304">
        <f>SQRT(SUMPRODUCT(Y22:Y37,Y22:Y37))</f>
        <v>8385.2586995738639</v>
      </c>
      <c r="Z38" s="304"/>
      <c r="AE38" s="323"/>
      <c r="AF38" s="323" t="b">
        <v>0</v>
      </c>
      <c r="AG38" s="323" t="b">
        <f>IF(AF38,FALSE,TRUE)</f>
        <v>1</v>
      </c>
      <c r="AH38" s="323"/>
      <c r="AI38" s="323"/>
      <c r="AJ38" s="323"/>
      <c r="AK38" s="336">
        <v>0</v>
      </c>
      <c r="AN38" s="304">
        <f ca="1">SQRT(SUMPRODUCT(AN24:AN37,AN24:AN37))</f>
        <v>65025.262322651921</v>
      </c>
      <c r="AO38" s="304"/>
      <c r="AP38" s="304"/>
      <c r="AQ38" s="304"/>
      <c r="AR38" s="304"/>
      <c r="AS38" s="304"/>
      <c r="AT38" s="304"/>
      <c r="AU38" s="304"/>
      <c r="AV38" s="304"/>
      <c r="AW38" s="133">
        <f ca="1">SUM(AW24:AW37)</f>
        <v>65563.688910771903</v>
      </c>
      <c r="AZ38" s="304"/>
      <c r="BD38" s="304"/>
    </row>
    <row r="39" spans="1:56">
      <c r="I39" s="136"/>
      <c r="M39" s="136"/>
      <c r="AK39" s="303">
        <v>0</v>
      </c>
    </row>
    <row r="40" spans="1:56">
      <c r="C40" s="179" t="s">
        <v>822</v>
      </c>
      <c r="I40" s="136"/>
      <c r="M40" s="136"/>
    </row>
    <row r="41" spans="1:56">
      <c r="I41" s="136"/>
      <c r="M41" s="136"/>
      <c r="R41" s="92"/>
      <c r="S41" s="92"/>
      <c r="X41" s="115" t="s">
        <v>799</v>
      </c>
      <c r="Y41" s="115">
        <v>15</v>
      </c>
    </row>
    <row r="42" spans="1:56">
      <c r="B42" s="115">
        <v>1E-3</v>
      </c>
      <c r="I42" s="136"/>
      <c r="R42" s="92"/>
      <c r="S42" s="92"/>
    </row>
    <row r="43" spans="1:56">
      <c r="C43" s="489">
        <f>Y37</f>
        <v>8385.2586995738639</v>
      </c>
      <c r="I43" s="136"/>
      <c r="R43" s="92"/>
      <c r="S43" s="92"/>
      <c r="X43" s="115" t="s">
        <v>802</v>
      </c>
      <c r="Y43" s="115">
        <f ca="1">OFFSET(H24,$Y$41-1,0,1,1)</f>
        <v>0</v>
      </c>
      <c r="Z43" s="115">
        <f ca="1">OFFSET(L24,$Y$41-1,0,1,1)</f>
        <v>0</v>
      </c>
    </row>
    <row r="44" spans="1:56">
      <c r="B44" s="489">
        <f>Y37</f>
        <v>8385.2586995738639</v>
      </c>
      <c r="C44" s="115">
        <v>0.18</v>
      </c>
      <c r="D44" s="115">
        <f t="shared" ref="D44:L44" si="11">C44+$B$42</f>
        <v>0.18099999999999999</v>
      </c>
      <c r="E44" s="115">
        <f t="shared" si="11"/>
        <v>0.182</v>
      </c>
      <c r="F44" s="115">
        <f t="shared" si="11"/>
        <v>0.183</v>
      </c>
      <c r="G44" s="115">
        <f t="shared" si="11"/>
        <v>0.184</v>
      </c>
      <c r="H44" s="115">
        <f t="shared" si="11"/>
        <v>0.185</v>
      </c>
      <c r="I44" s="115">
        <f t="shared" si="11"/>
        <v>0.186</v>
      </c>
      <c r="J44" s="115">
        <f t="shared" si="11"/>
        <v>0.187</v>
      </c>
      <c r="K44" s="115">
        <f t="shared" si="11"/>
        <v>0.188</v>
      </c>
      <c r="L44" s="115">
        <f t="shared" si="11"/>
        <v>0.189</v>
      </c>
      <c r="R44" s="92"/>
    </row>
    <row r="45" spans="1:56">
      <c r="B45" s="115">
        <v>0.1</v>
      </c>
      <c r="C45" s="115">
        <v>5516.4202739141901</v>
      </c>
      <c r="D45" s="115">
        <v>5482.9328154420909</v>
      </c>
      <c r="E45" s="115">
        <v>5449.512885223894</v>
      </c>
      <c r="F45" s="115">
        <v>5416.1599165598291</v>
      </c>
      <c r="G45" s="115">
        <v>5382.8733506721828</v>
      </c>
      <c r="H45" s="115">
        <v>5349.6526365518275</v>
      </c>
      <c r="I45" s="115">
        <v>5316.497230803714</v>
      </c>
      <c r="J45" s="115">
        <v>5283.4065975069798</v>
      </c>
      <c r="K45" s="115">
        <v>5250.3802080678515</v>
      </c>
      <c r="L45" s="115">
        <v>5217.417541079627</v>
      </c>
      <c r="R45" s="92"/>
      <c r="X45" s="115" t="s">
        <v>803</v>
      </c>
      <c r="Y45" s="115">
        <f ca="1">OFFSET(Y24,$Y$41-1,0,1,1)</f>
        <v>8385.2586995738639</v>
      </c>
      <c r="Z45" s="115">
        <f ca="1">OFFSET(AN24,$Y$41-1,0,1,1)</f>
        <v>65025.262322651921</v>
      </c>
      <c r="AA45" s="115">
        <f ca="1">SQRT(Y45*Y45+Z45*Z45)</f>
        <v>65563.688910771903</v>
      </c>
      <c r="AL45" s="115">
        <v>424395.5161269923</v>
      </c>
      <c r="AM45" s="115">
        <v>1065.9874093744293</v>
      </c>
      <c r="AV45" s="115">
        <v>-6515574.6008913042</v>
      </c>
      <c r="AW45" s="115">
        <v>6528575.4014962362</v>
      </c>
    </row>
    <row r="46" spans="1:56">
      <c r="B46" s="115">
        <f t="shared" ref="B46:B54" si="12">B45+$B$42</f>
        <v>0.10100000000000001</v>
      </c>
      <c r="C46" s="115">
        <v>6562.6051190820108</v>
      </c>
      <c r="D46" s="115">
        <v>6531.7540522704821</v>
      </c>
      <c r="E46" s="115">
        <v>6500.9651973688951</v>
      </c>
      <c r="F46" s="115">
        <v>6470.2380322921063</v>
      </c>
      <c r="G46" s="115">
        <v>6439.572042254269</v>
      </c>
      <c r="H46" s="115">
        <v>6408.9667196242817</v>
      </c>
      <c r="I46" s="115">
        <v>6378.4215637902689</v>
      </c>
      <c r="J46" s="115">
        <v>6347.9360810206581</v>
      </c>
      <c r="K46" s="115">
        <v>6317.5097843374651</v>
      </c>
      <c r="L46" s="115">
        <v>6287.1421933835563</v>
      </c>
      <c r="R46" s="92"/>
    </row>
    <row r="47" spans="1:56">
      <c r="B47" s="115">
        <f t="shared" si="12"/>
        <v>0.10200000000000001</v>
      </c>
      <c r="C47" s="115">
        <v>7598.4036585856629</v>
      </c>
      <c r="D47" s="115">
        <v>7570.1628098860738</v>
      </c>
      <c r="E47" s="115">
        <v>7541.978909531801</v>
      </c>
      <c r="F47" s="115">
        <v>7513.8514796099762</v>
      </c>
      <c r="G47" s="115">
        <v>7485.7800488888215</v>
      </c>
      <c r="H47" s="115">
        <v>7457.7641526874731</v>
      </c>
      <c r="I47" s="115">
        <v>7429.8033327481635</v>
      </c>
      <c r="J47" s="115">
        <v>7401.897137112529</v>
      </c>
      <c r="K47" s="115">
        <v>7374.0451200050811</v>
      </c>
      <c r="L47" s="115">
        <v>7346.2468417098808</v>
      </c>
      <c r="R47" s="92"/>
    </row>
    <row r="48" spans="1:56">
      <c r="B48" s="115">
        <f t="shared" si="12"/>
        <v>0.10300000000000001</v>
      </c>
      <c r="C48" s="115">
        <v>8624.0193287846105</v>
      </c>
      <c r="D48" s="115">
        <v>8598.3630373085107</v>
      </c>
      <c r="E48" s="115">
        <v>8598.3630373085107</v>
      </c>
      <c r="F48" s="115">
        <v>8598.3630373085107</v>
      </c>
      <c r="G48" s="115">
        <v>8598.3630373085107</v>
      </c>
      <c r="H48" s="115">
        <v>8598.3630373085107</v>
      </c>
      <c r="I48" s="115">
        <v>8598.3630373085107</v>
      </c>
      <c r="J48" s="115">
        <v>8598.3630373085107</v>
      </c>
      <c r="K48" s="115">
        <v>8598.3630373085107</v>
      </c>
      <c r="L48" s="115">
        <v>8598.3630373085107</v>
      </c>
      <c r="R48" s="92"/>
      <c r="X48" s="115" t="s">
        <v>800</v>
      </c>
      <c r="Y48" s="148">
        <f t="array" aca="1" ref="Y48:Z48" ca="1">OFFSET(Z24,$Y$41-1,0,1,2)</f>
        <v>0</v>
      </c>
      <c r="Z48" s="140">
        <f ca="1"/>
        <v>0</v>
      </c>
    </row>
    <row r="49" spans="2:49">
      <c r="B49" s="115">
        <f t="shared" si="12"/>
        <v>0.10400000000000001</v>
      </c>
      <c r="C49" s="115">
        <v>8598.3630373085107</v>
      </c>
      <c r="D49" s="115">
        <v>8598.3630373085107</v>
      </c>
      <c r="E49" s="115">
        <v>8598.3630373085107</v>
      </c>
      <c r="F49" s="115">
        <v>8598.3630373085107</v>
      </c>
      <c r="G49" s="115">
        <v>8598.3630373085107</v>
      </c>
      <c r="H49" s="133">
        <v>8598.3630373085107</v>
      </c>
      <c r="I49" s="115">
        <v>8598.3630373085107</v>
      </c>
      <c r="J49" s="115">
        <v>8598.3630373085107</v>
      </c>
      <c r="K49" s="115">
        <v>1070.1853077788658</v>
      </c>
      <c r="L49" s="115">
        <v>1044.0436635553576</v>
      </c>
      <c r="O49" s="117"/>
      <c r="R49" s="92"/>
      <c r="Y49" s="352">
        <f t="array" aca="1" ref="Y49:Z49" ca="1">OFFSET(AU24,$Y$41-1,0,1,2)</f>
        <v>0</v>
      </c>
      <c r="Z49" s="50">
        <f ca="1"/>
        <v>0</v>
      </c>
    </row>
    <row r="50" spans="2:49">
      <c r="B50" s="115">
        <f t="shared" si="12"/>
        <v>0.10500000000000001</v>
      </c>
      <c r="C50" s="115">
        <v>2287.014889448737</v>
      </c>
      <c r="D50" s="115">
        <v>2262.9918028546608</v>
      </c>
      <c r="E50" s="115">
        <v>2239.0171591458889</v>
      </c>
      <c r="F50" s="115">
        <v>2215.0905517887063</v>
      </c>
      <c r="G50" s="115">
        <v>2191.2115799305971</v>
      </c>
      <c r="H50" s="115">
        <v>2167.3798482903212</v>
      </c>
      <c r="I50" s="115">
        <v>2143.5949670526084</v>
      </c>
      <c r="J50" s="115">
        <v>2119.8565517610855</v>
      </c>
      <c r="K50" s="115">
        <v>2096.1642232163076</v>
      </c>
      <c r="L50" s="115">
        <v>2072.5176073757825</v>
      </c>
      <c r="R50" s="92"/>
      <c r="AC50" s="115">
        <v>2121.1241914386519</v>
      </c>
      <c r="AL50" s="115">
        <v>2163.5637430513511</v>
      </c>
      <c r="AM50" s="115">
        <v>2121.2307901795893</v>
      </c>
      <c r="AU50" s="115">
        <v>-23073.166073606801</v>
      </c>
      <c r="AV50" s="115">
        <v>-23724.723533695931</v>
      </c>
      <c r="AW50" s="115">
        <v>-22420.308533457199</v>
      </c>
    </row>
    <row r="51" spans="2:49">
      <c r="B51" s="115">
        <f t="shared" si="12"/>
        <v>0.10600000000000001</v>
      </c>
      <c r="C51" s="115">
        <v>3283.2492828748668</v>
      </c>
      <c r="D51" s="115">
        <v>3261.7367367362031</v>
      </c>
      <c r="E51" s="115">
        <v>3240.2675709391783</v>
      </c>
      <c r="F51" s="115">
        <v>3218.8414214342465</v>
      </c>
      <c r="G51" s="115">
        <v>3197.4579292602684</v>
      </c>
      <c r="H51" s="115">
        <v>3176.1167404441157</v>
      </c>
      <c r="I51" s="115">
        <v>3154.8175059099808</v>
      </c>
      <c r="J51" s="115">
        <v>3133.5598813786155</v>
      </c>
      <c r="K51" s="115">
        <v>3112.3435272788279</v>
      </c>
      <c r="L51" s="115">
        <v>3091.1681086575163</v>
      </c>
      <c r="R51" s="92"/>
      <c r="X51" s="115" t="s">
        <v>801</v>
      </c>
      <c r="Y51" s="148" t="e">
        <f t="array" aca="1" ref="Y51:Z52" ca="1">MINVERSE(Y48:Z49)</f>
        <v>#NUM!</v>
      </c>
      <c r="Z51" s="140" t="e">
        <f ca="1"/>
        <v>#NUM!</v>
      </c>
      <c r="AL51" s="115">
        <f>(AL50-AC50)/$H$6</f>
        <v>424395.5161269923</v>
      </c>
      <c r="AM51" s="115">
        <f>(AM50-AC50)/$H$6</f>
        <v>1065.9874093744293</v>
      </c>
      <c r="AV51" s="115">
        <f>(AV50-AU50)/$H$6</f>
        <v>-6515574.6008913042</v>
      </c>
      <c r="AW51" s="115">
        <f>(AW50-AU50)/$H$6</f>
        <v>6528575.4014960183</v>
      </c>
    </row>
    <row r="52" spans="2:49">
      <c r="B52" s="115">
        <f t="shared" si="12"/>
        <v>0.10700000000000001</v>
      </c>
      <c r="C52" s="115">
        <v>4270.0575155852812</v>
      </c>
      <c r="D52" s="115">
        <v>4251.0317557330982</v>
      </c>
      <c r="E52" s="115">
        <v>4232.0443615782497</v>
      </c>
      <c r="F52" s="115">
        <v>4213.0950111555358</v>
      </c>
      <c r="G52" s="115">
        <v>4194.1833869977363</v>
      </c>
      <c r="H52" s="115">
        <v>4175.309176050685</v>
      </c>
      <c r="I52" s="115">
        <v>4156.4720695893147</v>
      </c>
      <c r="J52" s="115">
        <v>4137.6717631334541</v>
      </c>
      <c r="K52" s="115">
        <v>4118.9079563649084</v>
      </c>
      <c r="L52" s="115">
        <v>4100.1803530504731</v>
      </c>
      <c r="R52" s="92"/>
      <c r="Y52" s="352" t="e">
        <f ca="1"/>
        <v>#NUM!</v>
      </c>
      <c r="Z52" s="50" t="e">
        <f ca="1"/>
        <v>#NUM!</v>
      </c>
    </row>
    <row r="53" spans="2:49">
      <c r="B53" s="115">
        <f t="shared" si="12"/>
        <v>0.10800000000000001</v>
      </c>
      <c r="C53" s="115">
        <v>5247.615630910208</v>
      </c>
      <c r="D53" s="115">
        <v>5231.0533468088352</v>
      </c>
      <c r="E53" s="115">
        <v>5214.5244607677578</v>
      </c>
      <c r="F53" s="115">
        <v>5198.0286925084802</v>
      </c>
      <c r="G53" s="115">
        <v>5181.5657656712219</v>
      </c>
      <c r="H53" s="115">
        <v>5165.1354077359993</v>
      </c>
      <c r="I53" s="115">
        <v>5148.7373499524383</v>
      </c>
      <c r="J53" s="115">
        <v>5132.3713272639498</v>
      </c>
      <c r="K53" s="115">
        <v>5116.0370782382652</v>
      </c>
      <c r="L53" s="115">
        <v>5099.7343449986511</v>
      </c>
      <c r="R53" s="92"/>
    </row>
    <row r="54" spans="2:49">
      <c r="B54" s="115">
        <f t="shared" si="12"/>
        <v>0.10900000000000001</v>
      </c>
      <c r="C54" s="115">
        <v>6216.0947921615034</v>
      </c>
      <c r="D54" s="115">
        <v>6201.9731046106062</v>
      </c>
      <c r="E54" s="115">
        <v>6187.8798936178482</v>
      </c>
      <c r="F54" s="115">
        <v>6173.8149202069571</v>
      </c>
      <c r="G54" s="115">
        <v>6159.7779487423313</v>
      </c>
      <c r="H54" s="115">
        <v>6145.768746862851</v>
      </c>
      <c r="I54" s="115">
        <v>6131.7870854195244</v>
      </c>
      <c r="J54" s="115">
        <v>6117.8327384149388</v>
      </c>
      <c r="K54" s="115">
        <v>6103.9054829410297</v>
      </c>
      <c r="L54" s="115">
        <v>6090.0050991206572</v>
      </c>
      <c r="R54" s="92"/>
      <c r="X54" s="115" t="s">
        <v>804</v>
      </c>
      <c r="Y54" s="115" t="e">
        <f t="array" aca="1" ref="Y54:Z54" ca="1">Y43:Z43-MMULT(Y45:Z45,TRANSPOSE(Y51:Z52))</f>
        <v>#NUM!</v>
      </c>
      <c r="Z54" s="115" t="e">
        <f ca="1"/>
        <v>#NUM!</v>
      </c>
    </row>
    <row r="55" spans="2:49">
      <c r="R55" s="92"/>
    </row>
    <row r="56" spans="2:49">
      <c r="R56" s="92"/>
    </row>
    <row r="57" spans="2:49">
      <c r="R57" s="92"/>
    </row>
    <row r="58" spans="2:49">
      <c r="R58" s="92"/>
    </row>
    <row r="59" spans="2:49">
      <c r="B59" s="489">
        <f ca="1">AN37</f>
        <v>-65025.262322651921</v>
      </c>
      <c r="C59" s="115">
        <f t="shared" ref="C59:L59" si="13">C44</f>
        <v>0.18</v>
      </c>
      <c r="D59" s="115">
        <f t="shared" si="13"/>
        <v>0.18099999999999999</v>
      </c>
      <c r="E59" s="115">
        <f t="shared" si="13"/>
        <v>0.182</v>
      </c>
      <c r="F59" s="115">
        <f t="shared" si="13"/>
        <v>0.183</v>
      </c>
      <c r="G59" s="115">
        <f t="shared" si="13"/>
        <v>0.184</v>
      </c>
      <c r="H59" s="115">
        <f t="shared" si="13"/>
        <v>0.185</v>
      </c>
      <c r="I59" s="115">
        <f t="shared" si="13"/>
        <v>0.186</v>
      </c>
      <c r="J59" s="115">
        <f t="shared" si="13"/>
        <v>0.187</v>
      </c>
      <c r="K59" s="115">
        <f t="shared" si="13"/>
        <v>0.188</v>
      </c>
      <c r="L59" s="115">
        <f t="shared" si="13"/>
        <v>0.189</v>
      </c>
      <c r="R59" s="92"/>
    </row>
    <row r="60" spans="2:49">
      <c r="B60" s="115">
        <f t="shared" ref="B60:B69" si="14">B45</f>
        <v>0.1</v>
      </c>
      <c r="C60" s="115">
        <v>-29405.792090614326</v>
      </c>
      <c r="D60" s="115">
        <v>-19433.966518400004</v>
      </c>
      <c r="E60" s="115">
        <v>-9469.1146048698574</v>
      </c>
      <c r="F60" s="115">
        <v>488.82217323756777</v>
      </c>
      <c r="G60" s="115">
        <v>10439.901521170512</v>
      </c>
      <c r="H60" s="115">
        <v>20384.180341993691</v>
      </c>
      <c r="I60" s="115">
        <v>30321.714752158383</v>
      </c>
      <c r="J60" s="115">
        <v>40252.560096578207</v>
      </c>
      <c r="K60" s="115">
        <v>50176.770963380346</v>
      </c>
      <c r="L60" s="115">
        <v>60094.401198283304</v>
      </c>
      <c r="R60" s="92"/>
    </row>
    <row r="61" spans="2:49">
      <c r="B61" s="115">
        <f t="shared" si="14"/>
        <v>0.10100000000000001</v>
      </c>
      <c r="C61" s="115">
        <v>-45467.53285797243</v>
      </c>
      <c r="D61" s="115">
        <v>-35536.183349553961</v>
      </c>
      <c r="E61" s="115">
        <v>-25611.725879198872</v>
      </c>
      <c r="F61" s="115">
        <v>-15694.102608596673</v>
      </c>
      <c r="G61" s="115">
        <v>-5783.256507912185</v>
      </c>
      <c r="H61" s="115">
        <v>4120.8686599256471</v>
      </c>
      <c r="I61" s="115">
        <v>14018.328354580328</v>
      </c>
      <c r="J61" s="115">
        <v>23909.177273193141</v>
      </c>
      <c r="K61" s="115">
        <v>33793.469364984659</v>
      </c>
      <c r="L61" s="115">
        <v>43671.257845481858</v>
      </c>
      <c r="R61" s="92"/>
    </row>
    <row r="62" spans="2:49">
      <c r="B62" s="115">
        <f t="shared" si="14"/>
        <v>0.10200000000000001</v>
      </c>
      <c r="C62" s="115">
        <v>-61369.814505980816</v>
      </c>
      <c r="D62" s="115">
        <v>-51478.539220262086</v>
      </c>
      <c r="E62" s="115">
        <v>-41594.075162311085</v>
      </c>
      <c r="F62" s="115">
        <v>-31716.365171979647</v>
      </c>
      <c r="G62" s="115">
        <v>-21845.352888113353</v>
      </c>
      <c r="H62" s="115">
        <v>-11980.982733022189</v>
      </c>
      <c r="I62" s="115">
        <v>-2123.1998973295558</v>
      </c>
      <c r="J62" s="115">
        <v>7728.0496747738216</v>
      </c>
      <c r="K62" s="115">
        <v>17572.819299954921</v>
      </c>
      <c r="L62" s="115">
        <v>27411.161569761811</v>
      </c>
      <c r="R62" s="92"/>
    </row>
    <row r="63" spans="2:49">
      <c r="B63" s="115">
        <f t="shared" si="14"/>
        <v>0.10300000000000001</v>
      </c>
      <c r="C63" s="115">
        <v>-77115.760371916927</v>
      </c>
      <c r="D63" s="115">
        <v>-67264.165338713676</v>
      </c>
      <c r="E63" s="115">
        <v>-57419.301517414628</v>
      </c>
      <c r="F63" s="115">
        <v>-47581.112419383135</v>
      </c>
      <c r="G63" s="115">
        <v>-37749.542345562251</v>
      </c>
      <c r="H63" s="115">
        <v>-27924.536371179158</v>
      </c>
      <c r="I63" s="115">
        <v>-18106.040330735734</v>
      </c>
      <c r="J63" s="115">
        <v>-8294.000803449424</v>
      </c>
      <c r="K63" s="115">
        <v>1511.6349010034464</v>
      </c>
      <c r="L63" s="115">
        <v>11310.918756336905</v>
      </c>
      <c r="R63" s="92"/>
    </row>
    <row r="64" spans="2:49">
      <c r="B64" s="115">
        <f t="shared" si="14"/>
        <v>0.10400000000000001</v>
      </c>
      <c r="C64" s="115">
        <v>-92708.403029666515</v>
      </c>
      <c r="D64" s="115">
        <v>-82896.101920928108</v>
      </c>
      <c r="E64" s="115">
        <v>-73090.452787285671</v>
      </c>
      <c r="F64" s="115">
        <v>-63291.399805037072</v>
      </c>
      <c r="G64" s="115">
        <v>-53498.887930818833</v>
      </c>
      <c r="H64" s="133">
        <v>-43712.862886389019</v>
      </c>
      <c r="I64" s="115">
        <v>-33933.271143861115</v>
      </c>
      <c r="J64" s="115">
        <v>-24160.059911304154</v>
      </c>
      <c r="K64" s="115">
        <v>-14393.177118652733</v>
      </c>
      <c r="L64" s="115">
        <v>-4632.5714039721061</v>
      </c>
      <c r="R64" s="92"/>
    </row>
    <row r="65" spans="2:27">
      <c r="B65" s="115">
        <f t="shared" si="14"/>
        <v>0.10500000000000001</v>
      </c>
      <c r="C65" s="115">
        <v>-108232.02190337633</v>
      </c>
      <c r="D65" s="115">
        <v>-98459.535055553075</v>
      </c>
      <c r="E65" s="115">
        <v>-88693.619781342568</v>
      </c>
      <c r="F65" s="115">
        <v>-78934.220931991469</v>
      </c>
      <c r="G65" s="115">
        <v>-69181.284129602136</v>
      </c>
      <c r="H65" s="115">
        <v>-59434.755752172321</v>
      </c>
      <c r="I65" s="115">
        <v>-49694.582918975269</v>
      </c>
      <c r="J65" s="115">
        <v>-39960.713476356352</v>
      </c>
      <c r="K65" s="115">
        <v>-30233.095983765321</v>
      </c>
      <c r="L65" s="115">
        <v>-20511.679700263543</v>
      </c>
      <c r="R65" s="92"/>
    </row>
    <row r="66" spans="2:27">
      <c r="B66" s="115">
        <f t="shared" si="14"/>
        <v>0.10600000000000001</v>
      </c>
      <c r="C66" s="115">
        <v>-123525.89469754719</v>
      </c>
      <c r="D66" s="115">
        <v>-113791.94961008709</v>
      </c>
      <c r="E66" s="115">
        <v>-104064.49837752571</v>
      </c>
      <c r="F66" s="115">
        <v>-94343.486503343098</v>
      </c>
      <c r="G66" s="115">
        <v>-84628.860252720537</v>
      </c>
      <c r="H66" s="115">
        <v>-74920.566637848038</v>
      </c>
      <c r="I66" s="115">
        <v>-65218.553403377533</v>
      </c>
      <c r="J66" s="115">
        <v>-55522.769012436736</v>
      </c>
      <c r="K66" s="115">
        <v>-45833.162632842315</v>
      </c>
      <c r="L66" s="115">
        <v>-36149.684123765444</v>
      </c>
      <c r="R66" s="92"/>
    </row>
    <row r="67" spans="2:27">
      <c r="B67" s="115">
        <f t="shared" si="14"/>
        <v>0.10700000000000001</v>
      </c>
      <c r="C67" s="115">
        <v>-138675.06007763371</v>
      </c>
      <c r="D67" s="115">
        <v>-128979.29207704146</v>
      </c>
      <c r="E67" s="115">
        <v>-119289.94094802183</v>
      </c>
      <c r="F67" s="115">
        <v>-109606.95284007117</v>
      </c>
      <c r="G67" s="115">
        <v>-99930.274655400077</v>
      </c>
      <c r="H67" s="115">
        <v>-90259.854034346994</v>
      </c>
      <c r="I67" s="115">
        <v>-80595.639341049595</v>
      </c>
      <c r="J67" s="115">
        <v>-70937.579649598803</v>
      </c>
      <c r="K67" s="115">
        <v>-61285.624730410753</v>
      </c>
      <c r="L67" s="115">
        <v>-51639.725037051365</v>
      </c>
      <c r="R67" s="373"/>
      <c r="U67" s="311"/>
    </row>
    <row r="68" spans="2:27">
      <c r="B68" s="115">
        <f t="shared" si="14"/>
        <v>0.10800000000000001</v>
      </c>
      <c r="C68" s="115">
        <v>-153682.22060469957</v>
      </c>
      <c r="D68" s="115">
        <v>-144024.27182816993</v>
      </c>
      <c r="E68" s="115">
        <v>-134372.66366149322</v>
      </c>
      <c r="F68" s="115">
        <v>-124727.34289414086</v>
      </c>
      <c r="G68" s="115">
        <v>-115088.25705939415</v>
      </c>
      <c r="H68" s="115">
        <v>-105455.35441983561</v>
      </c>
      <c r="I68" s="115">
        <v>-95828.583953288849</v>
      </c>
      <c r="J68" s="115">
        <v>-86207.895339065697</v>
      </c>
      <c r="K68" s="115">
        <v>-76593.238944556098</v>
      </c>
      <c r="L68" s="115">
        <v>-66984.565812148619</v>
      </c>
      <c r="R68" s="92"/>
      <c r="Y68" s="117"/>
      <c r="Z68" s="117"/>
      <c r="AA68" s="117"/>
    </row>
    <row r="69" spans="2:27">
      <c r="B69" s="115">
        <f t="shared" si="14"/>
        <v>0.10900000000000001</v>
      </c>
      <c r="C69" s="115">
        <v>-168550.00392333069</v>
      </c>
      <c r="D69" s="115">
        <v>-158929.52312989742</v>
      </c>
      <c r="E69" s="115">
        <v>-149315.3073928603</v>
      </c>
      <c r="F69" s="115">
        <v>-139707.30413575028</v>
      </c>
      <c r="G69" s="115">
        <v>-130105.46151700569</v>
      </c>
      <c r="H69" s="115">
        <v>-120509.72841573856</v>
      </c>
      <c r="I69" s="115">
        <v>-110920.0544177033</v>
      </c>
      <c r="J69" s="115">
        <v>-101336.3898018538</v>
      </c>
      <c r="K69" s="115">
        <v>-91758.685526971705</v>
      </c>
      <c r="L69" s="115">
        <v>-82186.893218834186</v>
      </c>
      <c r="R69" s="92"/>
      <c r="T69" s="138"/>
    </row>
    <row r="70" spans="2:27">
      <c r="R70" s="92"/>
      <c r="T70" s="138"/>
      <c r="U70" s="138"/>
      <c r="V70" s="308"/>
      <c r="W70" s="305"/>
      <c r="X70" s="177"/>
      <c r="Y70" s="117"/>
      <c r="Z70" s="117"/>
      <c r="AA70" s="117"/>
    </row>
    <row r="71" spans="2:27">
      <c r="R71" s="92"/>
      <c r="T71" s="138"/>
      <c r="U71" s="138"/>
      <c r="V71" s="308"/>
      <c r="W71" s="305"/>
      <c r="X71" s="177"/>
      <c r="Y71" s="117"/>
      <c r="Z71" s="117"/>
      <c r="AA71" s="117"/>
    </row>
    <row r="72" spans="2:27">
      <c r="R72" s="92"/>
      <c r="T72" s="138"/>
      <c r="U72" s="138"/>
      <c r="V72" s="308"/>
      <c r="W72" s="305"/>
      <c r="X72" s="177"/>
      <c r="Y72" s="117"/>
      <c r="Z72" s="117"/>
      <c r="AA72" s="117"/>
    </row>
    <row r="73" spans="2:27">
      <c r="B73" s="489">
        <f ca="1">H10</f>
        <v>65563.688910771903</v>
      </c>
      <c r="C73" s="115">
        <f t="shared" ref="C73:L73" si="15">C44</f>
        <v>0.18</v>
      </c>
      <c r="D73" s="115">
        <f t="shared" si="15"/>
        <v>0.18099999999999999</v>
      </c>
      <c r="E73" s="115">
        <f t="shared" si="15"/>
        <v>0.182</v>
      </c>
      <c r="F73" s="115">
        <f t="shared" si="15"/>
        <v>0.183</v>
      </c>
      <c r="G73" s="115">
        <f t="shared" si="15"/>
        <v>0.184</v>
      </c>
      <c r="H73" s="115">
        <f t="shared" si="15"/>
        <v>0.185</v>
      </c>
      <c r="I73" s="115">
        <f t="shared" si="15"/>
        <v>0.186</v>
      </c>
      <c r="J73" s="115">
        <f t="shared" si="15"/>
        <v>0.187</v>
      </c>
      <c r="K73" s="115">
        <f t="shared" si="15"/>
        <v>0.188</v>
      </c>
      <c r="L73" s="115">
        <f t="shared" si="15"/>
        <v>0.189</v>
      </c>
      <c r="R73" s="92"/>
      <c r="T73" s="138"/>
      <c r="U73" s="138"/>
      <c r="V73" s="308"/>
      <c r="W73" s="305"/>
    </row>
    <row r="74" spans="2:27">
      <c r="B74" s="115">
        <f t="shared" ref="B74:B83" si="16">B45</f>
        <v>0.1</v>
      </c>
      <c r="C74" s="117">
        <f t="shared" ref="C74:L74" si="17">SQRT(C45^2+C60^2)</f>
        <v>29918.748321326671</v>
      </c>
      <c r="D74" s="117">
        <f t="shared" si="17"/>
        <v>20192.612681298677</v>
      </c>
      <c r="E74" s="117">
        <f t="shared" si="17"/>
        <v>10925.260733107512</v>
      </c>
      <c r="F74" s="117">
        <f t="shared" si="17"/>
        <v>5438.1738992788814</v>
      </c>
      <c r="G74" s="117">
        <f t="shared" si="17"/>
        <v>11745.929902783992</v>
      </c>
      <c r="H74" s="117">
        <f t="shared" si="17"/>
        <v>21074.477254411031</v>
      </c>
      <c r="I74" s="117">
        <f t="shared" si="17"/>
        <v>30784.274042380843</v>
      </c>
      <c r="J74" s="117">
        <f t="shared" si="17"/>
        <v>40597.819887319325</v>
      </c>
      <c r="K74" s="117">
        <f t="shared" si="17"/>
        <v>50450.716909086637</v>
      </c>
      <c r="L74" s="117">
        <f t="shared" si="17"/>
        <v>60320.465027867613</v>
      </c>
      <c r="R74" s="92"/>
      <c r="T74" s="138"/>
      <c r="U74" s="138"/>
      <c r="V74" s="308"/>
      <c r="W74" s="305"/>
    </row>
    <row r="75" spans="2:27">
      <c r="B75" s="115">
        <f t="shared" si="16"/>
        <v>0.10100000000000001</v>
      </c>
      <c r="C75" s="117">
        <f t="shared" ref="C75:L75" si="18">SQRT(C46^2+C61^2)</f>
        <v>45938.701876955602</v>
      </c>
      <c r="D75" s="117">
        <f t="shared" si="18"/>
        <v>36131.484027818013</v>
      </c>
      <c r="E75" s="117">
        <f t="shared" si="18"/>
        <v>26423.910592655033</v>
      </c>
      <c r="F75" s="117">
        <f t="shared" si="18"/>
        <v>16975.536424033267</v>
      </c>
      <c r="G75" s="117">
        <f t="shared" si="18"/>
        <v>8655.2957155542317</v>
      </c>
      <c r="H75" s="117">
        <f t="shared" si="18"/>
        <v>7619.4758957299036</v>
      </c>
      <c r="I75" s="117">
        <f t="shared" si="18"/>
        <v>15401.226947949812</v>
      </c>
      <c r="J75" s="117">
        <f t="shared" si="18"/>
        <v>24737.523125197866</v>
      </c>
      <c r="K75" s="117">
        <f t="shared" si="18"/>
        <v>34378.910709872071</v>
      </c>
      <c r="L75" s="117">
        <f t="shared" si="18"/>
        <v>44121.501773697419</v>
      </c>
      <c r="R75" s="92"/>
      <c r="T75" s="138"/>
      <c r="U75" s="138"/>
      <c r="V75" s="308"/>
      <c r="W75" s="305"/>
    </row>
    <row r="76" spans="2:27">
      <c r="B76" s="115">
        <f t="shared" si="16"/>
        <v>0.10200000000000001</v>
      </c>
      <c r="C76" s="117">
        <f t="shared" ref="C76:L76" si="19">SQRT(C47^2+C62^2)</f>
        <v>61838.417433318107</v>
      </c>
      <c r="D76" s="117">
        <f t="shared" si="19"/>
        <v>52032.176249127268</v>
      </c>
      <c r="E76" s="117">
        <f t="shared" si="19"/>
        <v>42272.314042169564</v>
      </c>
      <c r="F76" s="117">
        <f t="shared" si="19"/>
        <v>32594.259982088879</v>
      </c>
      <c r="G76" s="117">
        <f t="shared" si="19"/>
        <v>23092.343877279854</v>
      </c>
      <c r="H76" s="117">
        <f t="shared" si="19"/>
        <v>14112.483601623286</v>
      </c>
      <c r="I76" s="117">
        <f t="shared" si="19"/>
        <v>7727.2217107661636</v>
      </c>
      <c r="J76" s="117">
        <f t="shared" si="19"/>
        <v>10700.973460586023</v>
      </c>
      <c r="K76" s="117">
        <f t="shared" si="19"/>
        <v>19057.295704814442</v>
      </c>
      <c r="L76" s="117">
        <f t="shared" si="19"/>
        <v>28378.497515952447</v>
      </c>
      <c r="R76" s="92"/>
      <c r="T76" s="138"/>
      <c r="V76" s="308"/>
      <c r="W76" s="305"/>
    </row>
    <row r="77" spans="2:27">
      <c r="B77" s="115">
        <f t="shared" si="16"/>
        <v>0.10300000000000001</v>
      </c>
      <c r="C77" s="117">
        <f t="shared" ref="C77:L77" si="20">SQRT(C48^2+C63^2)</f>
        <v>77596.483213623564</v>
      </c>
      <c r="D77" s="117">
        <f t="shared" si="20"/>
        <v>67811.501868305233</v>
      </c>
      <c r="E77" s="117">
        <f t="shared" si="20"/>
        <v>58059.521472960201</v>
      </c>
      <c r="F77" s="117">
        <f t="shared" si="20"/>
        <v>48351.774589846536</v>
      </c>
      <c r="G77" s="117">
        <f t="shared" si="20"/>
        <v>38716.402134247328</v>
      </c>
      <c r="H77" s="117">
        <f t="shared" si="20"/>
        <v>29218.343184832724</v>
      </c>
      <c r="I77" s="117">
        <f t="shared" si="20"/>
        <v>20043.965260885438</v>
      </c>
      <c r="J77" s="117">
        <f t="shared" si="20"/>
        <v>11946.643723195772</v>
      </c>
      <c r="K77" s="117">
        <f t="shared" si="20"/>
        <v>8730.2283472590188</v>
      </c>
      <c r="L77" s="117">
        <f t="shared" si="20"/>
        <v>14208.051591749208</v>
      </c>
      <c r="R77" s="92"/>
      <c r="T77" s="138"/>
      <c r="V77" s="308"/>
      <c r="W77" s="305"/>
    </row>
    <row r="78" spans="2:27">
      <c r="B78" s="115">
        <f t="shared" si="16"/>
        <v>0.10400000000000001</v>
      </c>
      <c r="C78" s="117">
        <f t="shared" ref="C78:L78" si="21">SQRT(C49^2+C64^2)</f>
        <v>93106.282490669939</v>
      </c>
      <c r="D78" s="117">
        <f t="shared" si="21"/>
        <v>83340.839692231646</v>
      </c>
      <c r="E78" s="117">
        <f t="shared" si="21"/>
        <v>73594.470822010728</v>
      </c>
      <c r="F78" s="117">
        <f t="shared" si="21"/>
        <v>63872.788699119752</v>
      </c>
      <c r="G78" s="117">
        <f t="shared" si="21"/>
        <v>54185.448754768709</v>
      </c>
      <c r="H78" s="117">
        <f t="shared" si="21"/>
        <v>44550.490778953266</v>
      </c>
      <c r="I78" s="117">
        <f t="shared" si="21"/>
        <v>35005.69578574536</v>
      </c>
      <c r="J78" s="117">
        <f t="shared" si="21"/>
        <v>25644.49925109007</v>
      </c>
      <c r="K78" s="117">
        <f t="shared" si="21"/>
        <v>14432.908375025954</v>
      </c>
      <c r="L78" s="117">
        <f t="shared" si="21"/>
        <v>4748.7624687185798</v>
      </c>
      <c r="R78" s="92"/>
      <c r="T78" s="138"/>
      <c r="V78" s="308"/>
      <c r="W78" s="305"/>
    </row>
    <row r="79" spans="2:27">
      <c r="B79" s="115">
        <f t="shared" si="16"/>
        <v>0.10500000000000001</v>
      </c>
      <c r="C79" s="117">
        <f t="shared" ref="C79:L79" si="22">SQRT(C50^2+C65^2)</f>
        <v>108256.18228257218</v>
      </c>
      <c r="D79" s="117">
        <f t="shared" si="22"/>
        <v>98485.537899000541</v>
      </c>
      <c r="E79" s="117">
        <f t="shared" si="22"/>
        <v>88721.876601863594</v>
      </c>
      <c r="F79" s="117">
        <f t="shared" si="22"/>
        <v>78965.295290355643</v>
      </c>
      <c r="G79" s="117">
        <f t="shared" si="22"/>
        <v>69215.977071834815</v>
      </c>
      <c r="H79" s="117">
        <f t="shared" si="22"/>
        <v>59474.261043977298</v>
      </c>
      <c r="I79" s="117">
        <f t="shared" si="22"/>
        <v>49740.793830352988</v>
      </c>
      <c r="J79" s="117">
        <f t="shared" si="22"/>
        <v>40016.901595944342</v>
      </c>
      <c r="K79" s="117">
        <f t="shared" si="22"/>
        <v>30305.675990056036</v>
      </c>
      <c r="L79" s="117">
        <f t="shared" si="22"/>
        <v>20616.118290286515</v>
      </c>
      <c r="R79" s="92"/>
      <c r="T79" s="138"/>
      <c r="V79" s="308"/>
      <c r="W79" s="305"/>
    </row>
    <row r="80" spans="2:27">
      <c r="B80" s="115">
        <f t="shared" si="16"/>
        <v>0.10600000000000001</v>
      </c>
      <c r="C80" s="117">
        <f t="shared" ref="C80:L80" si="23">SQRT(C51^2+C66^2)</f>
        <v>123569.52045987318</v>
      </c>
      <c r="D80" s="117">
        <f t="shared" si="23"/>
        <v>113838.68728426367</v>
      </c>
      <c r="E80" s="117">
        <f t="shared" si="23"/>
        <v>104114.93243765435</v>
      </c>
      <c r="F80" s="117">
        <f t="shared" si="23"/>
        <v>94398.38126632692</v>
      </c>
      <c r="G80" s="117">
        <f t="shared" si="23"/>
        <v>84689.242084717538</v>
      </c>
      <c r="H80" s="117">
        <f t="shared" si="23"/>
        <v>74987.859169902687</v>
      </c>
      <c r="I80" s="117">
        <f t="shared" si="23"/>
        <v>65294.812822496118</v>
      </c>
      <c r="J80" s="117">
        <f t="shared" si="23"/>
        <v>55611.123674482522</v>
      </c>
      <c r="K80" s="117">
        <f t="shared" si="23"/>
        <v>45938.714382972968</v>
      </c>
      <c r="L80" s="117">
        <f t="shared" si="23"/>
        <v>36281.606669550907</v>
      </c>
      <c r="R80" s="92"/>
      <c r="T80" s="138"/>
      <c r="V80" s="308"/>
      <c r="W80" s="305"/>
    </row>
    <row r="81" spans="2:23">
      <c r="B81" s="115">
        <f t="shared" si="16"/>
        <v>0.10700000000000001</v>
      </c>
      <c r="C81" s="117">
        <f t="shared" ref="C81:L81" si="24">SQRT(C52^2+C67^2)</f>
        <v>138740.78592368477</v>
      </c>
      <c r="D81" s="117">
        <f t="shared" si="24"/>
        <v>129049.32799392262</v>
      </c>
      <c r="E81" s="117">
        <f t="shared" si="24"/>
        <v>119364.9873742753</v>
      </c>
      <c r="F81" s="117">
        <f t="shared" si="24"/>
        <v>109687.89486747664</v>
      </c>
      <c r="G81" s="117">
        <f t="shared" si="24"/>
        <v>100018.25316904641</v>
      </c>
      <c r="H81" s="117">
        <f t="shared" si="24"/>
        <v>90356.374744769608</v>
      </c>
      <c r="I81" s="117">
        <f t="shared" si="24"/>
        <v>80702.746798716937</v>
      </c>
      <c r="J81" s="117">
        <f t="shared" si="24"/>
        <v>71058.148963807151</v>
      </c>
      <c r="K81" s="117">
        <f t="shared" si="24"/>
        <v>61423.881360182211</v>
      </c>
      <c r="L81" s="117">
        <f t="shared" si="24"/>
        <v>51802.245905267569</v>
      </c>
      <c r="R81" s="92"/>
      <c r="T81" s="138"/>
      <c r="V81" s="308"/>
      <c r="W81" s="305"/>
    </row>
    <row r="82" spans="2:23">
      <c r="B82" s="115">
        <f t="shared" si="16"/>
        <v>0.10800000000000001</v>
      </c>
      <c r="C82" s="117">
        <f t="shared" ref="C82:L82" si="25">SQRT(C53^2+C68^2)</f>
        <v>153771.78674841922</v>
      </c>
      <c r="D82" s="117">
        <f t="shared" si="25"/>
        <v>144119.23811466582</v>
      </c>
      <c r="E82" s="117">
        <f t="shared" si="25"/>
        <v>134473.80415841861</v>
      </c>
      <c r="F82" s="117">
        <f t="shared" si="25"/>
        <v>124835.61017482444</v>
      </c>
      <c r="G82" s="117">
        <f t="shared" si="25"/>
        <v>115204.84163763761</v>
      </c>
      <c r="H82" s="117">
        <f t="shared" si="25"/>
        <v>105581.77115200044</v>
      </c>
      <c r="I82" s="117">
        <f t="shared" si="25"/>
        <v>95966.801545072478</v>
      </c>
      <c r="J82" s="117">
        <f t="shared" si="25"/>
        <v>86360.537598096431</v>
      </c>
      <c r="K82" s="117">
        <f t="shared" si="25"/>
        <v>76763.911360767524</v>
      </c>
      <c r="L82" s="117">
        <f t="shared" si="25"/>
        <v>67178.414296793489</v>
      </c>
      <c r="R82" s="92"/>
      <c r="T82" s="138"/>
      <c r="V82" s="308"/>
      <c r="W82" s="305"/>
    </row>
    <row r="83" spans="2:23">
      <c r="B83" s="115">
        <f t="shared" si="16"/>
        <v>0.10900000000000001</v>
      </c>
      <c r="C83" s="117">
        <f t="shared" ref="C83:L83" si="26">SQRT(C54^2+C69^2)</f>
        <v>168664.58922079622</v>
      </c>
      <c r="D83" s="117">
        <f t="shared" si="26"/>
        <v>159050.48818751521</v>
      </c>
      <c r="E83" s="117">
        <f t="shared" si="26"/>
        <v>149443.47051444635</v>
      </c>
      <c r="F83" s="117">
        <f t="shared" si="26"/>
        <v>139843.65133801391</v>
      </c>
      <c r="G83" s="117">
        <f t="shared" si="26"/>
        <v>130251.1956986609</v>
      </c>
      <c r="H83" s="117">
        <f t="shared" si="26"/>
        <v>120666.33795854161</v>
      </c>
      <c r="I83" s="117">
        <f t="shared" si="26"/>
        <v>111089.41121856385</v>
      </c>
      <c r="J83" s="117">
        <f t="shared" si="26"/>
        <v>101520.89329536301</v>
      </c>
      <c r="K83" s="117">
        <f t="shared" si="26"/>
        <v>91961.481239605768</v>
      </c>
      <c r="L83" s="117">
        <f t="shared" si="26"/>
        <v>82412.217413872379</v>
      </c>
      <c r="R83" s="92"/>
      <c r="T83" s="138"/>
      <c r="V83" s="308"/>
      <c r="W83" s="305"/>
    </row>
    <row r="84" spans="2:23">
      <c r="R84" s="92"/>
      <c r="T84" s="138"/>
      <c r="V84" s="308"/>
      <c r="W84" s="305"/>
    </row>
    <row r="85" spans="2:23">
      <c r="R85" s="92"/>
      <c r="T85" s="138"/>
      <c r="V85" s="308"/>
      <c r="W85" s="305"/>
    </row>
    <row r="86" spans="2:23">
      <c r="R86" s="92"/>
      <c r="T86" s="138"/>
      <c r="V86" s="308"/>
      <c r="W86" s="305"/>
    </row>
    <row r="87" spans="2:23">
      <c r="R87" s="92"/>
      <c r="T87" s="138"/>
      <c r="V87" s="308"/>
      <c r="W87" s="305"/>
    </row>
    <row r="88" spans="2:23">
      <c r="R88" s="92"/>
      <c r="T88" s="138"/>
      <c r="V88" s="308"/>
      <c r="W88" s="305"/>
    </row>
    <row r="89" spans="2:23">
      <c r="R89" s="92"/>
      <c r="T89" s="138"/>
      <c r="V89" s="308"/>
      <c r="W89" s="305"/>
    </row>
    <row r="90" spans="2:23">
      <c r="R90" s="92"/>
      <c r="T90" s="138"/>
      <c r="V90" s="308"/>
      <c r="W90" s="305"/>
    </row>
    <row r="91" spans="2:23">
      <c r="R91" s="92"/>
      <c r="T91" s="138"/>
      <c r="V91" s="308"/>
      <c r="W91" s="305"/>
    </row>
    <row r="92" spans="2:23">
      <c r="R92" s="92"/>
      <c r="T92" s="138"/>
      <c r="V92" s="308"/>
      <c r="W92" s="305"/>
    </row>
    <row r="93" spans="2:23">
      <c r="R93" s="92"/>
      <c r="T93" s="138"/>
      <c r="V93" s="308"/>
      <c r="W93" s="305"/>
    </row>
    <row r="94" spans="2:23">
      <c r="R94" s="92"/>
      <c r="T94" s="138"/>
      <c r="V94" s="308"/>
      <c r="W94" s="305"/>
    </row>
    <row r="95" spans="2:23">
      <c r="R95" s="92"/>
      <c r="T95" s="138"/>
      <c r="V95" s="308"/>
      <c r="W95" s="305"/>
    </row>
    <row r="96" spans="2:23">
      <c r="R96" s="92"/>
      <c r="T96" s="138"/>
      <c r="V96" s="308"/>
      <c r="W96" s="305"/>
    </row>
    <row r="97" spans="18:23">
      <c r="R97" s="92"/>
      <c r="T97" s="138"/>
      <c r="V97" s="308"/>
      <c r="W97" s="305"/>
    </row>
    <row r="98" spans="18:23">
      <c r="R98" s="92"/>
      <c r="T98" s="138"/>
      <c r="V98" s="308"/>
      <c r="W98" s="305"/>
    </row>
    <row r="99" spans="18:23">
      <c r="R99" s="92"/>
      <c r="T99" s="138"/>
      <c r="V99" s="308"/>
      <c r="W99" s="305"/>
    </row>
    <row r="100" spans="18:23">
      <c r="R100" s="92"/>
      <c r="T100" s="138"/>
      <c r="V100" s="308"/>
      <c r="W100" s="305"/>
    </row>
    <row r="101" spans="18:23">
      <c r="R101" s="92"/>
      <c r="T101" s="138"/>
      <c r="V101" s="308"/>
      <c r="W101" s="305"/>
    </row>
    <row r="102" spans="18:23">
      <c r="R102" s="92"/>
      <c r="T102" s="138"/>
      <c r="V102" s="308"/>
      <c r="W102" s="305"/>
    </row>
    <row r="103" spans="18:23">
      <c r="R103" s="92"/>
      <c r="T103" s="138"/>
      <c r="V103" s="308"/>
      <c r="W103" s="305"/>
    </row>
    <row r="104" spans="18:23">
      <c r="R104" s="92"/>
      <c r="T104" s="138"/>
      <c r="V104" s="308"/>
      <c r="W104" s="305"/>
    </row>
    <row r="105" spans="18:23">
      <c r="R105" s="92"/>
      <c r="T105" s="138"/>
      <c r="V105" s="308"/>
      <c r="W105" s="305"/>
    </row>
    <row r="106" spans="18:23">
      <c r="R106" s="92"/>
      <c r="V106" s="308"/>
      <c r="W106" s="305"/>
    </row>
    <row r="107" spans="18:23">
      <c r="R107" s="92"/>
      <c r="V107" s="308"/>
      <c r="W107" s="305"/>
    </row>
    <row r="108" spans="18:23">
      <c r="R108" s="92"/>
      <c r="V108" s="308"/>
      <c r="W108" s="305"/>
    </row>
    <row r="109" spans="18:23">
      <c r="R109" s="92"/>
      <c r="V109" s="308"/>
      <c r="W109" s="305"/>
    </row>
    <row r="110" spans="18:23">
      <c r="R110" s="92"/>
      <c r="V110" s="308"/>
      <c r="W110" s="305"/>
    </row>
    <row r="111" spans="18:23">
      <c r="R111" s="92"/>
      <c r="V111" s="308"/>
      <c r="W111" s="305"/>
    </row>
    <row r="112" spans="18:23">
      <c r="R112" s="92"/>
      <c r="V112" s="308"/>
      <c r="W112" s="305"/>
    </row>
    <row r="113" spans="18:18">
      <c r="R113" s="92"/>
    </row>
    <row r="114" spans="18:18">
      <c r="R114" s="92"/>
    </row>
    <row r="115" spans="18:18">
      <c r="R115" s="92"/>
    </row>
    <row r="116" spans="18:18">
      <c r="R116" s="92"/>
    </row>
    <row r="117" spans="18:18">
      <c r="R117" s="92"/>
    </row>
    <row r="118" spans="18:18">
      <c r="R118" s="92"/>
    </row>
    <row r="119" spans="18:18">
      <c r="R119" s="92"/>
    </row>
    <row r="120" spans="18:18">
      <c r="R120" s="92"/>
    </row>
    <row r="121" spans="18:18">
      <c r="R121" s="92"/>
    </row>
    <row r="122" spans="18:18">
      <c r="R122" s="92"/>
    </row>
    <row r="123" spans="18:18">
      <c r="R123" s="92"/>
    </row>
    <row r="124" spans="18:18">
      <c r="R124" s="92"/>
    </row>
    <row r="125" spans="18:18">
      <c r="R125" s="92"/>
    </row>
    <row r="126" spans="18:18">
      <c r="R126" s="92"/>
    </row>
    <row r="127" spans="18:18">
      <c r="R127" s="92"/>
    </row>
    <row r="128" spans="18:18">
      <c r="R128" s="92"/>
    </row>
    <row r="129" spans="18:18">
      <c r="R129" s="92"/>
    </row>
    <row r="130" spans="18:18">
      <c r="R130" s="92"/>
    </row>
    <row r="131" spans="18:18">
      <c r="R131" s="92"/>
    </row>
    <row r="132" spans="18:18">
      <c r="R132" s="92"/>
    </row>
    <row r="133" spans="18:18">
      <c r="R133" s="92"/>
    </row>
    <row r="134" spans="18:18">
      <c r="R134" s="92"/>
    </row>
    <row r="135" spans="18:18">
      <c r="R135" s="92"/>
    </row>
    <row r="136" spans="18:18">
      <c r="R136" s="92"/>
    </row>
    <row r="137" spans="18:18">
      <c r="R137" s="92"/>
    </row>
    <row r="138" spans="18:18">
      <c r="R138" s="92"/>
    </row>
    <row r="139" spans="18:18">
      <c r="R139" s="92"/>
    </row>
    <row r="140" spans="18:18">
      <c r="R140" s="92"/>
    </row>
    <row r="141" spans="18:18">
      <c r="R141" s="92"/>
    </row>
    <row r="142" spans="18:18">
      <c r="R142" s="92"/>
    </row>
    <row r="143" spans="18:18">
      <c r="R143" s="92"/>
    </row>
    <row r="144" spans="18:18">
      <c r="R144" s="92"/>
    </row>
    <row r="145" spans="18:18">
      <c r="R145" s="92"/>
    </row>
    <row r="146" spans="18:18">
      <c r="R146" s="92"/>
    </row>
    <row r="147" spans="18:18">
      <c r="R147" s="92"/>
    </row>
    <row r="148" spans="18:18">
      <c r="R148" s="92"/>
    </row>
    <row r="149" spans="18:18">
      <c r="R149" s="92"/>
    </row>
    <row r="150" spans="18:18">
      <c r="R150" s="92"/>
    </row>
    <row r="151" spans="18:18">
      <c r="R151" s="92"/>
    </row>
    <row r="152" spans="18:18">
      <c r="R152" s="92"/>
    </row>
    <row r="153" spans="18:18">
      <c r="R153" s="92"/>
    </row>
    <row r="154" spans="18:18">
      <c r="R154" s="92"/>
    </row>
    <row r="155" spans="18:18">
      <c r="R155" s="92"/>
    </row>
    <row r="156" spans="18:18">
      <c r="R156" s="92"/>
    </row>
    <row r="157" spans="18:18">
      <c r="R157" s="92"/>
    </row>
    <row r="158" spans="18:18">
      <c r="R158" s="92"/>
    </row>
    <row r="159" spans="18:18">
      <c r="R159" s="92"/>
    </row>
    <row r="160" spans="18:18">
      <c r="R160" s="92"/>
    </row>
    <row r="161" spans="18:18">
      <c r="R161" s="92"/>
    </row>
    <row r="162" spans="18:18">
      <c r="R162" s="92"/>
    </row>
    <row r="163" spans="18:18">
      <c r="R163" s="92"/>
    </row>
    <row r="164" spans="18:18">
      <c r="R164" s="92"/>
    </row>
    <row r="165" spans="18:18">
      <c r="R165" s="92"/>
    </row>
    <row r="166" spans="18:18">
      <c r="R166" s="92"/>
    </row>
    <row r="167" spans="18:18">
      <c r="R167" s="92"/>
    </row>
    <row r="168" spans="18:18">
      <c r="R168" s="92"/>
    </row>
    <row r="169" spans="18:18">
      <c r="R169" s="92"/>
    </row>
    <row r="170" spans="18:18">
      <c r="R170" s="92"/>
    </row>
    <row r="171" spans="18:18">
      <c r="R171" s="92"/>
    </row>
    <row r="172" spans="18:18">
      <c r="R172" s="92"/>
    </row>
    <row r="173" spans="18:18">
      <c r="R173" s="92"/>
    </row>
    <row r="174" spans="18:18">
      <c r="R174" s="92"/>
    </row>
    <row r="175" spans="18:18">
      <c r="R175" s="92"/>
    </row>
    <row r="176" spans="18:18">
      <c r="R176" s="92"/>
    </row>
    <row r="177" spans="18:18">
      <c r="R177" s="92"/>
    </row>
    <row r="178" spans="18:18">
      <c r="R178" s="92"/>
    </row>
    <row r="179" spans="18:18">
      <c r="R179" s="92"/>
    </row>
    <row r="180" spans="18:18">
      <c r="R180" s="92"/>
    </row>
    <row r="181" spans="18:18">
      <c r="R181" s="92"/>
    </row>
    <row r="182" spans="18:18">
      <c r="R182" s="92"/>
    </row>
    <row r="183" spans="18:18">
      <c r="R183" s="92"/>
    </row>
    <row r="184" spans="18:18">
      <c r="R184" s="92"/>
    </row>
    <row r="185" spans="18:18">
      <c r="R185" s="92"/>
    </row>
    <row r="186" spans="18:18">
      <c r="R186" s="92"/>
    </row>
    <row r="187" spans="18:18">
      <c r="R187" s="92"/>
    </row>
    <row r="188" spans="18:18">
      <c r="R188" s="92"/>
    </row>
    <row r="189" spans="18:18">
      <c r="R189" s="92"/>
    </row>
    <row r="190" spans="18:18">
      <c r="R190" s="92"/>
    </row>
    <row r="191" spans="18:18">
      <c r="R191" s="92"/>
    </row>
    <row r="192" spans="18:18">
      <c r="R192" s="92"/>
    </row>
    <row r="193" spans="18:18">
      <c r="R193" s="92"/>
    </row>
    <row r="194" spans="18:18">
      <c r="R194" s="92"/>
    </row>
    <row r="195" spans="18:18">
      <c r="R195" s="92"/>
    </row>
    <row r="196" spans="18:18">
      <c r="R196" s="92"/>
    </row>
    <row r="197" spans="18:18">
      <c r="R197" s="92"/>
    </row>
    <row r="198" spans="18:18">
      <c r="R198" s="92"/>
    </row>
    <row r="199" spans="18:18">
      <c r="R199" s="92"/>
    </row>
    <row r="200" spans="18:18">
      <c r="R200" s="92"/>
    </row>
    <row r="201" spans="18:18">
      <c r="R201" s="92"/>
    </row>
    <row r="202" spans="18:18">
      <c r="R202" s="92"/>
    </row>
    <row r="203" spans="18:18">
      <c r="R203" s="92"/>
    </row>
    <row r="204" spans="18:18">
      <c r="R204" s="92"/>
    </row>
    <row r="205" spans="18:18">
      <c r="R205" s="92"/>
    </row>
    <row r="206" spans="18:18">
      <c r="R206" s="92"/>
    </row>
    <row r="207" spans="18:18">
      <c r="R207" s="92"/>
    </row>
    <row r="208" spans="18:18">
      <c r="R208" s="92"/>
    </row>
    <row r="209" spans="18:18">
      <c r="R209" s="92"/>
    </row>
    <row r="210" spans="18:18">
      <c r="R210" s="92"/>
    </row>
    <row r="211" spans="18:18">
      <c r="R211" s="92"/>
    </row>
    <row r="212" spans="18:18">
      <c r="R212" s="92"/>
    </row>
    <row r="213" spans="18:18">
      <c r="R213" s="92"/>
    </row>
    <row r="214" spans="18:18">
      <c r="R214" s="92"/>
    </row>
    <row r="215" spans="18:18">
      <c r="R215" s="92"/>
    </row>
    <row r="216" spans="18:18">
      <c r="R216" s="92"/>
    </row>
    <row r="217" spans="18:18">
      <c r="R217" s="92"/>
    </row>
    <row r="218" spans="18:18">
      <c r="R218" s="92"/>
    </row>
    <row r="219" spans="18:18">
      <c r="R219" s="92"/>
    </row>
    <row r="220" spans="18:18">
      <c r="R220" s="92"/>
    </row>
    <row r="221" spans="18:18">
      <c r="R221" s="92"/>
    </row>
    <row r="222" spans="18:18">
      <c r="R222" s="92"/>
    </row>
    <row r="223" spans="18:18">
      <c r="R223" s="92"/>
    </row>
    <row r="224" spans="18:18">
      <c r="R224" s="92"/>
    </row>
    <row r="225" spans="18:18">
      <c r="R225" s="92"/>
    </row>
    <row r="226" spans="18:18">
      <c r="R226" s="92"/>
    </row>
    <row r="227" spans="18:18">
      <c r="R227" s="92"/>
    </row>
    <row r="228" spans="18:18">
      <c r="R228" s="92"/>
    </row>
    <row r="229" spans="18:18">
      <c r="R229" s="92"/>
    </row>
    <row r="230" spans="18:18">
      <c r="R230" s="92"/>
    </row>
    <row r="231" spans="18:18">
      <c r="R231" s="92"/>
    </row>
    <row r="232" spans="18:18">
      <c r="R232" s="92"/>
    </row>
    <row r="233" spans="18:18">
      <c r="R233" s="92"/>
    </row>
    <row r="234" spans="18:18">
      <c r="R234" s="92"/>
    </row>
    <row r="235" spans="18:18">
      <c r="R235" s="92"/>
    </row>
    <row r="236" spans="18:18">
      <c r="R236" s="92"/>
    </row>
    <row r="237" spans="18:18">
      <c r="R237" s="92"/>
    </row>
    <row r="238" spans="18:18">
      <c r="R238" s="92"/>
    </row>
    <row r="239" spans="18:18">
      <c r="R239" s="92"/>
    </row>
    <row r="240" spans="18:18">
      <c r="R240" s="92"/>
    </row>
    <row r="241" spans="18:18">
      <c r="R241" s="92"/>
    </row>
    <row r="242" spans="18:18">
      <c r="R242" s="92"/>
    </row>
    <row r="243" spans="18:18">
      <c r="R243" s="92"/>
    </row>
    <row r="244" spans="18:18">
      <c r="R244" s="92"/>
    </row>
    <row r="245" spans="18:18">
      <c r="R245" s="92"/>
    </row>
    <row r="246" spans="18:18">
      <c r="R246" s="92"/>
    </row>
    <row r="247" spans="18:18">
      <c r="R247" s="92"/>
    </row>
    <row r="248" spans="18:18">
      <c r="R248" s="92"/>
    </row>
    <row r="249" spans="18:18">
      <c r="R249" s="92"/>
    </row>
    <row r="250" spans="18:18">
      <c r="R250" s="92"/>
    </row>
    <row r="251" spans="18:18">
      <c r="R251" s="92"/>
    </row>
    <row r="252" spans="18:18">
      <c r="R252" s="92"/>
    </row>
    <row r="253" spans="18:18">
      <c r="R253" s="92"/>
    </row>
    <row r="254" spans="18:18">
      <c r="R254" s="92"/>
    </row>
    <row r="255" spans="18:18">
      <c r="R255" s="92"/>
    </row>
    <row r="256" spans="18:18">
      <c r="R256" s="92"/>
    </row>
    <row r="257" spans="18:18">
      <c r="R257" s="92"/>
    </row>
    <row r="258" spans="18:18">
      <c r="R258" s="92"/>
    </row>
    <row r="259" spans="18:18">
      <c r="R259" s="92"/>
    </row>
    <row r="260" spans="18:18">
      <c r="R260" s="92"/>
    </row>
    <row r="261" spans="18:18">
      <c r="R261" s="92"/>
    </row>
    <row r="262" spans="18:18">
      <c r="R262" s="92"/>
    </row>
    <row r="263" spans="18:18">
      <c r="R263" s="92"/>
    </row>
    <row r="264" spans="18:18">
      <c r="R264" s="92"/>
    </row>
    <row r="265" spans="18:18">
      <c r="R265" s="92"/>
    </row>
    <row r="266" spans="18:18">
      <c r="R266" s="92"/>
    </row>
    <row r="267" spans="18:18">
      <c r="R267" s="92"/>
    </row>
    <row r="268" spans="18:18">
      <c r="R268" s="92"/>
    </row>
    <row r="269" spans="18:18">
      <c r="R269" s="92"/>
    </row>
    <row r="270" spans="18:18">
      <c r="R270" s="92"/>
    </row>
    <row r="271" spans="18:18">
      <c r="R271" s="92"/>
    </row>
    <row r="272" spans="18:18">
      <c r="R272" s="92"/>
    </row>
    <row r="273" spans="18:18">
      <c r="R273" s="92"/>
    </row>
    <row r="274" spans="18:18">
      <c r="R274" s="92"/>
    </row>
    <row r="275" spans="18:18">
      <c r="R275" s="92"/>
    </row>
    <row r="276" spans="18:18">
      <c r="R276" s="92"/>
    </row>
    <row r="277" spans="18:18">
      <c r="R277" s="92"/>
    </row>
    <row r="278" spans="18:18">
      <c r="R278" s="92"/>
    </row>
    <row r="279" spans="18:18">
      <c r="R279" s="92"/>
    </row>
    <row r="280" spans="18:18">
      <c r="R280" s="92"/>
    </row>
    <row r="281" spans="18:18">
      <c r="R281" s="92"/>
    </row>
    <row r="282" spans="18:18">
      <c r="R282" s="92"/>
    </row>
    <row r="283" spans="18:18">
      <c r="R283" s="92"/>
    </row>
    <row r="284" spans="18:18">
      <c r="R284" s="92"/>
    </row>
    <row r="285" spans="18:18">
      <c r="R285" s="92"/>
    </row>
    <row r="286" spans="18:18">
      <c r="R286" s="92"/>
    </row>
    <row r="287" spans="18:18">
      <c r="R287" s="92"/>
    </row>
    <row r="288" spans="18:18">
      <c r="R288" s="92"/>
    </row>
    <row r="289" spans="18:18">
      <c r="R289" s="92"/>
    </row>
    <row r="290" spans="18:18">
      <c r="R290" s="92"/>
    </row>
    <row r="291" spans="18:18">
      <c r="R291" s="92"/>
    </row>
    <row r="292" spans="18:18">
      <c r="R292" s="92"/>
    </row>
    <row r="293" spans="18:18">
      <c r="R293" s="92"/>
    </row>
    <row r="294" spans="18:18">
      <c r="R294" s="92"/>
    </row>
    <row r="295" spans="18:18">
      <c r="R295" s="92"/>
    </row>
    <row r="296" spans="18:18">
      <c r="R296" s="92"/>
    </row>
    <row r="297" spans="18:18">
      <c r="R297" s="92"/>
    </row>
    <row r="298" spans="18:18">
      <c r="R298" s="92"/>
    </row>
    <row r="299" spans="18:18">
      <c r="R299" s="92"/>
    </row>
    <row r="300" spans="18:18">
      <c r="R300" s="92"/>
    </row>
    <row r="301" spans="18:18">
      <c r="R301" s="92"/>
    </row>
    <row r="302" spans="18:18">
      <c r="R302" s="92"/>
    </row>
    <row r="303" spans="18:18">
      <c r="R303" s="92"/>
    </row>
    <row r="304" spans="18:18">
      <c r="R304" s="92"/>
    </row>
    <row r="305" spans="18:18">
      <c r="R305" s="92"/>
    </row>
    <row r="306" spans="18:18">
      <c r="R306" s="92"/>
    </row>
    <row r="307" spans="18:18">
      <c r="R307" s="92"/>
    </row>
    <row r="308" spans="18:18">
      <c r="R308" s="92"/>
    </row>
    <row r="309" spans="18:18">
      <c r="R309" s="92"/>
    </row>
    <row r="310" spans="18:18">
      <c r="R310" s="92"/>
    </row>
    <row r="311" spans="18:18">
      <c r="R311" s="92"/>
    </row>
    <row r="312" spans="18:18">
      <c r="R312" s="92"/>
    </row>
    <row r="313" spans="18:18">
      <c r="R313" s="92"/>
    </row>
    <row r="314" spans="18:18">
      <c r="R314" s="92"/>
    </row>
    <row r="315" spans="18:18">
      <c r="R315" s="92"/>
    </row>
    <row r="316" spans="18:18">
      <c r="R316" s="92"/>
    </row>
    <row r="317" spans="18:18">
      <c r="R317" s="92"/>
    </row>
    <row r="318" spans="18:18">
      <c r="R318" s="92"/>
    </row>
    <row r="319" spans="18:18">
      <c r="R319" s="92"/>
    </row>
    <row r="320" spans="18:18">
      <c r="R320" s="92"/>
    </row>
    <row r="321" spans="18:18">
      <c r="R321" s="92"/>
    </row>
    <row r="322" spans="18:18">
      <c r="R322" s="92"/>
    </row>
    <row r="323" spans="18:18">
      <c r="R323" s="92"/>
    </row>
    <row r="324" spans="18:18">
      <c r="R324" s="92"/>
    </row>
    <row r="325" spans="18:18">
      <c r="R325" s="92"/>
    </row>
    <row r="326" spans="18:18">
      <c r="R326" s="92"/>
    </row>
    <row r="327" spans="18:18">
      <c r="R327" s="92"/>
    </row>
    <row r="328" spans="18:18">
      <c r="R328" s="92"/>
    </row>
    <row r="329" spans="18:18">
      <c r="R329" s="92"/>
    </row>
    <row r="330" spans="18:18">
      <c r="R330" s="92"/>
    </row>
    <row r="331" spans="18:18">
      <c r="R331" s="92"/>
    </row>
    <row r="332" spans="18:18">
      <c r="R332" s="92"/>
    </row>
    <row r="333" spans="18:18">
      <c r="R333" s="92"/>
    </row>
    <row r="334" spans="18:18">
      <c r="R334" s="92"/>
    </row>
    <row r="335" spans="18:18">
      <c r="R335" s="92"/>
    </row>
    <row r="336" spans="18:18">
      <c r="R336" s="92"/>
    </row>
    <row r="337" spans="18:18">
      <c r="R337" s="92"/>
    </row>
    <row r="338" spans="18:18">
      <c r="R338" s="92"/>
    </row>
    <row r="339" spans="18:18">
      <c r="R339" s="92"/>
    </row>
    <row r="340" spans="18:18">
      <c r="R340" s="92"/>
    </row>
    <row r="341" spans="18:18">
      <c r="R341" s="92"/>
    </row>
    <row r="342" spans="18:18">
      <c r="R342" s="92"/>
    </row>
    <row r="343" spans="18:18">
      <c r="R343" s="92"/>
    </row>
    <row r="344" spans="18:18">
      <c r="R344" s="92"/>
    </row>
    <row r="345" spans="18:18">
      <c r="R345" s="92"/>
    </row>
    <row r="346" spans="18:18">
      <c r="R346" s="92"/>
    </row>
    <row r="347" spans="18:18">
      <c r="R347" s="92"/>
    </row>
    <row r="348" spans="18:18">
      <c r="R348" s="92"/>
    </row>
    <row r="349" spans="18:18">
      <c r="R349" s="92"/>
    </row>
    <row r="350" spans="18:18">
      <c r="R350" s="92"/>
    </row>
    <row r="351" spans="18:18">
      <c r="R351" s="92"/>
    </row>
    <row r="352" spans="18:18">
      <c r="R352" s="92"/>
    </row>
    <row r="353" spans="18:18">
      <c r="R353" s="92"/>
    </row>
    <row r="354" spans="18:18">
      <c r="R354" s="92"/>
    </row>
    <row r="355" spans="18:18">
      <c r="R355" s="92"/>
    </row>
    <row r="356" spans="18:18">
      <c r="R356" s="92"/>
    </row>
    <row r="357" spans="18:18">
      <c r="R357" s="92"/>
    </row>
    <row r="358" spans="18:18">
      <c r="R358" s="92"/>
    </row>
    <row r="359" spans="18:18">
      <c r="R359" s="92"/>
    </row>
    <row r="360" spans="18:18">
      <c r="R360" s="92"/>
    </row>
    <row r="361" spans="18:18">
      <c r="R361" s="92"/>
    </row>
    <row r="362" spans="18:18">
      <c r="R362" s="92"/>
    </row>
    <row r="363" spans="18:18">
      <c r="R363" s="92"/>
    </row>
    <row r="364" spans="18:18">
      <c r="R364" s="92"/>
    </row>
    <row r="365" spans="18:18">
      <c r="R365" s="92"/>
    </row>
    <row r="366" spans="18:18">
      <c r="R366" s="92"/>
    </row>
    <row r="367" spans="18:18">
      <c r="R367" s="92"/>
    </row>
    <row r="368" spans="18:18">
      <c r="R368" s="92"/>
    </row>
    <row r="369" spans="18:18">
      <c r="R369" s="92"/>
    </row>
    <row r="370" spans="18:18">
      <c r="R370" s="92"/>
    </row>
    <row r="371" spans="18:18">
      <c r="R371" s="92"/>
    </row>
    <row r="372" spans="18:18">
      <c r="R372" s="92"/>
    </row>
    <row r="373" spans="18:18">
      <c r="R373" s="92"/>
    </row>
    <row r="374" spans="18:18">
      <c r="R374" s="92"/>
    </row>
    <row r="375" spans="18:18">
      <c r="R375" s="92"/>
    </row>
    <row r="376" spans="18:18">
      <c r="R376" s="92"/>
    </row>
    <row r="377" spans="18:18">
      <c r="R377" s="92"/>
    </row>
    <row r="378" spans="18:18">
      <c r="R378" s="92"/>
    </row>
    <row r="379" spans="18:18">
      <c r="R379" s="92"/>
    </row>
    <row r="380" spans="18:18">
      <c r="R380" s="92"/>
    </row>
    <row r="381" spans="18:18">
      <c r="R381" s="92"/>
    </row>
    <row r="382" spans="18:18">
      <c r="R382" s="92"/>
    </row>
    <row r="383" spans="18:18">
      <c r="R383" s="92"/>
    </row>
    <row r="384" spans="18:18">
      <c r="R384" s="92"/>
    </row>
    <row r="385" spans="18:18">
      <c r="R385" s="92"/>
    </row>
    <row r="386" spans="18:18">
      <c r="R386" s="92"/>
    </row>
    <row r="387" spans="18:18">
      <c r="R387" s="92"/>
    </row>
    <row r="388" spans="18:18">
      <c r="R388" s="92"/>
    </row>
    <row r="389" spans="18:18">
      <c r="R389" s="92"/>
    </row>
    <row r="390" spans="18:18">
      <c r="R390" s="92"/>
    </row>
    <row r="391" spans="18:18">
      <c r="R391" s="92"/>
    </row>
    <row r="392" spans="18:18">
      <c r="R392" s="92"/>
    </row>
    <row r="393" spans="18:18">
      <c r="R393" s="92"/>
    </row>
    <row r="394" spans="18:18">
      <c r="R394" s="92"/>
    </row>
    <row r="395" spans="18:18">
      <c r="R395" s="92"/>
    </row>
    <row r="396" spans="18:18">
      <c r="R396" s="92"/>
    </row>
    <row r="397" spans="18:18">
      <c r="R397" s="92"/>
    </row>
    <row r="398" spans="18:18">
      <c r="R398" s="92"/>
    </row>
    <row r="399" spans="18:18">
      <c r="R399" s="92"/>
    </row>
    <row r="400" spans="18:18">
      <c r="R400" s="92"/>
    </row>
    <row r="401" spans="18:18">
      <c r="R401" s="92"/>
    </row>
    <row r="402" spans="18:18">
      <c r="R402" s="92"/>
    </row>
    <row r="403" spans="18:18">
      <c r="R403" s="92"/>
    </row>
    <row r="404" spans="18:18">
      <c r="R404" s="92"/>
    </row>
    <row r="405" spans="18:18">
      <c r="R405" s="92"/>
    </row>
    <row r="406" spans="18:18">
      <c r="R406" s="92"/>
    </row>
    <row r="407" spans="18:18">
      <c r="R407" s="92"/>
    </row>
    <row r="408" spans="18:18">
      <c r="R408" s="92"/>
    </row>
    <row r="409" spans="18:18">
      <c r="R409" s="92"/>
    </row>
    <row r="410" spans="18:18">
      <c r="R410" s="92"/>
    </row>
    <row r="411" spans="18:18">
      <c r="R411" s="92"/>
    </row>
    <row r="412" spans="18:18">
      <c r="R412" s="92"/>
    </row>
    <row r="413" spans="18:18">
      <c r="R413" s="92"/>
    </row>
    <row r="414" spans="18:18">
      <c r="R414" s="92"/>
    </row>
    <row r="415" spans="18:18">
      <c r="R415" s="92"/>
    </row>
    <row r="416" spans="18:18">
      <c r="R416" s="92"/>
    </row>
    <row r="417" spans="18:18">
      <c r="R417" s="92"/>
    </row>
    <row r="418" spans="18:18">
      <c r="R418" s="92"/>
    </row>
    <row r="419" spans="18:18">
      <c r="R419" s="92"/>
    </row>
    <row r="420" spans="18:18">
      <c r="R420" s="92"/>
    </row>
    <row r="421" spans="18:18">
      <c r="R421" s="92"/>
    </row>
    <row r="422" spans="18:18">
      <c r="R422" s="92"/>
    </row>
    <row r="423" spans="18:18">
      <c r="R423" s="92"/>
    </row>
    <row r="424" spans="18:18">
      <c r="R424" s="92"/>
    </row>
    <row r="425" spans="18:18">
      <c r="R425" s="92"/>
    </row>
    <row r="426" spans="18:18">
      <c r="R426" s="92"/>
    </row>
    <row r="427" spans="18:18">
      <c r="R427" s="92"/>
    </row>
    <row r="428" spans="18:18">
      <c r="R428" s="92"/>
    </row>
    <row r="429" spans="18:18">
      <c r="R429" s="92"/>
    </row>
    <row r="430" spans="18:18">
      <c r="R430" s="92"/>
    </row>
    <row r="431" spans="18:18">
      <c r="R431" s="92"/>
    </row>
    <row r="432" spans="18:18">
      <c r="R432" s="92"/>
    </row>
    <row r="433" spans="18:18">
      <c r="R433" s="92"/>
    </row>
    <row r="434" spans="18:18">
      <c r="R434" s="92"/>
    </row>
    <row r="435" spans="18:18">
      <c r="R435" s="92"/>
    </row>
    <row r="436" spans="18:18">
      <c r="R436" s="92"/>
    </row>
    <row r="437" spans="18:18">
      <c r="R437" s="92"/>
    </row>
    <row r="438" spans="18:18">
      <c r="R438" s="92"/>
    </row>
    <row r="439" spans="18:18">
      <c r="R439" s="92"/>
    </row>
    <row r="440" spans="18:18">
      <c r="R440" s="92"/>
    </row>
    <row r="441" spans="18:18">
      <c r="R441" s="92"/>
    </row>
    <row r="442" spans="18:18">
      <c r="R442" s="92"/>
    </row>
    <row r="443" spans="18:18">
      <c r="R443" s="92"/>
    </row>
    <row r="444" spans="18:18">
      <c r="R444" s="92"/>
    </row>
    <row r="445" spans="18:18">
      <c r="R445" s="92"/>
    </row>
    <row r="446" spans="18:18">
      <c r="R446" s="92"/>
    </row>
    <row r="447" spans="18:18">
      <c r="R447" s="92"/>
    </row>
    <row r="448" spans="18:18">
      <c r="R448" s="92"/>
    </row>
    <row r="449" spans="18:18">
      <c r="R449" s="92"/>
    </row>
    <row r="450" spans="18:18">
      <c r="R450" s="92"/>
    </row>
    <row r="451" spans="18:18">
      <c r="R451" s="92"/>
    </row>
    <row r="452" spans="18:18">
      <c r="R452" s="92"/>
    </row>
    <row r="453" spans="18:18">
      <c r="R453" s="92"/>
    </row>
    <row r="454" spans="18:18">
      <c r="R454" s="92"/>
    </row>
    <row r="455" spans="18:18">
      <c r="R455" s="92"/>
    </row>
    <row r="456" spans="18:18">
      <c r="R456" s="92"/>
    </row>
    <row r="457" spans="18:18">
      <c r="R457" s="92"/>
    </row>
    <row r="458" spans="18:18">
      <c r="R458" s="92"/>
    </row>
    <row r="459" spans="18:18">
      <c r="R459" s="92"/>
    </row>
    <row r="460" spans="18:18">
      <c r="R460" s="92"/>
    </row>
    <row r="461" spans="18:18">
      <c r="R461" s="92"/>
    </row>
  </sheetData>
  <conditionalFormatting sqref="C45:L54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L69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74:L8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dataValidations disablePrompts="1" count="4">
    <dataValidation type="list" allowBlank="1" showInputMessage="1" showErrorMessage="1" sqref="H15:I15 L15:N15">
      <formula1>"Discount,ZeroYield,ForwardRate"</formula1>
    </dataValidation>
    <dataValidation type="list" allowBlank="1" showInputMessage="1" showErrorMessage="1" sqref="H14:I14 L14:N14 AE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H13:I13 L13:N1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H16:I16 L16:N16">
      <formula1>Interpolations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calibrationMXN2">
                <anchor moveWithCells="1" sizeWithCells="1">
                  <from>
                    <xdr:col>10</xdr:col>
                    <xdr:colOff>285750</xdr:colOff>
                    <xdr:row>1</xdr:row>
                    <xdr:rowOff>9525</xdr:rowOff>
                  </from>
                  <to>
                    <xdr:col>11</xdr:col>
                    <xdr:colOff>1085850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9:I76"/>
  <sheetViews>
    <sheetView workbookViewId="0">
      <selection activeCell="B5" sqref="B5"/>
    </sheetView>
  </sheetViews>
  <sheetFormatPr defaultRowHeight="15"/>
  <cols>
    <col min="1" max="1" width="15.140625" bestFit="1" customWidth="1"/>
    <col min="2" max="3" width="20.7109375" bestFit="1" customWidth="1"/>
    <col min="6" max="6" width="20.7109375" customWidth="1"/>
  </cols>
  <sheetData>
    <row r="19" spans="2:9">
      <c r="B19" s="67" t="s">
        <v>299</v>
      </c>
      <c r="C19" s="67" t="s">
        <v>300</v>
      </c>
      <c r="H19" t="s">
        <v>391</v>
      </c>
      <c r="I19" t="s">
        <v>392</v>
      </c>
    </row>
    <row r="20" spans="2:9">
      <c r="B20" s="70" t="s">
        <v>301</v>
      </c>
      <c r="C20" s="68" t="s">
        <v>301</v>
      </c>
      <c r="H20" t="s">
        <v>391</v>
      </c>
      <c r="I20" t="s">
        <v>393</v>
      </c>
    </row>
    <row r="21" spans="2:9">
      <c r="B21" s="70" t="s">
        <v>302</v>
      </c>
      <c r="C21" s="68" t="s">
        <v>302</v>
      </c>
      <c r="H21" t="s">
        <v>391</v>
      </c>
      <c r="I21" t="s">
        <v>394</v>
      </c>
    </row>
    <row r="22" spans="2:9">
      <c r="B22" s="70" t="s">
        <v>303</v>
      </c>
      <c r="C22" s="68" t="s">
        <v>303</v>
      </c>
      <c r="H22" t="s">
        <v>391</v>
      </c>
      <c r="I22" t="s">
        <v>395</v>
      </c>
    </row>
    <row r="23" spans="2:9">
      <c r="B23" s="70" t="s">
        <v>304</v>
      </c>
      <c r="C23" s="68" t="s">
        <v>304</v>
      </c>
      <c r="H23" t="s">
        <v>391</v>
      </c>
      <c r="I23" t="s">
        <v>396</v>
      </c>
    </row>
    <row r="24" spans="2:9">
      <c r="B24" s="70" t="s">
        <v>305</v>
      </c>
      <c r="C24" s="68" t="s">
        <v>305</v>
      </c>
      <c r="H24" t="s">
        <v>391</v>
      </c>
      <c r="I24" t="s">
        <v>397</v>
      </c>
    </row>
    <row r="25" spans="2:9">
      <c r="B25" s="70" t="s">
        <v>306</v>
      </c>
      <c r="C25" s="68" t="s">
        <v>306</v>
      </c>
      <c r="H25" t="s">
        <v>391</v>
      </c>
      <c r="I25" t="s">
        <v>352</v>
      </c>
    </row>
    <row r="26" spans="2:9">
      <c r="B26" s="70" t="s">
        <v>307</v>
      </c>
      <c r="C26" s="68" t="s">
        <v>198</v>
      </c>
      <c r="H26" t="s">
        <v>391</v>
      </c>
      <c r="I26" t="s">
        <v>398</v>
      </c>
    </row>
    <row r="27" spans="2:9">
      <c r="B27" s="70" t="s">
        <v>308</v>
      </c>
      <c r="C27" s="68" t="s">
        <v>309</v>
      </c>
      <c r="H27" t="s">
        <v>391</v>
      </c>
      <c r="I27" t="s">
        <v>353</v>
      </c>
    </row>
    <row r="28" spans="2:9">
      <c r="B28" s="70" t="s">
        <v>310</v>
      </c>
      <c r="C28" s="68" t="s">
        <v>311</v>
      </c>
      <c r="H28" t="s">
        <v>391</v>
      </c>
      <c r="I28" t="s">
        <v>399</v>
      </c>
    </row>
    <row r="29" spans="2:9">
      <c r="B29" s="70" t="s">
        <v>312</v>
      </c>
      <c r="C29" s="68" t="s">
        <v>313</v>
      </c>
      <c r="H29" t="s">
        <v>391</v>
      </c>
      <c r="I29" t="s">
        <v>400</v>
      </c>
    </row>
    <row r="30" spans="2:9">
      <c r="B30" s="70" t="s">
        <v>314</v>
      </c>
      <c r="C30" s="68" t="s">
        <v>315</v>
      </c>
      <c r="H30" t="s">
        <v>391</v>
      </c>
      <c r="I30" t="s">
        <v>401</v>
      </c>
    </row>
    <row r="31" spans="2:9">
      <c r="B31" s="70" t="s">
        <v>316</v>
      </c>
      <c r="C31" s="68" t="s">
        <v>317</v>
      </c>
      <c r="H31" t="s">
        <v>391</v>
      </c>
      <c r="I31" t="s">
        <v>318</v>
      </c>
    </row>
    <row r="32" spans="2:9">
      <c r="B32" s="70" t="s">
        <v>318</v>
      </c>
      <c r="C32" s="69" t="s">
        <v>319</v>
      </c>
      <c r="H32" t="s">
        <v>391</v>
      </c>
      <c r="I32" t="s">
        <v>402</v>
      </c>
    </row>
    <row r="33" spans="2:9">
      <c r="B33" s="70" t="s">
        <v>320</v>
      </c>
      <c r="C33" s="69" t="s">
        <v>321</v>
      </c>
      <c r="H33" t="s">
        <v>391</v>
      </c>
      <c r="I33" t="s">
        <v>403</v>
      </c>
    </row>
    <row r="34" spans="2:9">
      <c r="H34" t="s">
        <v>391</v>
      </c>
      <c r="I34" t="s">
        <v>404</v>
      </c>
    </row>
    <row r="35" spans="2:9">
      <c r="H35" t="s">
        <v>391</v>
      </c>
      <c r="I35" t="s">
        <v>405</v>
      </c>
    </row>
    <row r="36" spans="2:9">
      <c r="H36" t="s">
        <v>391</v>
      </c>
      <c r="I36" t="s">
        <v>406</v>
      </c>
    </row>
    <row r="37" spans="2:9">
      <c r="H37" t="s">
        <v>391</v>
      </c>
      <c r="I37" t="s">
        <v>407</v>
      </c>
    </row>
    <row r="38" spans="2:9">
      <c r="H38" t="s">
        <v>391</v>
      </c>
      <c r="I38" t="s">
        <v>408</v>
      </c>
    </row>
    <row r="39" spans="2:9">
      <c r="H39" t="s">
        <v>391</v>
      </c>
      <c r="I39" t="s">
        <v>409</v>
      </c>
    </row>
    <row r="40" spans="2:9">
      <c r="H40" t="s">
        <v>391</v>
      </c>
      <c r="I40" t="s">
        <v>311</v>
      </c>
    </row>
    <row r="41" spans="2:9">
      <c r="H41" t="s">
        <v>391</v>
      </c>
      <c r="I41" t="s">
        <v>410</v>
      </c>
    </row>
    <row r="42" spans="2:9">
      <c r="H42" t="s">
        <v>391</v>
      </c>
      <c r="I42" t="s">
        <v>411</v>
      </c>
    </row>
    <row r="43" spans="2:9">
      <c r="H43" t="s">
        <v>391</v>
      </c>
      <c r="I43" t="s">
        <v>412</v>
      </c>
    </row>
    <row r="44" spans="2:9">
      <c r="H44" t="s">
        <v>391</v>
      </c>
      <c r="I44" t="s">
        <v>413</v>
      </c>
    </row>
    <row r="45" spans="2:9">
      <c r="H45" t="s">
        <v>391</v>
      </c>
      <c r="I45" t="s">
        <v>414</v>
      </c>
    </row>
    <row r="46" spans="2:9">
      <c r="H46" t="s">
        <v>391</v>
      </c>
      <c r="I46" t="s">
        <v>415</v>
      </c>
    </row>
    <row r="47" spans="2:9">
      <c r="H47" t="s">
        <v>391</v>
      </c>
      <c r="I47" t="s">
        <v>416</v>
      </c>
    </row>
    <row r="48" spans="2:9">
      <c r="H48" t="s">
        <v>391</v>
      </c>
      <c r="I48" t="s">
        <v>417</v>
      </c>
    </row>
    <row r="49" spans="8:9">
      <c r="H49" t="s">
        <v>391</v>
      </c>
      <c r="I49" t="s">
        <v>418</v>
      </c>
    </row>
    <row r="50" spans="8:9">
      <c r="H50" t="s">
        <v>391</v>
      </c>
      <c r="I50" t="s">
        <v>419</v>
      </c>
    </row>
    <row r="51" spans="8:9">
      <c r="H51" t="s">
        <v>391</v>
      </c>
      <c r="I51" t="s">
        <v>420</v>
      </c>
    </row>
    <row r="52" spans="8:9">
      <c r="H52" t="s">
        <v>391</v>
      </c>
      <c r="I52" t="s">
        <v>421</v>
      </c>
    </row>
    <row r="53" spans="8:9">
      <c r="H53" t="s">
        <v>391</v>
      </c>
      <c r="I53" t="s">
        <v>422</v>
      </c>
    </row>
    <row r="54" spans="8:9">
      <c r="H54" t="s">
        <v>391</v>
      </c>
      <c r="I54" t="s">
        <v>423</v>
      </c>
    </row>
    <row r="55" spans="8:9">
      <c r="H55" t="s">
        <v>391</v>
      </c>
      <c r="I55" t="s">
        <v>319</v>
      </c>
    </row>
    <row r="56" spans="8:9">
      <c r="H56" t="s">
        <v>391</v>
      </c>
      <c r="I56" t="s">
        <v>321</v>
      </c>
    </row>
    <row r="57" spans="8:9">
      <c r="H57" t="s">
        <v>391</v>
      </c>
      <c r="I57" t="s">
        <v>424</v>
      </c>
    </row>
    <row r="58" spans="8:9">
      <c r="H58" t="s">
        <v>391</v>
      </c>
      <c r="I58" t="s">
        <v>317</v>
      </c>
    </row>
    <row r="59" spans="8:9">
      <c r="H59" t="s">
        <v>391</v>
      </c>
      <c r="I59" t="s">
        <v>425</v>
      </c>
    </row>
    <row r="60" spans="8:9">
      <c r="H60" t="s">
        <v>391</v>
      </c>
      <c r="I60" t="s">
        <v>426</v>
      </c>
    </row>
    <row r="61" spans="8:9">
      <c r="H61" t="s">
        <v>391</v>
      </c>
      <c r="I61" t="s">
        <v>320</v>
      </c>
    </row>
    <row r="62" spans="8:9">
      <c r="H62" t="s">
        <v>391</v>
      </c>
      <c r="I62" t="s">
        <v>427</v>
      </c>
    </row>
    <row r="63" spans="8:9">
      <c r="H63" t="s">
        <v>391</v>
      </c>
      <c r="I63" t="s">
        <v>428</v>
      </c>
    </row>
    <row r="64" spans="8:9">
      <c r="H64" t="s">
        <v>391</v>
      </c>
      <c r="I64" t="s">
        <v>429</v>
      </c>
    </row>
    <row r="65" spans="8:9">
      <c r="H65" t="s">
        <v>391</v>
      </c>
      <c r="I65" t="s">
        <v>430</v>
      </c>
    </row>
    <row r="66" spans="8:9">
      <c r="H66" t="s">
        <v>391</v>
      </c>
      <c r="I66" t="s">
        <v>431</v>
      </c>
    </row>
    <row r="67" spans="8:9">
      <c r="H67" t="s">
        <v>391</v>
      </c>
      <c r="I67" t="s">
        <v>432</v>
      </c>
    </row>
    <row r="68" spans="8:9">
      <c r="H68" t="s">
        <v>391</v>
      </c>
      <c r="I68" t="s">
        <v>433</v>
      </c>
    </row>
    <row r="69" spans="8:9">
      <c r="H69" t="s">
        <v>391</v>
      </c>
      <c r="I69" t="s">
        <v>434</v>
      </c>
    </row>
    <row r="70" spans="8:9">
      <c r="H70" t="s">
        <v>391</v>
      </c>
      <c r="I70" t="s">
        <v>435</v>
      </c>
    </row>
    <row r="71" spans="8:9">
      <c r="H71" t="s">
        <v>391</v>
      </c>
      <c r="I71" t="s">
        <v>436</v>
      </c>
    </row>
    <row r="72" spans="8:9">
      <c r="H72" t="s">
        <v>391</v>
      </c>
      <c r="I72" t="s">
        <v>437</v>
      </c>
    </row>
    <row r="73" spans="8:9">
      <c r="H73" t="s">
        <v>391</v>
      </c>
      <c r="I73" t="s">
        <v>438</v>
      </c>
    </row>
    <row r="74" spans="8:9">
      <c r="H74" t="s">
        <v>391</v>
      </c>
      <c r="I74" t="s">
        <v>439</v>
      </c>
    </row>
    <row r="75" spans="8:9">
      <c r="H75" t="s">
        <v>391</v>
      </c>
      <c r="I75" t="s">
        <v>440</v>
      </c>
    </row>
    <row r="76" spans="8:9">
      <c r="H76" t="s">
        <v>391</v>
      </c>
      <c r="I76" t="s">
        <v>441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35</vt:i4>
      </vt:variant>
    </vt:vector>
  </HeadingPairs>
  <TitlesOfParts>
    <vt:vector size="49" baseType="lpstr">
      <vt:lpstr>RISK INPUT</vt:lpstr>
      <vt:lpstr>EUR 3m</vt:lpstr>
      <vt:lpstr>USD OIS</vt:lpstr>
      <vt:lpstr>USD 3m</vt:lpstr>
      <vt:lpstr>USD 1m</vt:lpstr>
      <vt:lpstr>CCS EUR_USD col USD</vt:lpstr>
      <vt:lpstr>MXN_BO_SWAP_COL MXN_BASIS_COL</vt:lpstr>
      <vt:lpstr>MercuryChecks</vt:lpstr>
      <vt:lpstr>MercuryChecks Values II</vt:lpstr>
      <vt:lpstr>MercuryChecks (2)</vt:lpstr>
      <vt:lpstr>Sheet1</vt:lpstr>
      <vt:lpstr>Input</vt:lpstr>
      <vt:lpstr>Convergence</vt:lpstr>
      <vt:lpstr>Curves Mapping</vt:lpstr>
      <vt:lpstr>EOD_CAD</vt:lpstr>
      <vt:lpstr>'RISK INPUT'!EOD_EONIA</vt:lpstr>
      <vt:lpstr>'RISK INPUT'!EOD_EUR_3M</vt:lpstr>
      <vt:lpstr>'RISK INPUT'!EOD_EUR_6M</vt:lpstr>
      <vt:lpstr>'RISK INPUT'!EOD_FX_SPOT</vt:lpstr>
      <vt:lpstr>EOD_JPY_3M</vt:lpstr>
      <vt:lpstr>EOD_JPY_6M</vt:lpstr>
      <vt:lpstr>EOD_JPY_COL_USD</vt:lpstr>
      <vt:lpstr>EOD_JPY_TONAR</vt:lpstr>
      <vt:lpstr>'RISK INPUT'!EOD_MXN</vt:lpstr>
      <vt:lpstr>'RISK INPUT'!EOD_MXN_COL_USD_FX</vt:lpstr>
      <vt:lpstr>'RISK INPUT'!EOD_UDI</vt:lpstr>
      <vt:lpstr>'RISK INPUT'!EOD_USD_1D</vt:lpstr>
      <vt:lpstr>'RISK INPUT'!EOD_USD_1M</vt:lpstr>
      <vt:lpstr>'RISK INPUT'!EOD_USD_3M</vt:lpstr>
      <vt:lpstr>'RISK INPUT'!EOD_USD_6M</vt:lpstr>
      <vt:lpstr>'RISK INPUT'!EOD_USD_COL_EUR</vt:lpstr>
      <vt:lpstr>Convergence!h</vt:lpstr>
      <vt:lpstr>h</vt:lpstr>
      <vt:lpstr>Convergence!hoy</vt:lpstr>
      <vt:lpstr>'MXN_BO_SWAP_COL MXN_BASIS_COL'!hoy</vt:lpstr>
      <vt:lpstr>hoy</vt:lpstr>
      <vt:lpstr>Convergence!pillar0</vt:lpstr>
      <vt:lpstr>pillar0</vt:lpstr>
      <vt:lpstr>Convergence!pillarIndex</vt:lpstr>
      <vt:lpstr>pillarIndex</vt:lpstr>
      <vt:lpstr>range0</vt:lpstr>
      <vt:lpstr>Convergence!RangeCurve1</vt:lpstr>
      <vt:lpstr>RangeCurve1</vt:lpstr>
      <vt:lpstr>Convergence!RangeCurve2</vt:lpstr>
      <vt:lpstr>RangeCurve2</vt:lpstr>
      <vt:lpstr>Convergence!rangeTest</vt:lpstr>
      <vt:lpstr>rangeTest</vt:lpstr>
      <vt:lpstr>Convergence!zeroPillars</vt:lpstr>
      <vt:lpstr>zeroPillars</vt:lpstr>
    </vt:vector>
  </TitlesOfParts>
  <Company>Sovereign Bank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 de Lucas, Cesar</dc:creator>
  <cp:lastModifiedBy>Zhang, Binchi</cp:lastModifiedBy>
  <cp:lastPrinted>2016-05-26T18:40:54Z</cp:lastPrinted>
  <dcterms:created xsi:type="dcterms:W3CDTF">2016-04-20T15:43:06Z</dcterms:created>
  <dcterms:modified xsi:type="dcterms:W3CDTF">2019-08-28T18:35:53Z</dcterms:modified>
</cp:coreProperties>
</file>