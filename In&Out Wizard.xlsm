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Main Page" sheetId="1" r:id="rId1"/>
    <sheet name="Monthly Report" sheetId="2" r:id="rId2"/>
  </sheets>
  <definedNames>
    <definedName name="Amount">'Main Page'!$C$22</definedName>
    <definedName name="Category">'Main Page'!$D$22</definedName>
    <definedName name="chartrange1">'Main Page'!$A$5:$A$14</definedName>
    <definedName name="chartrange2">'Main Page'!$D$5:$D$14</definedName>
    <definedName name="Comments">'Main Page'!$E$22</definedName>
    <definedName name="Date">'Main Page'!$B$22</definedName>
    <definedName name="MainChart">'Main Page'!$A$5:$D$14</definedName>
  </definedNames>
  <calcPr calcId="152511"/>
</workbook>
</file>

<file path=xl/calcChain.xml><?xml version="1.0" encoding="utf-8"?>
<calcChain xmlns="http://schemas.openxmlformats.org/spreadsheetml/2006/main">
  <c r="E13" i="1" l="1"/>
  <c r="E10" i="1"/>
  <c r="B14" i="1"/>
  <c r="D13" i="1"/>
  <c r="B2" i="1" l="1"/>
  <c r="C7" i="1" l="1"/>
  <c r="D7" i="1" s="1"/>
  <c r="C11" i="1"/>
  <c r="C8" i="1"/>
  <c r="D8" i="1" s="1"/>
  <c r="C12" i="1"/>
  <c r="D12" i="1" s="1"/>
  <c r="E12" i="1" s="1"/>
  <c r="C9" i="1"/>
  <c r="D9" i="1" s="1"/>
  <c r="E9" i="1" s="1"/>
  <c r="C13" i="1"/>
  <c r="C10" i="1"/>
  <c r="C6" i="1"/>
  <c r="B3" i="1"/>
  <c r="E7" i="1" l="1"/>
  <c r="D10" i="1"/>
  <c r="D11" i="1"/>
  <c r="E11" i="1" s="1"/>
  <c r="E8" i="1"/>
  <c r="D6" i="1"/>
  <c r="E6" i="1" s="1"/>
  <c r="C14" i="1"/>
  <c r="D14" i="1" s="1"/>
  <c r="E14" i="1" s="1"/>
</calcChain>
</file>

<file path=xl/sharedStrings.xml><?xml version="1.0" encoding="utf-8"?>
<sst xmlns="http://schemas.openxmlformats.org/spreadsheetml/2006/main" count="28" uniqueCount="23">
  <si>
    <t>Today</t>
  </si>
  <si>
    <t>Category</t>
  </si>
  <si>
    <t>Dining</t>
  </si>
  <si>
    <t>Entertainment</t>
  </si>
  <si>
    <t>Shopping</t>
  </si>
  <si>
    <t>Healthcare</t>
  </si>
  <si>
    <t>Time Fraction</t>
  </si>
  <si>
    <t>Financial</t>
  </si>
  <si>
    <t>Transportation</t>
  </si>
  <si>
    <t>Usage</t>
  </si>
  <si>
    <t>Status</t>
  </si>
  <si>
    <t>Pre-set Limit</t>
  </si>
  <si>
    <t>Enter new transation:</t>
  </si>
  <si>
    <t>Date</t>
  </si>
  <si>
    <t>Amount</t>
  </si>
  <si>
    <t>Total</t>
  </si>
  <si>
    <t>Spent</t>
  </si>
  <si>
    <t>Enter:</t>
  </si>
  <si>
    <t>Comments</t>
  </si>
  <si>
    <t>Comment</t>
  </si>
  <si>
    <t>Month</t>
  </si>
  <si>
    <t>Housing &amp; Utilities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</si>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</sst>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8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4">
    <xf numFmtId="0" fontId="0" fillId="0" borderId="0" xfId="0"/>
    <xf numFmtId="14" fontId="0" fillId="0" borderId="0" xfId="0" applyNumberFormat="1"/>
    <xf numFmtId="0" fontId="1" fillId="0" borderId="1" xfId="1"/>
    <xf numFmtId="0" fontId="3" fillId="0" borderId="3" xfId="3"/>
    <xf numFmtId="14" fontId="3" fillId="0" borderId="3" xfId="3" applyNumberFormat="1"/>
    <xf numFmtId="0" fontId="0" fillId="0" borderId="0" xfId="0" applyBorder="1"/>
    <xf numFmtId="0" fontId="2" fillId="0" borderId="4" xfId="2" applyBorder="1"/>
    <xf numFmtId="0" fontId="2" fillId="0" borderId="5" xfId="2" applyBorder="1"/>
    <xf numFmtId="0" fontId="2" fillId="0" borderId="7" xfId="2" applyBorder="1"/>
    <xf numFmtId="14" fontId="0" fillId="0" borderId="8" xfId="0" applyNumberForma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6" xfId="2" applyFill="1" applyBorder="1"/>
    <xf numFmtId="0" fontId="1" fillId="0" borderId="1" xfId="1" applyAlignment="1">
      <alignment wrapText="1"/>
    </xf>
    <xf numFmtId="164" fontId="1" fillId="2" borderId="1" xfId="1" applyNumberFormat="1" applyFill="1"/>
    <xf numFmtId="0" fontId="1" fillId="2" borderId="1" xfId="1" applyFill="1"/>
    <xf numFmtId="0" fontId="1" fillId="0" borderId="1" xfId="1" applyFill="1"/>
    <xf numFmtId="0" fontId="3" fillId="0" borderId="0" xfId="3" applyBorder="1"/>
    <xf numFmtId="14" fontId="3" fillId="0" borderId="0" xfId="3" applyNumberFormat="1" applyBorder="1"/>
    <xf numFmtId="0" fontId="1" fillId="3" borderId="1" xfId="1" applyFill="1"/>
    <xf numFmtId="14" fontId="1" fillId="0" borderId="1" xfId="1" applyNumberFormat="1"/>
    <xf numFmtId="10" fontId="1" fillId="0" borderId="1" xfId="1" applyNumberFormat="1"/>
    <xf numFmtId="165" fontId="1" fillId="2" borderId="1" xfId="1" applyNumberFormat="1" applyFill="1"/>
  </cellXfs>
  <cellStyles count="4">
    <cellStyle name="Heading 1" xfId="1" builtinId="16"/>
    <cellStyle name="Heading 2" xfId="2" builtinId="17"/>
    <cellStyle name="Heading 3" xfId="3" builtinId="1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Usage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093247843193896E-2"/>
          <c:y val="8.5919164584692731E-2"/>
          <c:w val="0.96938065749613345"/>
          <c:h val="0.85729965567496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8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864305682299006E-2"/>
                      <c:h val="7.051504954583647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'Main Page'!$A$6:$A$14</c:f>
              <c:strCache>
                <c:ptCount val="9"/>
                <c:pt idx="0">
                  <c:v>Housing &amp; Utilities</c:v>
                </c:pt>
                <c:pt idx="1">
                  <c:v>Dining</c:v>
                </c:pt>
                <c:pt idx="2">
                  <c:v>Entertainment</c:v>
                </c:pt>
                <c:pt idx="3">
                  <c:v>Shopping</c:v>
                </c:pt>
                <c:pt idx="4">
                  <c:v>Healthcare</c:v>
                </c:pt>
                <c:pt idx="5">
                  <c:v>Financial</c:v>
                </c:pt>
                <c:pt idx="6">
                  <c:v>Transportation</c:v>
                </c:pt>
                <c:pt idx="7">
                  <c:v>Other</c:v>
                </c:pt>
                <c:pt idx="8">
                  <c:v>Total</c:v>
                </c:pt>
              </c:strCache>
            </c:strRef>
          </c:cat>
          <c:val>
            <c:numRef>
              <c:f>'Main Page'!$D$6:$D$14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06339360"/>
        <c:axId val="306340536"/>
      </c:barChart>
      <c:catAx>
        <c:axId val="30633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40536"/>
        <c:crosses val="autoZero"/>
        <c:auto val="1"/>
        <c:lblAlgn val="ctr"/>
        <c:lblOffset val="100"/>
        <c:noMultiLvlLbl val="0"/>
      </c:catAx>
      <c:valAx>
        <c:axId val="306340536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30633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'Monthly Report'!#REF!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Report'!#REF!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341712"/>
        <c:axId val="306342104"/>
      </c:barChart>
      <c:catAx>
        <c:axId val="30634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342104"/>
        <c:crosses val="autoZero"/>
        <c:auto val="1"/>
        <c:lblAlgn val="ctr"/>
        <c:lblOffset val="100"/>
        <c:noMultiLvlLbl val="0"/>
      </c:catAx>
      <c:valAx>
        <c:axId val="306342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6341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23</xdr:row>
          <xdr:rowOff>9525</xdr:rowOff>
        </xdr:from>
        <xdr:to>
          <xdr:col>3</xdr:col>
          <xdr:colOff>352425</xdr:colOff>
          <xdr:row>25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</a:rPr>
                <a:t>Add Transaction into System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247649</xdr:colOff>
      <xdr:row>0</xdr:row>
      <xdr:rowOff>171448</xdr:rowOff>
    </xdr:from>
    <xdr:to>
      <xdr:col>22</xdr:col>
      <xdr:colOff>228600</xdr:colOff>
      <xdr:row>29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171450</xdr:rowOff>
        </xdr:from>
        <xdr:to>
          <xdr:col>7</xdr:col>
          <xdr:colOff>38100</xdr:colOff>
          <xdr:row>2</xdr:row>
          <xdr:rowOff>200025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</a:rPr>
                <a:t>Generate Monthly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72</xdr:row>
      <xdr:rowOff>119062</xdr:rowOff>
    </xdr:from>
    <xdr:to>
      <xdr:col>2</xdr:col>
      <xdr:colOff>195262</xdr:colOff>
      <xdr:row>86</xdr:row>
      <xdr:rowOff>109537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"/>
  <sheetViews>
    <sheetView tabSelected="1" workbookViewId="0">
      <selection activeCell="Z2" sqref="Z2:AD2"/>
    </sheetView>
  </sheetViews>
  <sheetFormatPr defaultRowHeight="15" x14ac:dyDescent="0.25"/>
  <cols>
    <col min="1" max="1" width="28.140625" bestFit="1" customWidth="1"/>
    <col min="2" max="2" width="16.42578125" bestFit="1" customWidth="1"/>
    <col min="3" max="3" width="9.7109375" bestFit="1" customWidth="1"/>
    <col min="4" max="4" width="12.7109375" bestFit="1" customWidth="1"/>
    <col min="5" max="5" width="14.7109375" bestFit="1" customWidth="1"/>
    <col min="26" max="27" width="9.7109375" style="1" bestFit="1" customWidth="1"/>
  </cols>
  <sheetData>
    <row r="1" spans="1:30" ht="15.75" thickBot="1" x14ac:dyDescent="0.3">
      <c r="A1" s="4"/>
      <c r="B1" s="3"/>
      <c r="C1" s="18"/>
      <c r="Z1" s="1" t="s">
        <v>20</v>
      </c>
      <c r="AA1" s="1" t="s">
        <v>13</v>
      </c>
      <c r="AB1" t="s">
        <v>14</v>
      </c>
      <c r="AC1" t="s">
        <v>1</v>
      </c>
      <c r="AD1" t="s">
        <v>19</v>
      </c>
    </row>
    <row r="2" spans="1:30" ht="20.25" thickBot="1" x14ac:dyDescent="0.35">
      <c r="A2" s="2" t="s">
        <v>0</v>
      </c>
      <c r="B2" s="21">
        <f ca="1">TODAY()</f>
        <v>43643</v>
      </c>
      <c r="C2" s="19"/>
      <c r="D2" s="1"/>
      <c r="E2" s="1"/>
    </row>
    <row r="3" spans="1:30" ht="21" thickTop="1" thickBot="1" x14ac:dyDescent="0.35">
      <c r="A3" s="2" t="s">
        <v>6</v>
      </c>
      <c r="B3" s="22">
        <f ca="1">(B2-(EOMONTH(B2,-1)+1))/(EOMONTH(B2,0) - (EOMONTH(B2,-1) +1))</f>
        <v>0.89655172413793105</v>
      </c>
      <c r="C3" s="18"/>
    </row>
    <row r="4" spans="1:30" ht="15.75" thickTop="1" x14ac:dyDescent="0.25"/>
    <row r="5" spans="1:30" ht="26.25" customHeight="1" thickBot="1" x14ac:dyDescent="0.35">
      <c r="A5" s="14" t="s">
        <v>1</v>
      </c>
      <c r="B5" s="2" t="s">
        <v>11</v>
      </c>
      <c r="C5" s="2" t="s">
        <v>16</v>
      </c>
      <c r="D5" s="2" t="s">
        <v>9</v>
      </c>
      <c r="E5" s="2" t="s">
        <v>10</v>
      </c>
    </row>
    <row r="6" spans="1:30" ht="21" thickTop="1" thickBot="1" x14ac:dyDescent="0.35">
      <c r="A6" s="2" t="s">
        <v>21</v>
      </c>
      <c r="B6" s="15">
        <v>2000</v>
      </c>
      <c r="C6" s="16">
        <f ca="1">SUMIFS(AB:AB,AC:AC,A6,Z:Z,EOMONTH($B$2,-1) + 1)</f>
        <v>0</v>
      </c>
      <c r="D6" s="23">
        <f ca="1">IF(B6=0,"N/A",C6/B6)</f>
        <v>0</v>
      </c>
      <c r="E6" s="20" t="str">
        <f ca="1">IF(B6=0,"N/A",IF(D6&gt;1,"Over Spent","On Track"))</f>
        <v>On Track</v>
      </c>
    </row>
    <row r="7" spans="1:30" ht="21" thickTop="1" thickBot="1" x14ac:dyDescent="0.35">
      <c r="A7" s="2" t="s">
        <v>2</v>
      </c>
      <c r="B7" s="15">
        <v>1500</v>
      </c>
      <c r="C7" s="16">
        <f t="shared" ref="C7:C13" ca="1" si="0">SUMIFS(AB:AB,AC:AC,A7,Z:Z,EOMONTH($B$2,-1) + 1)</f>
        <v>0</v>
      </c>
      <c r="D7" s="23">
        <f t="shared" ref="D7:D13" ca="1" si="1">IF(B7=0,"N/A",C7/B7)</f>
        <v>0</v>
      </c>
      <c r="E7" s="20" t="str">
        <f ca="1">IF(B7=0,"N/A",IF(D7&gt;$B$3,IF(D7 &gt; 1.1*$B$3,"Over Spent","Cautious"),"On Track"))</f>
        <v>On Track</v>
      </c>
    </row>
    <row r="8" spans="1:30" ht="21" thickTop="1" thickBot="1" x14ac:dyDescent="0.35">
      <c r="A8" s="2" t="s">
        <v>3</v>
      </c>
      <c r="B8" s="15">
        <v>300</v>
      </c>
      <c r="C8" s="16">
        <f t="shared" ca="1" si="0"/>
        <v>0</v>
      </c>
      <c r="D8" s="23">
        <f t="shared" ca="1" si="1"/>
        <v>0</v>
      </c>
      <c r="E8" s="20" t="str">
        <f ca="1">IF(B8=0,"N/A",IF(D8&gt;$B$3,IF(D8 &gt; 1.15*$B$3,"Over Spent","Cautious"),"On Track"))</f>
        <v>On Track</v>
      </c>
    </row>
    <row r="9" spans="1:30" ht="21" thickTop="1" thickBot="1" x14ac:dyDescent="0.35">
      <c r="A9" s="2" t="s">
        <v>4</v>
      </c>
      <c r="B9" s="15">
        <v>100</v>
      </c>
      <c r="C9" s="16">
        <f t="shared" ca="1" si="0"/>
        <v>0</v>
      </c>
      <c r="D9" s="23">
        <f t="shared" ca="1" si="1"/>
        <v>0</v>
      </c>
      <c r="E9" s="20" t="str">
        <f t="shared" ref="E9:E11" ca="1" si="2">IF(B9=0,"N/A",IF(D9&gt;1,"Over Spent","On Track"))</f>
        <v>On Track</v>
      </c>
    </row>
    <row r="10" spans="1:30" ht="21" thickTop="1" thickBot="1" x14ac:dyDescent="0.35">
      <c r="A10" s="2" t="s">
        <v>5</v>
      </c>
      <c r="B10" s="15">
        <v>0</v>
      </c>
      <c r="C10" s="16">
        <f t="shared" ca="1" si="0"/>
        <v>0</v>
      </c>
      <c r="D10" s="23" t="str">
        <f t="shared" si="1"/>
        <v>N/A</v>
      </c>
      <c r="E10" s="16" t="str">
        <f t="shared" si="2"/>
        <v>N/A</v>
      </c>
    </row>
    <row r="11" spans="1:30" ht="21" thickTop="1" thickBot="1" x14ac:dyDescent="0.35">
      <c r="A11" s="2" t="s">
        <v>7</v>
      </c>
      <c r="B11" s="15">
        <v>1000</v>
      </c>
      <c r="C11" s="16">
        <f t="shared" ca="1" si="0"/>
        <v>0</v>
      </c>
      <c r="D11" s="23">
        <f t="shared" ca="1" si="1"/>
        <v>0</v>
      </c>
      <c r="E11" s="20" t="str">
        <f t="shared" ca="1" si="2"/>
        <v>On Track</v>
      </c>
    </row>
    <row r="12" spans="1:30" ht="21" thickTop="1" thickBot="1" x14ac:dyDescent="0.35">
      <c r="A12" s="2" t="s">
        <v>8</v>
      </c>
      <c r="B12" s="15">
        <v>150</v>
      </c>
      <c r="C12" s="16">
        <f t="shared" ca="1" si="0"/>
        <v>0</v>
      </c>
      <c r="D12" s="23">
        <f t="shared" ca="1" si="1"/>
        <v>0</v>
      </c>
      <c r="E12" s="20" t="str">
        <f ca="1">IF(B12=0,"N/A",IF(D12&gt;1,"Over Spent","On Track"))</f>
        <v>On Track</v>
      </c>
    </row>
    <row r="13" spans="1:30" ht="21" thickTop="1" thickBot="1" x14ac:dyDescent="0.35">
      <c r="A13" s="2" t="s">
        <v>22</v>
      </c>
      <c r="B13" s="15">
        <v>0</v>
      </c>
      <c r="C13" s="16">
        <f t="shared" ca="1" si="0"/>
        <v>0</v>
      </c>
      <c r="D13" s="23" t="str">
        <f t="shared" si="1"/>
        <v>N/A</v>
      </c>
      <c r="E13" s="16" t="str">
        <f>IF(B13=0,"N/A",IF(D13&gt;$B$3,"Over Spent","On Track"))</f>
        <v>N/A</v>
      </c>
    </row>
    <row r="14" spans="1:30" ht="21" thickTop="1" thickBot="1" x14ac:dyDescent="0.35">
      <c r="A14" s="17" t="s">
        <v>15</v>
      </c>
      <c r="B14" s="15">
        <f>SUM(B6:B13)</f>
        <v>5050</v>
      </c>
      <c r="C14" s="16">
        <f ca="1">SUM(C6:C13)</f>
        <v>0</v>
      </c>
      <c r="D14" s="23">
        <f ca="1">C14/B14</f>
        <v>0</v>
      </c>
      <c r="E14" s="20" t="str">
        <f t="shared" ref="E14" ca="1" si="3">IF(D14&gt;B$3,"Over Spent","On Track")</f>
        <v>On Track</v>
      </c>
    </row>
    <row r="15" spans="1:30" ht="15.75" thickTop="1" x14ac:dyDescent="0.25"/>
    <row r="19" spans="1:8" ht="20.25" thickBot="1" x14ac:dyDescent="0.35">
      <c r="A19" s="2" t="s">
        <v>12</v>
      </c>
    </row>
    <row r="20" spans="1:8" ht="16.5" thickTop="1" thickBot="1" x14ac:dyDescent="0.3">
      <c r="F20" s="5"/>
    </row>
    <row r="21" spans="1:8" ht="18" thickBot="1" x14ac:dyDescent="0.35">
      <c r="A21" s="6"/>
      <c r="B21" s="7" t="s">
        <v>13</v>
      </c>
      <c r="C21" s="7" t="s">
        <v>14</v>
      </c>
      <c r="D21" s="7" t="s">
        <v>1</v>
      </c>
      <c r="E21" s="13" t="s">
        <v>18</v>
      </c>
    </row>
    <row r="22" spans="1:8" ht="18" thickBot="1" x14ac:dyDescent="0.35">
      <c r="A22" s="8" t="s">
        <v>17</v>
      </c>
      <c r="B22" s="9">
        <v>43643</v>
      </c>
      <c r="C22" s="10">
        <v>0</v>
      </c>
      <c r="D22" s="10" t="s">
        <v>1</v>
      </c>
      <c r="E22" s="11"/>
      <c r="H22" s="12"/>
    </row>
  </sheetData>
  <dataValidations disablePrompts="1" count="4">
    <dataValidation type="date" operator="greaterThan" allowBlank="1" showInputMessage="1" showErrorMessage="1" promptTitle="Warning" prompt="Please Enter a date format like &quot;6/25/2019&quot;!" sqref="AA6">
      <formula1>36526</formula1>
    </dataValidation>
    <dataValidation type="list" allowBlank="1" showInputMessage="1" showErrorMessage="1" sqref="AC2">
      <formula1>$A$6:$A$12</formula1>
    </dataValidation>
    <dataValidation type="date" operator="greaterThan" allowBlank="1" showInputMessage="1" showErrorMessage="1" promptTitle="Warning" prompt="Please input date format like &quot;6/25/2019&quot;." sqref="AA2">
      <formula1>36526</formula1>
    </dataValidation>
    <dataValidation type="list" allowBlank="1" showInputMessage="1" showErrorMessage="1" sqref="D22">
      <formula1>$A$5:$A$12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record">
                <anchor moveWithCells="1" sizeWithCells="1">
                  <from>
                    <xdr:col>0</xdr:col>
                    <xdr:colOff>561975</xdr:colOff>
                    <xdr:row>23</xdr:row>
                    <xdr:rowOff>9525</xdr:rowOff>
                  </from>
                  <to>
                    <xdr:col>3</xdr:col>
                    <xdr:colOff>352425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GenerateReport">
                <anchor moveWithCells="1" sizeWithCells="1">
                  <from>
                    <xdr:col>2</xdr:col>
                    <xdr:colOff>323850</xdr:colOff>
                    <xdr:row>0</xdr:row>
                    <xdr:rowOff>171450</xdr:rowOff>
                  </from>
                  <to>
                    <xdr:col>7</xdr:col>
                    <xdr:colOff>38100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5"/>
  <sheetViews>
    <sheetView workbookViewId="0">
      <selection activeCell="A4" sqref="A4:D14"/>
    </sheetView>
  </sheetViews>
  <sheetFormatPr defaultRowHeight="15" x14ac:dyDescent="0.25"/>
  <sheetData>
    <row r="4" spans="1:1" ht="20.25" thickBot="1" x14ac:dyDescent="0.35">
      <c r="A4" s="21"/>
    </row>
    <row r="5" spans="1:1" ht="15.75" thickTop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Main Page</vt:lpstr>
      <vt:lpstr>Monthly Report</vt:lpstr>
      <vt:lpstr>Amount</vt:lpstr>
      <vt:lpstr>Category</vt:lpstr>
      <vt:lpstr>chartrange1</vt:lpstr>
      <vt:lpstr>chartrange2</vt:lpstr>
      <vt:lpstr>Comments</vt:lpstr>
      <vt:lpstr>Date</vt:lpstr>
      <vt:lpstr>MainChart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2019-06-27T19:57:28Z</dcterms:modified>
</cp:coreProperties>
</file>